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62ACCD78-24C5-4BBD-A34B-E5F1423F63D4}" xr6:coauthVersionLast="47" xr6:coauthVersionMax="47" xr10:uidLastSave="{00000000-0000-0000-0000-000000000000}"/>
  <bookViews>
    <workbookView xWindow="-120" yWindow="-120" windowWidth="29040" windowHeight="15720" tabRatio="866" firstSheet="2" activeTab="2" xr2:uid="{00000000-000D-0000-FFFF-FFFF00000000}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4" r:id="rId35"/>
    <sheet name="填寫舉例" sheetId="1" r:id="rId36"/>
    <sheet name="鮮食品群番" sheetId="38" r:id="rId37"/>
    <sheet name="下拉式選單" sheetId="54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6-1'!$A$1:$L$106</definedName>
    <definedName name="_xlnm.Print_Area" localSheetId="17">'生產管理報表 6-2'!$A$1:$L$106</definedName>
    <definedName name="_xlnm.Print_Area" localSheetId="18">'生產管理報表 6-3'!$A$1:$L$106</definedName>
    <definedName name="_xlnm.Print_Area" localSheetId="19">'生產管理報表 6-4'!$A$1:$L$106</definedName>
    <definedName name="_xlnm.Print_Area" localSheetId="20">'生產管理報表 6-5'!$A$1:$L$106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8-5(週報廢)'!$A$1:$Q$86</definedName>
    <definedName name="_xlnm.Print_Area" localSheetId="28">'生產管理報表 8-6(週報廢)'!$A$1:$P$110</definedName>
    <definedName name="_xlnm.Print_Area" localSheetId="29">'生產管理報表 8-7(週超用)'!$A$1:$Q$30</definedName>
    <definedName name="_xlnm.Print_Area" localSheetId="30">'生產管理報表 8-8(週超用) '!$A$1:$P$86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4" i="56" l="1"/>
  <c r="F52" i="56"/>
  <c r="D52" i="56"/>
  <c r="F51" i="56"/>
  <c r="D51" i="56"/>
  <c r="F50" i="56"/>
  <c r="D50" i="56"/>
  <c r="F49" i="56"/>
  <c r="D49" i="56"/>
  <c r="F48" i="56"/>
  <c r="D48" i="56"/>
  <c r="F47" i="56"/>
  <c r="D47" i="56"/>
  <c r="H46" i="56"/>
  <c r="G46" i="56"/>
  <c r="F46" i="56"/>
  <c r="D46" i="56"/>
  <c r="F45" i="56"/>
  <c r="D45" i="56"/>
  <c r="F44" i="56"/>
  <c r="D44" i="56"/>
  <c r="F43" i="56"/>
  <c r="D43" i="56"/>
  <c r="F42" i="56"/>
  <c r="D42" i="56"/>
  <c r="F41" i="56"/>
  <c r="D41" i="56"/>
  <c r="F40" i="56"/>
  <c r="D40" i="56"/>
  <c r="H39" i="56"/>
  <c r="G39" i="56"/>
  <c r="F39" i="56"/>
  <c r="D39" i="56"/>
  <c r="F38" i="56"/>
  <c r="D38" i="56"/>
  <c r="F37" i="56"/>
  <c r="D37" i="56"/>
  <c r="F36" i="56"/>
  <c r="D36" i="56"/>
  <c r="F35" i="56"/>
  <c r="D35" i="56"/>
  <c r="F34" i="56"/>
  <c r="D34" i="56"/>
  <c r="F33" i="56"/>
  <c r="D33" i="56"/>
  <c r="H32" i="56"/>
  <c r="G32" i="56"/>
  <c r="F32" i="56"/>
  <c r="D32" i="56"/>
  <c r="E31" i="56"/>
  <c r="F31" i="56" s="1"/>
  <c r="C31" i="56"/>
  <c r="D31" i="56" s="1"/>
  <c r="F30" i="56"/>
  <c r="E30" i="56"/>
  <c r="D30" i="56"/>
  <c r="C30" i="56"/>
  <c r="F29" i="56"/>
  <c r="E29" i="56"/>
  <c r="C29" i="56"/>
  <c r="D29" i="56" s="1"/>
  <c r="F28" i="56"/>
  <c r="E28" i="56"/>
  <c r="D28" i="56"/>
  <c r="C28" i="56"/>
  <c r="E27" i="56"/>
  <c r="F27" i="56" s="1"/>
  <c r="C27" i="56"/>
  <c r="D27" i="56" s="1"/>
  <c r="F26" i="56"/>
  <c r="E26" i="56"/>
  <c r="D26" i="56"/>
  <c r="C26" i="56"/>
  <c r="E25" i="56"/>
  <c r="H25" i="56" s="1"/>
  <c r="C25" i="56"/>
  <c r="G25" i="56" s="1"/>
  <c r="F24" i="56"/>
  <c r="E24" i="56"/>
  <c r="C24" i="56"/>
  <c r="D24" i="56" s="1"/>
  <c r="E23" i="56"/>
  <c r="F23" i="56" s="1"/>
  <c r="C23" i="56"/>
  <c r="D23" i="56" s="1"/>
  <c r="F22" i="56"/>
  <c r="E22" i="56"/>
  <c r="D22" i="56"/>
  <c r="C22" i="56"/>
  <c r="E21" i="56"/>
  <c r="F21" i="56" s="1"/>
  <c r="C21" i="56"/>
  <c r="D21" i="56" s="1"/>
  <c r="F20" i="56"/>
  <c r="E20" i="56"/>
  <c r="C20" i="56"/>
  <c r="D20" i="56" s="1"/>
  <c r="E19" i="56"/>
  <c r="F19" i="56" s="1"/>
  <c r="C19" i="56"/>
  <c r="D19" i="56" s="1"/>
  <c r="F18" i="56"/>
  <c r="E18" i="56"/>
  <c r="C18" i="56"/>
  <c r="D18" i="56" s="1"/>
  <c r="E17" i="56"/>
  <c r="F17" i="56" s="1"/>
  <c r="D17" i="56"/>
  <c r="C17" i="56"/>
  <c r="E16" i="56"/>
  <c r="F16" i="56" s="1"/>
  <c r="C16" i="56"/>
  <c r="D16" i="56" s="1"/>
  <c r="E15" i="56"/>
  <c r="F15" i="56" s="1"/>
  <c r="C15" i="56"/>
  <c r="B2" i="56" s="1"/>
  <c r="D2" i="56" s="1"/>
  <c r="F14" i="56"/>
  <c r="E14" i="56"/>
  <c r="C14" i="56"/>
  <c r="D14" i="56" s="1"/>
  <c r="E13" i="56"/>
  <c r="F13" i="56" s="1"/>
  <c r="D13" i="56"/>
  <c r="C13" i="56"/>
  <c r="E12" i="56"/>
  <c r="F12" i="56" s="1"/>
  <c r="C12" i="56"/>
  <c r="D12" i="56" s="1"/>
  <c r="G11" i="56"/>
  <c r="E11" i="56"/>
  <c r="H11" i="56" s="1"/>
  <c r="C11" i="56"/>
  <c r="D11" i="56" s="1"/>
  <c r="E10" i="56"/>
  <c r="F10" i="56" s="1"/>
  <c r="C10" i="56"/>
  <c r="D10" i="56" s="1"/>
  <c r="F9" i="56"/>
  <c r="E9" i="56"/>
  <c r="C9" i="56"/>
  <c r="D9" i="56" s="1"/>
  <c r="E8" i="56"/>
  <c r="F8" i="56" s="1"/>
  <c r="D8" i="56"/>
  <c r="C8" i="56"/>
  <c r="E7" i="56"/>
  <c r="H4" i="56" s="1"/>
  <c r="C7" i="56"/>
  <c r="G4" i="56" s="1"/>
  <c r="F6" i="56"/>
  <c r="D6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F4" i="56"/>
  <c r="D4" i="56"/>
  <c r="J86" i="25"/>
  <c r="J101" i="24"/>
  <c r="J100" i="24"/>
  <c r="J99" i="24"/>
  <c r="J98" i="24"/>
  <c r="J97" i="24"/>
  <c r="J106" i="23"/>
  <c r="J104" i="23"/>
  <c r="J103" i="23"/>
  <c r="J100" i="23"/>
  <c r="J99" i="23"/>
  <c r="J98" i="23"/>
  <c r="J97" i="23"/>
  <c r="J101" i="23"/>
  <c r="J92" i="23"/>
  <c r="J91" i="23"/>
  <c r="J90" i="23"/>
  <c r="J89" i="23"/>
  <c r="J88" i="23"/>
  <c r="J87" i="23"/>
  <c r="J86" i="23"/>
  <c r="J101" i="22"/>
  <c r="J100" i="22"/>
  <c r="J99" i="22"/>
  <c r="J98" i="22"/>
  <c r="J86" i="22"/>
  <c r="J99" i="15"/>
  <c r="J98" i="15"/>
  <c r="J97" i="15"/>
  <c r="J95" i="15"/>
  <c r="J94" i="15"/>
  <c r="J93" i="15"/>
  <c r="J92" i="15"/>
  <c r="J91" i="15"/>
  <c r="J89" i="15"/>
  <c r="J88" i="15"/>
  <c r="J87" i="15"/>
  <c r="J86" i="15"/>
  <c r="AW67" i="52"/>
  <c r="AR67" i="52"/>
  <c r="AM67" i="52"/>
  <c r="AH67" i="52"/>
  <c r="AC67" i="52"/>
  <c r="X67" i="52"/>
  <c r="S67" i="52"/>
  <c r="C1" i="52"/>
  <c r="M67" i="52"/>
  <c r="AV67" i="52"/>
  <c r="AX67" i="52" s="1"/>
  <c r="AQ67" i="52"/>
  <c r="AS67" i="52" s="1"/>
  <c r="AN67" i="52"/>
  <c r="AL67" i="52"/>
  <c r="AG67" i="52"/>
  <c r="AI67" i="52" s="1"/>
  <c r="AB67" i="52"/>
  <c r="AD67" i="52" s="1"/>
  <c r="W67" i="52"/>
  <c r="K67" i="52" s="1"/>
  <c r="T67" i="52"/>
  <c r="R67" i="52"/>
  <c r="J67" i="52"/>
  <c r="I67" i="52"/>
  <c r="G67" i="52"/>
  <c r="H67" i="52" s="1"/>
  <c r="AW72" i="51"/>
  <c r="AW71" i="51"/>
  <c r="AW70" i="51"/>
  <c r="AW69" i="51"/>
  <c r="AW68" i="51"/>
  <c r="AW67" i="51"/>
  <c r="AR72" i="51"/>
  <c r="AR71" i="51"/>
  <c r="AR70" i="51"/>
  <c r="AR69" i="51"/>
  <c r="AR68" i="51"/>
  <c r="AR67" i="51"/>
  <c r="AM72" i="51"/>
  <c r="AM71" i="51"/>
  <c r="AM70" i="51"/>
  <c r="AM69" i="51"/>
  <c r="AM68" i="51"/>
  <c r="AM67" i="51"/>
  <c r="AH72" i="51"/>
  <c r="AH71" i="51"/>
  <c r="AH70" i="51"/>
  <c r="AH69" i="51"/>
  <c r="AH68" i="51"/>
  <c r="AH67" i="51"/>
  <c r="AC72" i="51"/>
  <c r="AC71" i="51"/>
  <c r="AC70" i="51"/>
  <c r="AC69" i="51"/>
  <c r="AC68" i="51"/>
  <c r="AC67" i="51"/>
  <c r="X72" i="51"/>
  <c r="X71" i="51"/>
  <c r="X70" i="51"/>
  <c r="X69" i="51"/>
  <c r="X68" i="51"/>
  <c r="X67" i="51"/>
  <c r="S68" i="51"/>
  <c r="S69" i="51"/>
  <c r="S70" i="51"/>
  <c r="S71" i="51"/>
  <c r="S72" i="51"/>
  <c r="S67" i="51"/>
  <c r="M68" i="51"/>
  <c r="M69" i="51"/>
  <c r="M70" i="51"/>
  <c r="M71" i="51"/>
  <c r="M72" i="51"/>
  <c r="M67" i="51"/>
  <c r="M27" i="51"/>
  <c r="C1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X67" i="51" s="1"/>
  <c r="AQ67" i="51"/>
  <c r="AL67" i="51"/>
  <c r="AG67" i="51"/>
  <c r="AB67" i="51"/>
  <c r="AD67" i="51" s="1"/>
  <c r="Y67" i="51"/>
  <c r="W67" i="51"/>
  <c r="R67" i="51"/>
  <c r="T67" i="51" s="1"/>
  <c r="J67" i="51"/>
  <c r="I67" i="51"/>
  <c r="G67" i="51"/>
  <c r="H67" i="51" s="1"/>
  <c r="P62" i="50"/>
  <c r="P63" i="50" s="1"/>
  <c r="AW76" i="49"/>
  <c r="AW75" i="49"/>
  <c r="AW74" i="49"/>
  <c r="AW73" i="49"/>
  <c r="AW72" i="49"/>
  <c r="AW71" i="49"/>
  <c r="AW70" i="49"/>
  <c r="AW69" i="49"/>
  <c r="AW68" i="49"/>
  <c r="AW67" i="49"/>
  <c r="AR76" i="49"/>
  <c r="AR75" i="49"/>
  <c r="AR74" i="49"/>
  <c r="AR73" i="49"/>
  <c r="AR72" i="49"/>
  <c r="AR71" i="49"/>
  <c r="AR70" i="49"/>
  <c r="AR69" i="49"/>
  <c r="AR68" i="49"/>
  <c r="AR67" i="49"/>
  <c r="AM76" i="49"/>
  <c r="AM75" i="49"/>
  <c r="AM74" i="49"/>
  <c r="AM73" i="49"/>
  <c r="AM72" i="49"/>
  <c r="AM71" i="49"/>
  <c r="AM70" i="49"/>
  <c r="AM69" i="49"/>
  <c r="AM68" i="49"/>
  <c r="AM67" i="49"/>
  <c r="AH76" i="49"/>
  <c r="AH75" i="49"/>
  <c r="AH74" i="49"/>
  <c r="AH73" i="49"/>
  <c r="AH72" i="49"/>
  <c r="AH71" i="49"/>
  <c r="AH70" i="49"/>
  <c r="AH69" i="49"/>
  <c r="AH68" i="49"/>
  <c r="AH67" i="49"/>
  <c r="AC76" i="49"/>
  <c r="AC75" i="49"/>
  <c r="AC74" i="49"/>
  <c r="AC73" i="49"/>
  <c r="AC72" i="49"/>
  <c r="AC71" i="49"/>
  <c r="AC70" i="49"/>
  <c r="AC69" i="49"/>
  <c r="AC68" i="49"/>
  <c r="AC67" i="49"/>
  <c r="X76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76" i="49"/>
  <c r="S67" i="49"/>
  <c r="C1" i="49"/>
  <c r="M68" i="49"/>
  <c r="M69" i="49"/>
  <c r="M70" i="49"/>
  <c r="M71" i="49"/>
  <c r="M72" i="49"/>
  <c r="M73" i="49"/>
  <c r="M74" i="49"/>
  <c r="M75" i="49"/>
  <c r="M76" i="49"/>
  <c r="M67" i="49"/>
  <c r="AV76" i="49"/>
  <c r="AQ76" i="49"/>
  <c r="AL76" i="49"/>
  <c r="AG76" i="49"/>
  <c r="AB76" i="49"/>
  <c r="W76" i="49"/>
  <c r="R76" i="49"/>
  <c r="J76" i="49"/>
  <c r="I76" i="49"/>
  <c r="G76" i="49"/>
  <c r="AV75" i="49"/>
  <c r="AQ75" i="49"/>
  <c r="AL75" i="49"/>
  <c r="AG75" i="49"/>
  <c r="AB75" i="49"/>
  <c r="W75" i="49"/>
  <c r="Y67" i="49" s="1"/>
  <c r="R75" i="49"/>
  <c r="J75" i="49"/>
  <c r="I75" i="49"/>
  <c r="G75" i="49"/>
  <c r="AV74" i="49"/>
  <c r="K74" i="49" s="1"/>
  <c r="AQ74" i="49"/>
  <c r="AL74" i="49"/>
  <c r="AG74" i="49"/>
  <c r="AB74" i="49"/>
  <c r="W74" i="49"/>
  <c r="R74" i="49"/>
  <c r="J74" i="49"/>
  <c r="I74" i="49"/>
  <c r="G74" i="49"/>
  <c r="AV73" i="49"/>
  <c r="K73" i="49" s="1"/>
  <c r="AQ73" i="49"/>
  <c r="AL73" i="49"/>
  <c r="AG73" i="49"/>
  <c r="AB73" i="49"/>
  <c r="W73" i="49"/>
  <c r="R73" i="49"/>
  <c r="J73" i="49"/>
  <c r="I73" i="49"/>
  <c r="G73" i="49"/>
  <c r="AV72" i="49"/>
  <c r="AQ72" i="49"/>
  <c r="K72" i="49" s="1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AS67" i="49" s="1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X67" i="49" s="1"/>
  <c r="AQ67" i="49"/>
  <c r="AL67" i="49"/>
  <c r="K67" i="49" s="1"/>
  <c r="AG67" i="49"/>
  <c r="AI67" i="49" s="1"/>
  <c r="AB67" i="49"/>
  <c r="AD67" i="49" s="1"/>
  <c r="W67" i="49"/>
  <c r="R67" i="49"/>
  <c r="T67" i="49" s="1"/>
  <c r="J67" i="49"/>
  <c r="I67" i="49"/>
  <c r="G67" i="49"/>
  <c r="H67" i="49" s="1"/>
  <c r="AW73" i="48"/>
  <c r="AW72" i="48"/>
  <c r="AW71" i="48"/>
  <c r="AW70" i="48"/>
  <c r="AW69" i="48"/>
  <c r="AW68" i="48"/>
  <c r="AW67" i="48"/>
  <c r="AR73" i="48"/>
  <c r="AR72" i="48"/>
  <c r="AR71" i="48"/>
  <c r="AR70" i="48"/>
  <c r="AR69" i="48"/>
  <c r="AR68" i="48"/>
  <c r="AR67" i="48"/>
  <c r="AM73" i="48"/>
  <c r="AM72" i="48"/>
  <c r="AM71" i="48"/>
  <c r="AM70" i="48"/>
  <c r="AM69" i="48"/>
  <c r="AM68" i="48"/>
  <c r="AM67" i="48"/>
  <c r="AH73" i="48"/>
  <c r="AH72" i="48"/>
  <c r="AH71" i="48"/>
  <c r="AH70" i="48"/>
  <c r="AH69" i="48"/>
  <c r="AH68" i="48"/>
  <c r="AH67" i="48"/>
  <c r="AC73" i="48"/>
  <c r="AC72" i="48"/>
  <c r="AC71" i="48"/>
  <c r="AC70" i="48"/>
  <c r="AC69" i="48"/>
  <c r="AC68" i="48"/>
  <c r="AC67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67" i="48"/>
  <c r="M68" i="48"/>
  <c r="M69" i="48"/>
  <c r="M70" i="48"/>
  <c r="M71" i="48"/>
  <c r="M72" i="48"/>
  <c r="M73" i="48"/>
  <c r="M67" i="48"/>
  <c r="C1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K72" i="48"/>
  <c r="J72" i="48"/>
  <c r="I72" i="48"/>
  <c r="G72" i="48"/>
  <c r="AV71" i="48"/>
  <c r="K71" i="48" s="1"/>
  <c r="AQ71" i="48"/>
  <c r="AL71" i="48"/>
  <c r="AG71" i="48"/>
  <c r="AB71" i="48"/>
  <c r="W71" i="48"/>
  <c r="R71" i="48"/>
  <c r="J71" i="48"/>
  <c r="I71" i="48"/>
  <c r="G71" i="48"/>
  <c r="AV70" i="48"/>
  <c r="K70" i="48" s="1"/>
  <c r="AQ70" i="48"/>
  <c r="AL70" i="48"/>
  <c r="AG70" i="48"/>
  <c r="AB70" i="48"/>
  <c r="W70" i="48"/>
  <c r="R70" i="48"/>
  <c r="J70" i="48"/>
  <c r="I70" i="48"/>
  <c r="G70" i="48"/>
  <c r="AV69" i="48"/>
  <c r="AX67" i="48" s="1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S67" i="48" s="1"/>
  <c r="AL67" i="48"/>
  <c r="AG67" i="48"/>
  <c r="AI67" i="48" s="1"/>
  <c r="AB67" i="48"/>
  <c r="W67" i="48"/>
  <c r="Y67" i="48" s="1"/>
  <c r="R67" i="48"/>
  <c r="J67" i="48"/>
  <c r="I67" i="48"/>
  <c r="G67" i="48"/>
  <c r="H67" i="48" s="1"/>
  <c r="AW71" i="47"/>
  <c r="AW70" i="47"/>
  <c r="AW69" i="47"/>
  <c r="AW68" i="47"/>
  <c r="AW67" i="47"/>
  <c r="AR71" i="47"/>
  <c r="AR70" i="47"/>
  <c r="AR69" i="47"/>
  <c r="AR68" i="47"/>
  <c r="AR67" i="47"/>
  <c r="AM71" i="47"/>
  <c r="AM70" i="47"/>
  <c r="AM69" i="47"/>
  <c r="AM68" i="47"/>
  <c r="AM67" i="47"/>
  <c r="AH71" i="47"/>
  <c r="AH70" i="47"/>
  <c r="AH69" i="47"/>
  <c r="AH68" i="47"/>
  <c r="AH67" i="47"/>
  <c r="AC71" i="47"/>
  <c r="AC70" i="47"/>
  <c r="AC69" i="47"/>
  <c r="AC68" i="47"/>
  <c r="AC67" i="47"/>
  <c r="X71" i="47"/>
  <c r="X70" i="47"/>
  <c r="X69" i="47"/>
  <c r="X68" i="47"/>
  <c r="X67" i="47"/>
  <c r="S68" i="47"/>
  <c r="S69" i="47"/>
  <c r="S70" i="47"/>
  <c r="S71" i="47"/>
  <c r="S67" i="47"/>
  <c r="M68" i="47"/>
  <c r="M69" i="47"/>
  <c r="M70" i="47"/>
  <c r="M71" i="47"/>
  <c r="M67" i="47"/>
  <c r="C1" i="47"/>
  <c r="AV71" i="47"/>
  <c r="AQ71" i="47"/>
  <c r="AL71" i="47"/>
  <c r="AG71" i="47"/>
  <c r="AB71" i="47"/>
  <c r="W71" i="47"/>
  <c r="R71" i="47"/>
  <c r="J71" i="47"/>
  <c r="I71" i="47"/>
  <c r="G71" i="47"/>
  <c r="AV70" i="47"/>
  <c r="AQ70" i="47"/>
  <c r="AL70" i="47"/>
  <c r="AG70" i="47"/>
  <c r="AB70" i="47"/>
  <c r="W70" i="47"/>
  <c r="R70" i="47"/>
  <c r="J70" i="47"/>
  <c r="I70" i="47"/>
  <c r="G70" i="47"/>
  <c r="AV69" i="47"/>
  <c r="AQ69" i="47"/>
  <c r="AL69" i="47"/>
  <c r="AG69" i="47"/>
  <c r="AB69" i="47"/>
  <c r="W69" i="47"/>
  <c r="R69" i="47"/>
  <c r="J69" i="47"/>
  <c r="I69" i="47"/>
  <c r="G69" i="47"/>
  <c r="AV68" i="47"/>
  <c r="K68" i="47" s="1"/>
  <c r="AQ68" i="47"/>
  <c r="AL68" i="47"/>
  <c r="AG68" i="47"/>
  <c r="AB68" i="47"/>
  <c r="W68" i="47"/>
  <c r="R68" i="47"/>
  <c r="J68" i="47"/>
  <c r="I68" i="47"/>
  <c r="G68" i="47"/>
  <c r="AV67" i="47"/>
  <c r="AS67" i="47"/>
  <c r="AQ67" i="47"/>
  <c r="AL67" i="47"/>
  <c r="AN67" i="47" s="1"/>
  <c r="AG67" i="47"/>
  <c r="AB67" i="47"/>
  <c r="AD67" i="47" s="1"/>
  <c r="W67" i="47"/>
  <c r="Y67" i="47" s="1"/>
  <c r="R67" i="47"/>
  <c r="T67" i="47" s="1"/>
  <c r="K67" i="47"/>
  <c r="J67" i="47"/>
  <c r="I67" i="47"/>
  <c r="G67" i="47"/>
  <c r="H67" i="47" s="1"/>
  <c r="C1" i="46"/>
  <c r="AW67" i="46"/>
  <c r="AR67" i="46"/>
  <c r="AM67" i="46"/>
  <c r="AH67" i="46"/>
  <c r="AC67" i="46"/>
  <c r="X67" i="46"/>
  <c r="S67" i="46"/>
  <c r="M67" i="46"/>
  <c r="AV67" i="46"/>
  <c r="AX67" i="46" s="1"/>
  <c r="AS67" i="46"/>
  <c r="AQ67" i="46"/>
  <c r="AL67" i="46"/>
  <c r="AN67" i="46" s="1"/>
  <c r="AG67" i="46"/>
  <c r="AI67" i="46" s="1"/>
  <c r="AB67" i="46"/>
  <c r="AD67" i="46" s="1"/>
  <c r="W67" i="46"/>
  <c r="K67" i="46" s="1"/>
  <c r="T67" i="46"/>
  <c r="R67" i="46"/>
  <c r="J67" i="46"/>
  <c r="I67" i="46"/>
  <c r="G67" i="46"/>
  <c r="H67" i="46" s="1"/>
  <c r="B34" i="39"/>
  <c r="B29" i="39"/>
  <c r="C1" i="45"/>
  <c r="AW69" i="45"/>
  <c r="AW68" i="45"/>
  <c r="AW67" i="45"/>
  <c r="AR69" i="45"/>
  <c r="AR68" i="45"/>
  <c r="AR67" i="45"/>
  <c r="AM69" i="45"/>
  <c r="AM68" i="45"/>
  <c r="AM67" i="45"/>
  <c r="AH69" i="45"/>
  <c r="AH68" i="45"/>
  <c r="AH67" i="45"/>
  <c r="AC69" i="45"/>
  <c r="AC68" i="45"/>
  <c r="AC67" i="45"/>
  <c r="X69" i="45"/>
  <c r="X68" i="45"/>
  <c r="X67" i="45"/>
  <c r="S68" i="45"/>
  <c r="S69" i="45"/>
  <c r="S67" i="45"/>
  <c r="M68" i="45"/>
  <c r="M69" i="45"/>
  <c r="M67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K68" i="45"/>
  <c r="J68" i="45"/>
  <c r="I68" i="45"/>
  <c r="G68" i="45"/>
  <c r="AX67" i="45"/>
  <c r="AV67" i="45"/>
  <c r="AQ67" i="45"/>
  <c r="AS67" i="45" s="1"/>
  <c r="AL67" i="45"/>
  <c r="AI67" i="45"/>
  <c r="AG67" i="45"/>
  <c r="AB67" i="45"/>
  <c r="Y67" i="45"/>
  <c r="W67" i="45"/>
  <c r="R67" i="45"/>
  <c r="K67" i="45" s="1"/>
  <c r="J67" i="45"/>
  <c r="I67" i="45"/>
  <c r="G67" i="45"/>
  <c r="H67" i="45" s="1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C1" i="44"/>
  <c r="AW161" i="44"/>
  <c r="AW160" i="44"/>
  <c r="AW159" i="44"/>
  <c r="AW157" i="44"/>
  <c r="AW156" i="44"/>
  <c r="AW155" i="44"/>
  <c r="AW154" i="44"/>
  <c r="AW153" i="44"/>
  <c r="AW152" i="44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R161" i="44"/>
  <c r="AR160" i="44"/>
  <c r="AR159" i="44"/>
  <c r="AR158" i="44"/>
  <c r="AR157" i="44"/>
  <c r="AR156" i="44"/>
  <c r="AR155" i="44"/>
  <c r="AR154" i="44"/>
  <c r="AR153" i="44"/>
  <c r="AR152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M161" i="44"/>
  <c r="AM160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H161" i="44"/>
  <c r="AH160" i="44"/>
  <c r="AH159" i="44"/>
  <c r="AH158" i="44"/>
  <c r="AH157" i="44"/>
  <c r="AH156" i="44"/>
  <c r="AH155" i="44"/>
  <c r="AH154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C161" i="44"/>
  <c r="AC160" i="44"/>
  <c r="AC159" i="44"/>
  <c r="AC158" i="44"/>
  <c r="AC157" i="44"/>
  <c r="AC156" i="44"/>
  <c r="AC155" i="44"/>
  <c r="AC154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X161" i="44"/>
  <c r="X160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60" i="44"/>
  <c r="S161" i="44"/>
  <c r="S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61" i="44"/>
  <c r="M127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K160" i="44" s="1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Q158" i="44"/>
  <c r="AL158" i="44"/>
  <c r="AG158" i="44"/>
  <c r="AB158" i="44"/>
  <c r="W158" i="44"/>
  <c r="R158" i="44"/>
  <c r="K158" i="44"/>
  <c r="J158" i="44"/>
  <c r="I158" i="44"/>
  <c r="G158" i="44"/>
  <c r="AV157" i="44"/>
  <c r="AQ157" i="44"/>
  <c r="AL157" i="44"/>
  <c r="AG157" i="44"/>
  <c r="AB157" i="44"/>
  <c r="W157" i="44"/>
  <c r="R157" i="44"/>
  <c r="K157" i="44"/>
  <c r="J157" i="44"/>
  <c r="I157" i="44"/>
  <c r="G157" i="44"/>
  <c r="AV156" i="44"/>
  <c r="AQ156" i="44"/>
  <c r="AL156" i="44"/>
  <c r="AG156" i="44"/>
  <c r="AB156" i="44"/>
  <c r="W156" i="44"/>
  <c r="R156" i="44"/>
  <c r="K156" i="44"/>
  <c r="J156" i="44"/>
  <c r="I156" i="44"/>
  <c r="G156" i="44"/>
  <c r="AV155" i="44"/>
  <c r="AQ155" i="44"/>
  <c r="AL155" i="44"/>
  <c r="AG155" i="44"/>
  <c r="AB155" i="44"/>
  <c r="W155" i="44"/>
  <c r="R155" i="44"/>
  <c r="K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K153" i="44" s="1"/>
  <c r="AB153" i="44"/>
  <c r="W153" i="44"/>
  <c r="R153" i="44"/>
  <c r="J153" i="44"/>
  <c r="I153" i="44"/>
  <c r="G153" i="44"/>
  <c r="AV152" i="44"/>
  <c r="K152" i="44" s="1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K151" i="44" s="1"/>
  <c r="W151" i="44"/>
  <c r="R151" i="44"/>
  <c r="J151" i="44"/>
  <c r="I151" i="44"/>
  <c r="G151" i="44"/>
  <c r="AV150" i="44"/>
  <c r="AQ150" i="44"/>
  <c r="AL150" i="44"/>
  <c r="AG150" i="44"/>
  <c r="AB150" i="44"/>
  <c r="W150" i="44"/>
  <c r="K150" i="44" s="1"/>
  <c r="R150" i="44"/>
  <c r="J150" i="44"/>
  <c r="I150" i="44"/>
  <c r="G150" i="44"/>
  <c r="AV149" i="44"/>
  <c r="AQ149" i="44"/>
  <c r="AL149" i="44"/>
  <c r="AG149" i="44"/>
  <c r="AB149" i="44"/>
  <c r="W149" i="44"/>
  <c r="R149" i="44"/>
  <c r="K149" i="44" s="1"/>
  <c r="J149" i="44"/>
  <c r="I149" i="44"/>
  <c r="G149" i="44"/>
  <c r="AV148" i="44"/>
  <c r="AQ148" i="44"/>
  <c r="AL148" i="44"/>
  <c r="AG148" i="44"/>
  <c r="AB148" i="44"/>
  <c r="W148" i="44"/>
  <c r="R148" i="44"/>
  <c r="K148" i="44" s="1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K146" i="44" s="1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K144" i="44" s="1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K142" i="44" s="1"/>
  <c r="R142" i="44"/>
  <c r="J142" i="44"/>
  <c r="I142" i="44"/>
  <c r="G142" i="44"/>
  <c r="AV141" i="44"/>
  <c r="AQ141" i="44"/>
  <c r="AL141" i="44"/>
  <c r="AG141" i="44"/>
  <c r="AB141" i="44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K140" i="44" s="1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K138" i="44"/>
  <c r="J138" i="44"/>
  <c r="I138" i="44"/>
  <c r="G138" i="44"/>
  <c r="AV137" i="44"/>
  <c r="AQ137" i="44"/>
  <c r="AL137" i="44"/>
  <c r="AG137" i="44"/>
  <c r="AB137" i="44"/>
  <c r="W137" i="44"/>
  <c r="R137" i="44"/>
  <c r="K137" i="44"/>
  <c r="J137" i="44"/>
  <c r="I137" i="44"/>
  <c r="G137" i="44"/>
  <c r="AV136" i="44"/>
  <c r="AQ136" i="44"/>
  <c r="AL136" i="44"/>
  <c r="AG136" i="44"/>
  <c r="AB136" i="44"/>
  <c r="W136" i="44"/>
  <c r="R136" i="44"/>
  <c r="K136" i="44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H127" i="44" s="1"/>
  <c r="AV133" i="44"/>
  <c r="AQ133" i="44"/>
  <c r="AL133" i="44"/>
  <c r="AG133" i="44"/>
  <c r="K133" i="44" s="1"/>
  <c r="AB133" i="44"/>
  <c r="W133" i="44"/>
  <c r="R133" i="44"/>
  <c r="J133" i="44"/>
  <c r="I133" i="44"/>
  <c r="G133" i="44"/>
  <c r="AV132" i="44"/>
  <c r="K132" i="44" s="1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K131" i="44" s="1"/>
  <c r="W131" i="44"/>
  <c r="R131" i="44"/>
  <c r="J131" i="44"/>
  <c r="I131" i="44"/>
  <c r="G131" i="44"/>
  <c r="AV130" i="44"/>
  <c r="AQ130" i="44"/>
  <c r="AL130" i="44"/>
  <c r="AG130" i="44"/>
  <c r="AB130" i="44"/>
  <c r="W130" i="44"/>
  <c r="K130" i="44" s="1"/>
  <c r="R130" i="44"/>
  <c r="J130" i="44"/>
  <c r="I130" i="44"/>
  <c r="G130" i="44"/>
  <c r="AV129" i="44"/>
  <c r="AX127" i="44" s="1"/>
  <c r="AQ129" i="44"/>
  <c r="AL129" i="44"/>
  <c r="AG129" i="44"/>
  <c r="AB129" i="44"/>
  <c r="W129" i="44"/>
  <c r="R129" i="44"/>
  <c r="K129" i="44" s="1"/>
  <c r="J129" i="44"/>
  <c r="I129" i="44"/>
  <c r="G129" i="44"/>
  <c r="AV128" i="44"/>
  <c r="AQ128" i="44"/>
  <c r="AL128" i="44"/>
  <c r="AG128" i="44"/>
  <c r="AB128" i="44"/>
  <c r="W128" i="44"/>
  <c r="Y127" i="44" s="1"/>
  <c r="R128" i="44"/>
  <c r="K128" i="44" s="1"/>
  <c r="J128" i="44"/>
  <c r="I128" i="44"/>
  <c r="G128" i="44"/>
  <c r="AV127" i="44"/>
  <c r="AQ127" i="44"/>
  <c r="AS127" i="44" s="1"/>
  <c r="AL127" i="44"/>
  <c r="AG127" i="44"/>
  <c r="AI127" i="44" s="1"/>
  <c r="AB127" i="44"/>
  <c r="W127" i="44"/>
  <c r="R127" i="44"/>
  <c r="T127" i="44" s="1"/>
  <c r="J127" i="44"/>
  <c r="I127" i="44"/>
  <c r="G127" i="44"/>
  <c r="D28" i="6"/>
  <c r="D29" i="6"/>
  <c r="D30" i="6" s="1"/>
  <c r="D31" i="6" s="1"/>
  <c r="D32" i="6" s="1"/>
  <c r="D33" i="6" s="1"/>
  <c r="D34" i="6" s="1"/>
  <c r="B28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H10" i="7"/>
  <c r="B28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U27" i="5"/>
  <c r="U28" i="5"/>
  <c r="U29" i="5"/>
  <c r="U30" i="5"/>
  <c r="U31" i="5"/>
  <c r="U32" i="5"/>
  <c r="U26" i="5"/>
  <c r="D7" i="56" l="1"/>
  <c r="G18" i="56"/>
  <c r="H18" i="56"/>
  <c r="F7" i="56"/>
  <c r="F11" i="56"/>
  <c r="D15" i="56"/>
  <c r="F2" i="56"/>
  <c r="H2" i="56" s="1"/>
  <c r="D25" i="56"/>
  <c r="F25" i="56"/>
  <c r="L67" i="52"/>
  <c r="B36" i="39" s="1"/>
  <c r="Y67" i="52"/>
  <c r="AI67" i="51"/>
  <c r="K67" i="51"/>
  <c r="AS67" i="51"/>
  <c r="K71" i="51"/>
  <c r="K69" i="51"/>
  <c r="K72" i="51"/>
  <c r="K70" i="51"/>
  <c r="K68" i="51"/>
  <c r="AN67" i="51"/>
  <c r="U62" i="50"/>
  <c r="AN67" i="49"/>
  <c r="K76" i="49"/>
  <c r="K75" i="49"/>
  <c r="K70" i="49"/>
  <c r="K69" i="49"/>
  <c r="K68" i="49"/>
  <c r="K73" i="48"/>
  <c r="T67" i="48"/>
  <c r="K69" i="48"/>
  <c r="K68" i="48"/>
  <c r="AD67" i="48"/>
  <c r="K67" i="48"/>
  <c r="AN67" i="48"/>
  <c r="AX67" i="47"/>
  <c r="K71" i="47"/>
  <c r="K70" i="47"/>
  <c r="K69" i="47"/>
  <c r="AI67" i="47"/>
  <c r="L67" i="46"/>
  <c r="B30" i="39" s="1"/>
  <c r="Y67" i="46"/>
  <c r="T67" i="45"/>
  <c r="K69" i="45"/>
  <c r="AD67" i="45"/>
  <c r="AN67" i="45"/>
  <c r="K147" i="44"/>
  <c r="K145" i="44"/>
  <c r="AD127" i="44"/>
  <c r="K143" i="44"/>
  <c r="K161" i="44"/>
  <c r="K141" i="44"/>
  <c r="K159" i="44"/>
  <c r="K139" i="44"/>
  <c r="AN127" i="44"/>
  <c r="K127" i="44"/>
  <c r="K134" i="44"/>
  <c r="K154" i="44"/>
  <c r="AD29" i="6"/>
  <c r="AD33" i="6"/>
  <c r="N34" i="6"/>
  <c r="AD34" i="6"/>
  <c r="F28" i="6"/>
  <c r="F29" i="6"/>
  <c r="F30" i="6"/>
  <c r="F31" i="6"/>
  <c r="F32" i="6"/>
  <c r="F33" i="6"/>
  <c r="F34" i="6"/>
  <c r="T33" i="7"/>
  <c r="F28" i="7"/>
  <c r="F29" i="7"/>
  <c r="F30" i="7"/>
  <c r="F31" i="7"/>
  <c r="T31" i="7" s="1"/>
  <c r="F32" i="7"/>
  <c r="F33" i="7"/>
  <c r="F34" i="7"/>
  <c r="L67" i="51" l="1"/>
  <c r="B35" i="39" s="1"/>
  <c r="U63" i="50"/>
  <c r="Z62" i="50"/>
  <c r="L67" i="49"/>
  <c r="B33" i="39" s="1"/>
  <c r="L67" i="48"/>
  <c r="B32" i="39" s="1"/>
  <c r="L67" i="47"/>
  <c r="B31" i="39" s="1"/>
  <c r="L67" i="45"/>
  <c r="L127" i="44"/>
  <c r="AL33" i="6"/>
  <c r="L33" i="6"/>
  <c r="J33" i="6"/>
  <c r="AJ33" i="6"/>
  <c r="AH33" i="6"/>
  <c r="V33" i="6"/>
  <c r="T33" i="6"/>
  <c r="AF33" i="6"/>
  <c r="AB33" i="6"/>
  <c r="Z33" i="6"/>
  <c r="X33" i="6"/>
  <c r="R33" i="6"/>
  <c r="P33" i="6"/>
  <c r="AL32" i="6"/>
  <c r="AJ32" i="6"/>
  <c r="T32" i="6"/>
  <c r="AH32" i="6"/>
  <c r="AF32" i="6"/>
  <c r="AB32" i="6"/>
  <c r="V32" i="6"/>
  <c r="Z32" i="6"/>
  <c r="X32" i="6"/>
  <c r="L32" i="6"/>
  <c r="J32" i="6"/>
  <c r="R32" i="6"/>
  <c r="P32" i="6"/>
  <c r="AL31" i="6"/>
  <c r="T31" i="6"/>
  <c r="AJ31" i="6"/>
  <c r="AH31" i="6"/>
  <c r="AF31" i="6"/>
  <c r="V31" i="6"/>
  <c r="AB31" i="6"/>
  <c r="Z31" i="6"/>
  <c r="X31" i="6"/>
  <c r="R31" i="6"/>
  <c r="P31" i="6"/>
  <c r="L31" i="6"/>
  <c r="J31" i="6"/>
  <c r="AL30" i="6"/>
  <c r="AJ30" i="6"/>
  <c r="V30" i="6"/>
  <c r="L30" i="6"/>
  <c r="J30" i="6"/>
  <c r="AH30" i="6"/>
  <c r="AF30" i="6"/>
  <c r="AB30" i="6"/>
  <c r="T30" i="6"/>
  <c r="Z30" i="6"/>
  <c r="X30" i="6"/>
  <c r="R30" i="6"/>
  <c r="P30" i="6"/>
  <c r="AL29" i="6"/>
  <c r="V29" i="6"/>
  <c r="AJ29" i="6"/>
  <c r="AH29" i="6"/>
  <c r="AF29" i="6"/>
  <c r="AB29" i="6"/>
  <c r="Z29" i="6"/>
  <c r="X29" i="6"/>
  <c r="T29" i="6"/>
  <c r="J29" i="6"/>
  <c r="R29" i="6"/>
  <c r="P29" i="6"/>
  <c r="L29" i="6"/>
  <c r="AL28" i="6"/>
  <c r="AJ28" i="6"/>
  <c r="AH28" i="6"/>
  <c r="AF28" i="6"/>
  <c r="AB28" i="6"/>
  <c r="Z28" i="6"/>
  <c r="X28" i="6"/>
  <c r="V28" i="6"/>
  <c r="T28" i="6"/>
  <c r="L28" i="6"/>
  <c r="R28" i="6"/>
  <c r="P28" i="6"/>
  <c r="J28" i="6"/>
  <c r="G28" i="6"/>
  <c r="N28" i="6"/>
  <c r="N33" i="6"/>
  <c r="AD32" i="6"/>
  <c r="N32" i="6"/>
  <c r="AD31" i="6"/>
  <c r="N31" i="6"/>
  <c r="AD30" i="6"/>
  <c r="N30" i="6"/>
  <c r="N29" i="6"/>
  <c r="AL34" i="6"/>
  <c r="AJ34" i="6"/>
  <c r="AH34" i="6"/>
  <c r="L34" i="6"/>
  <c r="J34" i="6"/>
  <c r="AF34" i="6"/>
  <c r="AB34" i="6"/>
  <c r="Z34" i="6"/>
  <c r="X34" i="6"/>
  <c r="V34" i="6"/>
  <c r="T34" i="6"/>
  <c r="R34" i="6"/>
  <c r="P34" i="6"/>
  <c r="AD28" i="6"/>
  <c r="AL34" i="7"/>
  <c r="AD34" i="7"/>
  <c r="P34" i="7"/>
  <c r="AJ34" i="7"/>
  <c r="AH34" i="7"/>
  <c r="AF34" i="7"/>
  <c r="AB34" i="7"/>
  <c r="Z34" i="7"/>
  <c r="X34" i="7"/>
  <c r="V34" i="7"/>
  <c r="R34" i="7"/>
  <c r="N34" i="7"/>
  <c r="L34" i="7"/>
  <c r="J34" i="7"/>
  <c r="AL33" i="7"/>
  <c r="AJ33" i="7"/>
  <c r="AH33" i="7"/>
  <c r="AD33" i="7"/>
  <c r="AF33" i="7"/>
  <c r="R33" i="7"/>
  <c r="AB33" i="7"/>
  <c r="Z33" i="7"/>
  <c r="X33" i="7"/>
  <c r="V33" i="7"/>
  <c r="N33" i="7"/>
  <c r="L33" i="7"/>
  <c r="J33" i="7"/>
  <c r="P33" i="7"/>
  <c r="AL32" i="7"/>
  <c r="AJ32" i="7"/>
  <c r="AD32" i="7"/>
  <c r="R32" i="7"/>
  <c r="AH32" i="7"/>
  <c r="AF32" i="7"/>
  <c r="AB32" i="7"/>
  <c r="Z32" i="7"/>
  <c r="X32" i="7"/>
  <c r="V32" i="7"/>
  <c r="P32" i="7"/>
  <c r="N32" i="7"/>
  <c r="L32" i="7"/>
  <c r="J32" i="7"/>
  <c r="AL30" i="7"/>
  <c r="AJ30" i="7"/>
  <c r="AH30" i="7"/>
  <c r="AF30" i="7"/>
  <c r="AB30" i="7"/>
  <c r="Z30" i="7"/>
  <c r="X30" i="7"/>
  <c r="V30" i="7"/>
  <c r="N30" i="7"/>
  <c r="L30" i="7"/>
  <c r="J30" i="7"/>
  <c r="R30" i="7"/>
  <c r="P30" i="7"/>
  <c r="AL29" i="7"/>
  <c r="AJ29" i="7"/>
  <c r="AH29" i="7"/>
  <c r="AF29" i="7"/>
  <c r="AB29" i="7"/>
  <c r="Z29" i="7"/>
  <c r="X29" i="7"/>
  <c r="R29" i="7"/>
  <c r="V29" i="7"/>
  <c r="P29" i="7"/>
  <c r="N29" i="7"/>
  <c r="L29" i="7"/>
  <c r="J29" i="7"/>
  <c r="AL28" i="7"/>
  <c r="AJ28" i="7"/>
  <c r="AH28" i="7"/>
  <c r="AF28" i="7"/>
  <c r="AB28" i="7"/>
  <c r="Z28" i="7"/>
  <c r="X28" i="7"/>
  <c r="P28" i="7"/>
  <c r="V28" i="7"/>
  <c r="N28" i="7"/>
  <c r="L28" i="7"/>
  <c r="J28" i="7"/>
  <c r="G28" i="7"/>
  <c r="R28" i="7"/>
  <c r="T28" i="7"/>
  <c r="T34" i="7"/>
  <c r="T32" i="7"/>
  <c r="AD30" i="7"/>
  <c r="T30" i="7"/>
  <c r="AL31" i="7"/>
  <c r="R31" i="7"/>
  <c r="AJ31" i="7"/>
  <c r="P31" i="7"/>
  <c r="AH31" i="7"/>
  <c r="AF31" i="7"/>
  <c r="AD31" i="7"/>
  <c r="AB31" i="7"/>
  <c r="Z31" i="7"/>
  <c r="X31" i="7"/>
  <c r="V31" i="7"/>
  <c r="N31" i="7"/>
  <c r="L31" i="7"/>
  <c r="J31" i="7"/>
  <c r="T29" i="7"/>
  <c r="AD29" i="7"/>
  <c r="AD28" i="7"/>
  <c r="Z63" i="50" l="1"/>
  <c r="AE62" i="50"/>
  <c r="AE63" i="50" l="1"/>
  <c r="AJ62" i="50"/>
  <c r="AJ63" i="50" l="1"/>
  <c r="AO62" i="50"/>
  <c r="AO63" i="50" l="1"/>
  <c r="AT62" i="50"/>
  <c r="AT63" i="50" s="1"/>
  <c r="B86" i="25" l="1"/>
  <c r="A86" i="25"/>
  <c r="J105" i="23"/>
  <c r="J102" i="23"/>
  <c r="I11" i="39"/>
  <c r="M113" i="62"/>
  <c r="M112" i="62"/>
  <c r="M111" i="62"/>
  <c r="M110" i="62"/>
  <c r="M109" i="62"/>
  <c r="M114" i="62" s="1"/>
  <c r="M105" i="62"/>
  <c r="M104" i="62"/>
  <c r="M103" i="62"/>
  <c r="M102" i="62"/>
  <c r="M101" i="62"/>
  <c r="M106" i="62" s="1"/>
  <c r="M97" i="62"/>
  <c r="M96" i="62"/>
  <c r="M95" i="62"/>
  <c r="M94" i="62"/>
  <c r="M98" i="62" s="1"/>
  <c r="M93" i="62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70" i="62" s="1"/>
  <c r="M65" i="62"/>
  <c r="M143" i="20"/>
  <c r="M142" i="20"/>
  <c r="M146" i="20" s="1"/>
  <c r="M141" i="20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114" i="19"/>
  <c r="M113" i="19"/>
  <c r="M112" i="19"/>
  <c r="M111" i="19"/>
  <c r="M110" i="19"/>
  <c r="M109" i="19"/>
  <c r="M105" i="19"/>
  <c r="M104" i="19"/>
  <c r="M103" i="19"/>
  <c r="M102" i="19"/>
  <c r="M101" i="19"/>
  <c r="M106" i="19" s="1"/>
  <c r="M97" i="19"/>
  <c r="M96" i="19"/>
  <c r="M95" i="19"/>
  <c r="M94" i="19"/>
  <c r="M93" i="19"/>
  <c r="M98" i="19" s="1"/>
  <c r="M81" i="19"/>
  <c r="M82" i="19"/>
  <c r="M83" i="19"/>
  <c r="M84" i="19"/>
  <c r="M85" i="19"/>
  <c r="M86" i="19"/>
  <c r="M77" i="19"/>
  <c r="M76" i="19"/>
  <c r="M75" i="19"/>
  <c r="M74" i="19"/>
  <c r="M73" i="19"/>
  <c r="M78" i="19" s="1"/>
  <c r="M69" i="19"/>
  <c r="M68" i="19"/>
  <c r="M67" i="19"/>
  <c r="M66" i="19"/>
  <c r="M65" i="19"/>
  <c r="M86" i="62" l="1"/>
  <c r="M70" i="19"/>
  <c r="L47" i="51" l="1"/>
  <c r="L27" i="51"/>
  <c r="L7" i="49"/>
  <c r="L27" i="49"/>
  <c r="J60" i="25"/>
  <c r="J75" i="24"/>
  <c r="J74" i="24"/>
  <c r="J73" i="24"/>
  <c r="J72" i="24"/>
  <c r="J71" i="24"/>
  <c r="J80" i="23"/>
  <c r="J79" i="23"/>
  <c r="J78" i="23"/>
  <c r="J77" i="23"/>
  <c r="J76" i="23"/>
  <c r="J75" i="23"/>
  <c r="J74" i="23"/>
  <c r="J73" i="23"/>
  <c r="J71" i="23"/>
  <c r="J63" i="23"/>
  <c r="J67" i="23"/>
  <c r="J66" i="23"/>
  <c r="J65" i="23"/>
  <c r="J64" i="23"/>
  <c r="J62" i="23"/>
  <c r="J61" i="23"/>
  <c r="J60" i="23"/>
  <c r="J72" i="22"/>
  <c r="J71" i="22"/>
  <c r="J60" i="22"/>
  <c r="J73" i="15"/>
  <c r="J72" i="15"/>
  <c r="J71" i="15"/>
  <c r="J69" i="15"/>
  <c r="J68" i="15"/>
  <c r="J67" i="15"/>
  <c r="J66" i="15"/>
  <c r="J65" i="15"/>
  <c r="J64" i="15"/>
  <c r="J63" i="15"/>
  <c r="J62" i="15"/>
  <c r="J60" i="15"/>
  <c r="AW47" i="52"/>
  <c r="AR47" i="52"/>
  <c r="AM47" i="52"/>
  <c r="AH47" i="52"/>
  <c r="AC47" i="52"/>
  <c r="X47" i="52"/>
  <c r="S47" i="52"/>
  <c r="M47" i="52"/>
  <c r="AX47" i="52"/>
  <c r="AV47" i="52"/>
  <c r="AQ47" i="52"/>
  <c r="AS47" i="52" s="1"/>
  <c r="AL47" i="52"/>
  <c r="K47" i="52" s="1"/>
  <c r="AI47" i="52"/>
  <c r="AG47" i="52"/>
  <c r="AD47" i="52"/>
  <c r="AB47" i="52"/>
  <c r="Y47" i="52"/>
  <c r="W47" i="52"/>
  <c r="R47" i="52"/>
  <c r="T47" i="52" s="1"/>
  <c r="J47" i="52"/>
  <c r="I47" i="52"/>
  <c r="G47" i="52"/>
  <c r="H47" i="52" s="1"/>
  <c r="AW51" i="51"/>
  <c r="AW50" i="51"/>
  <c r="AW49" i="51"/>
  <c r="AW48" i="51"/>
  <c r="AW47" i="51"/>
  <c r="AR51" i="51"/>
  <c r="AR50" i="51"/>
  <c r="AR49" i="51"/>
  <c r="AR48" i="51"/>
  <c r="AR47" i="51"/>
  <c r="AM51" i="51"/>
  <c r="AM50" i="51"/>
  <c r="AM49" i="51"/>
  <c r="AM48" i="51"/>
  <c r="AM47" i="51"/>
  <c r="AH51" i="51"/>
  <c r="AH50" i="51"/>
  <c r="AH49" i="51"/>
  <c r="AH48" i="51"/>
  <c r="AH47" i="51"/>
  <c r="AC51" i="51"/>
  <c r="AC50" i="51"/>
  <c r="AC49" i="51"/>
  <c r="AC48" i="51"/>
  <c r="AC47" i="51"/>
  <c r="X51" i="51"/>
  <c r="X50" i="51"/>
  <c r="X49" i="51"/>
  <c r="X48" i="51"/>
  <c r="X47" i="51"/>
  <c r="S48" i="51"/>
  <c r="S49" i="51"/>
  <c r="S50" i="51"/>
  <c r="S51" i="51"/>
  <c r="S47" i="51"/>
  <c r="M48" i="51"/>
  <c r="M49" i="51"/>
  <c r="M50" i="51"/>
  <c r="M51" i="51"/>
  <c r="M47" i="51"/>
  <c r="AV51" i="51"/>
  <c r="AQ51" i="51"/>
  <c r="AL51" i="51"/>
  <c r="AG51" i="51"/>
  <c r="AB51" i="51"/>
  <c r="W51" i="51"/>
  <c r="R51" i="51"/>
  <c r="K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X47" i="51"/>
  <c r="AV47" i="51"/>
  <c r="AQ47" i="51"/>
  <c r="AN47" i="51"/>
  <c r="AL47" i="51"/>
  <c r="AG47" i="51"/>
  <c r="AB47" i="51"/>
  <c r="AD47" i="51" s="1"/>
  <c r="W47" i="51"/>
  <c r="Y47" i="51" s="1"/>
  <c r="T47" i="51"/>
  <c r="R47" i="51"/>
  <c r="J47" i="51"/>
  <c r="I47" i="51"/>
  <c r="H47" i="51"/>
  <c r="G47" i="51"/>
  <c r="P42" i="50"/>
  <c r="P43" i="50" s="1"/>
  <c r="AW56" i="49"/>
  <c r="AW55" i="49"/>
  <c r="AW54" i="49"/>
  <c r="AW53" i="49"/>
  <c r="AW52" i="49"/>
  <c r="AW51" i="49"/>
  <c r="AW50" i="49"/>
  <c r="AW49" i="49"/>
  <c r="AW48" i="49"/>
  <c r="AW47" i="49"/>
  <c r="AR56" i="49"/>
  <c r="AR55" i="49"/>
  <c r="AR54" i="49"/>
  <c r="AR53" i="49"/>
  <c r="AR52" i="49"/>
  <c r="AR51" i="49"/>
  <c r="AR50" i="49"/>
  <c r="AR49" i="49"/>
  <c r="AR48" i="49"/>
  <c r="AR47" i="49"/>
  <c r="AM56" i="49"/>
  <c r="AM55" i="49"/>
  <c r="AM54" i="49"/>
  <c r="AM53" i="49"/>
  <c r="AM52" i="49"/>
  <c r="AM51" i="49"/>
  <c r="AM50" i="49"/>
  <c r="AM49" i="49"/>
  <c r="AM48" i="49"/>
  <c r="AM47" i="49"/>
  <c r="AH56" i="49"/>
  <c r="AH55" i="49"/>
  <c r="AH54" i="49"/>
  <c r="AH53" i="49"/>
  <c r="AH52" i="49"/>
  <c r="AH51" i="49"/>
  <c r="AH50" i="49"/>
  <c r="AH49" i="49"/>
  <c r="AH48" i="49"/>
  <c r="AH47" i="49"/>
  <c r="AC56" i="49"/>
  <c r="AC55" i="49"/>
  <c r="AC54" i="49"/>
  <c r="AC53" i="49"/>
  <c r="AC52" i="49"/>
  <c r="AC51" i="49"/>
  <c r="AC50" i="49"/>
  <c r="AC49" i="49"/>
  <c r="AC48" i="49"/>
  <c r="AC47" i="49"/>
  <c r="X56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56" i="49"/>
  <c r="S47" i="49"/>
  <c r="M48" i="49"/>
  <c r="M49" i="49"/>
  <c r="M50" i="49"/>
  <c r="M51" i="49"/>
  <c r="M52" i="49"/>
  <c r="M53" i="49"/>
  <c r="M54" i="49"/>
  <c r="M55" i="49"/>
  <c r="M56" i="49"/>
  <c r="M47" i="49"/>
  <c r="AV56" i="49"/>
  <c r="AQ56" i="49"/>
  <c r="AL56" i="49"/>
  <c r="AG56" i="49"/>
  <c r="AB56" i="49"/>
  <c r="W56" i="49"/>
  <c r="R56" i="49"/>
  <c r="K56" i="49"/>
  <c r="J56" i="49"/>
  <c r="I56" i="49"/>
  <c r="G56" i="49"/>
  <c r="AV55" i="49"/>
  <c r="AQ55" i="49"/>
  <c r="AL55" i="49"/>
  <c r="AG55" i="49"/>
  <c r="AB55" i="49"/>
  <c r="W55" i="49"/>
  <c r="R55" i="49"/>
  <c r="K55" i="49"/>
  <c r="J55" i="49"/>
  <c r="I55" i="49"/>
  <c r="G55" i="49"/>
  <c r="AV54" i="49"/>
  <c r="K54" i="49" s="1"/>
  <c r="AQ54" i="49"/>
  <c r="AL54" i="49"/>
  <c r="AG54" i="49"/>
  <c r="AB54" i="49"/>
  <c r="W54" i="49"/>
  <c r="R54" i="49"/>
  <c r="J54" i="49"/>
  <c r="I54" i="49"/>
  <c r="G54" i="49"/>
  <c r="AV53" i="49"/>
  <c r="K53" i="49" s="1"/>
  <c r="AQ53" i="49"/>
  <c r="AL53" i="49"/>
  <c r="AG53" i="49"/>
  <c r="AB53" i="49"/>
  <c r="W53" i="49"/>
  <c r="R53" i="49"/>
  <c r="J53" i="49"/>
  <c r="I53" i="49"/>
  <c r="G53" i="49"/>
  <c r="AV52" i="49"/>
  <c r="AQ52" i="49"/>
  <c r="K52" i="49" s="1"/>
  <c r="AL52" i="49"/>
  <c r="AG52" i="49"/>
  <c r="AB52" i="49"/>
  <c r="W52" i="49"/>
  <c r="R52" i="49"/>
  <c r="J52" i="49"/>
  <c r="I52" i="49"/>
  <c r="G52" i="49"/>
  <c r="AV51" i="49"/>
  <c r="AQ51" i="49"/>
  <c r="K51" i="49" s="1"/>
  <c r="AL51" i="49"/>
  <c r="AG51" i="49"/>
  <c r="AB51" i="49"/>
  <c r="W51" i="49"/>
  <c r="R51" i="49"/>
  <c r="J51" i="49"/>
  <c r="I51" i="49"/>
  <c r="G51" i="49"/>
  <c r="AV50" i="49"/>
  <c r="AQ50" i="49"/>
  <c r="AL50" i="49"/>
  <c r="K50" i="49" s="1"/>
  <c r="AG50" i="49"/>
  <c r="AB50" i="49"/>
  <c r="W50" i="49"/>
  <c r="R50" i="49"/>
  <c r="J50" i="49"/>
  <c r="I50" i="49"/>
  <c r="G50" i="49"/>
  <c r="AV49" i="49"/>
  <c r="AQ49" i="49"/>
  <c r="AL49" i="49"/>
  <c r="K49" i="49" s="1"/>
  <c r="AG49" i="49"/>
  <c r="AB49" i="49"/>
  <c r="W49" i="49"/>
  <c r="R49" i="49"/>
  <c r="J49" i="49"/>
  <c r="I49" i="49"/>
  <c r="G49" i="49"/>
  <c r="AV48" i="49"/>
  <c r="AQ48" i="49"/>
  <c r="AL48" i="49"/>
  <c r="AG48" i="49"/>
  <c r="K48" i="49" s="1"/>
  <c r="AB48" i="49"/>
  <c r="W48" i="49"/>
  <c r="R48" i="49"/>
  <c r="J48" i="49"/>
  <c r="I48" i="49"/>
  <c r="G48" i="49"/>
  <c r="AV47" i="49"/>
  <c r="AX47" i="49" s="1"/>
  <c r="AQ47" i="49"/>
  <c r="AS47" i="49" s="1"/>
  <c r="AL47" i="49"/>
  <c r="K47" i="49" s="1"/>
  <c r="AG47" i="49"/>
  <c r="AI47" i="49" s="1"/>
  <c r="AB47" i="49"/>
  <c r="AD47" i="49" s="1"/>
  <c r="W47" i="49"/>
  <c r="Y47" i="49" s="1"/>
  <c r="R47" i="49"/>
  <c r="T47" i="49" s="1"/>
  <c r="J47" i="49"/>
  <c r="I47" i="49"/>
  <c r="G47" i="49"/>
  <c r="H47" i="49" s="1"/>
  <c r="AW54" i="48"/>
  <c r="AW53" i="48"/>
  <c r="AW52" i="48"/>
  <c r="AW50" i="48"/>
  <c r="AW49" i="48"/>
  <c r="AW48" i="48"/>
  <c r="AW47" i="48"/>
  <c r="AR54" i="48"/>
  <c r="AR53" i="48"/>
  <c r="AR52" i="48"/>
  <c r="AR50" i="48"/>
  <c r="AR49" i="48"/>
  <c r="AR48" i="48"/>
  <c r="AR47" i="48"/>
  <c r="AM54" i="48"/>
  <c r="AM53" i="48"/>
  <c r="AM52" i="48"/>
  <c r="AM50" i="48"/>
  <c r="AM49" i="48"/>
  <c r="AM48" i="48"/>
  <c r="AM47" i="48"/>
  <c r="AH54" i="48"/>
  <c r="AH53" i="48"/>
  <c r="AH52" i="48"/>
  <c r="AH50" i="48"/>
  <c r="AH49" i="48"/>
  <c r="AH48" i="48"/>
  <c r="AH47" i="48"/>
  <c r="AC54" i="48"/>
  <c r="AC53" i="48"/>
  <c r="AC52" i="48"/>
  <c r="AC50" i="48"/>
  <c r="AC49" i="48"/>
  <c r="AC48" i="48"/>
  <c r="AC47" i="48"/>
  <c r="X54" i="48"/>
  <c r="X53" i="48"/>
  <c r="X52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M48" i="48"/>
  <c r="M49" i="48"/>
  <c r="M50" i="48"/>
  <c r="M51" i="48"/>
  <c r="M52" i="48"/>
  <c r="M53" i="48"/>
  <c r="M54" i="48"/>
  <c r="M47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K53" i="48"/>
  <c r="J53" i="48"/>
  <c r="I53" i="48"/>
  <c r="G53" i="48"/>
  <c r="AV52" i="48"/>
  <c r="AQ52" i="48"/>
  <c r="AL52" i="48"/>
  <c r="AG52" i="48"/>
  <c r="AB52" i="48"/>
  <c r="AD47" i="48" s="1"/>
  <c r="W52" i="48"/>
  <c r="R52" i="48"/>
  <c r="J52" i="48"/>
  <c r="I52" i="48"/>
  <c r="G52" i="48"/>
  <c r="R51" i="48"/>
  <c r="K51" i="48" s="1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N47" i="48"/>
  <c r="AL47" i="48"/>
  <c r="AG47" i="48"/>
  <c r="K47" i="48" s="1"/>
  <c r="AB47" i="48"/>
  <c r="W47" i="48"/>
  <c r="R47" i="48"/>
  <c r="J47" i="48"/>
  <c r="I47" i="48"/>
  <c r="H47" i="48"/>
  <c r="G47" i="48"/>
  <c r="AW50" i="47"/>
  <c r="AW49" i="47"/>
  <c r="AW48" i="47"/>
  <c r="AW47" i="47"/>
  <c r="AR50" i="47"/>
  <c r="AR49" i="47"/>
  <c r="AR48" i="47"/>
  <c r="AR47" i="47"/>
  <c r="AM50" i="47"/>
  <c r="AM49" i="47"/>
  <c r="AM48" i="47"/>
  <c r="AM47" i="47"/>
  <c r="AH50" i="47"/>
  <c r="AH49" i="47"/>
  <c r="AH48" i="47"/>
  <c r="AH47" i="47"/>
  <c r="AC50" i="47"/>
  <c r="AC49" i="47"/>
  <c r="AC48" i="47"/>
  <c r="AC47" i="47"/>
  <c r="X50" i="47"/>
  <c r="X49" i="47"/>
  <c r="X48" i="47"/>
  <c r="X47" i="47"/>
  <c r="S48" i="47"/>
  <c r="S49" i="47"/>
  <c r="S50" i="47"/>
  <c r="S47" i="47"/>
  <c r="M48" i="47"/>
  <c r="M49" i="47"/>
  <c r="M50" i="47"/>
  <c r="M47" i="47"/>
  <c r="AV50" i="47"/>
  <c r="AQ50" i="47"/>
  <c r="AS47" i="47" s="1"/>
  <c r="AL50" i="47"/>
  <c r="AG50" i="47"/>
  <c r="AB50" i="47"/>
  <c r="W50" i="47"/>
  <c r="R50" i="47"/>
  <c r="K50" i="47"/>
  <c r="J50" i="47"/>
  <c r="I50" i="47"/>
  <c r="G50" i="47"/>
  <c r="AV49" i="47"/>
  <c r="AQ49" i="47"/>
  <c r="AL49" i="47"/>
  <c r="AG49" i="47"/>
  <c r="AB49" i="47"/>
  <c r="W49" i="47"/>
  <c r="R49" i="47"/>
  <c r="K49" i="47"/>
  <c r="J49" i="47"/>
  <c r="I49" i="47"/>
  <c r="G49" i="47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AD47" i="47" s="1"/>
  <c r="W47" i="47"/>
  <c r="Y47" i="47" s="1"/>
  <c r="R47" i="47"/>
  <c r="K47" i="47" s="1"/>
  <c r="J47" i="47"/>
  <c r="I47" i="47"/>
  <c r="G47" i="47"/>
  <c r="H47" i="47" s="1"/>
  <c r="AW47" i="46"/>
  <c r="AM47" i="46"/>
  <c r="AH47" i="46"/>
  <c r="AC47" i="46"/>
  <c r="X47" i="46"/>
  <c r="S47" i="46"/>
  <c r="M47" i="46"/>
  <c r="AV47" i="46"/>
  <c r="AX47" i="46" s="1"/>
  <c r="AR47" i="46"/>
  <c r="AQ47" i="46"/>
  <c r="AS47" i="46" s="1"/>
  <c r="AL47" i="46"/>
  <c r="AN47" i="46" s="1"/>
  <c r="AG47" i="46"/>
  <c r="AI47" i="46" s="1"/>
  <c r="AB47" i="46"/>
  <c r="AD47" i="46" s="1"/>
  <c r="W47" i="46"/>
  <c r="K47" i="46" s="1"/>
  <c r="T47" i="46"/>
  <c r="R47" i="46"/>
  <c r="J47" i="46"/>
  <c r="I47" i="46"/>
  <c r="G47" i="46"/>
  <c r="H47" i="46" s="1"/>
  <c r="AW49" i="45"/>
  <c r="AW48" i="45"/>
  <c r="AW47" i="45"/>
  <c r="AR49" i="45"/>
  <c r="AR48" i="45"/>
  <c r="AR47" i="45"/>
  <c r="AM49" i="45"/>
  <c r="AM48" i="45"/>
  <c r="AM47" i="45"/>
  <c r="AH49" i="45"/>
  <c r="AH48" i="45"/>
  <c r="AH47" i="45"/>
  <c r="AC49" i="45"/>
  <c r="AC48" i="45"/>
  <c r="AC47" i="45"/>
  <c r="X49" i="45"/>
  <c r="X48" i="45"/>
  <c r="X47" i="45"/>
  <c r="S48" i="45"/>
  <c r="S49" i="45"/>
  <c r="S47" i="45"/>
  <c r="M48" i="45"/>
  <c r="M49" i="45"/>
  <c r="M47" i="45"/>
  <c r="AV49" i="45"/>
  <c r="AQ49" i="45"/>
  <c r="AL49" i="45"/>
  <c r="AG49" i="45"/>
  <c r="AB49" i="45"/>
  <c r="W49" i="45"/>
  <c r="R49" i="45"/>
  <c r="K49" i="45"/>
  <c r="J49" i="45"/>
  <c r="I49" i="45"/>
  <c r="G49" i="45"/>
  <c r="AV48" i="45"/>
  <c r="AQ48" i="45"/>
  <c r="AL48" i="45"/>
  <c r="AG48" i="45"/>
  <c r="AB48" i="45"/>
  <c r="W48" i="45"/>
  <c r="R48" i="45"/>
  <c r="K48" i="45"/>
  <c r="J48" i="45"/>
  <c r="I48" i="45"/>
  <c r="G48" i="45"/>
  <c r="AX47" i="45"/>
  <c r="AV47" i="45"/>
  <c r="AQ47" i="45"/>
  <c r="AS47" i="45" s="1"/>
  <c r="AL47" i="45"/>
  <c r="AG47" i="45"/>
  <c r="AI47" i="45" s="1"/>
  <c r="AB47" i="45"/>
  <c r="AD47" i="45" s="1"/>
  <c r="W47" i="45"/>
  <c r="Y47" i="45" s="1"/>
  <c r="R47" i="45"/>
  <c r="K47" i="45" s="1"/>
  <c r="J47" i="45"/>
  <c r="I47" i="45"/>
  <c r="G47" i="45"/>
  <c r="H47" i="45" s="1"/>
  <c r="AW120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R120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H120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C120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87" i="44"/>
  <c r="AV120" i="44"/>
  <c r="AQ120" i="44"/>
  <c r="AL120" i="44"/>
  <c r="AG120" i="44"/>
  <c r="AB120" i="44"/>
  <c r="W120" i="44"/>
  <c r="R120" i="44"/>
  <c r="K120" i="44"/>
  <c r="J120" i="44"/>
  <c r="I120" i="44"/>
  <c r="G120" i="44"/>
  <c r="AV119" i="44"/>
  <c r="AQ119" i="44"/>
  <c r="AL119" i="44"/>
  <c r="AG119" i="44"/>
  <c r="AB119" i="44"/>
  <c r="W119" i="44"/>
  <c r="R119" i="44"/>
  <c r="K119" i="44"/>
  <c r="J119" i="44"/>
  <c r="I119" i="44"/>
  <c r="G119" i="44"/>
  <c r="AV118" i="44"/>
  <c r="K118" i="44" s="1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K11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K109" i="44" s="1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K101" i="44"/>
  <c r="J101" i="44"/>
  <c r="I101" i="44"/>
  <c r="G101" i="44"/>
  <c r="AV100" i="44"/>
  <c r="AQ100" i="44"/>
  <c r="AL100" i="44"/>
  <c r="AG100" i="44"/>
  <c r="AB100" i="44"/>
  <c r="W100" i="44"/>
  <c r="R100" i="44"/>
  <c r="K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K98" i="44" s="1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K91" i="44" s="1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I87" i="44" s="1"/>
  <c r="AB89" i="44"/>
  <c r="W89" i="44"/>
  <c r="R89" i="44"/>
  <c r="J89" i="44"/>
  <c r="I89" i="44"/>
  <c r="G89" i="44"/>
  <c r="AV88" i="44"/>
  <c r="AQ88" i="44"/>
  <c r="AL88" i="44"/>
  <c r="AG88" i="44"/>
  <c r="AB88" i="44"/>
  <c r="AD87" i="44" s="1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H10" i="6"/>
  <c r="B21" i="6"/>
  <c r="B7" i="6"/>
  <c r="D21" i="6"/>
  <c r="D22" i="6"/>
  <c r="D23" i="6"/>
  <c r="D24" i="6"/>
  <c r="D25" i="6"/>
  <c r="D26" i="6" s="1"/>
  <c r="D27" i="6" s="1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AD21" i="6" s="1"/>
  <c r="S21" i="6"/>
  <c r="T21" i="6" s="1"/>
  <c r="M21" i="6"/>
  <c r="N21" i="6" s="1"/>
  <c r="F21" i="6"/>
  <c r="AL21" i="6" s="1"/>
  <c r="B21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U21" i="5"/>
  <c r="U22" i="5"/>
  <c r="U23" i="5"/>
  <c r="U24" i="5"/>
  <c r="U25" i="5"/>
  <c r="U20" i="5"/>
  <c r="U19" i="5"/>
  <c r="L47" i="52" l="1"/>
  <c r="AN47" i="52"/>
  <c r="K47" i="51"/>
  <c r="AS47" i="51"/>
  <c r="K50" i="51"/>
  <c r="K48" i="51"/>
  <c r="AI47" i="51"/>
  <c r="U42" i="50"/>
  <c r="L47" i="49"/>
  <c r="AN47" i="49"/>
  <c r="T47" i="48"/>
  <c r="K50" i="48"/>
  <c r="K49" i="48"/>
  <c r="K48" i="48"/>
  <c r="Y47" i="48"/>
  <c r="K54" i="48"/>
  <c r="AI47" i="48"/>
  <c r="K52" i="48"/>
  <c r="AS47" i="48"/>
  <c r="T47" i="47"/>
  <c r="AI47" i="47"/>
  <c r="AN47" i="47"/>
  <c r="K48" i="47"/>
  <c r="L47" i="46"/>
  <c r="Y47" i="46"/>
  <c r="L47" i="45"/>
  <c r="T47" i="45"/>
  <c r="AN47" i="45"/>
  <c r="K103" i="44"/>
  <c r="K106" i="44"/>
  <c r="K88" i="44"/>
  <c r="K102" i="44"/>
  <c r="K90" i="44"/>
  <c r="K108" i="44"/>
  <c r="H87" i="44"/>
  <c r="K107" i="44"/>
  <c r="AN87" i="44"/>
  <c r="AS87" i="44"/>
  <c r="K110" i="44"/>
  <c r="AX87" i="44"/>
  <c r="K89" i="44"/>
  <c r="K94" i="44"/>
  <c r="K114" i="44"/>
  <c r="K97" i="44"/>
  <c r="K117" i="44"/>
  <c r="K96" i="44"/>
  <c r="K116" i="44"/>
  <c r="K87" i="44"/>
  <c r="K95" i="44"/>
  <c r="K93" i="44"/>
  <c r="K113" i="44"/>
  <c r="K115" i="44"/>
  <c r="K92" i="44"/>
  <c r="K112" i="44"/>
  <c r="Y87" i="44"/>
  <c r="T87" i="44"/>
  <c r="J22" i="6"/>
  <c r="J23" i="6"/>
  <c r="J26" i="6"/>
  <c r="L26" i="6"/>
  <c r="P21" i="6"/>
  <c r="P22" i="6"/>
  <c r="P23" i="6"/>
  <c r="P24" i="6"/>
  <c r="P25" i="6"/>
  <c r="P27" i="6"/>
  <c r="R21" i="6"/>
  <c r="R22" i="6"/>
  <c r="R23" i="6"/>
  <c r="R24" i="6"/>
  <c r="R25" i="6"/>
  <c r="R26" i="6"/>
  <c r="R27" i="6"/>
  <c r="V21" i="6"/>
  <c r="V22" i="6"/>
  <c r="V23" i="6"/>
  <c r="V24" i="6"/>
  <c r="V25" i="6"/>
  <c r="V26" i="6"/>
  <c r="V27" i="6"/>
  <c r="P26" i="6"/>
  <c r="X21" i="6"/>
  <c r="X22" i="6"/>
  <c r="X23" i="6"/>
  <c r="X24" i="6"/>
  <c r="X25" i="6"/>
  <c r="X26" i="6"/>
  <c r="X27" i="6"/>
  <c r="J21" i="6"/>
  <c r="J24" i="6"/>
  <c r="L24" i="6"/>
  <c r="L23" i="6"/>
  <c r="Z25" i="6"/>
  <c r="AB25" i="6"/>
  <c r="AF27" i="6"/>
  <c r="AH21" i="6"/>
  <c r="AH22" i="6"/>
  <c r="AH23" i="6"/>
  <c r="AH24" i="6"/>
  <c r="AH25" i="6"/>
  <c r="AH26" i="6"/>
  <c r="AH27" i="6"/>
  <c r="G21" i="6"/>
  <c r="J25" i="6"/>
  <c r="L25" i="6"/>
  <c r="Z26" i="6"/>
  <c r="AB26" i="6"/>
  <c r="AF26" i="6"/>
  <c r="AJ21" i="6"/>
  <c r="AJ22" i="6"/>
  <c r="AJ23" i="6"/>
  <c r="AJ24" i="6"/>
  <c r="AJ25" i="6"/>
  <c r="AJ26" i="6"/>
  <c r="AJ27" i="6"/>
  <c r="J27" i="6"/>
  <c r="L21" i="6"/>
  <c r="L22" i="6"/>
  <c r="L27" i="6"/>
  <c r="Z21" i="6"/>
  <c r="Z22" i="6"/>
  <c r="Z23" i="6"/>
  <c r="Z24" i="6"/>
  <c r="Z27" i="6"/>
  <c r="AB21" i="6"/>
  <c r="AB22" i="6"/>
  <c r="AB23" i="6"/>
  <c r="AB24" i="6"/>
  <c r="AB27" i="6"/>
  <c r="AF21" i="6"/>
  <c r="AF22" i="6"/>
  <c r="AF23" i="6"/>
  <c r="AF24" i="6"/>
  <c r="AF25" i="6"/>
  <c r="N27" i="7"/>
  <c r="N21" i="7"/>
  <c r="AD27" i="7"/>
  <c r="F21" i="7"/>
  <c r="F22" i="7"/>
  <c r="F23" i="7"/>
  <c r="N23" i="7" s="1"/>
  <c r="F24" i="7"/>
  <c r="F25" i="7"/>
  <c r="F26" i="7"/>
  <c r="F27" i="7"/>
  <c r="U43" i="50" l="1"/>
  <c r="Z42" i="50"/>
  <c r="L47" i="48"/>
  <c r="L47" i="47"/>
  <c r="L87" i="44"/>
  <c r="AL26" i="7"/>
  <c r="AJ26" i="7"/>
  <c r="L26" i="7"/>
  <c r="J26" i="7"/>
  <c r="AH26" i="7"/>
  <c r="AF26" i="7"/>
  <c r="AB26" i="7"/>
  <c r="Z26" i="7"/>
  <c r="X26" i="7"/>
  <c r="V26" i="7"/>
  <c r="T26" i="7"/>
  <c r="R26" i="7"/>
  <c r="P26" i="7"/>
  <c r="AL25" i="7"/>
  <c r="AJ25" i="7"/>
  <c r="AH25" i="7"/>
  <c r="AF25" i="7"/>
  <c r="AB25" i="7"/>
  <c r="Z25" i="7"/>
  <c r="X25" i="7"/>
  <c r="V25" i="7"/>
  <c r="T25" i="7"/>
  <c r="J25" i="7"/>
  <c r="R25" i="7"/>
  <c r="P25" i="7"/>
  <c r="L25" i="7"/>
  <c r="AL24" i="7"/>
  <c r="AJ24" i="7"/>
  <c r="AH24" i="7"/>
  <c r="AF24" i="7"/>
  <c r="AB24" i="7"/>
  <c r="J24" i="7"/>
  <c r="Z24" i="7"/>
  <c r="X24" i="7"/>
  <c r="V24" i="7"/>
  <c r="T24" i="7"/>
  <c r="R24" i="7"/>
  <c r="P24" i="7"/>
  <c r="L24" i="7"/>
  <c r="AL22" i="7"/>
  <c r="AJ22" i="7"/>
  <c r="AH22" i="7"/>
  <c r="AF22" i="7"/>
  <c r="AB22" i="7"/>
  <c r="Z22" i="7"/>
  <c r="L22" i="7"/>
  <c r="X22" i="7"/>
  <c r="V22" i="7"/>
  <c r="T22" i="7"/>
  <c r="R22" i="7"/>
  <c r="P22" i="7"/>
  <c r="J22" i="7"/>
  <c r="AL21" i="7"/>
  <c r="AJ21" i="7"/>
  <c r="AH21" i="7"/>
  <c r="AF21" i="7"/>
  <c r="L21" i="7"/>
  <c r="AB21" i="7"/>
  <c r="Z21" i="7"/>
  <c r="X21" i="7"/>
  <c r="J21" i="7"/>
  <c r="V21" i="7"/>
  <c r="T21" i="7"/>
  <c r="R21" i="7"/>
  <c r="P21" i="7"/>
  <c r="G21" i="7"/>
  <c r="AD26" i="7"/>
  <c r="N26" i="7"/>
  <c r="AD25" i="7"/>
  <c r="N25" i="7"/>
  <c r="AD24" i="7"/>
  <c r="N24" i="7"/>
  <c r="AD23" i="7"/>
  <c r="AL23" i="7"/>
  <c r="AJ23" i="7"/>
  <c r="AH23" i="7"/>
  <c r="AF23" i="7"/>
  <c r="L23" i="7"/>
  <c r="AB23" i="7"/>
  <c r="Z23" i="7"/>
  <c r="X23" i="7"/>
  <c r="V23" i="7"/>
  <c r="T23" i="7"/>
  <c r="R23" i="7"/>
  <c r="P23" i="7"/>
  <c r="J23" i="7"/>
  <c r="AD22" i="7"/>
  <c r="N22" i="7"/>
  <c r="AL27" i="7"/>
  <c r="AJ27" i="7"/>
  <c r="AH27" i="7"/>
  <c r="AF27" i="7"/>
  <c r="AB27" i="7"/>
  <c r="Z27" i="7"/>
  <c r="X27" i="7"/>
  <c r="V27" i="7"/>
  <c r="L27" i="7"/>
  <c r="J27" i="7"/>
  <c r="T27" i="7"/>
  <c r="R27" i="7"/>
  <c r="P27" i="7"/>
  <c r="AD21" i="7"/>
  <c r="Z43" i="50" l="1"/>
  <c r="AE42" i="50"/>
  <c r="AE43" i="50" l="1"/>
  <c r="AJ42" i="50"/>
  <c r="AJ43" i="50" l="1"/>
  <c r="AO42" i="50"/>
  <c r="AO43" i="50" l="1"/>
  <c r="AT42" i="50"/>
  <c r="AT43" i="50" s="1"/>
  <c r="L29" i="63" l="1"/>
  <c r="B60" i="25" l="1"/>
  <c r="A60" i="25"/>
  <c r="M21" i="20" l="1"/>
  <c r="M20" i="20"/>
  <c r="M19" i="20"/>
  <c r="M18" i="20"/>
  <c r="M17" i="20"/>
  <c r="M71" i="20" l="1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57" i="19"/>
  <c r="M56" i="19"/>
  <c r="M55" i="19"/>
  <c r="M54" i="19"/>
  <c r="M53" i="19"/>
  <c r="M58" i="19" s="1"/>
  <c r="M50" i="19"/>
  <c r="M49" i="19"/>
  <c r="M48" i="19"/>
  <c r="M47" i="19"/>
  <c r="M46" i="19"/>
  <c r="M45" i="19"/>
  <c r="M41" i="19"/>
  <c r="M40" i="19"/>
  <c r="M39" i="19"/>
  <c r="M38" i="19"/>
  <c r="M37" i="19"/>
  <c r="M42" i="19" s="1"/>
  <c r="M42" i="62" l="1"/>
  <c r="M58" i="62"/>
  <c r="S29" i="63" l="1"/>
  <c r="O29" i="63"/>
  <c r="S26" i="63"/>
  <c r="U29" i="63" l="1"/>
  <c r="F29" i="63"/>
  <c r="K59" i="41" l="1"/>
  <c r="J59" i="41"/>
  <c r="I59" i="41"/>
  <c r="H59" i="41"/>
  <c r="G59" i="41"/>
  <c r="F59" i="41"/>
  <c r="M54" i="41"/>
  <c r="L54" i="41"/>
  <c r="K54" i="41"/>
  <c r="J54" i="41"/>
  <c r="I54" i="41"/>
  <c r="H54" i="41"/>
  <c r="G54" i="41"/>
  <c r="F54" i="41"/>
  <c r="AE97" i="64"/>
  <c r="AF97" i="64"/>
  <c r="AG97" i="64"/>
  <c r="AH97" i="64"/>
  <c r="AI97" i="64"/>
  <c r="AJ97" i="64"/>
  <c r="AE98" i="64"/>
  <c r="AF98" i="64"/>
  <c r="AG98" i="64"/>
  <c r="AH98" i="64"/>
  <c r="AI98" i="64"/>
  <c r="AJ98" i="64"/>
  <c r="AD98" i="64"/>
  <c r="AD97" i="64"/>
  <c r="AD99" i="64" s="1"/>
  <c r="S114" i="64"/>
  <c r="R114" i="64"/>
  <c r="O114" i="64"/>
  <c r="T114" i="64" s="1"/>
  <c r="U114" i="64" s="1"/>
  <c r="N114" i="64"/>
  <c r="L114" i="64"/>
  <c r="J114" i="64"/>
  <c r="S113" i="64"/>
  <c r="R113" i="64"/>
  <c r="O113" i="64"/>
  <c r="T113" i="64" s="1"/>
  <c r="U113" i="64" s="1"/>
  <c r="N113" i="64"/>
  <c r="L113" i="64"/>
  <c r="J113" i="64"/>
  <c r="T112" i="64"/>
  <c r="U112" i="64" s="1"/>
  <c r="S112" i="64"/>
  <c r="R112" i="64"/>
  <c r="O112" i="64"/>
  <c r="P112" i="64" s="1"/>
  <c r="N112" i="64"/>
  <c r="L112" i="64"/>
  <c r="J112" i="64"/>
  <c r="S111" i="64"/>
  <c r="R111" i="64"/>
  <c r="O111" i="64"/>
  <c r="P111" i="64" s="1"/>
  <c r="N111" i="64"/>
  <c r="L111" i="64"/>
  <c r="J111" i="64"/>
  <c r="T110" i="64"/>
  <c r="U110" i="64" s="1"/>
  <c r="S110" i="64"/>
  <c r="R110" i="64"/>
  <c r="O110" i="64"/>
  <c r="P110" i="64" s="1"/>
  <c r="N110" i="64"/>
  <c r="L110" i="64"/>
  <c r="J110" i="64"/>
  <c r="S109" i="64"/>
  <c r="R109" i="64"/>
  <c r="O109" i="64"/>
  <c r="P109" i="64" s="1"/>
  <c r="N109" i="64"/>
  <c r="L109" i="64"/>
  <c r="J109" i="64"/>
  <c r="S108" i="64"/>
  <c r="R108" i="64"/>
  <c r="O108" i="64"/>
  <c r="T108" i="64" s="1"/>
  <c r="U108" i="64" s="1"/>
  <c r="N108" i="64"/>
  <c r="L108" i="64"/>
  <c r="J108" i="64"/>
  <c r="S107" i="64"/>
  <c r="R107" i="64"/>
  <c r="O107" i="64"/>
  <c r="T107" i="64" s="1"/>
  <c r="U107" i="64" s="1"/>
  <c r="N107" i="64"/>
  <c r="L107" i="64"/>
  <c r="J107" i="64"/>
  <c r="S106" i="64"/>
  <c r="R106" i="64"/>
  <c r="O106" i="64"/>
  <c r="T106" i="64" s="1"/>
  <c r="U106" i="64" s="1"/>
  <c r="N106" i="64"/>
  <c r="L106" i="64"/>
  <c r="J106" i="64"/>
  <c r="S105" i="64"/>
  <c r="R105" i="64"/>
  <c r="O105" i="64"/>
  <c r="T105" i="64" s="1"/>
  <c r="U105" i="64" s="1"/>
  <c r="N105" i="64"/>
  <c r="L105" i="64"/>
  <c r="J105" i="64"/>
  <c r="S104" i="64"/>
  <c r="R104" i="64"/>
  <c r="O104" i="64"/>
  <c r="T104" i="64" s="1"/>
  <c r="U104" i="64" s="1"/>
  <c r="N104" i="64"/>
  <c r="L104" i="64"/>
  <c r="J104" i="64"/>
  <c r="S103" i="64"/>
  <c r="R103" i="64"/>
  <c r="O103" i="64"/>
  <c r="T103" i="64" s="1"/>
  <c r="U103" i="64" s="1"/>
  <c r="N103" i="64"/>
  <c r="L103" i="64"/>
  <c r="J103" i="64"/>
  <c r="S102" i="64"/>
  <c r="R102" i="64"/>
  <c r="O102" i="64"/>
  <c r="T102" i="64" s="1"/>
  <c r="U102" i="64" s="1"/>
  <c r="N102" i="64"/>
  <c r="L102" i="64"/>
  <c r="J102" i="64"/>
  <c r="T101" i="64"/>
  <c r="U101" i="64" s="1"/>
  <c r="S101" i="64"/>
  <c r="R101" i="64"/>
  <c r="O101" i="64"/>
  <c r="P101" i="64" s="1"/>
  <c r="N101" i="64"/>
  <c r="L101" i="64"/>
  <c r="J101" i="64"/>
  <c r="S100" i="64"/>
  <c r="R100" i="64"/>
  <c r="O100" i="64"/>
  <c r="T100" i="64" s="1"/>
  <c r="U100" i="64" s="1"/>
  <c r="N100" i="64"/>
  <c r="L100" i="64"/>
  <c r="J100" i="64"/>
  <c r="AJ99" i="64"/>
  <c r="AI99" i="64"/>
  <c r="AH99" i="64"/>
  <c r="AG99" i="64"/>
  <c r="AF99" i="64"/>
  <c r="S99" i="64"/>
  <c r="R99" i="64"/>
  <c r="O99" i="64"/>
  <c r="T99" i="64" s="1"/>
  <c r="U99" i="64" s="1"/>
  <c r="N99" i="64"/>
  <c r="L99" i="64"/>
  <c r="J99" i="64"/>
  <c r="T98" i="64"/>
  <c r="U98" i="64" s="1"/>
  <c r="S98" i="64"/>
  <c r="R98" i="64"/>
  <c r="O98" i="64"/>
  <c r="P98" i="64" s="1"/>
  <c r="N98" i="64"/>
  <c r="L98" i="64"/>
  <c r="J98" i="64"/>
  <c r="AE99" i="64"/>
  <c r="AC97" i="64"/>
  <c r="T97" i="64"/>
  <c r="U97" i="64" s="1"/>
  <c r="S97" i="64"/>
  <c r="R97" i="64"/>
  <c r="P97" i="64"/>
  <c r="O97" i="64"/>
  <c r="N97" i="64"/>
  <c r="L97" i="64"/>
  <c r="J97" i="64"/>
  <c r="S96" i="64"/>
  <c r="R96" i="64"/>
  <c r="O96" i="64"/>
  <c r="T96" i="64" s="1"/>
  <c r="U96" i="64" s="1"/>
  <c r="N96" i="64"/>
  <c r="L96" i="64"/>
  <c r="J96" i="64"/>
  <c r="S95" i="64"/>
  <c r="R95" i="64"/>
  <c r="O95" i="64"/>
  <c r="T95" i="64" s="1"/>
  <c r="U95" i="64" s="1"/>
  <c r="N95" i="64"/>
  <c r="L95" i="64"/>
  <c r="J95" i="64"/>
  <c r="AE75" i="64"/>
  <c r="AE77" i="64" s="1"/>
  <c r="I43" i="41" s="1"/>
  <c r="AF75" i="64"/>
  <c r="AF77" i="64" s="1"/>
  <c r="K43" i="41" s="1"/>
  <c r="AG75" i="64"/>
  <c r="AG77" i="64" s="1"/>
  <c r="M43" i="41" s="1"/>
  <c r="AH75" i="64"/>
  <c r="AH77" i="64" s="1"/>
  <c r="G48" i="41" s="1"/>
  <c r="AI75" i="64"/>
  <c r="AI77" i="64" s="1"/>
  <c r="I48" i="41" s="1"/>
  <c r="AJ75" i="64"/>
  <c r="AJ77" i="64" s="1"/>
  <c r="K48" i="41" s="1"/>
  <c r="AE76" i="64"/>
  <c r="H43" i="41" s="1"/>
  <c r="AF76" i="64"/>
  <c r="J43" i="41" s="1"/>
  <c r="AG76" i="64"/>
  <c r="L43" i="41" s="1"/>
  <c r="AH76" i="64"/>
  <c r="F48" i="41" s="1"/>
  <c r="AI76" i="64"/>
  <c r="H48" i="41" s="1"/>
  <c r="AJ76" i="64"/>
  <c r="J48" i="41" s="1"/>
  <c r="AD76" i="64"/>
  <c r="F43" i="41" s="1"/>
  <c r="AD75" i="64"/>
  <c r="AD77" i="64" s="1"/>
  <c r="G43" i="41" s="1"/>
  <c r="S92" i="64"/>
  <c r="R92" i="64"/>
  <c r="O92" i="64"/>
  <c r="T92" i="64" s="1"/>
  <c r="U92" i="64" s="1"/>
  <c r="N92" i="64"/>
  <c r="L92" i="64"/>
  <c r="J92" i="64"/>
  <c r="S91" i="64"/>
  <c r="R91" i="64"/>
  <c r="O91" i="64"/>
  <c r="T91" i="64" s="1"/>
  <c r="U91" i="64" s="1"/>
  <c r="N91" i="64"/>
  <c r="L91" i="64"/>
  <c r="J91" i="64"/>
  <c r="S90" i="64"/>
  <c r="R90" i="64"/>
  <c r="O90" i="64"/>
  <c r="P90" i="64" s="1"/>
  <c r="N90" i="64"/>
  <c r="L90" i="64"/>
  <c r="J90" i="64"/>
  <c r="S89" i="64"/>
  <c r="R89" i="64"/>
  <c r="O89" i="64"/>
  <c r="T89" i="64" s="1"/>
  <c r="U89" i="64" s="1"/>
  <c r="N89" i="64"/>
  <c r="L89" i="64"/>
  <c r="J89" i="64"/>
  <c r="S88" i="64"/>
  <c r="R88" i="64"/>
  <c r="O88" i="64"/>
  <c r="P88" i="64" s="1"/>
  <c r="N88" i="64"/>
  <c r="L88" i="64"/>
  <c r="J88" i="64"/>
  <c r="S87" i="64"/>
  <c r="R87" i="64"/>
  <c r="O87" i="64"/>
  <c r="T87" i="64" s="1"/>
  <c r="U87" i="64" s="1"/>
  <c r="N87" i="64"/>
  <c r="L87" i="64"/>
  <c r="J87" i="64"/>
  <c r="S86" i="64"/>
  <c r="R86" i="64"/>
  <c r="O86" i="64"/>
  <c r="T86" i="64" s="1"/>
  <c r="U86" i="64" s="1"/>
  <c r="N86" i="64"/>
  <c r="L86" i="64"/>
  <c r="J86" i="64"/>
  <c r="S85" i="64"/>
  <c r="R85" i="64"/>
  <c r="O85" i="64"/>
  <c r="T85" i="64" s="1"/>
  <c r="U85" i="64" s="1"/>
  <c r="N85" i="64"/>
  <c r="L85" i="64"/>
  <c r="J85" i="64"/>
  <c r="S84" i="64"/>
  <c r="R84" i="64"/>
  <c r="O84" i="64"/>
  <c r="P84" i="64" s="1"/>
  <c r="N84" i="64"/>
  <c r="L84" i="64"/>
  <c r="J84" i="64"/>
  <c r="S83" i="64"/>
  <c r="R83" i="64"/>
  <c r="O83" i="64"/>
  <c r="T83" i="64" s="1"/>
  <c r="U83" i="64" s="1"/>
  <c r="N83" i="64"/>
  <c r="L83" i="64"/>
  <c r="J83" i="64"/>
  <c r="S82" i="64"/>
  <c r="R82" i="64"/>
  <c r="O82" i="64"/>
  <c r="P82" i="64" s="1"/>
  <c r="N82" i="64"/>
  <c r="L82" i="64"/>
  <c r="J82" i="64"/>
  <c r="S81" i="64"/>
  <c r="R81" i="64"/>
  <c r="O81" i="64"/>
  <c r="T81" i="64" s="1"/>
  <c r="U81" i="64" s="1"/>
  <c r="N81" i="64"/>
  <c r="L81" i="64"/>
  <c r="J81" i="64"/>
  <c r="S80" i="64"/>
  <c r="R80" i="64"/>
  <c r="O80" i="64"/>
  <c r="T80" i="64" s="1"/>
  <c r="U80" i="64" s="1"/>
  <c r="N80" i="64"/>
  <c r="L80" i="64"/>
  <c r="J80" i="64"/>
  <c r="S79" i="64"/>
  <c r="R79" i="64"/>
  <c r="O79" i="64"/>
  <c r="P79" i="64" s="1"/>
  <c r="N79" i="64"/>
  <c r="L79" i="64"/>
  <c r="J79" i="64"/>
  <c r="S78" i="64"/>
  <c r="R78" i="64"/>
  <c r="O78" i="64"/>
  <c r="T78" i="64" s="1"/>
  <c r="U78" i="64" s="1"/>
  <c r="N78" i="64"/>
  <c r="L78" i="64"/>
  <c r="J78" i="64"/>
  <c r="S77" i="64"/>
  <c r="R77" i="64"/>
  <c r="O77" i="64"/>
  <c r="T77" i="64" s="1"/>
  <c r="U77" i="64" s="1"/>
  <c r="N77" i="64"/>
  <c r="L77" i="64"/>
  <c r="J77" i="64"/>
  <c r="S76" i="64"/>
  <c r="R76" i="64"/>
  <c r="O76" i="64"/>
  <c r="P76" i="64" s="1"/>
  <c r="N76" i="64"/>
  <c r="L76" i="64"/>
  <c r="J76" i="64"/>
  <c r="AC75" i="64"/>
  <c r="S75" i="64"/>
  <c r="R75" i="64"/>
  <c r="O75" i="64"/>
  <c r="P75" i="64" s="1"/>
  <c r="N75" i="64"/>
  <c r="L75" i="64"/>
  <c r="J75" i="64"/>
  <c r="S74" i="64"/>
  <c r="R74" i="64"/>
  <c r="O74" i="64"/>
  <c r="T74" i="64" s="1"/>
  <c r="U74" i="64" s="1"/>
  <c r="N74" i="64"/>
  <c r="L74" i="64"/>
  <c r="J74" i="64"/>
  <c r="S73" i="64"/>
  <c r="R73" i="64"/>
  <c r="O73" i="64"/>
  <c r="T73" i="64" s="1"/>
  <c r="U73" i="64" s="1"/>
  <c r="N73" i="64"/>
  <c r="L73" i="64"/>
  <c r="J73" i="64"/>
  <c r="AE53" i="64"/>
  <c r="AE55" i="64" s="1"/>
  <c r="AF53" i="64"/>
  <c r="AF55" i="64" s="1"/>
  <c r="K32" i="41" s="1"/>
  <c r="AG53" i="64"/>
  <c r="AG55" i="64" s="1"/>
  <c r="M32" i="41" s="1"/>
  <c r="AH53" i="64"/>
  <c r="AH55" i="64" s="1"/>
  <c r="G37" i="41" s="1"/>
  <c r="AI53" i="64"/>
  <c r="AJ53" i="64"/>
  <c r="AJ55" i="64" s="1"/>
  <c r="K37" i="41" s="1"/>
  <c r="AE54" i="64"/>
  <c r="H32" i="41" s="1"/>
  <c r="AF54" i="64"/>
  <c r="J32" i="41" s="1"/>
  <c r="AG54" i="64"/>
  <c r="L32" i="41" s="1"/>
  <c r="AH54" i="64"/>
  <c r="F37" i="41" s="1"/>
  <c r="AI54" i="64"/>
  <c r="H37" i="41" s="1"/>
  <c r="AJ54" i="64"/>
  <c r="J37" i="41" s="1"/>
  <c r="AD54" i="64"/>
  <c r="F32" i="41" s="1"/>
  <c r="AD53" i="64"/>
  <c r="AD55" i="64" s="1"/>
  <c r="I32" i="41" s="1"/>
  <c r="S70" i="64"/>
  <c r="R70" i="64"/>
  <c r="O70" i="64"/>
  <c r="T70" i="64" s="1"/>
  <c r="N70" i="64"/>
  <c r="L70" i="64"/>
  <c r="J70" i="64"/>
  <c r="S69" i="64"/>
  <c r="R69" i="64"/>
  <c r="O69" i="64"/>
  <c r="P69" i="64" s="1"/>
  <c r="N69" i="64"/>
  <c r="L69" i="64"/>
  <c r="J69" i="64"/>
  <c r="S68" i="64"/>
  <c r="R68" i="64"/>
  <c r="O68" i="64"/>
  <c r="T68" i="64" s="1"/>
  <c r="N68" i="64"/>
  <c r="L68" i="64"/>
  <c r="J68" i="64"/>
  <c r="T67" i="64"/>
  <c r="U67" i="64" s="1"/>
  <c r="S67" i="64"/>
  <c r="R67" i="64"/>
  <c r="O67" i="64"/>
  <c r="P67" i="64" s="1"/>
  <c r="N67" i="64"/>
  <c r="L67" i="64"/>
  <c r="J67" i="64"/>
  <c r="S66" i="64"/>
  <c r="R66" i="64"/>
  <c r="O66" i="64"/>
  <c r="T66" i="64" s="1"/>
  <c r="N66" i="64"/>
  <c r="L66" i="64"/>
  <c r="J66" i="64"/>
  <c r="S65" i="64"/>
  <c r="R65" i="64"/>
  <c r="O65" i="64"/>
  <c r="P65" i="64" s="1"/>
  <c r="N65" i="64"/>
  <c r="L65" i="64"/>
  <c r="J65" i="64"/>
  <c r="S64" i="64"/>
  <c r="R64" i="64"/>
  <c r="O64" i="64"/>
  <c r="T64" i="64" s="1"/>
  <c r="N64" i="64"/>
  <c r="L64" i="64"/>
  <c r="J64" i="64"/>
  <c r="S63" i="64"/>
  <c r="R63" i="64"/>
  <c r="O63" i="64"/>
  <c r="P63" i="64" s="1"/>
  <c r="N63" i="64"/>
  <c r="L63" i="64"/>
  <c r="J63" i="64"/>
  <c r="S62" i="64"/>
  <c r="R62" i="64"/>
  <c r="O62" i="64"/>
  <c r="T62" i="64" s="1"/>
  <c r="N62" i="64"/>
  <c r="L62" i="64"/>
  <c r="J62" i="64"/>
  <c r="S61" i="64"/>
  <c r="R61" i="64"/>
  <c r="O61" i="64"/>
  <c r="P61" i="64" s="1"/>
  <c r="N61" i="64"/>
  <c r="L61" i="64"/>
  <c r="J61" i="64"/>
  <c r="S60" i="64"/>
  <c r="R60" i="64"/>
  <c r="O60" i="64"/>
  <c r="T60" i="64" s="1"/>
  <c r="N60" i="64"/>
  <c r="L60" i="64"/>
  <c r="J60" i="64"/>
  <c r="S59" i="64"/>
  <c r="R59" i="64"/>
  <c r="O59" i="64"/>
  <c r="P59" i="64" s="1"/>
  <c r="N59" i="64"/>
  <c r="L59" i="64"/>
  <c r="J59" i="64"/>
  <c r="S58" i="64"/>
  <c r="R58" i="64"/>
  <c r="O58" i="64"/>
  <c r="T58" i="64" s="1"/>
  <c r="N58" i="64"/>
  <c r="L58" i="64"/>
  <c r="J58" i="64"/>
  <c r="S57" i="64"/>
  <c r="R57" i="64"/>
  <c r="O57" i="64"/>
  <c r="P57" i="64" s="1"/>
  <c r="N57" i="64"/>
  <c r="L57" i="64"/>
  <c r="J57" i="64"/>
  <c r="S56" i="64"/>
  <c r="R56" i="64"/>
  <c r="O56" i="64"/>
  <c r="T56" i="64" s="1"/>
  <c r="N56" i="64"/>
  <c r="L56" i="64"/>
  <c r="J56" i="64"/>
  <c r="S55" i="64"/>
  <c r="R55" i="64"/>
  <c r="O55" i="64"/>
  <c r="P55" i="64" s="1"/>
  <c r="N55" i="64"/>
  <c r="L55" i="64"/>
  <c r="J55" i="64"/>
  <c r="S54" i="64"/>
  <c r="R54" i="64"/>
  <c r="O54" i="64"/>
  <c r="T54" i="64" s="1"/>
  <c r="N54" i="64"/>
  <c r="L54" i="64"/>
  <c r="J54" i="64"/>
  <c r="AC53" i="64"/>
  <c r="S53" i="64"/>
  <c r="R53" i="64"/>
  <c r="O53" i="64"/>
  <c r="P53" i="64" s="1"/>
  <c r="N53" i="64"/>
  <c r="L53" i="64"/>
  <c r="J53" i="64"/>
  <c r="S52" i="64"/>
  <c r="R52" i="64"/>
  <c r="O52" i="64"/>
  <c r="T52" i="64" s="1"/>
  <c r="N52" i="64"/>
  <c r="L52" i="64"/>
  <c r="J52" i="64"/>
  <c r="S51" i="64"/>
  <c r="R51" i="64"/>
  <c r="O51" i="64"/>
  <c r="P51" i="64" s="1"/>
  <c r="N51" i="64"/>
  <c r="L51" i="64"/>
  <c r="J51" i="64"/>
  <c r="T75" i="64" l="1"/>
  <c r="U75" i="64" s="1"/>
  <c r="T88" i="64"/>
  <c r="U88" i="64" s="1"/>
  <c r="T76" i="64"/>
  <c r="U76" i="64" s="1"/>
  <c r="T79" i="64"/>
  <c r="U79" i="64" s="1"/>
  <c r="T90" i="64"/>
  <c r="U90" i="64" s="1"/>
  <c r="G32" i="41"/>
  <c r="P113" i="64"/>
  <c r="P108" i="64"/>
  <c r="P95" i="64"/>
  <c r="P106" i="64"/>
  <c r="P102" i="64"/>
  <c r="P100" i="64"/>
  <c r="P96" i="64"/>
  <c r="T111" i="64"/>
  <c r="U111" i="64" s="1"/>
  <c r="P107" i="64"/>
  <c r="T109" i="64"/>
  <c r="U109" i="64" s="1"/>
  <c r="P114" i="64"/>
  <c r="P104" i="64"/>
  <c r="P99" i="64"/>
  <c r="P105" i="64"/>
  <c r="P103" i="64"/>
  <c r="T84" i="64"/>
  <c r="U84" i="64" s="1"/>
  <c r="P91" i="64"/>
  <c r="P80" i="64"/>
  <c r="T82" i="64"/>
  <c r="U82" i="64" s="1"/>
  <c r="P89" i="64"/>
  <c r="P87" i="64"/>
  <c r="P86" i="64"/>
  <c r="P73" i="64"/>
  <c r="P78" i="64"/>
  <c r="P74" i="64"/>
  <c r="P85" i="64"/>
  <c r="P77" i="64"/>
  <c r="P83" i="64"/>
  <c r="P92" i="64"/>
  <c r="P81" i="64"/>
  <c r="AI55" i="64"/>
  <c r="I37" i="41" s="1"/>
  <c r="T61" i="64"/>
  <c r="U61" i="64" s="1"/>
  <c r="T55" i="64"/>
  <c r="U55" i="64" s="1"/>
  <c r="T63" i="64"/>
  <c r="U63" i="64" s="1"/>
  <c r="T57" i="64"/>
  <c r="U57" i="64" s="1"/>
  <c r="T53" i="64"/>
  <c r="U53" i="64" s="1"/>
  <c r="T69" i="64"/>
  <c r="U69" i="64" s="1"/>
  <c r="T65" i="64"/>
  <c r="U65" i="64" s="1"/>
  <c r="T59" i="64"/>
  <c r="U59" i="64" s="1"/>
  <c r="T51" i="64"/>
  <c r="U51" i="64" s="1"/>
  <c r="U52" i="64"/>
  <c r="U54" i="64"/>
  <c r="U68" i="64"/>
  <c r="U62" i="64"/>
  <c r="U56" i="64"/>
  <c r="U66" i="64"/>
  <c r="U60" i="64"/>
  <c r="U70" i="64"/>
  <c r="U64" i="64"/>
  <c r="U58" i="64"/>
  <c r="P54" i="64"/>
  <c r="P52" i="64"/>
  <c r="P56" i="64"/>
  <c r="P58" i="64"/>
  <c r="P60" i="64"/>
  <c r="P62" i="64"/>
  <c r="P64" i="64"/>
  <c r="P66" i="64"/>
  <c r="P68" i="64"/>
  <c r="P70" i="64"/>
  <c r="T29" i="64" l="1"/>
  <c r="J26" i="64"/>
  <c r="J25" i="64"/>
  <c r="J24" i="64"/>
  <c r="J23" i="64"/>
  <c r="J22" i="64"/>
  <c r="J21" i="64"/>
  <c r="J20" i="64"/>
  <c r="J19" i="64"/>
  <c r="J18" i="64"/>
  <c r="J17" i="64"/>
  <c r="J16" i="64"/>
  <c r="J15" i="64"/>
  <c r="J14" i="64"/>
  <c r="J13" i="64"/>
  <c r="J12" i="64"/>
  <c r="J11" i="64"/>
  <c r="J10" i="64"/>
  <c r="J9" i="64"/>
  <c r="J8" i="64"/>
  <c r="J7" i="64"/>
  <c r="J26" i="63"/>
  <c r="J25" i="63"/>
  <c r="J24" i="63"/>
  <c r="J23" i="63"/>
  <c r="J22" i="63"/>
  <c r="J21" i="63"/>
  <c r="J20" i="63"/>
  <c r="J19" i="63"/>
  <c r="J18" i="63"/>
  <c r="J17" i="63"/>
  <c r="J16" i="63"/>
  <c r="J15" i="63"/>
  <c r="J14" i="63"/>
  <c r="J13" i="63"/>
  <c r="J12" i="63"/>
  <c r="J11" i="63"/>
  <c r="J10" i="63"/>
  <c r="J9" i="63"/>
  <c r="J8" i="63"/>
  <c r="J7" i="63"/>
  <c r="AE31" i="64" l="1"/>
  <c r="AF31" i="64"/>
  <c r="AG31" i="64"/>
  <c r="AH31" i="64"/>
  <c r="AI31" i="64"/>
  <c r="AJ31" i="64"/>
  <c r="AE32" i="64"/>
  <c r="H21" i="41" s="1"/>
  <c r="AF32" i="64"/>
  <c r="J21" i="41" s="1"/>
  <c r="AG32" i="64"/>
  <c r="L21" i="41" s="1"/>
  <c r="AH32" i="64"/>
  <c r="F26" i="41" s="1"/>
  <c r="AI32" i="64"/>
  <c r="H26" i="41" s="1"/>
  <c r="AJ32" i="64"/>
  <c r="J26" i="41" s="1"/>
  <c r="AD32" i="64"/>
  <c r="F21" i="41" s="1"/>
  <c r="AD31" i="64"/>
  <c r="AC31" i="64"/>
  <c r="S48" i="64"/>
  <c r="R48" i="64"/>
  <c r="O48" i="64"/>
  <c r="T48" i="64" s="1"/>
  <c r="N48" i="64"/>
  <c r="L48" i="64"/>
  <c r="J48" i="64"/>
  <c r="S47" i="64"/>
  <c r="R47" i="64"/>
  <c r="O47" i="64"/>
  <c r="T47" i="64" s="1"/>
  <c r="N47" i="64"/>
  <c r="L47" i="64"/>
  <c r="J47" i="64"/>
  <c r="S46" i="64"/>
  <c r="R46" i="64"/>
  <c r="O46" i="64"/>
  <c r="T46" i="64" s="1"/>
  <c r="N46" i="64"/>
  <c r="L46" i="64"/>
  <c r="J46" i="64"/>
  <c r="S45" i="64"/>
  <c r="R45" i="64"/>
  <c r="O45" i="64"/>
  <c r="T45" i="64" s="1"/>
  <c r="N45" i="64"/>
  <c r="L45" i="64"/>
  <c r="J45" i="64"/>
  <c r="S44" i="64"/>
  <c r="R44" i="64"/>
  <c r="O44" i="64"/>
  <c r="T44" i="64" s="1"/>
  <c r="N44" i="64"/>
  <c r="L44" i="64"/>
  <c r="J44" i="64"/>
  <c r="S43" i="64"/>
  <c r="R43" i="64"/>
  <c r="O43" i="64"/>
  <c r="T43" i="64" s="1"/>
  <c r="N43" i="64"/>
  <c r="L43" i="64"/>
  <c r="J43" i="64"/>
  <c r="S42" i="64"/>
  <c r="R42" i="64"/>
  <c r="O42" i="64"/>
  <c r="T42" i="64" s="1"/>
  <c r="N42" i="64"/>
  <c r="L42" i="64"/>
  <c r="J42" i="64"/>
  <c r="S41" i="64"/>
  <c r="R41" i="64"/>
  <c r="O41" i="64"/>
  <c r="T41" i="64" s="1"/>
  <c r="N41" i="64"/>
  <c r="L41" i="64"/>
  <c r="J41" i="64"/>
  <c r="S40" i="64"/>
  <c r="R40" i="64"/>
  <c r="O40" i="64"/>
  <c r="T40" i="64" s="1"/>
  <c r="N40" i="64"/>
  <c r="L40" i="64"/>
  <c r="J40" i="64"/>
  <c r="S39" i="64"/>
  <c r="R39" i="64"/>
  <c r="O39" i="64"/>
  <c r="T39" i="64" s="1"/>
  <c r="N39" i="64"/>
  <c r="L39" i="64"/>
  <c r="J39" i="64"/>
  <c r="S38" i="64"/>
  <c r="R38" i="64"/>
  <c r="O38" i="64"/>
  <c r="T38" i="64" s="1"/>
  <c r="N38" i="64"/>
  <c r="L38" i="64"/>
  <c r="J38" i="64"/>
  <c r="S37" i="64"/>
  <c r="R37" i="64"/>
  <c r="O37" i="64"/>
  <c r="T37" i="64" s="1"/>
  <c r="N37" i="64"/>
  <c r="L37" i="64"/>
  <c r="J37" i="64"/>
  <c r="S36" i="64"/>
  <c r="R36" i="64"/>
  <c r="O36" i="64"/>
  <c r="T36" i="64" s="1"/>
  <c r="N36" i="64"/>
  <c r="L36" i="64"/>
  <c r="J36" i="64"/>
  <c r="S35" i="64"/>
  <c r="R35" i="64"/>
  <c r="O35" i="64"/>
  <c r="T35" i="64" s="1"/>
  <c r="N35" i="64"/>
  <c r="L35" i="64"/>
  <c r="J35" i="64"/>
  <c r="S34" i="64"/>
  <c r="R34" i="64"/>
  <c r="O34" i="64"/>
  <c r="T34" i="64" s="1"/>
  <c r="N34" i="64"/>
  <c r="L34" i="64"/>
  <c r="J34" i="64"/>
  <c r="S33" i="64"/>
  <c r="R33" i="64"/>
  <c r="O33" i="64"/>
  <c r="P33" i="64" s="1"/>
  <c r="N33" i="64"/>
  <c r="L33" i="64"/>
  <c r="J33" i="64"/>
  <c r="S32" i="64"/>
  <c r="R32" i="64"/>
  <c r="O32" i="64"/>
  <c r="T32" i="64" s="1"/>
  <c r="N32" i="64"/>
  <c r="L32" i="64"/>
  <c r="J32" i="64"/>
  <c r="S31" i="64"/>
  <c r="R31" i="64"/>
  <c r="O31" i="64"/>
  <c r="T31" i="64" s="1"/>
  <c r="F31" i="64" s="1"/>
  <c r="N31" i="64"/>
  <c r="L31" i="64"/>
  <c r="J31" i="64"/>
  <c r="S30" i="64"/>
  <c r="R30" i="64"/>
  <c r="O30" i="64"/>
  <c r="P30" i="64" s="1"/>
  <c r="N30" i="64"/>
  <c r="L30" i="64"/>
  <c r="J30" i="64"/>
  <c r="S29" i="64"/>
  <c r="R29" i="64"/>
  <c r="O29" i="64"/>
  <c r="F29" i="64" s="1"/>
  <c r="N29" i="64"/>
  <c r="L29" i="64"/>
  <c r="J29" i="64"/>
  <c r="AD33" i="64" l="1"/>
  <c r="G21" i="41" s="1"/>
  <c r="AI33" i="64"/>
  <c r="I26" i="41" s="1"/>
  <c r="AE33" i="64"/>
  <c r="I21" i="41" s="1"/>
  <c r="AF33" i="64"/>
  <c r="K21" i="41" s="1"/>
  <c r="AG33" i="64"/>
  <c r="M21" i="41" s="1"/>
  <c r="AH33" i="64"/>
  <c r="G26" i="41" s="1"/>
  <c r="AJ33" i="64"/>
  <c r="K26" i="41" s="1"/>
  <c r="T33" i="64"/>
  <c r="P31" i="64"/>
  <c r="P29" i="64"/>
  <c r="U42" i="64"/>
  <c r="F42" i="64"/>
  <c r="U46" i="64"/>
  <c r="F46" i="64"/>
  <c r="U43" i="64"/>
  <c r="F43" i="64"/>
  <c r="U47" i="64"/>
  <c r="F47" i="64"/>
  <c r="U34" i="64"/>
  <c r="F34" i="64"/>
  <c r="U48" i="64"/>
  <c r="F48" i="64"/>
  <c r="U32" i="64"/>
  <c r="F32" i="64"/>
  <c r="U38" i="64"/>
  <c r="F38" i="64"/>
  <c r="U39" i="64"/>
  <c r="F39" i="64"/>
  <c r="U36" i="64"/>
  <c r="F36" i="64"/>
  <c r="U40" i="64"/>
  <c r="F40" i="64"/>
  <c r="U37" i="64"/>
  <c r="F37" i="64"/>
  <c r="U44" i="64"/>
  <c r="F44" i="64"/>
  <c r="U41" i="64"/>
  <c r="F41" i="64"/>
  <c r="U35" i="64"/>
  <c r="F35" i="64"/>
  <c r="U45" i="64"/>
  <c r="F45" i="64"/>
  <c r="P32" i="64"/>
  <c r="T30" i="64"/>
  <c r="P35" i="64"/>
  <c r="P37" i="64"/>
  <c r="P39" i="64"/>
  <c r="P41" i="64"/>
  <c r="P43" i="64"/>
  <c r="P45" i="64"/>
  <c r="P47" i="64"/>
  <c r="U29" i="64"/>
  <c r="U31" i="64"/>
  <c r="P34" i="64"/>
  <c r="P36" i="64"/>
  <c r="P38" i="64"/>
  <c r="P40" i="64"/>
  <c r="P42" i="64"/>
  <c r="P44" i="64"/>
  <c r="P46" i="64"/>
  <c r="P48" i="64"/>
  <c r="U33" i="64" l="1"/>
  <c r="F33" i="64"/>
  <c r="U30" i="64"/>
  <c r="F30" i="64"/>
  <c r="B54" i="41" l="1"/>
  <c r="B53" i="41"/>
  <c r="B43" i="41"/>
  <c r="B42" i="41"/>
  <c r="K114" i="62" l="1"/>
  <c r="K106" i="62"/>
  <c r="K98" i="62"/>
  <c r="K130" i="20"/>
  <c r="K98" i="19"/>
  <c r="K114" i="19"/>
  <c r="K146" i="20"/>
  <c r="K138" i="20"/>
  <c r="K122" i="20"/>
  <c r="K106" i="19"/>
  <c r="J34" i="25"/>
  <c r="B34" i="25"/>
  <c r="A34" i="25"/>
  <c r="J49" i="24" l="1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6" i="23"/>
  <c r="J35" i="23"/>
  <c r="J34" i="23"/>
  <c r="J46" i="22"/>
  <c r="J45" i="22"/>
  <c r="J35" i="22"/>
  <c r="J34" i="22"/>
  <c r="J36" i="15"/>
  <c r="J35" i="15"/>
  <c r="J34" i="15"/>
  <c r="J49" i="15"/>
  <c r="J48" i="15"/>
  <c r="J47" i="15"/>
  <c r="J46" i="15"/>
  <c r="J45" i="15"/>
  <c r="J43" i="15"/>
  <c r="J42" i="15"/>
  <c r="J41" i="15"/>
  <c r="J40" i="15"/>
  <c r="J39" i="15"/>
  <c r="J38" i="15"/>
  <c r="AW27" i="52"/>
  <c r="AR27" i="52"/>
  <c r="AS27" i="52"/>
  <c r="AM27" i="52"/>
  <c r="AH27" i="52"/>
  <c r="AC27" i="52"/>
  <c r="X27" i="52"/>
  <c r="S27" i="52"/>
  <c r="M27" i="52"/>
  <c r="AV27" i="52"/>
  <c r="AX27" i="52" s="1"/>
  <c r="AQ27" i="52"/>
  <c r="AN27" i="52"/>
  <c r="AL27" i="52"/>
  <c r="AG27" i="52"/>
  <c r="AI27" i="52" s="1"/>
  <c r="AB27" i="52"/>
  <c r="AD27" i="52" s="1"/>
  <c r="W27" i="52"/>
  <c r="K27" i="52" s="1"/>
  <c r="T27" i="52"/>
  <c r="R27" i="52"/>
  <c r="J27" i="52"/>
  <c r="I27" i="52"/>
  <c r="G27" i="52"/>
  <c r="H27" i="52" s="1"/>
  <c r="AW31" i="51"/>
  <c r="AW30" i="51"/>
  <c r="AW29" i="51"/>
  <c r="AW28" i="51"/>
  <c r="AW27" i="51"/>
  <c r="AR31" i="51"/>
  <c r="AR30" i="51"/>
  <c r="AR29" i="51"/>
  <c r="AR28" i="51"/>
  <c r="AR27" i="51"/>
  <c r="AM31" i="51"/>
  <c r="AM30" i="51"/>
  <c r="AM29" i="51"/>
  <c r="AM28" i="51"/>
  <c r="AM27" i="51"/>
  <c r="AH31" i="51"/>
  <c r="AH30" i="51"/>
  <c r="AH29" i="51"/>
  <c r="AH28" i="51"/>
  <c r="AH27" i="51"/>
  <c r="AC31" i="51"/>
  <c r="AC30" i="51"/>
  <c r="AC29" i="51"/>
  <c r="AC28" i="51"/>
  <c r="AC27" i="51"/>
  <c r="X31" i="51"/>
  <c r="X30" i="51"/>
  <c r="X29" i="51"/>
  <c r="X28" i="51"/>
  <c r="X27" i="51"/>
  <c r="S28" i="51"/>
  <c r="S29" i="51"/>
  <c r="S30" i="51"/>
  <c r="S31" i="51"/>
  <c r="S27" i="51"/>
  <c r="M28" i="51"/>
  <c r="M29" i="51"/>
  <c r="M30" i="51"/>
  <c r="M31" i="51"/>
  <c r="AV31" i="51"/>
  <c r="AQ31" i="51"/>
  <c r="AL31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K30" i="51"/>
  <c r="J30" i="51"/>
  <c r="I30" i="51"/>
  <c r="G30" i="51"/>
  <c r="AV29" i="51"/>
  <c r="AQ29" i="51"/>
  <c r="AL29" i="51"/>
  <c r="AG29" i="51"/>
  <c r="AB29" i="51"/>
  <c r="W29" i="51"/>
  <c r="R29" i="51"/>
  <c r="J29" i="51"/>
  <c r="I29" i="51"/>
  <c r="G29" i="51"/>
  <c r="AV28" i="51"/>
  <c r="K28" i="51" s="1"/>
  <c r="AQ28" i="51"/>
  <c r="AL28" i="51"/>
  <c r="AG28" i="51"/>
  <c r="AB28" i="51"/>
  <c r="W28" i="51"/>
  <c r="R28" i="51"/>
  <c r="J28" i="51"/>
  <c r="I28" i="51"/>
  <c r="G28" i="51"/>
  <c r="AV27" i="51"/>
  <c r="AS27" i="51"/>
  <c r="AQ27" i="51"/>
  <c r="AL27" i="51"/>
  <c r="AN27" i="51" s="1"/>
  <c r="AG27" i="51"/>
  <c r="AB27" i="51"/>
  <c r="AD27" i="51" s="1"/>
  <c r="W27" i="51"/>
  <c r="R27" i="51"/>
  <c r="T27" i="51" s="1"/>
  <c r="K27" i="51"/>
  <c r="J27" i="51"/>
  <c r="I27" i="51"/>
  <c r="G27" i="51"/>
  <c r="H27" i="51" s="1"/>
  <c r="P22" i="50"/>
  <c r="P23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K32" i="49" s="1"/>
  <c r="AQ32" i="49"/>
  <c r="AL32" i="49"/>
  <c r="AG32" i="49"/>
  <c r="AI27" i="49" s="1"/>
  <c r="AB32" i="49"/>
  <c r="W32" i="49"/>
  <c r="R32" i="49"/>
  <c r="J32" i="49"/>
  <c r="I32" i="49"/>
  <c r="G32" i="49"/>
  <c r="AV31" i="49"/>
  <c r="AQ31" i="49"/>
  <c r="K31" i="49" s="1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L27" i="49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W35" i="48"/>
  <c r="AW33" i="48"/>
  <c r="AW32" i="48"/>
  <c r="AW31" i="48"/>
  <c r="AW30" i="48"/>
  <c r="AW29" i="48"/>
  <c r="AW28" i="48"/>
  <c r="AW27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35" i="48"/>
  <c r="M27" i="48"/>
  <c r="AV35" i="48"/>
  <c r="J35" i="48"/>
  <c r="I35" i="48"/>
  <c r="G35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K32" i="48"/>
  <c r="J32" i="48"/>
  <c r="I32" i="48"/>
  <c r="G32" i="48"/>
  <c r="AV31" i="48"/>
  <c r="AQ31" i="48"/>
  <c r="AL31" i="48"/>
  <c r="AG31" i="48"/>
  <c r="AB31" i="48"/>
  <c r="W31" i="48"/>
  <c r="R31" i="48"/>
  <c r="K31" i="48"/>
  <c r="J31" i="48"/>
  <c r="I31" i="48"/>
  <c r="G31" i="48"/>
  <c r="AV30" i="48"/>
  <c r="AQ30" i="48"/>
  <c r="AL30" i="48"/>
  <c r="AG30" i="48"/>
  <c r="AB30" i="48"/>
  <c r="W30" i="48"/>
  <c r="R30" i="48"/>
  <c r="K30" i="48"/>
  <c r="J30" i="48"/>
  <c r="I30" i="48"/>
  <c r="G30" i="48"/>
  <c r="AV29" i="48"/>
  <c r="K29" i="48" s="1"/>
  <c r="AQ29" i="48"/>
  <c r="AL29" i="48"/>
  <c r="AG29" i="48"/>
  <c r="AB29" i="48"/>
  <c r="W29" i="48"/>
  <c r="R29" i="48"/>
  <c r="J29" i="48"/>
  <c r="I29" i="48"/>
  <c r="G29" i="48"/>
  <c r="AV28" i="48"/>
  <c r="K28" i="48" s="1"/>
  <c r="AQ28" i="48"/>
  <c r="AL28" i="48"/>
  <c r="AG28" i="48"/>
  <c r="AB28" i="48"/>
  <c r="W28" i="48"/>
  <c r="R28" i="48"/>
  <c r="J28" i="48"/>
  <c r="I28" i="48"/>
  <c r="G28" i="48"/>
  <c r="AV27" i="48"/>
  <c r="AX27" i="48" s="1"/>
  <c r="AS27" i="48"/>
  <c r="AQ27" i="48"/>
  <c r="AL27" i="48"/>
  <c r="AN27" i="48" s="1"/>
  <c r="AG27" i="48"/>
  <c r="AI27" i="48" s="1"/>
  <c r="AB27" i="48"/>
  <c r="AD27" i="48" s="1"/>
  <c r="W27" i="48"/>
  <c r="Y27" i="48" s="1"/>
  <c r="R27" i="48"/>
  <c r="T27" i="48" s="1"/>
  <c r="K27" i="48"/>
  <c r="J27" i="48"/>
  <c r="I27" i="48"/>
  <c r="G27" i="48"/>
  <c r="H27" i="48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AV28" i="47"/>
  <c r="AQ28" i="47"/>
  <c r="AL28" i="47"/>
  <c r="AG28" i="47"/>
  <c r="AB28" i="47"/>
  <c r="W28" i="47"/>
  <c r="R28" i="47"/>
  <c r="K28" i="47"/>
  <c r="J28" i="47"/>
  <c r="I28" i="47"/>
  <c r="G28" i="47"/>
  <c r="AX27" i="47"/>
  <c r="AV27" i="47"/>
  <c r="AQ27" i="47"/>
  <c r="AS27" i="47" s="1"/>
  <c r="AL27" i="47"/>
  <c r="AG27" i="47"/>
  <c r="AI27" i="47" s="1"/>
  <c r="AB27" i="47"/>
  <c r="W27" i="47"/>
  <c r="Y27" i="47" s="1"/>
  <c r="R27" i="47"/>
  <c r="K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S27" i="46"/>
  <c r="AQ27" i="46"/>
  <c r="AL27" i="46"/>
  <c r="AN27" i="46" s="1"/>
  <c r="AG27" i="46"/>
  <c r="AB27" i="46"/>
  <c r="W27" i="46"/>
  <c r="Y27" i="46" s="1"/>
  <c r="R27" i="46"/>
  <c r="T27" i="46" s="1"/>
  <c r="J27" i="46"/>
  <c r="I27" i="46"/>
  <c r="G27" i="46"/>
  <c r="H27" i="46" s="1"/>
  <c r="AW31" i="45"/>
  <c r="AW30" i="45"/>
  <c r="AW29" i="45"/>
  <c r="AW28" i="45"/>
  <c r="AW27" i="45"/>
  <c r="AR31" i="45"/>
  <c r="AR30" i="45"/>
  <c r="AR29" i="45"/>
  <c r="AR28" i="45"/>
  <c r="AR27" i="45"/>
  <c r="AM31" i="45"/>
  <c r="AM30" i="45"/>
  <c r="AM29" i="45"/>
  <c r="AM28" i="45"/>
  <c r="AM27" i="45"/>
  <c r="AH31" i="45"/>
  <c r="AH30" i="45"/>
  <c r="AH29" i="45"/>
  <c r="AH28" i="45"/>
  <c r="AH27" i="45"/>
  <c r="AI27" i="45"/>
  <c r="AC31" i="45"/>
  <c r="AC30" i="45"/>
  <c r="AC29" i="45"/>
  <c r="AC28" i="45"/>
  <c r="AC27" i="45"/>
  <c r="X31" i="45"/>
  <c r="X30" i="45"/>
  <c r="X29" i="45"/>
  <c r="X28" i="45"/>
  <c r="X27" i="45"/>
  <c r="S28" i="45"/>
  <c r="S29" i="45"/>
  <c r="S30" i="45"/>
  <c r="S31" i="45"/>
  <c r="S27" i="45"/>
  <c r="M28" i="45"/>
  <c r="M29" i="45"/>
  <c r="M30" i="45"/>
  <c r="M31" i="45"/>
  <c r="M27" i="45"/>
  <c r="AV31" i="45"/>
  <c r="AQ31" i="45"/>
  <c r="AL31" i="45"/>
  <c r="AG31" i="45"/>
  <c r="AB31" i="45"/>
  <c r="W31" i="45"/>
  <c r="R31" i="45"/>
  <c r="K31" i="45"/>
  <c r="J31" i="45"/>
  <c r="I31" i="45"/>
  <c r="G31" i="45"/>
  <c r="AV30" i="45"/>
  <c r="AQ30" i="45"/>
  <c r="AL30" i="45"/>
  <c r="AG30" i="45"/>
  <c r="AB30" i="45"/>
  <c r="W30" i="45"/>
  <c r="R30" i="45"/>
  <c r="K30" i="45"/>
  <c r="J30" i="45"/>
  <c r="I30" i="45"/>
  <c r="G30" i="45"/>
  <c r="AV29" i="45"/>
  <c r="K29" i="45" s="1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X27" i="45" s="1"/>
  <c r="AS27" i="45"/>
  <c r="AQ27" i="45"/>
  <c r="AL27" i="45"/>
  <c r="AG27" i="45"/>
  <c r="AB27" i="45"/>
  <c r="AD27" i="45" s="1"/>
  <c r="W27" i="45"/>
  <c r="Y27" i="45" s="1"/>
  <c r="R27" i="45"/>
  <c r="T27" i="45" s="1"/>
  <c r="K27" i="45"/>
  <c r="J27" i="45"/>
  <c r="I27" i="45"/>
  <c r="G27" i="45"/>
  <c r="H27" i="45" s="1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47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K77" i="44" s="1"/>
  <c r="R77" i="44"/>
  <c r="J77" i="44"/>
  <c r="I77" i="44"/>
  <c r="G77" i="44"/>
  <c r="AV76" i="44"/>
  <c r="AQ76" i="44"/>
  <c r="AL76" i="44"/>
  <c r="AG76" i="44"/>
  <c r="AB76" i="44"/>
  <c r="W76" i="44"/>
  <c r="R76" i="44"/>
  <c r="K76" i="44" s="1"/>
  <c r="J76" i="44"/>
  <c r="I76" i="44"/>
  <c r="G76" i="44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W73" i="44"/>
  <c r="R73" i="44"/>
  <c r="K73" i="44"/>
  <c r="J73" i="44"/>
  <c r="I73" i="44"/>
  <c r="G73" i="44"/>
  <c r="AV72" i="44"/>
  <c r="AQ72" i="44"/>
  <c r="AL72" i="44"/>
  <c r="AG72" i="44"/>
  <c r="AB72" i="44"/>
  <c r="W72" i="44"/>
  <c r="R72" i="44"/>
  <c r="K72" i="44"/>
  <c r="J72" i="44"/>
  <c r="I72" i="44"/>
  <c r="G72" i="44"/>
  <c r="AV71" i="44"/>
  <c r="AQ71" i="44"/>
  <c r="AL71" i="44"/>
  <c r="AG71" i="44"/>
  <c r="AB71" i="44"/>
  <c r="W71" i="44"/>
  <c r="R71" i="44"/>
  <c r="K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AQ69" i="44"/>
  <c r="AL69" i="44"/>
  <c r="AG69" i="44"/>
  <c r="AB69" i="44"/>
  <c r="W69" i="44"/>
  <c r="R69" i="44"/>
  <c r="K69" i="44"/>
  <c r="J69" i="44"/>
  <c r="I69" i="44"/>
  <c r="G69" i="44"/>
  <c r="AV68" i="44"/>
  <c r="AQ68" i="44"/>
  <c r="AL68" i="44"/>
  <c r="AG68" i="44"/>
  <c r="AB68" i="44"/>
  <c r="W68" i="44"/>
  <c r="R68" i="44"/>
  <c r="K68" i="44"/>
  <c r="J68" i="44"/>
  <c r="I68" i="44"/>
  <c r="G68" i="44"/>
  <c r="AV67" i="44"/>
  <c r="AX47" i="44" s="1"/>
  <c r="AQ67" i="44"/>
  <c r="AL67" i="44"/>
  <c r="AG67" i="44"/>
  <c r="AB67" i="44"/>
  <c r="W67" i="44"/>
  <c r="K67" i="44" s="1"/>
  <c r="R67" i="44"/>
  <c r="J67" i="44"/>
  <c r="I67" i="44"/>
  <c r="G67" i="44"/>
  <c r="AV66" i="44"/>
  <c r="AQ66" i="44"/>
  <c r="AL66" i="44"/>
  <c r="AG66" i="44"/>
  <c r="AB66" i="44"/>
  <c r="W66" i="44"/>
  <c r="K66" i="44" s="1"/>
  <c r="R66" i="44"/>
  <c r="J66" i="44"/>
  <c r="I66" i="44"/>
  <c r="G66" i="44"/>
  <c r="AV65" i="44"/>
  <c r="AQ65" i="44"/>
  <c r="AL65" i="44"/>
  <c r="AG65" i="44"/>
  <c r="AB65" i="44"/>
  <c r="W65" i="44"/>
  <c r="R65" i="44"/>
  <c r="K65" i="44" s="1"/>
  <c r="J65" i="44"/>
  <c r="I65" i="44"/>
  <c r="G65" i="44"/>
  <c r="AV64" i="44"/>
  <c r="AQ64" i="44"/>
  <c r="AL64" i="44"/>
  <c r="AG64" i="44"/>
  <c r="AB64" i="44"/>
  <c r="W64" i="44"/>
  <c r="R64" i="44"/>
  <c r="K64" i="44" s="1"/>
  <c r="J64" i="44"/>
  <c r="I64" i="44"/>
  <c r="G64" i="44"/>
  <c r="AV63" i="44"/>
  <c r="AQ63" i="44"/>
  <c r="AL63" i="44"/>
  <c r="K63" i="44" s="1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K61" i="44" s="1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K58" i="44" s="1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K56" i="44" s="1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 s="1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AN47" i="44" s="1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K51" i="44"/>
  <c r="J51" i="44"/>
  <c r="I51" i="44"/>
  <c r="G51" i="44"/>
  <c r="AV50" i="44"/>
  <c r="AQ50" i="44"/>
  <c r="AL50" i="44"/>
  <c r="AG50" i="44"/>
  <c r="AB50" i="44"/>
  <c r="W50" i="44"/>
  <c r="R50" i="44"/>
  <c r="K50" i="44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AD47" i="44" s="1"/>
  <c r="W48" i="44"/>
  <c r="R48" i="44"/>
  <c r="K48" i="44"/>
  <c r="J48" i="44"/>
  <c r="I48" i="44"/>
  <c r="G48" i="44"/>
  <c r="H47" i="44" s="1"/>
  <c r="AV47" i="44"/>
  <c r="AQ47" i="44"/>
  <c r="AS47" i="44" s="1"/>
  <c r="AL47" i="44"/>
  <c r="AG47" i="44"/>
  <c r="AB47" i="44"/>
  <c r="W47" i="44"/>
  <c r="Y47" i="44" s="1"/>
  <c r="R47" i="44"/>
  <c r="K47" i="44" s="1"/>
  <c r="J47" i="44"/>
  <c r="I47" i="44"/>
  <c r="G47" i="44"/>
  <c r="B14" i="7"/>
  <c r="AC20" i="7"/>
  <c r="S20" i="7"/>
  <c r="M20" i="7"/>
  <c r="F20" i="7"/>
  <c r="AL20" i="7" s="1"/>
  <c r="AC19" i="7"/>
  <c r="S19" i="7"/>
  <c r="F19" i="7" s="1"/>
  <c r="AL19" i="7" s="1"/>
  <c r="M19" i="7"/>
  <c r="AC18" i="7"/>
  <c r="S18" i="7"/>
  <c r="M18" i="7"/>
  <c r="F18" i="7"/>
  <c r="AL18" i="7" s="1"/>
  <c r="AC17" i="7"/>
  <c r="S17" i="7"/>
  <c r="M17" i="7"/>
  <c r="F17" i="7"/>
  <c r="AL17" i="7" s="1"/>
  <c r="AC16" i="7"/>
  <c r="S16" i="7"/>
  <c r="M16" i="7"/>
  <c r="AC15" i="7"/>
  <c r="S15" i="7"/>
  <c r="M15" i="7"/>
  <c r="F15" i="7"/>
  <c r="AL15" i="7" s="1"/>
  <c r="AC14" i="7"/>
  <c r="S14" i="7"/>
  <c r="F14" i="7" s="1"/>
  <c r="AL14" i="7" s="1"/>
  <c r="M14" i="7"/>
  <c r="AC20" i="6"/>
  <c r="S20" i="6"/>
  <c r="M20" i="6"/>
  <c r="F20" i="6"/>
  <c r="AL20" i="6" s="1"/>
  <c r="AC19" i="6"/>
  <c r="S19" i="6"/>
  <c r="M19" i="6"/>
  <c r="F19" i="6"/>
  <c r="AL19" i="6" s="1"/>
  <c r="AC18" i="6"/>
  <c r="S18" i="6"/>
  <c r="M18" i="6"/>
  <c r="F18" i="6"/>
  <c r="AL18" i="6" s="1"/>
  <c r="AC17" i="6"/>
  <c r="S17" i="6"/>
  <c r="M17" i="6"/>
  <c r="AC16" i="6"/>
  <c r="S16" i="6"/>
  <c r="M16" i="6"/>
  <c r="F16" i="6"/>
  <c r="AL16" i="6" s="1"/>
  <c r="AC15" i="6"/>
  <c r="S15" i="6"/>
  <c r="M15" i="6"/>
  <c r="F15" i="6"/>
  <c r="AL15" i="6" s="1"/>
  <c r="D15" i="6"/>
  <c r="B14" i="6" s="1"/>
  <c r="AC14" i="6"/>
  <c r="S14" i="6"/>
  <c r="M14" i="6"/>
  <c r="F14" i="6"/>
  <c r="AL14" i="6" s="1"/>
  <c r="U14" i="5"/>
  <c r="U15" i="5"/>
  <c r="U16" i="5"/>
  <c r="U17" i="5"/>
  <c r="U18" i="5"/>
  <c r="U13" i="5"/>
  <c r="U12" i="5"/>
  <c r="L27" i="52" l="1"/>
  <c r="Y27" i="52"/>
  <c r="Y27" i="51"/>
  <c r="AX27" i="51"/>
  <c r="K29" i="51"/>
  <c r="AI27" i="51"/>
  <c r="U22" i="50"/>
  <c r="K33" i="49"/>
  <c r="AS27" i="49"/>
  <c r="K29" i="49"/>
  <c r="AN27" i="49"/>
  <c r="K35" i="48"/>
  <c r="L27" i="47"/>
  <c r="AD27" i="47"/>
  <c r="AN27" i="47"/>
  <c r="T27" i="47"/>
  <c r="AD27" i="46"/>
  <c r="AI27" i="46"/>
  <c r="K27" i="46"/>
  <c r="K28" i="45"/>
  <c r="AN27" i="45"/>
  <c r="K62" i="44"/>
  <c r="K60" i="44"/>
  <c r="AI47" i="44"/>
  <c r="K59" i="44"/>
  <c r="K79" i="44"/>
  <c r="K78" i="44"/>
  <c r="K57" i="44"/>
  <c r="T47" i="44"/>
  <c r="K75" i="44"/>
  <c r="N18" i="6"/>
  <c r="AD14" i="6"/>
  <c r="AD19" i="6"/>
  <c r="N15" i="6"/>
  <c r="T15" i="6"/>
  <c r="AD15" i="6"/>
  <c r="AD16" i="6"/>
  <c r="F17" i="6"/>
  <c r="AL17" i="6" s="1"/>
  <c r="T14" i="6"/>
  <c r="N19" i="6"/>
  <c r="T19" i="6"/>
  <c r="N16" i="6"/>
  <c r="T18" i="6"/>
  <c r="AD18" i="6"/>
  <c r="N14" i="6"/>
  <c r="N20" i="6"/>
  <c r="T20" i="6"/>
  <c r="AD20" i="6"/>
  <c r="T16" i="6"/>
  <c r="T18" i="7"/>
  <c r="AD18" i="7"/>
  <c r="N14" i="7"/>
  <c r="N19" i="7"/>
  <c r="T17" i="7"/>
  <c r="T14" i="7"/>
  <c r="N20" i="7"/>
  <c r="T15" i="7"/>
  <c r="T20" i="7"/>
  <c r="N16" i="7"/>
  <c r="AD16" i="7"/>
  <c r="N17" i="7"/>
  <c r="N18" i="7"/>
  <c r="T19" i="7"/>
  <c r="AD19" i="7"/>
  <c r="N15" i="7"/>
  <c r="AD15" i="7"/>
  <c r="AD20" i="7"/>
  <c r="AD17" i="7"/>
  <c r="AD14" i="7"/>
  <c r="F16" i="7"/>
  <c r="AL16" i="7" s="1"/>
  <c r="G14" i="7"/>
  <c r="J16" i="7"/>
  <c r="J19" i="7"/>
  <c r="L14" i="7"/>
  <c r="L17" i="7"/>
  <c r="L19" i="7"/>
  <c r="P15" i="7"/>
  <c r="P20" i="7"/>
  <c r="J14" i="7"/>
  <c r="J17" i="7"/>
  <c r="L15" i="7"/>
  <c r="R20" i="7"/>
  <c r="J20" i="7"/>
  <c r="J15" i="7"/>
  <c r="J18" i="7"/>
  <c r="L16" i="7"/>
  <c r="L20" i="7"/>
  <c r="P14" i="7"/>
  <c r="P17" i="7"/>
  <c r="P18" i="7"/>
  <c r="P19" i="7"/>
  <c r="R14" i="7"/>
  <c r="R15" i="7"/>
  <c r="R16" i="7"/>
  <c r="R17" i="7"/>
  <c r="R18" i="7"/>
  <c r="R19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AF14" i="7"/>
  <c r="AF15" i="7"/>
  <c r="AF16" i="7"/>
  <c r="AF17" i="7"/>
  <c r="AF18" i="7"/>
  <c r="AF19" i="7"/>
  <c r="AF20" i="7"/>
  <c r="AH14" i="7"/>
  <c r="AH15" i="7"/>
  <c r="AH16" i="7"/>
  <c r="AH17" i="7"/>
  <c r="AH18" i="7"/>
  <c r="AH19" i="7"/>
  <c r="AH20" i="7"/>
  <c r="L18" i="7"/>
  <c r="V14" i="7"/>
  <c r="AJ14" i="7"/>
  <c r="AJ15" i="7"/>
  <c r="AJ16" i="7"/>
  <c r="AJ17" i="7"/>
  <c r="AJ18" i="7"/>
  <c r="AJ19" i="7"/>
  <c r="AJ20" i="7"/>
  <c r="D16" i="6"/>
  <c r="D17" i="6" s="1"/>
  <c r="D18" i="6" s="1"/>
  <c r="D19" i="6" s="1"/>
  <c r="D20" i="6" s="1"/>
  <c r="J14" i="6"/>
  <c r="L14" i="6"/>
  <c r="L18" i="6"/>
  <c r="P14" i="6"/>
  <c r="P18" i="6"/>
  <c r="R18" i="6"/>
  <c r="R20" i="6"/>
  <c r="V18" i="6"/>
  <c r="X14" i="6"/>
  <c r="X19" i="6"/>
  <c r="Z16" i="6"/>
  <c r="Z20" i="6"/>
  <c r="AB14" i="6"/>
  <c r="AB16" i="6"/>
  <c r="AB20" i="6"/>
  <c r="R15" i="6"/>
  <c r="V20" i="6"/>
  <c r="AF14" i="6"/>
  <c r="AF15" i="6"/>
  <c r="AF16" i="6"/>
  <c r="AF18" i="6"/>
  <c r="AF19" i="6"/>
  <c r="AF20" i="6"/>
  <c r="J15" i="6"/>
  <c r="J19" i="6"/>
  <c r="L15" i="6"/>
  <c r="L20" i="6"/>
  <c r="P16" i="6"/>
  <c r="P19" i="6"/>
  <c r="V14" i="6"/>
  <c r="V19" i="6"/>
  <c r="X15" i="6"/>
  <c r="X17" i="6"/>
  <c r="Z14" i="6"/>
  <c r="Z19" i="6"/>
  <c r="AB15" i="6"/>
  <c r="AB19" i="6"/>
  <c r="AH14" i="6"/>
  <c r="AH15" i="6"/>
  <c r="AH16" i="6"/>
  <c r="AH18" i="6"/>
  <c r="AH19" i="6"/>
  <c r="AH20" i="6"/>
  <c r="J20" i="6"/>
  <c r="L17" i="6"/>
  <c r="P15" i="6"/>
  <c r="R14" i="6"/>
  <c r="R19" i="6"/>
  <c r="V15" i="6"/>
  <c r="V16" i="6"/>
  <c r="X20" i="6"/>
  <c r="Z15" i="6"/>
  <c r="Z18" i="6"/>
  <c r="AJ14" i="6"/>
  <c r="AJ15" i="6"/>
  <c r="AJ16" i="6"/>
  <c r="AJ18" i="6"/>
  <c r="AJ19" i="6"/>
  <c r="AJ20" i="6"/>
  <c r="J16" i="6"/>
  <c r="J18" i="6"/>
  <c r="L16" i="6"/>
  <c r="L19" i="6"/>
  <c r="P20" i="6"/>
  <c r="R16" i="6"/>
  <c r="X16" i="6"/>
  <c r="X18" i="6"/>
  <c r="Z17" i="6"/>
  <c r="AB18" i="6"/>
  <c r="U23" i="50" l="1"/>
  <c r="Z22" i="50"/>
  <c r="L27" i="48"/>
  <c r="L27" i="46"/>
  <c r="L27" i="45"/>
  <c r="L47" i="44"/>
  <c r="V17" i="6"/>
  <c r="R17" i="6"/>
  <c r="N17" i="6"/>
  <c r="P17" i="6"/>
  <c r="G14" i="6"/>
  <c r="AH17" i="6"/>
  <c r="AJ17" i="6"/>
  <c r="AF17" i="6"/>
  <c r="J17" i="6"/>
  <c r="T17" i="6"/>
  <c r="AB17" i="6"/>
  <c r="AD17" i="6"/>
  <c r="P16" i="7"/>
  <c r="T16" i="7"/>
  <c r="Z23" i="50" l="1"/>
  <c r="AE22" i="50"/>
  <c r="AE23" i="50" l="1"/>
  <c r="AJ22" i="50"/>
  <c r="AJ23" i="50" l="1"/>
  <c r="AO22" i="50"/>
  <c r="AO23" i="50" l="1"/>
  <c r="AT22" i="50"/>
  <c r="AT23" i="50" s="1"/>
  <c r="B32" i="41" l="1"/>
  <c r="B31" i="41"/>
  <c r="B21" i="41"/>
  <c r="B9" i="41"/>
  <c r="AE97" i="63"/>
  <c r="AF97" i="63"/>
  <c r="AG97" i="63"/>
  <c r="AH97" i="63"/>
  <c r="AI97" i="63"/>
  <c r="AJ97" i="63"/>
  <c r="AE98" i="63"/>
  <c r="AF98" i="63"/>
  <c r="AG98" i="63"/>
  <c r="AH98" i="63"/>
  <c r="AI98" i="63"/>
  <c r="AJ98" i="63"/>
  <c r="AD98" i="63"/>
  <c r="AD97" i="63"/>
  <c r="AD99" i="63" s="1"/>
  <c r="R114" i="63"/>
  <c r="O114" i="63"/>
  <c r="P114" i="63" s="1"/>
  <c r="N114" i="63"/>
  <c r="L114" i="63"/>
  <c r="J114" i="63"/>
  <c r="F114" i="63"/>
  <c r="R113" i="63"/>
  <c r="O113" i="63"/>
  <c r="P113" i="63" s="1"/>
  <c r="N113" i="63"/>
  <c r="L113" i="63"/>
  <c r="J113" i="63"/>
  <c r="F113" i="63"/>
  <c r="R112" i="63"/>
  <c r="O112" i="63"/>
  <c r="S112" i="63" s="1"/>
  <c r="N112" i="63"/>
  <c r="L112" i="63"/>
  <c r="J112" i="63"/>
  <c r="F112" i="63"/>
  <c r="R111" i="63"/>
  <c r="O111" i="63"/>
  <c r="S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N102" i="63"/>
  <c r="L102" i="63"/>
  <c r="J102" i="63"/>
  <c r="F102" i="63"/>
  <c r="R101" i="63"/>
  <c r="O101" i="63"/>
  <c r="P101" i="63" s="1"/>
  <c r="N101" i="63"/>
  <c r="L101" i="63"/>
  <c r="J101" i="63"/>
  <c r="F101" i="63"/>
  <c r="R100" i="63"/>
  <c r="O100" i="63"/>
  <c r="P100" i="63" s="1"/>
  <c r="N100" i="63"/>
  <c r="L100" i="63"/>
  <c r="J100" i="63"/>
  <c r="F100" i="63"/>
  <c r="R99" i="63"/>
  <c r="O99" i="63"/>
  <c r="P99" i="63" s="1"/>
  <c r="N99" i="63"/>
  <c r="L99" i="63"/>
  <c r="J99" i="63"/>
  <c r="F99" i="63"/>
  <c r="R98" i="63"/>
  <c r="O98" i="63"/>
  <c r="S98" i="63" s="1"/>
  <c r="N98" i="63"/>
  <c r="L98" i="63"/>
  <c r="J98" i="63"/>
  <c r="F98" i="63"/>
  <c r="AH99" i="63"/>
  <c r="AC97" i="63"/>
  <c r="AG99" i="63" s="1"/>
  <c r="R97" i="63"/>
  <c r="O97" i="63"/>
  <c r="S97" i="63" s="1"/>
  <c r="N97" i="63"/>
  <c r="L97" i="63"/>
  <c r="J97" i="63"/>
  <c r="F97" i="63"/>
  <c r="R96" i="63"/>
  <c r="O96" i="63"/>
  <c r="P96" i="63" s="1"/>
  <c r="N96" i="63"/>
  <c r="L96" i="63"/>
  <c r="J96" i="63"/>
  <c r="F96" i="63"/>
  <c r="R95" i="63"/>
  <c r="O95" i="63"/>
  <c r="P95" i="63" s="1"/>
  <c r="N95" i="63"/>
  <c r="L95" i="63"/>
  <c r="J95" i="63"/>
  <c r="F95" i="63"/>
  <c r="AE76" i="63"/>
  <c r="AF76" i="63"/>
  <c r="AG76" i="63"/>
  <c r="AH76" i="63"/>
  <c r="AI76" i="63"/>
  <c r="AJ76" i="63"/>
  <c r="AD76" i="63"/>
  <c r="AE75" i="63"/>
  <c r="AF75" i="63"/>
  <c r="AG75" i="63"/>
  <c r="AH75" i="63"/>
  <c r="AI75" i="63"/>
  <c r="AJ75" i="63"/>
  <c r="AD75" i="63"/>
  <c r="R92" i="63"/>
  <c r="O92" i="63"/>
  <c r="P92" i="63" s="1"/>
  <c r="N92" i="63"/>
  <c r="L92" i="63"/>
  <c r="J92" i="63"/>
  <c r="F92" i="63"/>
  <c r="R91" i="63"/>
  <c r="O91" i="63"/>
  <c r="S91" i="63" s="1"/>
  <c r="N91" i="63"/>
  <c r="L91" i="63"/>
  <c r="J91" i="63"/>
  <c r="F91" i="63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P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P84" i="63" s="1"/>
  <c r="N84" i="63"/>
  <c r="L84" i="63"/>
  <c r="J84" i="63"/>
  <c r="F84" i="63"/>
  <c r="R83" i="63"/>
  <c r="O83" i="63"/>
  <c r="S83" i="63" s="1"/>
  <c r="N83" i="63"/>
  <c r="L83" i="63"/>
  <c r="J83" i="63"/>
  <c r="F83" i="63"/>
  <c r="R82" i="63"/>
  <c r="O82" i="63"/>
  <c r="P82" i="63" s="1"/>
  <c r="N82" i="63"/>
  <c r="L82" i="63"/>
  <c r="J82" i="63"/>
  <c r="F82" i="63"/>
  <c r="R81" i="63"/>
  <c r="O81" i="63"/>
  <c r="P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P77" i="63" s="1"/>
  <c r="N77" i="63"/>
  <c r="L77" i="63"/>
  <c r="J77" i="63"/>
  <c r="F77" i="63"/>
  <c r="R76" i="63"/>
  <c r="O76" i="63"/>
  <c r="S76" i="63" s="1"/>
  <c r="N76" i="63"/>
  <c r="L76" i="63"/>
  <c r="J76" i="63"/>
  <c r="F76" i="63"/>
  <c r="AC75" i="63"/>
  <c r="R75" i="63"/>
  <c r="O75" i="63"/>
  <c r="P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AD54" i="63"/>
  <c r="F31" i="41" s="1"/>
  <c r="AD53" i="63"/>
  <c r="AD55" i="63" s="1"/>
  <c r="AE53" i="63"/>
  <c r="AF53" i="63"/>
  <c r="AG53" i="63"/>
  <c r="AH53" i="63"/>
  <c r="AI53" i="63"/>
  <c r="AJ53" i="63"/>
  <c r="AE54" i="63"/>
  <c r="AF54" i="63"/>
  <c r="AG54" i="63"/>
  <c r="AH54" i="63"/>
  <c r="AI54" i="63"/>
  <c r="AJ54" i="63"/>
  <c r="R70" i="63"/>
  <c r="O70" i="63"/>
  <c r="S70" i="63" s="1"/>
  <c r="N70" i="63"/>
  <c r="L70" i="63"/>
  <c r="J70" i="63"/>
  <c r="F70" i="63"/>
  <c r="R69" i="63"/>
  <c r="O69" i="63"/>
  <c r="S69" i="63" s="1"/>
  <c r="N69" i="63"/>
  <c r="L69" i="63"/>
  <c r="J69" i="63"/>
  <c r="F69" i="63"/>
  <c r="R68" i="63"/>
  <c r="O68" i="63"/>
  <c r="S68" i="63" s="1"/>
  <c r="N68" i="63"/>
  <c r="L68" i="63"/>
  <c r="J68" i="63"/>
  <c r="F68" i="63"/>
  <c r="R67" i="63"/>
  <c r="O67" i="63"/>
  <c r="S67" i="63" s="1"/>
  <c r="N67" i="63"/>
  <c r="L67" i="63"/>
  <c r="J67" i="63"/>
  <c r="F67" i="63"/>
  <c r="R66" i="63"/>
  <c r="O66" i="63"/>
  <c r="S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R60" i="63"/>
  <c r="O60" i="63"/>
  <c r="S60" i="63" s="1"/>
  <c r="N60" i="63"/>
  <c r="L60" i="63"/>
  <c r="J60" i="63"/>
  <c r="F60" i="63"/>
  <c r="R59" i="63"/>
  <c r="O59" i="63"/>
  <c r="S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N56" i="63"/>
  <c r="L56" i="63"/>
  <c r="J56" i="63"/>
  <c r="F56" i="63"/>
  <c r="R55" i="63"/>
  <c r="O55" i="63"/>
  <c r="P55" i="63" s="1"/>
  <c r="N55" i="63"/>
  <c r="L55" i="63"/>
  <c r="J55" i="63"/>
  <c r="F55" i="63"/>
  <c r="R54" i="63"/>
  <c r="O54" i="63"/>
  <c r="S54" i="63" s="1"/>
  <c r="N54" i="63"/>
  <c r="L54" i="63"/>
  <c r="J54" i="63"/>
  <c r="F54" i="63"/>
  <c r="AC53" i="63"/>
  <c r="R53" i="63"/>
  <c r="O53" i="63"/>
  <c r="S53" i="63" s="1"/>
  <c r="N53" i="63"/>
  <c r="L53" i="63"/>
  <c r="J53" i="63"/>
  <c r="F53" i="63"/>
  <c r="R52" i="63"/>
  <c r="O52" i="63"/>
  <c r="P52" i="63" s="1"/>
  <c r="N52" i="63"/>
  <c r="L52" i="63"/>
  <c r="J52" i="63"/>
  <c r="F52" i="63"/>
  <c r="R51" i="63"/>
  <c r="O51" i="63"/>
  <c r="P51" i="63" s="1"/>
  <c r="N51" i="63"/>
  <c r="L51" i="63"/>
  <c r="J51" i="63"/>
  <c r="F51" i="63"/>
  <c r="AE31" i="63"/>
  <c r="AF31" i="63"/>
  <c r="AG31" i="63"/>
  <c r="AH31" i="63"/>
  <c r="AI31" i="63"/>
  <c r="AJ31" i="63"/>
  <c r="AE32" i="63"/>
  <c r="H20" i="41" s="1"/>
  <c r="AF32" i="63"/>
  <c r="J20" i="41" s="1"/>
  <c r="AG32" i="63"/>
  <c r="L20" i="41" s="1"/>
  <c r="AH32" i="63"/>
  <c r="F25" i="41" s="1"/>
  <c r="AI32" i="63"/>
  <c r="H25" i="41" s="1"/>
  <c r="AJ32" i="63"/>
  <c r="J25" i="41" s="1"/>
  <c r="AD31" i="63"/>
  <c r="AE8" i="63"/>
  <c r="AF8" i="63"/>
  <c r="AG8" i="63"/>
  <c r="AH8" i="63"/>
  <c r="AI8" i="63"/>
  <c r="AJ8" i="63"/>
  <c r="AD8" i="63"/>
  <c r="AE7" i="63"/>
  <c r="AF7" i="63"/>
  <c r="AG7" i="63"/>
  <c r="AH7" i="63"/>
  <c r="AI7" i="63"/>
  <c r="AJ7" i="63"/>
  <c r="AD7" i="63"/>
  <c r="R48" i="63"/>
  <c r="O48" i="63"/>
  <c r="S48" i="63" s="1"/>
  <c r="U48" i="63" s="1"/>
  <c r="N48" i="63"/>
  <c r="L48" i="63"/>
  <c r="J48" i="63"/>
  <c r="F48" i="63"/>
  <c r="R47" i="63"/>
  <c r="O47" i="63"/>
  <c r="P47" i="63" s="1"/>
  <c r="N47" i="63"/>
  <c r="L47" i="63"/>
  <c r="J47" i="63"/>
  <c r="F47" i="63"/>
  <c r="AD32" i="63" s="1"/>
  <c r="F20" i="41" s="1"/>
  <c r="R46" i="63"/>
  <c r="O46" i="63"/>
  <c r="S46" i="63" s="1"/>
  <c r="U46" i="63" s="1"/>
  <c r="N46" i="63"/>
  <c r="L46" i="63"/>
  <c r="J46" i="63"/>
  <c r="F46" i="63"/>
  <c r="R45" i="63"/>
  <c r="O45" i="63"/>
  <c r="S45" i="63" s="1"/>
  <c r="N45" i="63"/>
  <c r="L45" i="63"/>
  <c r="J45" i="63"/>
  <c r="F45" i="63"/>
  <c r="R44" i="63"/>
  <c r="O44" i="63"/>
  <c r="P44" i="63" s="1"/>
  <c r="N44" i="63"/>
  <c r="L44" i="63"/>
  <c r="J44" i="63"/>
  <c r="F44" i="63"/>
  <c r="R43" i="63"/>
  <c r="O43" i="63"/>
  <c r="S43" i="63" s="1"/>
  <c r="N43" i="63"/>
  <c r="L43" i="63"/>
  <c r="J43" i="63"/>
  <c r="F43" i="63"/>
  <c r="R42" i="63"/>
  <c r="O42" i="63"/>
  <c r="S42" i="63" s="1"/>
  <c r="U42" i="63" s="1"/>
  <c r="N42" i="63"/>
  <c r="L42" i="63"/>
  <c r="J42" i="63"/>
  <c r="F42" i="63"/>
  <c r="R41" i="63"/>
  <c r="O41" i="63"/>
  <c r="S41" i="63" s="1"/>
  <c r="N41" i="63"/>
  <c r="L41" i="63"/>
  <c r="J41" i="63"/>
  <c r="F41" i="63"/>
  <c r="R40" i="63"/>
  <c r="O40" i="63"/>
  <c r="P40" i="63" s="1"/>
  <c r="N40" i="63"/>
  <c r="L40" i="63"/>
  <c r="J40" i="63"/>
  <c r="F40" i="63"/>
  <c r="R39" i="63"/>
  <c r="O39" i="63"/>
  <c r="P39" i="63" s="1"/>
  <c r="N39" i="63"/>
  <c r="L39" i="63"/>
  <c r="J39" i="63"/>
  <c r="F39" i="63"/>
  <c r="R38" i="63"/>
  <c r="O38" i="63"/>
  <c r="S38" i="63" s="1"/>
  <c r="U38" i="63" s="1"/>
  <c r="N38" i="63"/>
  <c r="L38" i="63"/>
  <c r="J38" i="63"/>
  <c r="F38" i="63"/>
  <c r="R37" i="63"/>
  <c r="O37" i="63"/>
  <c r="S37" i="63" s="1"/>
  <c r="N37" i="63"/>
  <c r="L37" i="63"/>
  <c r="J37" i="63"/>
  <c r="F37" i="63"/>
  <c r="R36" i="63"/>
  <c r="O36" i="63"/>
  <c r="P36" i="63" s="1"/>
  <c r="N36" i="63"/>
  <c r="L36" i="63"/>
  <c r="J36" i="63"/>
  <c r="F36" i="63"/>
  <c r="R35" i="63"/>
  <c r="O35" i="63"/>
  <c r="P35" i="63" s="1"/>
  <c r="N35" i="63"/>
  <c r="L35" i="63"/>
  <c r="J35" i="63"/>
  <c r="F35" i="63"/>
  <c r="R34" i="63"/>
  <c r="O34" i="63"/>
  <c r="S34" i="63" s="1"/>
  <c r="U34" i="63" s="1"/>
  <c r="N34" i="63"/>
  <c r="L34" i="63"/>
  <c r="J34" i="63"/>
  <c r="F34" i="63"/>
  <c r="R33" i="63"/>
  <c r="O33" i="63"/>
  <c r="P33" i="63" s="1"/>
  <c r="N33" i="63"/>
  <c r="L33" i="63"/>
  <c r="J33" i="63"/>
  <c r="F33" i="63"/>
  <c r="R32" i="63"/>
  <c r="O32" i="63"/>
  <c r="P32" i="63" s="1"/>
  <c r="N32" i="63"/>
  <c r="L32" i="63"/>
  <c r="J32" i="63"/>
  <c r="F32" i="63"/>
  <c r="AC31" i="63"/>
  <c r="R31" i="63"/>
  <c r="O31" i="63"/>
  <c r="S31" i="63" s="1"/>
  <c r="N31" i="63"/>
  <c r="L31" i="63"/>
  <c r="J31" i="63"/>
  <c r="F31" i="63"/>
  <c r="R30" i="63"/>
  <c r="O30" i="63"/>
  <c r="P30" i="63" s="1"/>
  <c r="N30" i="63"/>
  <c r="L30" i="63"/>
  <c r="J30" i="63"/>
  <c r="F30" i="63"/>
  <c r="R29" i="63"/>
  <c r="N29" i="63"/>
  <c r="J29" i="63"/>
  <c r="T26" i="63"/>
  <c r="R26" i="63"/>
  <c r="O26" i="63"/>
  <c r="M26" i="63"/>
  <c r="K26" i="63"/>
  <c r="S25" i="63"/>
  <c r="U25" i="63" s="1"/>
  <c r="R25" i="63"/>
  <c r="O25" i="63"/>
  <c r="M25" i="63"/>
  <c r="K25" i="63"/>
  <c r="S24" i="63"/>
  <c r="T24" i="63" s="1"/>
  <c r="R24" i="63"/>
  <c r="O24" i="63"/>
  <c r="M24" i="63"/>
  <c r="K24" i="63"/>
  <c r="S23" i="63"/>
  <c r="U23" i="63" s="1"/>
  <c r="R23" i="63"/>
  <c r="O23" i="63"/>
  <c r="M23" i="63"/>
  <c r="K23" i="63"/>
  <c r="S22" i="63"/>
  <c r="U22" i="63" s="1"/>
  <c r="R22" i="63"/>
  <c r="O22" i="63"/>
  <c r="M22" i="63"/>
  <c r="K22" i="63"/>
  <c r="S21" i="63"/>
  <c r="U21" i="63" s="1"/>
  <c r="R21" i="63"/>
  <c r="O21" i="63"/>
  <c r="M21" i="63"/>
  <c r="K21" i="63"/>
  <c r="S20" i="63"/>
  <c r="T20" i="63" s="1"/>
  <c r="R20" i="63"/>
  <c r="O20" i="63"/>
  <c r="M20" i="63"/>
  <c r="K20" i="63"/>
  <c r="S19" i="63"/>
  <c r="U19" i="63" s="1"/>
  <c r="R19" i="63"/>
  <c r="O19" i="63"/>
  <c r="M19" i="63"/>
  <c r="K19" i="63"/>
  <c r="S18" i="63"/>
  <c r="U18" i="63" s="1"/>
  <c r="R18" i="63"/>
  <c r="O18" i="63"/>
  <c r="M18" i="63"/>
  <c r="K18" i="63"/>
  <c r="S17" i="63"/>
  <c r="U17" i="63" s="1"/>
  <c r="R17" i="63"/>
  <c r="O17" i="63"/>
  <c r="M17" i="63"/>
  <c r="K17" i="63"/>
  <c r="S16" i="63"/>
  <c r="T16" i="63" s="1"/>
  <c r="R16" i="63"/>
  <c r="O16" i="63"/>
  <c r="M16" i="63"/>
  <c r="K16" i="63"/>
  <c r="S15" i="63"/>
  <c r="T15" i="63" s="1"/>
  <c r="R15" i="63"/>
  <c r="O15" i="63"/>
  <c r="M15" i="63"/>
  <c r="K15" i="63"/>
  <c r="S14" i="63"/>
  <c r="U14" i="63" s="1"/>
  <c r="R14" i="63"/>
  <c r="O14" i="63"/>
  <c r="M14" i="63"/>
  <c r="K14" i="63"/>
  <c r="S13" i="63"/>
  <c r="T13" i="63" s="1"/>
  <c r="R13" i="63"/>
  <c r="O13" i="63"/>
  <c r="M13" i="63"/>
  <c r="K13" i="63"/>
  <c r="S12" i="63"/>
  <c r="U12" i="63" s="1"/>
  <c r="R12" i="63"/>
  <c r="O12" i="63"/>
  <c r="M12" i="63"/>
  <c r="K12" i="63"/>
  <c r="S11" i="63"/>
  <c r="T11" i="63" s="1"/>
  <c r="R11" i="63"/>
  <c r="O11" i="63"/>
  <c r="M11" i="63"/>
  <c r="K11" i="63"/>
  <c r="S10" i="63"/>
  <c r="U10" i="63" s="1"/>
  <c r="R10" i="63"/>
  <c r="O10" i="63"/>
  <c r="M10" i="63"/>
  <c r="K10" i="63"/>
  <c r="S9" i="63"/>
  <c r="T9" i="63" s="1"/>
  <c r="R9" i="63"/>
  <c r="O9" i="63"/>
  <c r="M9" i="63"/>
  <c r="K9" i="63"/>
  <c r="S8" i="63"/>
  <c r="T8" i="63" s="1"/>
  <c r="R8" i="63"/>
  <c r="O8" i="63"/>
  <c r="M8" i="63"/>
  <c r="K8" i="63"/>
  <c r="AC7" i="63"/>
  <c r="AD9" i="63" s="1"/>
  <c r="S7" i="63"/>
  <c r="U7" i="63" s="1"/>
  <c r="R7" i="63"/>
  <c r="O7" i="63"/>
  <c r="M7" i="63"/>
  <c r="K7" i="63"/>
  <c r="T8" i="5"/>
  <c r="K10" i="39" s="1"/>
  <c r="Q8" i="5"/>
  <c r="K9" i="39" s="1"/>
  <c r="N8" i="5"/>
  <c r="K8" i="39" s="1"/>
  <c r="H8" i="5"/>
  <c r="K6" i="39" s="1"/>
  <c r="G40" i="5"/>
  <c r="I40" i="5"/>
  <c r="J40" i="5" s="1"/>
  <c r="M40" i="5"/>
  <c r="P40" i="5"/>
  <c r="S40" i="5"/>
  <c r="V40" i="5"/>
  <c r="I41" i="5"/>
  <c r="I42" i="5"/>
  <c r="I43" i="5"/>
  <c r="I44" i="5"/>
  <c r="I45" i="5"/>
  <c r="I46" i="5"/>
  <c r="G47" i="5"/>
  <c r="I47" i="5"/>
  <c r="J47" i="5" s="1"/>
  <c r="M47" i="5"/>
  <c r="P47" i="5"/>
  <c r="S47" i="5"/>
  <c r="V47" i="5"/>
  <c r="I48" i="5"/>
  <c r="I49" i="5"/>
  <c r="I50" i="5"/>
  <c r="I51" i="5"/>
  <c r="I52" i="5"/>
  <c r="I53" i="5"/>
  <c r="G54" i="5"/>
  <c r="I54" i="5"/>
  <c r="M54" i="5"/>
  <c r="P54" i="5"/>
  <c r="S54" i="5"/>
  <c r="V54" i="5"/>
  <c r="I55" i="5"/>
  <c r="I56" i="5"/>
  <c r="I57" i="5"/>
  <c r="I58" i="5"/>
  <c r="I59" i="5"/>
  <c r="I60" i="5"/>
  <c r="G61" i="5"/>
  <c r="I61" i="5"/>
  <c r="M61" i="5"/>
  <c r="P61" i="5"/>
  <c r="S61" i="5"/>
  <c r="V61" i="5"/>
  <c r="I62" i="5"/>
  <c r="I63" i="5"/>
  <c r="I64" i="5"/>
  <c r="I65" i="5"/>
  <c r="I66" i="5"/>
  <c r="I67" i="5"/>
  <c r="G26" i="5"/>
  <c r="I6" i="39" s="1"/>
  <c r="I26" i="5"/>
  <c r="M26" i="5"/>
  <c r="I8" i="39" s="1"/>
  <c r="P26" i="5"/>
  <c r="I9" i="39" s="1"/>
  <c r="S26" i="5"/>
  <c r="I10" i="39" s="1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19" i="5"/>
  <c r="M19" i="5"/>
  <c r="P19" i="5"/>
  <c r="S19" i="5"/>
  <c r="V19" i="5"/>
  <c r="I20" i="5"/>
  <c r="I21" i="5"/>
  <c r="I22" i="5"/>
  <c r="I23" i="5"/>
  <c r="I24" i="5"/>
  <c r="I25" i="5"/>
  <c r="B12" i="5"/>
  <c r="B19" i="5" s="1"/>
  <c r="B26" i="5" s="1"/>
  <c r="B33" i="5" s="1"/>
  <c r="B40" i="5" s="1"/>
  <c r="B47" i="5" s="1"/>
  <c r="B54" i="5" s="1"/>
  <c r="B61" i="5" s="1"/>
  <c r="G12" i="5"/>
  <c r="I12" i="5"/>
  <c r="M12" i="5"/>
  <c r="P12" i="5"/>
  <c r="S12" i="5"/>
  <c r="I13" i="5"/>
  <c r="V12" i="5"/>
  <c r="I14" i="5"/>
  <c r="I15" i="5"/>
  <c r="I16" i="5"/>
  <c r="I17" i="5"/>
  <c r="I18" i="5"/>
  <c r="T8" i="3"/>
  <c r="E10" i="39" s="1"/>
  <c r="N8" i="3"/>
  <c r="E8" i="39" s="1"/>
  <c r="K8" i="3"/>
  <c r="E7" i="39" s="1"/>
  <c r="H8" i="3"/>
  <c r="E6" i="39" s="1"/>
  <c r="G40" i="3"/>
  <c r="J40" i="3"/>
  <c r="M40" i="3"/>
  <c r="P40" i="3" s="1"/>
  <c r="O40" i="3"/>
  <c r="S40" i="3"/>
  <c r="U40" i="3"/>
  <c r="V40" i="3"/>
  <c r="O41" i="3"/>
  <c r="U41" i="3"/>
  <c r="O42" i="3"/>
  <c r="U42" i="3"/>
  <c r="O43" i="3"/>
  <c r="U43" i="3"/>
  <c r="O44" i="3"/>
  <c r="U44" i="3"/>
  <c r="O45" i="3"/>
  <c r="U45" i="3"/>
  <c r="O46" i="3"/>
  <c r="U46" i="3"/>
  <c r="G47" i="3"/>
  <c r="J47" i="3"/>
  <c r="M47" i="3"/>
  <c r="O47" i="3"/>
  <c r="S47" i="3"/>
  <c r="U47" i="3"/>
  <c r="O48" i="3"/>
  <c r="U48" i="3"/>
  <c r="O49" i="3"/>
  <c r="U49" i="3"/>
  <c r="O50" i="3"/>
  <c r="U50" i="3"/>
  <c r="O51" i="3"/>
  <c r="U51" i="3"/>
  <c r="O52" i="3"/>
  <c r="U52" i="3"/>
  <c r="O53" i="3"/>
  <c r="U53" i="3"/>
  <c r="G54" i="3"/>
  <c r="J54" i="3"/>
  <c r="M54" i="3"/>
  <c r="O54" i="3"/>
  <c r="S54" i="3"/>
  <c r="U54" i="3"/>
  <c r="O55" i="3"/>
  <c r="U55" i="3"/>
  <c r="O56" i="3"/>
  <c r="U56" i="3"/>
  <c r="O57" i="3"/>
  <c r="U57" i="3"/>
  <c r="O58" i="3"/>
  <c r="U58" i="3"/>
  <c r="O59" i="3"/>
  <c r="U59" i="3"/>
  <c r="O60" i="3"/>
  <c r="U60" i="3"/>
  <c r="G61" i="3"/>
  <c r="J61" i="3"/>
  <c r="M61" i="3"/>
  <c r="O61" i="3"/>
  <c r="S61" i="3"/>
  <c r="U61" i="3"/>
  <c r="O62" i="3"/>
  <c r="U62" i="3"/>
  <c r="O63" i="3"/>
  <c r="U63" i="3"/>
  <c r="O64" i="3"/>
  <c r="U64" i="3"/>
  <c r="O65" i="3"/>
  <c r="U65" i="3"/>
  <c r="O66" i="3"/>
  <c r="U66" i="3"/>
  <c r="O67" i="3"/>
  <c r="U67" i="3"/>
  <c r="G26" i="3"/>
  <c r="B6" i="39" s="1"/>
  <c r="B38" i="41" s="1"/>
  <c r="J26" i="3"/>
  <c r="B7" i="39" s="1"/>
  <c r="M26" i="3"/>
  <c r="B8" i="39" s="1"/>
  <c r="O26" i="3"/>
  <c r="S26" i="3"/>
  <c r="B10" i="39" s="1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C9" i="41" l="1"/>
  <c r="K38" i="20"/>
  <c r="K30" i="20"/>
  <c r="K30" i="19"/>
  <c r="K14" i="20"/>
  <c r="K22" i="19"/>
  <c r="K14" i="19"/>
  <c r="K50" i="62"/>
  <c r="K58" i="62"/>
  <c r="K42" i="62"/>
  <c r="K110" i="20"/>
  <c r="K102" i="20"/>
  <c r="K78" i="19"/>
  <c r="K86" i="20"/>
  <c r="K94" i="20"/>
  <c r="K86" i="19"/>
  <c r="K70" i="19"/>
  <c r="K70" i="62"/>
  <c r="K78" i="62"/>
  <c r="K86" i="62"/>
  <c r="AF55" i="63"/>
  <c r="B20" i="41"/>
  <c r="J19" i="5"/>
  <c r="J54" i="5"/>
  <c r="J33" i="5"/>
  <c r="J26" i="5"/>
  <c r="I7" i="39" s="1"/>
  <c r="J61" i="5"/>
  <c r="W8" i="3"/>
  <c r="E11" i="39" s="1"/>
  <c r="B10" i="41"/>
  <c r="AD77" i="63"/>
  <c r="S99" i="63"/>
  <c r="T99" i="63" s="1"/>
  <c r="AE99" i="63"/>
  <c r="AF99" i="63"/>
  <c r="S40" i="63"/>
  <c r="U40" i="63" s="1"/>
  <c r="AG77" i="63"/>
  <c r="AF77" i="63"/>
  <c r="AH33" i="63"/>
  <c r="AE77" i="63"/>
  <c r="AE55" i="63"/>
  <c r="AH55" i="63"/>
  <c r="AI99" i="63"/>
  <c r="P107" i="63"/>
  <c r="AH77" i="63"/>
  <c r="AG55" i="63"/>
  <c r="U108" i="63"/>
  <c r="T108" i="63"/>
  <c r="U112" i="63"/>
  <c r="T112" i="63"/>
  <c r="U109" i="63"/>
  <c r="T109" i="63"/>
  <c r="U106" i="63"/>
  <c r="T106" i="63"/>
  <c r="T103" i="63"/>
  <c r="U103" i="63"/>
  <c r="U97" i="63"/>
  <c r="T97" i="63"/>
  <c r="U110" i="63"/>
  <c r="T110" i="63"/>
  <c r="T107" i="63"/>
  <c r="U107" i="63"/>
  <c r="U104" i="63"/>
  <c r="T104" i="63"/>
  <c r="U102" i="63"/>
  <c r="T102" i="63"/>
  <c r="U111" i="63"/>
  <c r="T111" i="63"/>
  <c r="U98" i="63"/>
  <c r="T98" i="63"/>
  <c r="P111" i="63"/>
  <c r="P98" i="63"/>
  <c r="U99" i="63"/>
  <c r="P109" i="63"/>
  <c r="S101" i="63"/>
  <c r="S105" i="63"/>
  <c r="S113" i="63"/>
  <c r="S96" i="63"/>
  <c r="P112" i="63"/>
  <c r="P97" i="63"/>
  <c r="S95" i="63"/>
  <c r="P103" i="63"/>
  <c r="AJ99" i="63"/>
  <c r="S100" i="63"/>
  <c r="S114" i="63"/>
  <c r="P102" i="63"/>
  <c r="P104" i="63"/>
  <c r="P106" i="63"/>
  <c r="P108" i="63"/>
  <c r="P110" i="63"/>
  <c r="S30" i="63"/>
  <c r="U30" i="63" s="1"/>
  <c r="S33" i="63"/>
  <c r="T33" i="63" s="1"/>
  <c r="AJ77" i="63"/>
  <c r="S77" i="63"/>
  <c r="U77" i="63" s="1"/>
  <c r="P48" i="63"/>
  <c r="S55" i="63"/>
  <c r="U55" i="63" s="1"/>
  <c r="S36" i="63"/>
  <c r="U36" i="63" s="1"/>
  <c r="S44" i="63"/>
  <c r="U44" i="63" s="1"/>
  <c r="T79" i="63"/>
  <c r="U79" i="63"/>
  <c r="U74" i="63"/>
  <c r="T74" i="63"/>
  <c r="U73" i="63"/>
  <c r="T73" i="63"/>
  <c r="U83" i="63"/>
  <c r="T83" i="63"/>
  <c r="U91" i="63"/>
  <c r="T91" i="63"/>
  <c r="U85" i="63"/>
  <c r="T85" i="63"/>
  <c r="U90" i="63"/>
  <c r="T90" i="63"/>
  <c r="T87" i="63"/>
  <c r="U87" i="63"/>
  <c r="T76" i="63"/>
  <c r="U76" i="63"/>
  <c r="P73" i="63"/>
  <c r="S75" i="63"/>
  <c r="P79" i="63"/>
  <c r="P83" i="63"/>
  <c r="P85" i="63"/>
  <c r="P91" i="63"/>
  <c r="S89" i="63"/>
  <c r="P74" i="63"/>
  <c r="P76" i="63"/>
  <c r="P87" i="63"/>
  <c r="S81" i="63"/>
  <c r="S78" i="63"/>
  <c r="S80" i="63"/>
  <c r="S82" i="63"/>
  <c r="S84" i="63"/>
  <c r="S86" i="63"/>
  <c r="S88" i="63"/>
  <c r="S92" i="63"/>
  <c r="AI77" i="63"/>
  <c r="P90" i="63"/>
  <c r="AF33" i="63"/>
  <c r="P42" i="63"/>
  <c r="AD33" i="63"/>
  <c r="G20" i="41" s="1"/>
  <c r="P34" i="63"/>
  <c r="P46" i="63"/>
  <c r="P38" i="63"/>
  <c r="AG33" i="63"/>
  <c r="AJ55" i="63"/>
  <c r="P41" i="63"/>
  <c r="AE33" i="63"/>
  <c r="U57" i="63"/>
  <c r="T57" i="63"/>
  <c r="U58" i="63"/>
  <c r="T58" i="63"/>
  <c r="U54" i="63"/>
  <c r="T54" i="63"/>
  <c r="U62" i="63"/>
  <c r="T62" i="63"/>
  <c r="U56" i="63"/>
  <c r="T56" i="63"/>
  <c r="U66" i="63"/>
  <c r="T66" i="63"/>
  <c r="U67" i="63"/>
  <c r="T67" i="63"/>
  <c r="U65" i="63"/>
  <c r="T65" i="63"/>
  <c r="U64" i="63"/>
  <c r="T64" i="63"/>
  <c r="U61" i="63"/>
  <c r="T61" i="63"/>
  <c r="U68" i="63"/>
  <c r="T68" i="63"/>
  <c r="U59" i="63"/>
  <c r="T59" i="63"/>
  <c r="U69" i="63"/>
  <c r="T69" i="63"/>
  <c r="U53" i="63"/>
  <c r="T53" i="63"/>
  <c r="U63" i="63"/>
  <c r="T63" i="63"/>
  <c r="U60" i="63"/>
  <c r="T60" i="63"/>
  <c r="U70" i="63"/>
  <c r="T70" i="63"/>
  <c r="P53" i="63"/>
  <c r="S51" i="63"/>
  <c r="P57" i="63"/>
  <c r="P59" i="63"/>
  <c r="P61" i="63"/>
  <c r="P63" i="63"/>
  <c r="P65" i="63"/>
  <c r="P69" i="63"/>
  <c r="AI55" i="63"/>
  <c r="P54" i="63"/>
  <c r="P56" i="63"/>
  <c r="P58" i="63"/>
  <c r="P60" i="63"/>
  <c r="P62" i="63"/>
  <c r="P64" i="63"/>
  <c r="P70" i="63"/>
  <c r="S52" i="63"/>
  <c r="P66" i="63"/>
  <c r="P67" i="63"/>
  <c r="P68" i="63"/>
  <c r="AJ33" i="63"/>
  <c r="U41" i="63"/>
  <c r="T41" i="63"/>
  <c r="T43" i="63"/>
  <c r="U43" i="63"/>
  <c r="T29" i="63"/>
  <c r="U45" i="63"/>
  <c r="T45" i="63"/>
  <c r="U31" i="63"/>
  <c r="T31" i="63"/>
  <c r="U37" i="63"/>
  <c r="T37" i="63"/>
  <c r="S32" i="63"/>
  <c r="P37" i="63"/>
  <c r="P43" i="63"/>
  <c r="P29" i="63"/>
  <c r="S35" i="63"/>
  <c r="S39" i="63"/>
  <c r="S47" i="63"/>
  <c r="P45" i="63"/>
  <c r="AI33" i="63"/>
  <c r="T34" i="63"/>
  <c r="T38" i="63"/>
  <c r="T42" i="63"/>
  <c r="T46" i="63"/>
  <c r="T48" i="63"/>
  <c r="P31" i="63"/>
  <c r="AI9" i="63"/>
  <c r="T23" i="63"/>
  <c r="AJ9" i="63"/>
  <c r="U20" i="63"/>
  <c r="AG9" i="63"/>
  <c r="AH9" i="63"/>
  <c r="U26" i="63"/>
  <c r="T17" i="63"/>
  <c r="AE9" i="63"/>
  <c r="AF9" i="63"/>
  <c r="U8" i="63"/>
  <c r="T25" i="63"/>
  <c r="U15" i="63"/>
  <c r="T18" i="63"/>
  <c r="U13" i="63"/>
  <c r="T22" i="63"/>
  <c r="U11" i="63"/>
  <c r="T14" i="63"/>
  <c r="T21" i="63"/>
  <c r="U16" i="63"/>
  <c r="T19" i="63"/>
  <c r="T7" i="63"/>
  <c r="U9" i="63"/>
  <c r="T12" i="63"/>
  <c r="U24" i="63"/>
  <c r="T10" i="63"/>
  <c r="J12" i="5"/>
  <c r="Q8" i="3"/>
  <c r="E9" i="39" s="1"/>
  <c r="V54" i="3"/>
  <c r="P33" i="3"/>
  <c r="P54" i="3"/>
  <c r="V33" i="3"/>
  <c r="V61" i="3"/>
  <c r="P26" i="3"/>
  <c r="B9" i="39" s="1"/>
  <c r="V12" i="3"/>
  <c r="V26" i="3"/>
  <c r="B11" i="39" s="1"/>
  <c r="P61" i="3"/>
  <c r="P47" i="3"/>
  <c r="P12" i="3"/>
  <c r="P19" i="3"/>
  <c r="V47" i="3"/>
  <c r="V19" i="3"/>
  <c r="K50" i="19" l="1"/>
  <c r="K58" i="19"/>
  <c r="K50" i="20"/>
  <c r="K74" i="20"/>
  <c r="K42" i="19"/>
  <c r="K58" i="20"/>
  <c r="K66" i="20"/>
  <c r="C10" i="41"/>
  <c r="K30" i="62"/>
  <c r="K22" i="62"/>
  <c r="K14" i="62"/>
  <c r="T55" i="63"/>
  <c r="T40" i="63"/>
  <c r="T36" i="63"/>
  <c r="U33" i="63"/>
  <c r="T30" i="63"/>
  <c r="T77" i="63"/>
  <c r="U100" i="63"/>
  <c r="T100" i="63"/>
  <c r="U95" i="63"/>
  <c r="T95" i="63"/>
  <c r="U96" i="63"/>
  <c r="T96" i="63"/>
  <c r="U113" i="63"/>
  <c r="T113" i="63"/>
  <c r="U114" i="63"/>
  <c r="T114" i="63"/>
  <c r="U105" i="63"/>
  <c r="T105" i="63"/>
  <c r="U101" i="63"/>
  <c r="T101" i="63"/>
  <c r="T44" i="63"/>
  <c r="U80" i="63"/>
  <c r="T80" i="63"/>
  <c r="T89" i="63"/>
  <c r="U89" i="63"/>
  <c r="U92" i="63"/>
  <c r="T92" i="63"/>
  <c r="U78" i="63"/>
  <c r="T78" i="63"/>
  <c r="U81" i="63"/>
  <c r="T81" i="63"/>
  <c r="U88" i="63"/>
  <c r="T88" i="63"/>
  <c r="U86" i="63"/>
  <c r="T86" i="63"/>
  <c r="U84" i="63"/>
  <c r="T84" i="63"/>
  <c r="U82" i="63"/>
  <c r="T82" i="63"/>
  <c r="U75" i="63"/>
  <c r="T75" i="63"/>
  <c r="U52" i="63"/>
  <c r="T52" i="63"/>
  <c r="U51" i="63"/>
  <c r="T51" i="63"/>
  <c r="T35" i="63"/>
  <c r="U35" i="63"/>
  <c r="U47" i="63"/>
  <c r="T47" i="63"/>
  <c r="U39" i="63"/>
  <c r="T39" i="63"/>
  <c r="T32" i="63"/>
  <c r="U32" i="63"/>
  <c r="H23" i="13" l="1"/>
  <c r="H22" i="13"/>
  <c r="H21" i="13"/>
  <c r="H20" i="13"/>
  <c r="H18" i="13"/>
  <c r="H17" i="13"/>
  <c r="B23" i="13"/>
  <c r="B22" i="13"/>
  <c r="B21" i="13"/>
  <c r="B20" i="13"/>
  <c r="B18" i="13"/>
  <c r="B17" i="13"/>
  <c r="AV7" i="52" l="1"/>
  <c r="AX7" i="52" s="1"/>
  <c r="AQ7" i="52"/>
  <c r="AS7" i="52" s="1"/>
  <c r="AL7" i="52"/>
  <c r="AN7" i="52" s="1"/>
  <c r="AG7" i="52"/>
  <c r="AI7" i="52" s="1"/>
  <c r="AB7" i="52"/>
  <c r="AD7" i="52" s="1"/>
  <c r="W7" i="52"/>
  <c r="K7" i="52" s="1"/>
  <c r="M7" i="52" s="1"/>
  <c r="T7" i="52"/>
  <c r="R7" i="52"/>
  <c r="S7" i="52" s="1"/>
  <c r="J7" i="52"/>
  <c r="I7" i="52"/>
  <c r="G7" i="52"/>
  <c r="H7" i="52" s="1"/>
  <c r="AM9" i="51"/>
  <c r="AM8" i="51"/>
  <c r="AM7" i="51"/>
  <c r="AH11" i="51"/>
  <c r="AH10" i="51"/>
  <c r="AH9" i="51"/>
  <c r="AH8" i="51"/>
  <c r="AH7" i="51"/>
  <c r="AC11" i="51"/>
  <c r="AV11" i="51"/>
  <c r="AW11" i="51" s="1"/>
  <c r="AQ11" i="51"/>
  <c r="AL11" i="51"/>
  <c r="AG11" i="51"/>
  <c r="AB11" i="51"/>
  <c r="W11" i="51"/>
  <c r="X11" i="51" s="1"/>
  <c r="R11" i="51"/>
  <c r="J11" i="51"/>
  <c r="I11" i="51"/>
  <c r="G11" i="51"/>
  <c r="AV10" i="51"/>
  <c r="AW10" i="51" s="1"/>
  <c r="AQ10" i="51"/>
  <c r="AR10" i="51" s="1"/>
  <c r="AL10" i="51"/>
  <c r="AM10" i="51" s="1"/>
  <c r="AG10" i="51"/>
  <c r="AB10" i="51"/>
  <c r="AC10" i="51" s="1"/>
  <c r="W10" i="51"/>
  <c r="X10" i="51" s="1"/>
  <c r="R10" i="51"/>
  <c r="S10" i="51" s="1"/>
  <c r="J10" i="51"/>
  <c r="I10" i="51"/>
  <c r="G10" i="51"/>
  <c r="AV9" i="51"/>
  <c r="AW9" i="51" s="1"/>
  <c r="AQ9" i="51"/>
  <c r="AL9" i="51"/>
  <c r="AG9" i="51"/>
  <c r="AB9" i="51"/>
  <c r="AC9" i="51" s="1"/>
  <c r="W9" i="51"/>
  <c r="R9" i="51"/>
  <c r="J9" i="51"/>
  <c r="I9" i="51"/>
  <c r="G9" i="51"/>
  <c r="AV8" i="51"/>
  <c r="AW8" i="51" s="1"/>
  <c r="AQ8" i="51"/>
  <c r="AR11" i="51" s="1"/>
  <c r="AL8" i="51"/>
  <c r="AM11" i="51" s="1"/>
  <c r="AG8" i="51"/>
  <c r="AB8" i="51"/>
  <c r="AC8" i="51" s="1"/>
  <c r="W8" i="51"/>
  <c r="X7" i="51" s="1"/>
  <c r="R8" i="51"/>
  <c r="S9" i="51" s="1"/>
  <c r="J8" i="51"/>
  <c r="I8" i="51"/>
  <c r="G8" i="51"/>
  <c r="AV7" i="51"/>
  <c r="AX7" i="51" s="1"/>
  <c r="AQ7" i="51"/>
  <c r="AL7" i="51"/>
  <c r="AG7" i="51"/>
  <c r="AB7" i="51"/>
  <c r="W7" i="51"/>
  <c r="X9" i="51" s="1"/>
  <c r="R7" i="51"/>
  <c r="J7" i="51"/>
  <c r="I7" i="51"/>
  <c r="G7" i="51"/>
  <c r="P2" i="50"/>
  <c r="U2" i="50" s="1"/>
  <c r="AW8" i="49"/>
  <c r="AW7" i="49"/>
  <c r="AH9" i="48"/>
  <c r="AH8" i="48"/>
  <c r="AH7" i="48"/>
  <c r="AC14" i="48"/>
  <c r="AC13" i="48"/>
  <c r="AC11" i="48"/>
  <c r="AC10" i="48"/>
  <c r="AC9" i="48"/>
  <c r="S13" i="48"/>
  <c r="S7" i="48"/>
  <c r="AV14" i="48"/>
  <c r="AW14" i="48" s="1"/>
  <c r="AQ14" i="48"/>
  <c r="AR14" i="48" s="1"/>
  <c r="AL14" i="48"/>
  <c r="AG14" i="48"/>
  <c r="AH14" i="48" s="1"/>
  <c r="AB14" i="48"/>
  <c r="W14" i="48"/>
  <c r="X14" i="48" s="1"/>
  <c r="R14" i="48"/>
  <c r="S14" i="48" s="1"/>
  <c r="K14" i="48"/>
  <c r="J14" i="48"/>
  <c r="I14" i="48"/>
  <c r="G14" i="48"/>
  <c r="AV13" i="48"/>
  <c r="AW13" i="48" s="1"/>
  <c r="AQ13" i="48"/>
  <c r="AR13" i="48" s="1"/>
  <c r="AL13" i="48"/>
  <c r="AM14" i="48" s="1"/>
  <c r="AG13" i="48"/>
  <c r="AB13" i="48"/>
  <c r="W13" i="48"/>
  <c r="X13" i="48" s="1"/>
  <c r="R13" i="48"/>
  <c r="J13" i="48"/>
  <c r="I13" i="48"/>
  <c r="G13" i="48"/>
  <c r="AV12" i="48"/>
  <c r="AQ12" i="48"/>
  <c r="AL12" i="48"/>
  <c r="AM12" i="48" s="1"/>
  <c r="AG12" i="48"/>
  <c r="AH12" i="48" s="1"/>
  <c r="AB12" i="48"/>
  <c r="AC12" i="48" s="1"/>
  <c r="W12" i="48"/>
  <c r="X12" i="48" s="1"/>
  <c r="R12" i="48"/>
  <c r="S12" i="48" s="1"/>
  <c r="J12" i="48"/>
  <c r="I12" i="48"/>
  <c r="G12" i="48"/>
  <c r="AV11" i="48"/>
  <c r="AW11" i="48" s="1"/>
  <c r="AQ11" i="48"/>
  <c r="AR11" i="48" s="1"/>
  <c r="AL11" i="48"/>
  <c r="AM11" i="48" s="1"/>
  <c r="AG11" i="48"/>
  <c r="AB11" i="48"/>
  <c r="W11" i="48"/>
  <c r="R11" i="48"/>
  <c r="J11" i="48"/>
  <c r="I11" i="48"/>
  <c r="G11" i="48"/>
  <c r="AV10" i="48"/>
  <c r="AW10" i="48" s="1"/>
  <c r="AQ10" i="48"/>
  <c r="AL10" i="48"/>
  <c r="AM10" i="48" s="1"/>
  <c r="AG10" i="48"/>
  <c r="AH10" i="48" s="1"/>
  <c r="AB10" i="48"/>
  <c r="W10" i="48"/>
  <c r="X10" i="48" s="1"/>
  <c r="R10" i="48"/>
  <c r="S10" i="48" s="1"/>
  <c r="J10" i="48"/>
  <c r="I10" i="48"/>
  <c r="G10" i="48"/>
  <c r="AV9" i="48"/>
  <c r="AW9" i="48" s="1"/>
  <c r="AQ9" i="48"/>
  <c r="K9" i="48" s="1"/>
  <c r="AL9" i="48"/>
  <c r="AM9" i="48" s="1"/>
  <c r="AG9" i="48"/>
  <c r="AB9" i="48"/>
  <c r="W9" i="48"/>
  <c r="R9" i="48"/>
  <c r="J9" i="48"/>
  <c r="I9" i="48"/>
  <c r="G9" i="48"/>
  <c r="AV8" i="48"/>
  <c r="AW8" i="48" s="1"/>
  <c r="AQ8" i="48"/>
  <c r="AR8" i="48" s="1"/>
  <c r="AL8" i="48"/>
  <c r="AN7" i="48" s="1"/>
  <c r="AG8" i="48"/>
  <c r="AH13" i="48" s="1"/>
  <c r="AB8" i="48"/>
  <c r="AC8" i="48" s="1"/>
  <c r="W8" i="48"/>
  <c r="X9" i="48" s="1"/>
  <c r="R8" i="48"/>
  <c r="S9" i="48" s="1"/>
  <c r="J8" i="48"/>
  <c r="I8" i="48"/>
  <c r="G8" i="48"/>
  <c r="AV7" i="48"/>
  <c r="AW7" i="48" s="1"/>
  <c r="AQ7" i="48"/>
  <c r="K7" i="48" s="1"/>
  <c r="AL7" i="48"/>
  <c r="AG7" i="48"/>
  <c r="AB7" i="48"/>
  <c r="W7" i="48"/>
  <c r="R7" i="48"/>
  <c r="J7" i="48"/>
  <c r="I7" i="48"/>
  <c r="G7" i="48"/>
  <c r="H7" i="48" s="1"/>
  <c r="AV15" i="49"/>
  <c r="AW15" i="49" s="1"/>
  <c r="AQ15" i="49"/>
  <c r="AL15" i="49"/>
  <c r="AM15" i="49" s="1"/>
  <c r="AG15" i="49"/>
  <c r="AB15" i="49"/>
  <c r="AC15" i="49" s="1"/>
  <c r="W15" i="49"/>
  <c r="X15" i="49" s="1"/>
  <c r="R15" i="49"/>
  <c r="K15" i="49" s="1"/>
  <c r="J15" i="49"/>
  <c r="I15" i="49"/>
  <c r="G15" i="49"/>
  <c r="AV14" i="49"/>
  <c r="AQ14" i="49"/>
  <c r="AR14" i="49" s="1"/>
  <c r="AL14" i="49"/>
  <c r="AG14" i="49"/>
  <c r="AB14" i="49"/>
  <c r="AC14" i="49" s="1"/>
  <c r="W14" i="49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J13" i="49"/>
  <c r="I13" i="49"/>
  <c r="G13" i="49"/>
  <c r="AV12" i="49"/>
  <c r="AQ12" i="49"/>
  <c r="AR12" i="49" s="1"/>
  <c r="AL12" i="49"/>
  <c r="AG12" i="49"/>
  <c r="AH12" i="49" s="1"/>
  <c r="AB12" i="49"/>
  <c r="W12" i="49"/>
  <c r="R12" i="49"/>
  <c r="S12" i="49" s="1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AC11" i="49" s="1"/>
  <c r="W11" i="49"/>
  <c r="X11" i="49" s="1"/>
  <c r="R11" i="49"/>
  <c r="J11" i="49"/>
  <c r="I11" i="49"/>
  <c r="G11" i="49"/>
  <c r="AV10" i="49"/>
  <c r="AQ10" i="49"/>
  <c r="AR10" i="49" s="1"/>
  <c r="AL10" i="49"/>
  <c r="AG10" i="49"/>
  <c r="AH10" i="49" s="1"/>
  <c r="AB10" i="49"/>
  <c r="W10" i="49"/>
  <c r="X10" i="49" s="1"/>
  <c r="R10" i="49"/>
  <c r="J10" i="49"/>
  <c r="I10" i="49"/>
  <c r="G10" i="49"/>
  <c r="AV9" i="49"/>
  <c r="AW9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J9" i="49"/>
  <c r="I9" i="49"/>
  <c r="G9" i="49"/>
  <c r="AV8" i="49"/>
  <c r="AQ8" i="49"/>
  <c r="AR8" i="49" s="1"/>
  <c r="AL8" i="49"/>
  <c r="AG8" i="49"/>
  <c r="AH8" i="49" s="1"/>
  <c r="AB8" i="49"/>
  <c r="W8" i="49"/>
  <c r="X8" i="49" s="1"/>
  <c r="R8" i="49"/>
  <c r="S7" i="49" s="1"/>
  <c r="J8" i="49"/>
  <c r="I8" i="49"/>
  <c r="G8" i="49"/>
  <c r="AV7" i="49"/>
  <c r="AW14" i="49" s="1"/>
  <c r="AQ7" i="49"/>
  <c r="AR7" i="49" s="1"/>
  <c r="AL7" i="49"/>
  <c r="AM12" i="49" s="1"/>
  <c r="AG7" i="49"/>
  <c r="AH7" i="49" s="1"/>
  <c r="AB7" i="49"/>
  <c r="AC10" i="49" s="1"/>
  <c r="W7" i="49"/>
  <c r="Y7" i="49" s="1"/>
  <c r="R7" i="49"/>
  <c r="J7" i="49"/>
  <c r="I7" i="49"/>
  <c r="G7" i="49"/>
  <c r="X7" i="52" l="1"/>
  <c r="AC7" i="52"/>
  <c r="AM7" i="52"/>
  <c r="AH7" i="52"/>
  <c r="AR7" i="52"/>
  <c r="AW7" i="52"/>
  <c r="S11" i="51"/>
  <c r="S8" i="51"/>
  <c r="H7" i="51"/>
  <c r="X8" i="51"/>
  <c r="AR9" i="51"/>
  <c r="T7" i="51"/>
  <c r="S7" i="51"/>
  <c r="Y7" i="51"/>
  <c r="AD7" i="51"/>
  <c r="AC7" i="51"/>
  <c r="AW7" i="51"/>
  <c r="AN7" i="51"/>
  <c r="AR7" i="51"/>
  <c r="AR8" i="51"/>
  <c r="AI7" i="51"/>
  <c r="AH13" i="49"/>
  <c r="AR15" i="49"/>
  <c r="X12" i="49"/>
  <c r="X14" i="49"/>
  <c r="AM7" i="49"/>
  <c r="AM8" i="49"/>
  <c r="AW10" i="49"/>
  <c r="AC7" i="49"/>
  <c r="S8" i="49"/>
  <c r="AC8" i="49"/>
  <c r="AM10" i="49"/>
  <c r="AW12" i="49"/>
  <c r="AH15" i="49"/>
  <c r="AM14" i="49"/>
  <c r="S10" i="49"/>
  <c r="AH14" i="49"/>
  <c r="S9" i="49"/>
  <c r="S13" i="49"/>
  <c r="K7" i="49"/>
  <c r="M7" i="49" s="1"/>
  <c r="AC12" i="49"/>
  <c r="S15" i="49"/>
  <c r="S11" i="49"/>
  <c r="H7" i="49"/>
  <c r="X7" i="49"/>
  <c r="AX7" i="49"/>
  <c r="T7" i="49"/>
  <c r="AR7" i="48"/>
  <c r="S8" i="48"/>
  <c r="AH11" i="48"/>
  <c r="S11" i="48"/>
  <c r="AM7" i="48"/>
  <c r="AM13" i="48"/>
  <c r="K11" i="48"/>
  <c r="K12" i="48"/>
  <c r="Y7" i="48"/>
  <c r="K13" i="48"/>
  <c r="AM8" i="48"/>
  <c r="AW12" i="48"/>
  <c r="AR12" i="48"/>
  <c r="AD7" i="48"/>
  <c r="X8" i="48"/>
  <c r="T7" i="48"/>
  <c r="AI7" i="48"/>
  <c r="AR10" i="48"/>
  <c r="X11" i="48"/>
  <c r="AC7" i="48"/>
  <c r="AR9" i="48"/>
  <c r="X7" i="48"/>
  <c r="P3" i="50"/>
  <c r="L7" i="52"/>
  <c r="Y7" i="52"/>
  <c r="K7" i="51"/>
  <c r="AS7" i="51"/>
  <c r="K11" i="51"/>
  <c r="K10" i="51"/>
  <c r="K9" i="51"/>
  <c r="K8" i="51"/>
  <c r="M8" i="51" s="1"/>
  <c r="Z2" i="50"/>
  <c r="U3" i="50"/>
  <c r="AS7" i="48"/>
  <c r="AX7" i="48"/>
  <c r="K10" i="48"/>
  <c r="M10" i="48" s="1"/>
  <c r="K8" i="48"/>
  <c r="M9" i="48" s="1"/>
  <c r="K12" i="49"/>
  <c r="K10" i="49"/>
  <c r="K8" i="49"/>
  <c r="AN7" i="49"/>
  <c r="AS7" i="49"/>
  <c r="K11" i="49"/>
  <c r="K9" i="49"/>
  <c r="K14" i="49"/>
  <c r="K13" i="49"/>
  <c r="AD7" i="49"/>
  <c r="AI7" i="49"/>
  <c r="AM9" i="47"/>
  <c r="AM8" i="47"/>
  <c r="AH9" i="47"/>
  <c r="AH8" i="47"/>
  <c r="AI7" i="47"/>
  <c r="AC9" i="47"/>
  <c r="AC8" i="47"/>
  <c r="AC7" i="47"/>
  <c r="X9" i="47"/>
  <c r="AV9" i="47"/>
  <c r="AW9" i="47" s="1"/>
  <c r="AQ9" i="47"/>
  <c r="AR9" i="47" s="1"/>
  <c r="AL9" i="47"/>
  <c r="AG9" i="47"/>
  <c r="AB9" i="47"/>
  <c r="W9" i="47"/>
  <c r="R9" i="47"/>
  <c r="S9" i="47" s="1"/>
  <c r="J9" i="47"/>
  <c r="I9" i="47"/>
  <c r="G9" i="47"/>
  <c r="AV8" i="47"/>
  <c r="AW8" i="47" s="1"/>
  <c r="AQ8" i="47"/>
  <c r="AS7" i="47" s="1"/>
  <c r="AL8" i="47"/>
  <c r="AG8" i="47"/>
  <c r="AB8" i="47"/>
  <c r="W8" i="47"/>
  <c r="X8" i="47" s="1"/>
  <c r="R8" i="47"/>
  <c r="J8" i="47"/>
  <c r="I8" i="47"/>
  <c r="G8" i="47"/>
  <c r="AB7" i="47"/>
  <c r="W7" i="47"/>
  <c r="X7" i="47" s="1"/>
  <c r="R7" i="47"/>
  <c r="S7" i="47" s="1"/>
  <c r="K7" i="47"/>
  <c r="J7" i="47"/>
  <c r="I7" i="47"/>
  <c r="G7" i="47"/>
  <c r="AW7" i="46"/>
  <c r="AR8" i="46"/>
  <c r="AV8" i="46"/>
  <c r="AW8" i="46" s="1"/>
  <c r="AQ8" i="46"/>
  <c r="AL8" i="46"/>
  <c r="AM8" i="46" s="1"/>
  <c r="AG8" i="46"/>
  <c r="AH8" i="46" s="1"/>
  <c r="AB8" i="46"/>
  <c r="AC8" i="46" s="1"/>
  <c r="W8" i="46"/>
  <c r="X8" i="46" s="1"/>
  <c r="R8" i="46"/>
  <c r="K8" i="46" s="1"/>
  <c r="J8" i="46"/>
  <c r="I8" i="46"/>
  <c r="G8" i="46"/>
  <c r="AV7" i="46"/>
  <c r="AX7" i="46" s="1"/>
  <c r="AQ7" i="46"/>
  <c r="AR7" i="46" s="1"/>
  <c r="AL7" i="46"/>
  <c r="AM7" i="46" s="1"/>
  <c r="AG7" i="46"/>
  <c r="AH7" i="46" s="1"/>
  <c r="AB7" i="46"/>
  <c r="AD7" i="46" s="1"/>
  <c r="W7" i="46"/>
  <c r="R7" i="46"/>
  <c r="S7" i="46" s="1"/>
  <c r="J7" i="46"/>
  <c r="I7" i="46"/>
  <c r="G7" i="46"/>
  <c r="AW9" i="45"/>
  <c r="AW8" i="45"/>
  <c r="AC11" i="45"/>
  <c r="AC10" i="45"/>
  <c r="AC9" i="45"/>
  <c r="AC8" i="45"/>
  <c r="AV11" i="45"/>
  <c r="AW11" i="45" s="1"/>
  <c r="AQ11" i="45"/>
  <c r="AR11" i="45" s="1"/>
  <c r="AL11" i="45"/>
  <c r="AM11" i="45" s="1"/>
  <c r="AG11" i="45"/>
  <c r="AH11" i="45" s="1"/>
  <c r="AB11" i="45"/>
  <c r="W11" i="45"/>
  <c r="X11" i="45" s="1"/>
  <c r="R11" i="45"/>
  <c r="J11" i="45"/>
  <c r="I11" i="45"/>
  <c r="G11" i="45"/>
  <c r="AV10" i="45"/>
  <c r="AQ10" i="45"/>
  <c r="AR10" i="45" s="1"/>
  <c r="AL10" i="45"/>
  <c r="AM10" i="45" s="1"/>
  <c r="AG10" i="45"/>
  <c r="AB10" i="45"/>
  <c r="W10" i="45"/>
  <c r="X10" i="45" s="1"/>
  <c r="R10" i="45"/>
  <c r="S10" i="45" s="1"/>
  <c r="J10" i="45"/>
  <c r="I10" i="45"/>
  <c r="G10" i="45"/>
  <c r="AV9" i="45"/>
  <c r="AQ9" i="45"/>
  <c r="AR9" i="45" s="1"/>
  <c r="AL9" i="45"/>
  <c r="AM9" i="45" s="1"/>
  <c r="AG9" i="45"/>
  <c r="AH10" i="45" s="1"/>
  <c r="AB9" i="45"/>
  <c r="W9" i="45"/>
  <c r="X9" i="45" s="1"/>
  <c r="R9" i="45"/>
  <c r="J9" i="45"/>
  <c r="I9" i="45"/>
  <c r="G9" i="45"/>
  <c r="AV8" i="45"/>
  <c r="AQ8" i="45"/>
  <c r="AR8" i="45" s="1"/>
  <c r="AL8" i="45"/>
  <c r="AG8" i="45"/>
  <c r="AI7" i="45" s="1"/>
  <c r="AB8" i="45"/>
  <c r="W8" i="45"/>
  <c r="X8" i="45" s="1"/>
  <c r="R8" i="45"/>
  <c r="S8" i="45" s="1"/>
  <c r="J8" i="45"/>
  <c r="I8" i="45"/>
  <c r="G8" i="45"/>
  <c r="H7" i="45" s="1"/>
  <c r="AV7" i="45"/>
  <c r="AX7" i="45" s="1"/>
  <c r="AQ7" i="45"/>
  <c r="AR7" i="45" s="1"/>
  <c r="AL7" i="45"/>
  <c r="AN7" i="45" s="1"/>
  <c r="AG7" i="45"/>
  <c r="AB7" i="45"/>
  <c r="W7" i="45"/>
  <c r="R7" i="45"/>
  <c r="J7" i="45"/>
  <c r="I7" i="45"/>
  <c r="G7" i="45"/>
  <c r="AW29" i="44"/>
  <c r="AW9" i="44"/>
  <c r="AM35" i="44"/>
  <c r="AM15" i="44"/>
  <c r="X34" i="44"/>
  <c r="X15" i="44"/>
  <c r="X14" i="44"/>
  <c r="S19" i="44"/>
  <c r="AV39" i="44"/>
  <c r="AW39" i="44" s="1"/>
  <c r="AQ39" i="44"/>
  <c r="AR39" i="44" s="1"/>
  <c r="AL39" i="44"/>
  <c r="AM39" i="44" s="1"/>
  <c r="AG39" i="44"/>
  <c r="AH39" i="44" s="1"/>
  <c r="AB39" i="44"/>
  <c r="AC39" i="44" s="1"/>
  <c r="W39" i="44"/>
  <c r="X16" i="44" s="1"/>
  <c r="R39" i="44"/>
  <c r="K39" i="44" s="1"/>
  <c r="J39" i="44"/>
  <c r="I39" i="44"/>
  <c r="G39" i="44"/>
  <c r="AV38" i="44"/>
  <c r="AQ38" i="44"/>
  <c r="AR38" i="44" s="1"/>
  <c r="AL38" i="44"/>
  <c r="AG38" i="44"/>
  <c r="AB38" i="44"/>
  <c r="AC38" i="44" s="1"/>
  <c r="W38" i="44"/>
  <c r="X38" i="44" s="1"/>
  <c r="R38" i="44"/>
  <c r="K38" i="44"/>
  <c r="J38" i="44"/>
  <c r="I38" i="44"/>
  <c r="G38" i="44"/>
  <c r="AV37" i="44"/>
  <c r="AQ37" i="44"/>
  <c r="AR37" i="44" s="1"/>
  <c r="AL37" i="44"/>
  <c r="AM37" i="44" s="1"/>
  <c r="AG37" i="44"/>
  <c r="AH37" i="44" s="1"/>
  <c r="AB37" i="44"/>
  <c r="AC21" i="44" s="1"/>
  <c r="W37" i="44"/>
  <c r="R37" i="44"/>
  <c r="K37" i="44" s="1"/>
  <c r="J37" i="44"/>
  <c r="I37" i="44"/>
  <c r="G37" i="44"/>
  <c r="AV36" i="44"/>
  <c r="AQ36" i="44"/>
  <c r="AR36" i="44" s="1"/>
  <c r="AL36" i="44"/>
  <c r="AG36" i="44"/>
  <c r="AB36" i="44"/>
  <c r="AC36" i="44" s="1"/>
  <c r="W36" i="44"/>
  <c r="R36" i="44"/>
  <c r="S36" i="44" s="1"/>
  <c r="J36" i="44"/>
  <c r="I36" i="44"/>
  <c r="G36" i="44"/>
  <c r="AV35" i="44"/>
  <c r="AQ35" i="44"/>
  <c r="AR35" i="44" s="1"/>
  <c r="AL35" i="44"/>
  <c r="AG35" i="44"/>
  <c r="AH35" i="44" s="1"/>
  <c r="AB35" i="44"/>
  <c r="W35" i="44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R34" i="44"/>
  <c r="S34" i="44" s="1"/>
  <c r="J34" i="44"/>
  <c r="I34" i="44"/>
  <c r="G34" i="44"/>
  <c r="AV33" i="44"/>
  <c r="AW33" i="44" s="1"/>
  <c r="AQ33" i="44"/>
  <c r="AR33" i="44" s="1"/>
  <c r="AL33" i="44"/>
  <c r="AM33" i="44" s="1"/>
  <c r="AG33" i="44"/>
  <c r="AH33" i="44" s="1"/>
  <c r="AB33" i="44"/>
  <c r="W33" i="44"/>
  <c r="X33" i="44" s="1"/>
  <c r="R33" i="44"/>
  <c r="J33" i="44"/>
  <c r="I33" i="44"/>
  <c r="G33" i="44"/>
  <c r="AV32" i="44"/>
  <c r="AQ32" i="44"/>
  <c r="AL32" i="44"/>
  <c r="AM32" i="44" s="1"/>
  <c r="AG32" i="44"/>
  <c r="AH32" i="44" s="1"/>
  <c r="AB32" i="44"/>
  <c r="AC32" i="44" s="1"/>
  <c r="W32" i="44"/>
  <c r="X32" i="44" s="1"/>
  <c r="R32" i="44"/>
  <c r="S32" i="44" s="1"/>
  <c r="J32" i="44"/>
  <c r="I32" i="44"/>
  <c r="G32" i="44"/>
  <c r="AV31" i="44"/>
  <c r="AQ31" i="44"/>
  <c r="AR31" i="44" s="1"/>
  <c r="AL31" i="44"/>
  <c r="AM31" i="44" s="1"/>
  <c r="AG31" i="44"/>
  <c r="K31" i="44" s="1"/>
  <c r="AB31" i="44"/>
  <c r="W31" i="44"/>
  <c r="X31" i="44" s="1"/>
  <c r="R31" i="44"/>
  <c r="J31" i="44"/>
  <c r="I31" i="44"/>
  <c r="G31" i="44"/>
  <c r="AV30" i="44"/>
  <c r="AQ30" i="44"/>
  <c r="AL30" i="44"/>
  <c r="AM30" i="44" s="1"/>
  <c r="AG30" i="44"/>
  <c r="AB30" i="44"/>
  <c r="AC30" i="44" s="1"/>
  <c r="W30" i="44"/>
  <c r="X30" i="44" s="1"/>
  <c r="R30" i="44"/>
  <c r="S30" i="44" s="1"/>
  <c r="J30" i="44"/>
  <c r="I30" i="44"/>
  <c r="G30" i="44"/>
  <c r="AV29" i="44"/>
  <c r="AQ29" i="44"/>
  <c r="AR29" i="44" s="1"/>
  <c r="AL29" i="44"/>
  <c r="AM29" i="44" s="1"/>
  <c r="AG29" i="44"/>
  <c r="AH29" i="44" s="1"/>
  <c r="AB29" i="44"/>
  <c r="W29" i="44"/>
  <c r="X29" i="44" s="1"/>
  <c r="R29" i="44"/>
  <c r="J29" i="44"/>
  <c r="I29" i="44"/>
  <c r="G29" i="44"/>
  <c r="AV28" i="44"/>
  <c r="AW28" i="44" s="1"/>
  <c r="AQ28" i="44"/>
  <c r="AL28" i="44"/>
  <c r="AM28" i="44" s="1"/>
  <c r="AG28" i="44"/>
  <c r="AB28" i="44"/>
  <c r="W28" i="44"/>
  <c r="X28" i="44" s="1"/>
  <c r="R28" i="44"/>
  <c r="S28" i="44" s="1"/>
  <c r="J28" i="44"/>
  <c r="I28" i="44"/>
  <c r="G28" i="44"/>
  <c r="AV27" i="44"/>
  <c r="AW27" i="44" s="1"/>
  <c r="AQ27" i="44"/>
  <c r="AR27" i="44" s="1"/>
  <c r="AL27" i="44"/>
  <c r="AM27" i="44" s="1"/>
  <c r="AG27" i="44"/>
  <c r="AH27" i="44" s="1"/>
  <c r="AB27" i="44"/>
  <c r="W27" i="44"/>
  <c r="R27" i="44"/>
  <c r="J27" i="44"/>
  <c r="I27" i="44"/>
  <c r="G27" i="44"/>
  <c r="AV26" i="44"/>
  <c r="AW26" i="44" s="1"/>
  <c r="AQ26" i="44"/>
  <c r="AL26" i="44"/>
  <c r="AM26" i="44" s="1"/>
  <c r="AG26" i="44"/>
  <c r="AH26" i="44" s="1"/>
  <c r="AB26" i="44"/>
  <c r="AC26" i="44" s="1"/>
  <c r="W26" i="44"/>
  <c r="X26" i="44" s="1"/>
  <c r="R26" i="44"/>
  <c r="S26" i="44" s="1"/>
  <c r="J26" i="44"/>
  <c r="I26" i="44"/>
  <c r="G26" i="44"/>
  <c r="AV25" i="44"/>
  <c r="AW25" i="44" s="1"/>
  <c r="AQ25" i="44"/>
  <c r="AR25" i="44" s="1"/>
  <c r="AL25" i="44"/>
  <c r="AM25" i="44" s="1"/>
  <c r="AG25" i="44"/>
  <c r="AH25" i="44" s="1"/>
  <c r="AB25" i="44"/>
  <c r="W25" i="44"/>
  <c r="R25" i="44"/>
  <c r="J25" i="44"/>
  <c r="I25" i="44"/>
  <c r="G25" i="44"/>
  <c r="AV24" i="44"/>
  <c r="AW24" i="44" s="1"/>
  <c r="AQ24" i="44"/>
  <c r="AL24" i="44"/>
  <c r="AG24" i="44"/>
  <c r="AH24" i="44" s="1"/>
  <c r="AB24" i="44"/>
  <c r="W24" i="44"/>
  <c r="X24" i="44" s="1"/>
  <c r="R24" i="44"/>
  <c r="K24" i="44" s="1"/>
  <c r="J24" i="44"/>
  <c r="I24" i="44"/>
  <c r="G24" i="44"/>
  <c r="AV23" i="44"/>
  <c r="AW23" i="44" s="1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L22" i="44"/>
  <c r="AG22" i="44"/>
  <c r="AH22" i="44" s="1"/>
  <c r="AB22" i="44"/>
  <c r="W22" i="44"/>
  <c r="X22" i="44" s="1"/>
  <c r="R22" i="44"/>
  <c r="S22" i="44" s="1"/>
  <c r="J22" i="44"/>
  <c r="I22" i="44"/>
  <c r="G22" i="44"/>
  <c r="AV21" i="44"/>
  <c r="AW21" i="44" s="1"/>
  <c r="AQ21" i="44"/>
  <c r="AR21" i="44" s="1"/>
  <c r="AL21" i="44"/>
  <c r="AM21" i="44" s="1"/>
  <c r="AG21" i="44"/>
  <c r="AH30" i="44" s="1"/>
  <c r="AB21" i="44"/>
  <c r="W21" i="44"/>
  <c r="K21" i="44" s="1"/>
  <c r="R21" i="44"/>
  <c r="S21" i="44" s="1"/>
  <c r="J21" i="44"/>
  <c r="I21" i="44"/>
  <c r="G21" i="44"/>
  <c r="AV20" i="44"/>
  <c r="AQ20" i="44"/>
  <c r="AR20" i="44" s="1"/>
  <c r="AL20" i="44"/>
  <c r="AM20" i="44" s="1"/>
  <c r="AG20" i="44"/>
  <c r="AH20" i="44" s="1"/>
  <c r="AB20" i="44"/>
  <c r="AC20" i="44" s="1"/>
  <c r="W20" i="44"/>
  <c r="X21" i="44" s="1"/>
  <c r="R20" i="44"/>
  <c r="S20" i="44" s="1"/>
  <c r="J20" i="44"/>
  <c r="I20" i="44"/>
  <c r="G20" i="44"/>
  <c r="AV19" i="44"/>
  <c r="AW17" i="44" s="1"/>
  <c r="AQ19" i="44"/>
  <c r="AR22" i="44" s="1"/>
  <c r="AL19" i="44"/>
  <c r="AG19" i="44"/>
  <c r="AB19" i="44"/>
  <c r="AC19" i="44" s="1"/>
  <c r="W19" i="44"/>
  <c r="R19" i="44"/>
  <c r="J19" i="44"/>
  <c r="I19" i="44"/>
  <c r="G19" i="44"/>
  <c r="AV18" i="44"/>
  <c r="AQ18" i="44"/>
  <c r="AR18" i="44" s="1"/>
  <c r="AL18" i="44"/>
  <c r="AG18" i="44"/>
  <c r="AH18" i="44" s="1"/>
  <c r="AB18" i="44"/>
  <c r="AC12" i="44" s="1"/>
  <c r="W18" i="44"/>
  <c r="R18" i="44"/>
  <c r="J18" i="44"/>
  <c r="I18" i="44"/>
  <c r="G18" i="44"/>
  <c r="AV17" i="44"/>
  <c r="AQ17" i="44"/>
  <c r="AR17" i="44" s="1"/>
  <c r="AL17" i="44"/>
  <c r="AG17" i="44"/>
  <c r="AB17" i="44"/>
  <c r="AC17" i="44" s="1"/>
  <c r="W17" i="44"/>
  <c r="R17" i="44"/>
  <c r="J17" i="44"/>
  <c r="I17" i="44"/>
  <c r="G17" i="44"/>
  <c r="AV16" i="44"/>
  <c r="AQ16" i="44"/>
  <c r="AR16" i="44" s="1"/>
  <c r="AL16" i="44"/>
  <c r="AG16" i="44"/>
  <c r="AH16" i="44" s="1"/>
  <c r="AB16" i="44"/>
  <c r="AC16" i="44" s="1"/>
  <c r="W16" i="44"/>
  <c r="R16" i="44"/>
  <c r="S16" i="44" s="1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W14" i="44" s="1"/>
  <c r="AQ14" i="44"/>
  <c r="AR14" i="44" s="1"/>
  <c r="AL14" i="44"/>
  <c r="AM14" i="44" s="1"/>
  <c r="AG14" i="44"/>
  <c r="AH14" i="44" s="1"/>
  <c r="AB14" i="44"/>
  <c r="AC14" i="44" s="1"/>
  <c r="W14" i="44"/>
  <c r="R14" i="44"/>
  <c r="S14" i="44" s="1"/>
  <c r="J14" i="44"/>
  <c r="I14" i="44"/>
  <c r="G14" i="44"/>
  <c r="AV13" i="44"/>
  <c r="AQ13" i="44"/>
  <c r="AL13" i="44"/>
  <c r="AM13" i="44" s="1"/>
  <c r="AG13" i="44"/>
  <c r="AB13" i="44"/>
  <c r="W13" i="44"/>
  <c r="X13" i="44" s="1"/>
  <c r="R13" i="44"/>
  <c r="J13" i="44"/>
  <c r="I13" i="44"/>
  <c r="G13" i="44"/>
  <c r="AV12" i="44"/>
  <c r="AQ12" i="44"/>
  <c r="AR12" i="44" s="1"/>
  <c r="AL12" i="44"/>
  <c r="AM12" i="44" s="1"/>
  <c r="AG12" i="44"/>
  <c r="AH12" i="44" s="1"/>
  <c r="AB12" i="44"/>
  <c r="W12" i="44"/>
  <c r="X12" i="44" s="1"/>
  <c r="R12" i="44"/>
  <c r="S12" i="44" s="1"/>
  <c r="J12" i="44"/>
  <c r="I12" i="44"/>
  <c r="G12" i="44"/>
  <c r="AV11" i="44"/>
  <c r="AQ11" i="44"/>
  <c r="AL11" i="44"/>
  <c r="AM11" i="44" s="1"/>
  <c r="AG11" i="44"/>
  <c r="AB11" i="44"/>
  <c r="W11" i="44"/>
  <c r="X11" i="44" s="1"/>
  <c r="R11" i="44"/>
  <c r="J11" i="44"/>
  <c r="I11" i="44"/>
  <c r="G11" i="44"/>
  <c r="AV10" i="44"/>
  <c r="AQ10" i="44"/>
  <c r="AR10" i="44" s="1"/>
  <c r="AL10" i="44"/>
  <c r="AM10" i="44" s="1"/>
  <c r="AG10" i="44"/>
  <c r="K10" i="44" s="1"/>
  <c r="AB10" i="44"/>
  <c r="W10" i="44"/>
  <c r="X10" i="44" s="1"/>
  <c r="R10" i="44"/>
  <c r="S10" i="44" s="1"/>
  <c r="J10" i="44"/>
  <c r="I10" i="44"/>
  <c r="G10" i="44"/>
  <c r="AV9" i="44"/>
  <c r="AQ9" i="44"/>
  <c r="AL9" i="44"/>
  <c r="AG9" i="44"/>
  <c r="AB9" i="44"/>
  <c r="W9" i="44"/>
  <c r="X9" i="44" s="1"/>
  <c r="R9" i="44"/>
  <c r="J9" i="44"/>
  <c r="I9" i="44"/>
  <c r="G9" i="44"/>
  <c r="AV8" i="44"/>
  <c r="AW8" i="44" s="1"/>
  <c r="AQ8" i="44"/>
  <c r="AR15" i="44" s="1"/>
  <c r="AL8" i="44"/>
  <c r="AM9" i="44" s="1"/>
  <c r="AG8" i="44"/>
  <c r="AH17" i="44" s="1"/>
  <c r="AB8" i="44"/>
  <c r="W8" i="44"/>
  <c r="X8" i="44" s="1"/>
  <c r="R8" i="44"/>
  <c r="S27" i="44" s="1"/>
  <c r="J8" i="44"/>
  <c r="I8" i="44"/>
  <c r="G8" i="44"/>
  <c r="AV7" i="44"/>
  <c r="AW7" i="44" s="1"/>
  <c r="AQ7" i="44"/>
  <c r="AL7" i="44"/>
  <c r="AG7" i="44"/>
  <c r="AB7" i="44"/>
  <c r="W7" i="44"/>
  <c r="R7" i="44"/>
  <c r="S25" i="44" s="1"/>
  <c r="J7" i="44"/>
  <c r="I7" i="44"/>
  <c r="G7" i="44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H16" i="13" s="1"/>
  <c r="M7" i="6"/>
  <c r="H15" i="13" s="1"/>
  <c r="B7" i="7"/>
  <c r="AC13" i="7"/>
  <c r="S13" i="7"/>
  <c r="M13" i="7"/>
  <c r="F13" i="7"/>
  <c r="AL13" i="7" s="1"/>
  <c r="AC12" i="7"/>
  <c r="S12" i="7"/>
  <c r="M12" i="7"/>
  <c r="AC11" i="7"/>
  <c r="S11" i="7"/>
  <c r="M11" i="7"/>
  <c r="F11" i="7"/>
  <c r="AL11" i="7" s="1"/>
  <c r="AC10" i="7"/>
  <c r="S10" i="7"/>
  <c r="F10" i="7" s="1"/>
  <c r="AL10" i="7" s="1"/>
  <c r="M10" i="7"/>
  <c r="AC9" i="7"/>
  <c r="S9" i="7"/>
  <c r="M9" i="7"/>
  <c r="F9" i="7"/>
  <c r="AL9" i="7" s="1"/>
  <c r="AC8" i="7"/>
  <c r="S8" i="7"/>
  <c r="M8" i="7"/>
  <c r="F8" i="7"/>
  <c r="AL8" i="7" s="1"/>
  <c r="AC7" i="7"/>
  <c r="B19" i="13" s="1"/>
  <c r="S7" i="7"/>
  <c r="M7" i="7"/>
  <c r="U11" i="5"/>
  <c r="U10" i="5"/>
  <c r="U9" i="5"/>
  <c r="U8" i="5"/>
  <c r="W8" i="5" s="1"/>
  <c r="K11" i="39" s="1"/>
  <c r="M11" i="51" l="1"/>
  <c r="M10" i="51"/>
  <c r="M7" i="51"/>
  <c r="M9" i="51"/>
  <c r="M13" i="49"/>
  <c r="M14" i="49"/>
  <c r="M9" i="49"/>
  <c r="M11" i="49"/>
  <c r="M12" i="49"/>
  <c r="M10" i="49"/>
  <c r="M8" i="49"/>
  <c r="M15" i="49"/>
  <c r="L7" i="48"/>
  <c r="M12" i="48"/>
  <c r="M13" i="48"/>
  <c r="M11" i="48"/>
  <c r="M7" i="48"/>
  <c r="M8" i="48"/>
  <c r="M14" i="48"/>
  <c r="AR8" i="47"/>
  <c r="AX7" i="47"/>
  <c r="H7" i="47"/>
  <c r="AD7" i="47"/>
  <c r="T7" i="47"/>
  <c r="S8" i="47"/>
  <c r="AN7" i="47"/>
  <c r="Y7" i="46"/>
  <c r="S8" i="46"/>
  <c r="AN7" i="46"/>
  <c r="H7" i="46"/>
  <c r="T7" i="46"/>
  <c r="X7" i="46"/>
  <c r="AC7" i="46"/>
  <c r="AS7" i="45"/>
  <c r="AW10" i="45"/>
  <c r="AH7" i="45"/>
  <c r="AH8" i="45"/>
  <c r="AH9" i="45"/>
  <c r="K9" i="45"/>
  <c r="X7" i="45"/>
  <c r="K7" i="45"/>
  <c r="T7" i="45"/>
  <c r="S11" i="45"/>
  <c r="S7" i="45"/>
  <c r="S9" i="45"/>
  <c r="AD7" i="45"/>
  <c r="AM8" i="45"/>
  <c r="K8" i="45"/>
  <c r="AM7" i="45"/>
  <c r="AC7" i="45"/>
  <c r="AW7" i="45"/>
  <c r="AW31" i="44"/>
  <c r="AC23" i="44"/>
  <c r="K18" i="44"/>
  <c r="X17" i="44"/>
  <c r="X37" i="44"/>
  <c r="AC24" i="44"/>
  <c r="AH11" i="44"/>
  <c r="AH31" i="44"/>
  <c r="AM18" i="44"/>
  <c r="AM38" i="44"/>
  <c r="AW12" i="44"/>
  <c r="AW32" i="44"/>
  <c r="Y7" i="44"/>
  <c r="S35" i="44"/>
  <c r="S15" i="44"/>
  <c r="X18" i="44"/>
  <c r="AC25" i="44"/>
  <c r="AM19" i="44"/>
  <c r="AR26" i="44"/>
  <c r="AW13" i="44"/>
  <c r="K8" i="44"/>
  <c r="K20" i="44"/>
  <c r="X19" i="44"/>
  <c r="X39" i="44"/>
  <c r="AH13" i="44"/>
  <c r="AR7" i="44"/>
  <c r="S39" i="44"/>
  <c r="AH8" i="44"/>
  <c r="AH28" i="44"/>
  <c r="S38" i="44"/>
  <c r="AM16" i="44"/>
  <c r="X36" i="44"/>
  <c r="S13" i="44"/>
  <c r="AR28" i="44"/>
  <c r="AW36" i="44"/>
  <c r="S11" i="44"/>
  <c r="K16" i="44"/>
  <c r="AW38" i="44"/>
  <c r="S29" i="44"/>
  <c r="AR13" i="44"/>
  <c r="AC33" i="44"/>
  <c r="K36" i="44"/>
  <c r="AC35" i="44"/>
  <c r="S18" i="44"/>
  <c r="AR23" i="44"/>
  <c r="AH10" i="44"/>
  <c r="X20" i="44"/>
  <c r="AW15" i="44"/>
  <c r="AC28" i="44"/>
  <c r="AW16" i="44"/>
  <c r="AW37" i="44"/>
  <c r="AR11" i="44"/>
  <c r="AR32" i="44"/>
  <c r="S7" i="44"/>
  <c r="X7" i="44"/>
  <c r="AC15" i="44"/>
  <c r="S24" i="44"/>
  <c r="X35" i="44"/>
  <c r="AW30" i="44"/>
  <c r="AM17" i="44"/>
  <c r="AC27" i="44"/>
  <c r="AW35" i="44"/>
  <c r="AR9" i="44"/>
  <c r="AC9" i="44"/>
  <c r="AR30" i="44"/>
  <c r="AW18" i="44"/>
  <c r="AH19" i="44"/>
  <c r="K7" i="44"/>
  <c r="M37" i="44" s="1"/>
  <c r="AC37" i="44"/>
  <c r="AC22" i="44"/>
  <c r="AW11" i="44"/>
  <c r="S33" i="44"/>
  <c r="AR8" i="44"/>
  <c r="AH15" i="44"/>
  <c r="S31" i="44"/>
  <c r="AH36" i="44"/>
  <c r="X23" i="44"/>
  <c r="AM24" i="44"/>
  <c r="S9" i="44"/>
  <c r="AH38" i="44"/>
  <c r="S8" i="44"/>
  <c r="AW20" i="44"/>
  <c r="AM7" i="44"/>
  <c r="X27" i="44"/>
  <c r="AH21" i="44"/>
  <c r="AM8" i="44"/>
  <c r="K25" i="44"/>
  <c r="AC18" i="44"/>
  <c r="AR19" i="44"/>
  <c r="AM36" i="44"/>
  <c r="S17" i="44"/>
  <c r="AR24" i="44"/>
  <c r="AH34" i="44"/>
  <c r="AC8" i="44"/>
  <c r="AM22" i="44"/>
  <c r="AC29" i="44"/>
  <c r="H7" i="44"/>
  <c r="AC11" i="44"/>
  <c r="AW19" i="44"/>
  <c r="X25" i="44"/>
  <c r="AC13" i="44"/>
  <c r="K19" i="44"/>
  <c r="K27" i="44"/>
  <c r="AH9" i="44"/>
  <c r="AW10" i="44"/>
  <c r="S37" i="44"/>
  <c r="AC7" i="44"/>
  <c r="AC10" i="44"/>
  <c r="AC31" i="44"/>
  <c r="K17" i="44"/>
  <c r="AH7" i="44"/>
  <c r="H19" i="13"/>
  <c r="T9" i="7"/>
  <c r="T8" i="7"/>
  <c r="N10" i="7"/>
  <c r="T13" i="7"/>
  <c r="B16" i="13"/>
  <c r="N11" i="7"/>
  <c r="B15" i="13"/>
  <c r="N8" i="7"/>
  <c r="T11" i="7"/>
  <c r="N13" i="7"/>
  <c r="T10" i="7"/>
  <c r="N9" i="7"/>
  <c r="F7" i="7"/>
  <c r="AL7" i="7" s="1"/>
  <c r="F12" i="7"/>
  <c r="AL12" i="7" s="1"/>
  <c r="L7" i="51"/>
  <c r="AE2" i="50"/>
  <c r="Z3" i="50"/>
  <c r="K9" i="47"/>
  <c r="K8" i="47"/>
  <c r="M8" i="47" s="1"/>
  <c r="L7" i="47"/>
  <c r="Y7" i="47"/>
  <c r="AI7" i="46"/>
  <c r="K7" i="46"/>
  <c r="M7" i="46" s="1"/>
  <c r="AS7" i="46"/>
  <c r="K11" i="45"/>
  <c r="K10" i="45"/>
  <c r="M10" i="45" s="1"/>
  <c r="Y7" i="45"/>
  <c r="K11" i="44"/>
  <c r="K23" i="44"/>
  <c r="K26" i="44"/>
  <c r="K22" i="44"/>
  <c r="AD7" i="44"/>
  <c r="AI7" i="44"/>
  <c r="AN7" i="44"/>
  <c r="K28" i="44"/>
  <c r="AS7" i="44"/>
  <c r="AX7" i="44"/>
  <c r="K30" i="44"/>
  <c r="K14" i="44"/>
  <c r="K34" i="44"/>
  <c r="M34" i="44" s="1"/>
  <c r="K15" i="44"/>
  <c r="K35" i="44"/>
  <c r="K13" i="44"/>
  <c r="K33" i="44"/>
  <c r="K12" i="44"/>
  <c r="K32" i="44"/>
  <c r="T7" i="44"/>
  <c r="K9" i="44"/>
  <c r="K29" i="44"/>
  <c r="N9" i="6"/>
  <c r="T8" i="6"/>
  <c r="T9" i="6"/>
  <c r="N10" i="6"/>
  <c r="T10" i="6"/>
  <c r="AD10" i="6"/>
  <c r="N11" i="6"/>
  <c r="T11" i="6"/>
  <c r="F7" i="6"/>
  <c r="T7" i="6" s="1"/>
  <c r="F8" i="6"/>
  <c r="AD8" i="6" s="1"/>
  <c r="F9" i="6"/>
  <c r="F10" i="6"/>
  <c r="F11" i="6"/>
  <c r="AD11" i="6" s="1"/>
  <c r="F12" i="6"/>
  <c r="T12" i="6" s="1"/>
  <c r="F13" i="6"/>
  <c r="N13" i="6" s="1"/>
  <c r="J7" i="7"/>
  <c r="J8" i="7"/>
  <c r="J9" i="7"/>
  <c r="J10" i="7"/>
  <c r="J11" i="7"/>
  <c r="J13" i="7"/>
  <c r="L8" i="7"/>
  <c r="L9" i="7"/>
  <c r="L10" i="7"/>
  <c r="L11" i="7"/>
  <c r="L13" i="7"/>
  <c r="R11" i="7"/>
  <c r="V8" i="7"/>
  <c r="V9" i="7"/>
  <c r="V13" i="7"/>
  <c r="X7" i="7"/>
  <c r="X8" i="7"/>
  <c r="X9" i="7"/>
  <c r="X10" i="7"/>
  <c r="X11" i="7"/>
  <c r="X13" i="7"/>
  <c r="Z8" i="7"/>
  <c r="Z9" i="7"/>
  <c r="Z10" i="7"/>
  <c r="Z11" i="7"/>
  <c r="Z13" i="7"/>
  <c r="R10" i="7"/>
  <c r="AB8" i="7"/>
  <c r="AB9" i="7"/>
  <c r="AB10" i="7"/>
  <c r="AB11" i="7"/>
  <c r="AB12" i="7"/>
  <c r="AB13" i="7"/>
  <c r="P11" i="7"/>
  <c r="R13" i="7"/>
  <c r="V10" i="7"/>
  <c r="AH9" i="7"/>
  <c r="AJ8" i="7"/>
  <c r="AJ9" i="7"/>
  <c r="AJ10" i="7"/>
  <c r="AJ11" i="7"/>
  <c r="AJ13" i="7"/>
  <c r="P7" i="7"/>
  <c r="P8" i="7"/>
  <c r="P9" i="7"/>
  <c r="P10" i="7"/>
  <c r="P13" i="7"/>
  <c r="R8" i="7"/>
  <c r="R9" i="7"/>
  <c r="V11" i="7"/>
  <c r="AD8" i="7"/>
  <c r="AD9" i="7"/>
  <c r="AD10" i="7"/>
  <c r="AD11" i="7"/>
  <c r="AD13" i="7"/>
  <c r="AF8" i="7"/>
  <c r="AF9" i="7"/>
  <c r="AF10" i="7"/>
  <c r="AF11" i="7"/>
  <c r="AF13" i="7"/>
  <c r="AH8" i="7"/>
  <c r="AH10" i="7"/>
  <c r="AH11" i="7"/>
  <c r="AH13" i="7"/>
  <c r="M9" i="47" l="1"/>
  <c r="M7" i="47"/>
  <c r="M8" i="46"/>
  <c r="M8" i="45"/>
  <c r="M11" i="45"/>
  <c r="M7" i="45"/>
  <c r="M9" i="45"/>
  <c r="M27" i="44"/>
  <c r="M14" i="44"/>
  <c r="M25" i="44"/>
  <c r="M20" i="44"/>
  <c r="M28" i="44"/>
  <c r="M18" i="44"/>
  <c r="M9" i="44"/>
  <c r="M8" i="44"/>
  <c r="M12" i="44"/>
  <c r="M16" i="44"/>
  <c r="M39" i="44"/>
  <c r="M30" i="44"/>
  <c r="M26" i="44"/>
  <c r="M23" i="44"/>
  <c r="M33" i="44"/>
  <c r="M21" i="44"/>
  <c r="M17" i="44"/>
  <c r="M22" i="44"/>
  <c r="M19" i="44"/>
  <c r="M10" i="44"/>
  <c r="M24" i="44"/>
  <c r="M7" i="44"/>
  <c r="M29" i="44"/>
  <c r="M36" i="44"/>
  <c r="M11" i="44"/>
  <c r="M32" i="44"/>
  <c r="M31" i="44"/>
  <c r="M13" i="44"/>
  <c r="M35" i="44"/>
  <c r="M15" i="44"/>
  <c r="M38" i="44"/>
  <c r="T13" i="6"/>
  <c r="N12" i="6"/>
  <c r="N7" i="6"/>
  <c r="AD12" i="6"/>
  <c r="V7" i="7"/>
  <c r="V12" i="7"/>
  <c r="L12" i="7"/>
  <c r="AD7" i="7"/>
  <c r="R12" i="7"/>
  <c r="AF7" i="7"/>
  <c r="L7" i="7"/>
  <c r="AJ12" i="7"/>
  <c r="N12" i="7"/>
  <c r="AH7" i="7"/>
  <c r="G7" i="7"/>
  <c r="AB7" i="7"/>
  <c r="AJ7" i="7"/>
  <c r="AH12" i="7"/>
  <c r="Z12" i="7"/>
  <c r="N7" i="7"/>
  <c r="AF12" i="7"/>
  <c r="AD12" i="7"/>
  <c r="Z7" i="7"/>
  <c r="T7" i="7"/>
  <c r="J12" i="7"/>
  <c r="R7" i="7"/>
  <c r="X12" i="7"/>
  <c r="T12" i="7"/>
  <c r="P12" i="7"/>
  <c r="AJ2" i="50"/>
  <c r="AE3" i="50"/>
  <c r="L7" i="46"/>
  <c r="L7" i="45"/>
  <c r="L7" i="44"/>
  <c r="AL13" i="6"/>
  <c r="AH13" i="6"/>
  <c r="AF13" i="6"/>
  <c r="AB13" i="6"/>
  <c r="R13" i="6"/>
  <c r="P13" i="6"/>
  <c r="AJ13" i="6"/>
  <c r="Z13" i="6"/>
  <c r="X13" i="6"/>
  <c r="V13" i="6"/>
  <c r="L13" i="6"/>
  <c r="J13" i="6"/>
  <c r="AL12" i="6"/>
  <c r="AF12" i="6"/>
  <c r="AB12" i="6"/>
  <c r="AJ12" i="6"/>
  <c r="AH12" i="6"/>
  <c r="Z12" i="6"/>
  <c r="V12" i="6"/>
  <c r="X12" i="6"/>
  <c r="L12" i="6"/>
  <c r="J12" i="6"/>
  <c r="R12" i="6"/>
  <c r="P12" i="6"/>
  <c r="AL11" i="6"/>
  <c r="AH11" i="6"/>
  <c r="AF11" i="6"/>
  <c r="AB11" i="6"/>
  <c r="R11" i="6"/>
  <c r="AJ11" i="6"/>
  <c r="Z11" i="6"/>
  <c r="P11" i="6"/>
  <c r="X11" i="6"/>
  <c r="V11" i="6"/>
  <c r="L11" i="6"/>
  <c r="J11" i="6"/>
  <c r="AL10" i="6"/>
  <c r="AH10" i="6"/>
  <c r="AF10" i="6"/>
  <c r="AB10" i="6"/>
  <c r="R10" i="6"/>
  <c r="AJ10" i="6"/>
  <c r="P10" i="6"/>
  <c r="Z10" i="6"/>
  <c r="X10" i="6"/>
  <c r="V10" i="6"/>
  <c r="L10" i="6"/>
  <c r="J10" i="6"/>
  <c r="AL9" i="6"/>
  <c r="AH9" i="6"/>
  <c r="AF9" i="6"/>
  <c r="AB9" i="6"/>
  <c r="R9" i="6"/>
  <c r="AJ9" i="6"/>
  <c r="Z9" i="6"/>
  <c r="V9" i="6"/>
  <c r="X9" i="6"/>
  <c r="P9" i="6"/>
  <c r="L9" i="6"/>
  <c r="J9" i="6"/>
  <c r="AL8" i="6"/>
  <c r="AH8" i="6"/>
  <c r="AF8" i="6"/>
  <c r="AB8" i="6"/>
  <c r="R8" i="6"/>
  <c r="AJ8" i="6"/>
  <c r="Z8" i="6"/>
  <c r="X8" i="6"/>
  <c r="V8" i="6"/>
  <c r="L8" i="6"/>
  <c r="J8" i="6"/>
  <c r="P8" i="6"/>
  <c r="N8" i="6"/>
  <c r="AL7" i="6"/>
  <c r="AH7" i="6"/>
  <c r="AF7" i="6"/>
  <c r="AB7" i="6"/>
  <c r="R7" i="6"/>
  <c r="P7" i="6"/>
  <c r="AJ7" i="6"/>
  <c r="Z7" i="6"/>
  <c r="V7" i="6"/>
  <c r="X7" i="6"/>
  <c r="L7" i="6"/>
  <c r="J7" i="6"/>
  <c r="G7" i="6"/>
  <c r="AD7" i="6"/>
  <c r="AD13" i="6"/>
  <c r="AD9" i="6"/>
  <c r="AJ3" i="50" l="1"/>
  <c r="AO2" i="50"/>
  <c r="AO3" i="50" l="1"/>
  <c r="AT2" i="50"/>
  <c r="AT3" i="50" s="1"/>
  <c r="C36" i="13" l="1"/>
  <c r="C35" i="13"/>
  <c r="C34" i="13"/>
  <c r="C33" i="13"/>
  <c r="C32" i="13"/>
  <c r="C31" i="13"/>
  <c r="C30" i="13"/>
  <c r="C29" i="13"/>
  <c r="C28" i="13"/>
  <c r="J23" i="13"/>
  <c r="J22" i="13"/>
  <c r="J21" i="13"/>
  <c r="J20" i="13"/>
  <c r="J19" i="13"/>
  <c r="J18" i="13"/>
  <c r="J17" i="13"/>
  <c r="J16" i="13"/>
  <c r="J15" i="13"/>
  <c r="D23" i="13"/>
  <c r="D22" i="13"/>
  <c r="D21" i="13"/>
  <c r="D20" i="13"/>
  <c r="D19" i="13"/>
  <c r="D18" i="13"/>
  <c r="D17" i="13"/>
  <c r="D16" i="13"/>
  <c r="D15" i="13"/>
  <c r="J11" i="13"/>
  <c r="J10" i="13"/>
  <c r="J9" i="13"/>
  <c r="J8" i="13"/>
  <c r="J7" i="13"/>
  <c r="J6" i="13"/>
  <c r="C11" i="13"/>
  <c r="C10" i="13"/>
  <c r="C9" i="13"/>
  <c r="C8" i="13"/>
  <c r="C7" i="13"/>
  <c r="C6" i="13"/>
  <c r="B10" i="40"/>
  <c r="B9" i="40"/>
  <c r="B8" i="25"/>
  <c r="A8" i="25"/>
  <c r="M29" i="62"/>
  <c r="M28" i="62"/>
  <c r="M27" i="62"/>
  <c r="M26" i="62"/>
  <c r="M25" i="62"/>
  <c r="M30" i="62" s="1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25" i="20"/>
  <c r="M30" i="20" s="1"/>
  <c r="M13" i="20"/>
  <c r="M12" i="20"/>
  <c r="M11" i="20"/>
  <c r="M14" i="20" s="1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14" i="19" s="1"/>
  <c r="M9" i="19"/>
  <c r="M22" i="20" l="1"/>
  <c r="K22" i="20" s="1"/>
  <c r="M14" i="62"/>
  <c r="M22" i="62"/>
  <c r="M38" i="20"/>
  <c r="M22" i="19"/>
  <c r="I7" i="13"/>
  <c r="U7" i="5" l="1"/>
  <c r="U6" i="5"/>
  <c r="U5" i="5"/>
  <c r="I5" i="5" l="1"/>
  <c r="I6" i="5"/>
  <c r="I7" i="5"/>
  <c r="I8" i="5"/>
  <c r="I9" i="5"/>
  <c r="I10" i="5"/>
  <c r="I11" i="5"/>
  <c r="K8" i="5" l="1"/>
  <c r="K7" i="39" s="1"/>
  <c r="C31" i="41" l="1"/>
  <c r="T26" i="64" l="1"/>
  <c r="U26" i="64" s="1"/>
  <c r="S26" i="64"/>
  <c r="R26" i="64"/>
  <c r="O26" i="64"/>
  <c r="M26" i="64"/>
  <c r="K26" i="64"/>
  <c r="T25" i="64"/>
  <c r="U25" i="64" s="1"/>
  <c r="S25" i="64"/>
  <c r="R25" i="64"/>
  <c r="O25" i="64"/>
  <c r="M25" i="64"/>
  <c r="K25" i="64"/>
  <c r="T24" i="64"/>
  <c r="U24" i="64" s="1"/>
  <c r="S24" i="64"/>
  <c r="R24" i="64"/>
  <c r="O24" i="64"/>
  <c r="M24" i="64"/>
  <c r="K24" i="64"/>
  <c r="T23" i="64"/>
  <c r="U23" i="64" s="1"/>
  <c r="S23" i="64"/>
  <c r="R23" i="64"/>
  <c r="O23" i="64"/>
  <c r="M23" i="64"/>
  <c r="K23" i="64"/>
  <c r="T22" i="64"/>
  <c r="U22" i="64" s="1"/>
  <c r="S22" i="64"/>
  <c r="R22" i="64"/>
  <c r="O22" i="64"/>
  <c r="M22" i="64"/>
  <c r="K22" i="64"/>
  <c r="T21" i="64"/>
  <c r="U21" i="64" s="1"/>
  <c r="S21" i="64"/>
  <c r="R21" i="64"/>
  <c r="O21" i="64"/>
  <c r="M21" i="64"/>
  <c r="K21" i="64"/>
  <c r="T20" i="64"/>
  <c r="U20" i="64" s="1"/>
  <c r="S20" i="64"/>
  <c r="R20" i="64"/>
  <c r="O20" i="64"/>
  <c r="M20" i="64"/>
  <c r="K20" i="64"/>
  <c r="T19" i="64"/>
  <c r="U19" i="64" s="1"/>
  <c r="S19" i="64"/>
  <c r="R19" i="64"/>
  <c r="O19" i="64"/>
  <c r="M19" i="64"/>
  <c r="K19" i="64"/>
  <c r="T18" i="64"/>
  <c r="U18" i="64" s="1"/>
  <c r="S18" i="64"/>
  <c r="R18" i="64"/>
  <c r="O18" i="64"/>
  <c r="M18" i="64"/>
  <c r="K18" i="64"/>
  <c r="T17" i="64"/>
  <c r="U17" i="64" s="1"/>
  <c r="S17" i="64"/>
  <c r="R17" i="64"/>
  <c r="O17" i="64"/>
  <c r="M17" i="64"/>
  <c r="K17" i="64"/>
  <c r="T16" i="64"/>
  <c r="U16" i="64" s="1"/>
  <c r="S16" i="64"/>
  <c r="R16" i="64"/>
  <c r="O16" i="64"/>
  <c r="M16" i="64"/>
  <c r="K16" i="64"/>
  <c r="T15" i="64"/>
  <c r="U15" i="64" s="1"/>
  <c r="S15" i="64"/>
  <c r="R15" i="64"/>
  <c r="O15" i="64"/>
  <c r="M15" i="64"/>
  <c r="K15" i="64"/>
  <c r="T14" i="64"/>
  <c r="U14" i="64" s="1"/>
  <c r="S14" i="64"/>
  <c r="R14" i="64"/>
  <c r="O14" i="64"/>
  <c r="M14" i="64"/>
  <c r="K14" i="64"/>
  <c r="T13" i="64"/>
  <c r="U13" i="64" s="1"/>
  <c r="S13" i="64"/>
  <c r="R13" i="64"/>
  <c r="O13" i="64"/>
  <c r="M13" i="64"/>
  <c r="K13" i="64"/>
  <c r="T12" i="64"/>
  <c r="U12" i="64" s="1"/>
  <c r="S12" i="64"/>
  <c r="R12" i="64"/>
  <c r="O12" i="64"/>
  <c r="M12" i="64"/>
  <c r="K12" i="64"/>
  <c r="T11" i="64"/>
  <c r="U11" i="64" s="1"/>
  <c r="S11" i="64"/>
  <c r="R11" i="64"/>
  <c r="O11" i="64"/>
  <c r="M11" i="64"/>
  <c r="K11" i="64"/>
  <c r="T10" i="64"/>
  <c r="U10" i="64" s="1"/>
  <c r="S10" i="64"/>
  <c r="R10" i="64"/>
  <c r="O10" i="64"/>
  <c r="M10" i="64"/>
  <c r="K10" i="64"/>
  <c r="T9" i="64"/>
  <c r="U9" i="64" s="1"/>
  <c r="S9" i="64"/>
  <c r="R9" i="64"/>
  <c r="O9" i="64"/>
  <c r="M9" i="64"/>
  <c r="K9" i="64"/>
  <c r="T8" i="64"/>
  <c r="U8" i="64" s="1"/>
  <c r="S8" i="64"/>
  <c r="R8" i="64"/>
  <c r="O8" i="64"/>
  <c r="M8" i="64"/>
  <c r="K8" i="64"/>
  <c r="T7" i="64"/>
  <c r="U7" i="64" s="1"/>
  <c r="S7" i="64"/>
  <c r="R7" i="64"/>
  <c r="O7" i="64"/>
  <c r="M7" i="64"/>
  <c r="K7" i="64"/>
  <c r="I10" i="13" l="1"/>
  <c r="I9" i="13"/>
  <c r="I8" i="13"/>
  <c r="I6" i="13"/>
  <c r="I11" i="13" l="1"/>
  <c r="V5" i="5" l="1"/>
  <c r="S5" i="5"/>
  <c r="P5" i="5"/>
  <c r="M5" i="5"/>
  <c r="J5" i="5"/>
  <c r="G5" i="5"/>
  <c r="U11" i="3" l="1"/>
  <c r="O11" i="3"/>
  <c r="U10" i="3"/>
  <c r="O10" i="3"/>
  <c r="U9" i="3"/>
  <c r="O9" i="3"/>
  <c r="U8" i="3"/>
  <c r="O8" i="3"/>
  <c r="U7" i="3"/>
  <c r="O7" i="3"/>
  <c r="U6" i="3"/>
  <c r="O6" i="3"/>
  <c r="U5" i="3"/>
  <c r="S5" i="3"/>
  <c r="O5" i="3"/>
  <c r="M5" i="3"/>
  <c r="J5" i="3"/>
  <c r="G5" i="3"/>
  <c r="B7" i="13" l="1"/>
  <c r="B6" i="13"/>
  <c r="V5" i="3"/>
  <c r="P5" i="3"/>
  <c r="E29" i="13" l="1"/>
  <c r="E30" i="13"/>
  <c r="E31" i="13"/>
  <c r="E32" i="13"/>
  <c r="E33" i="13"/>
  <c r="E34" i="13"/>
  <c r="E35" i="13"/>
  <c r="E36" i="13"/>
  <c r="E28" i="13"/>
  <c r="J24" i="13"/>
  <c r="K11" i="13"/>
  <c r="K10" i="13"/>
  <c r="K9" i="13"/>
  <c r="K8" i="13"/>
  <c r="K7" i="13"/>
  <c r="K6" i="13"/>
  <c r="E11" i="13"/>
  <c r="E10" i="13"/>
  <c r="E9" i="13"/>
  <c r="E8" i="13"/>
  <c r="E7" i="13"/>
  <c r="E6" i="13"/>
  <c r="D10" i="13"/>
  <c r="D8" i="13"/>
  <c r="D11" i="13"/>
  <c r="D9" i="13"/>
  <c r="P45" i="65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H11" i="65"/>
  <c r="G11" i="65"/>
  <c r="P11" i="65" s="1"/>
  <c r="F11" i="65"/>
  <c r="E11" i="65"/>
  <c r="D11" i="65"/>
  <c r="P10" i="65"/>
  <c r="P9" i="65"/>
  <c r="O7" i="65"/>
  <c r="N7" i="65"/>
  <c r="M7" i="65"/>
  <c r="L7" i="65"/>
  <c r="K7" i="65"/>
  <c r="J7" i="65"/>
  <c r="I7" i="65"/>
  <c r="H7" i="65"/>
  <c r="G7" i="65"/>
  <c r="P7" i="65" s="1"/>
  <c r="P6" i="65"/>
  <c r="O5" i="65"/>
  <c r="N5" i="65"/>
  <c r="M5" i="65"/>
  <c r="P5" i="65" s="1"/>
  <c r="L5" i="65"/>
  <c r="K5" i="65"/>
  <c r="J5" i="65"/>
  <c r="I5" i="65"/>
  <c r="H5" i="65"/>
  <c r="G5" i="65"/>
  <c r="P4" i="65"/>
  <c r="P3" i="65"/>
  <c r="P2" i="65"/>
  <c r="D7" i="13" l="1"/>
  <c r="I22" i="13"/>
  <c r="K22" i="13" s="1"/>
  <c r="I17" i="13"/>
  <c r="K17" i="13" s="1"/>
  <c r="I20" i="13"/>
  <c r="K20" i="13" s="1"/>
  <c r="I21" i="13"/>
  <c r="K21" i="13" s="1"/>
  <c r="D24" i="13"/>
  <c r="D6" i="13"/>
  <c r="I18" i="13"/>
  <c r="K18" i="13" s="1"/>
  <c r="I23" i="13"/>
  <c r="K23" i="13" s="1"/>
  <c r="C20" i="13"/>
  <c r="E20" i="13" s="1"/>
  <c r="C18" i="13"/>
  <c r="E18" i="13" s="1"/>
  <c r="C23" i="13"/>
  <c r="E23" i="13" s="1"/>
  <c r="C21" i="13"/>
  <c r="E21" i="13" s="1"/>
  <c r="C17" i="13"/>
  <c r="E17" i="13" s="1"/>
  <c r="C22" i="13"/>
  <c r="E22" i="13" s="1"/>
  <c r="B28" i="13" l="1"/>
  <c r="D28" i="13" s="1"/>
  <c r="I16" i="13" l="1"/>
  <c r="K16" i="13" s="1"/>
  <c r="I19" i="13"/>
  <c r="K19" i="13" s="1"/>
  <c r="I15" i="13"/>
  <c r="C15" i="13"/>
  <c r="C16" i="13"/>
  <c r="E16" i="13" s="1"/>
  <c r="C19" i="13"/>
  <c r="E19" i="13" s="1"/>
  <c r="K15" i="13" l="1"/>
  <c r="I24" i="13"/>
  <c r="E15" i="13"/>
  <c r="C24" i="13"/>
  <c r="D28" i="39" l="1"/>
  <c r="B32" i="13" l="1"/>
  <c r="D32" i="13" s="1"/>
  <c r="B29" i="13"/>
  <c r="D29" i="13" s="1"/>
  <c r="E34" i="39" l="1"/>
  <c r="B34" i="13"/>
  <c r="D34" i="13" s="1"/>
  <c r="B35" i="13"/>
  <c r="D35" i="13" s="1"/>
  <c r="B36" i="13" l="1"/>
  <c r="D36" i="13" s="1"/>
  <c r="B33" i="13"/>
  <c r="D33" i="13" s="1"/>
  <c r="AD7" i="64" l="1"/>
  <c r="H14" i="40" l="1"/>
  <c r="F14" i="40"/>
  <c r="K14" i="40"/>
  <c r="I14" i="40"/>
  <c r="F9" i="40"/>
  <c r="H9" i="40"/>
  <c r="J9" i="40"/>
  <c r="L9" i="40"/>
  <c r="G9" i="40"/>
  <c r="I9" i="40"/>
  <c r="J14" i="40"/>
  <c r="M9" i="40"/>
  <c r="G14" i="40"/>
  <c r="K9" i="40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B12" i="3"/>
  <c r="B19" i="3" s="1"/>
  <c r="B26" i="3" s="1"/>
  <c r="B33" i="3" s="1"/>
  <c r="B40" i="3" s="1"/>
  <c r="B47" i="3" s="1"/>
  <c r="B54" i="3" s="1"/>
  <c r="B61" i="3" s="1"/>
  <c r="B5" i="40" l="1"/>
  <c r="C10" i="40" l="1"/>
  <c r="C9" i="40"/>
  <c r="C53" i="41" l="1"/>
  <c r="D30" i="39" l="1"/>
  <c r="B31" i="13" l="1"/>
  <c r="D31" i="13" s="1"/>
  <c r="B30" i="13"/>
  <c r="D30" i="13" s="1"/>
  <c r="E28" i="39"/>
  <c r="C21" i="39" l="1"/>
  <c r="C22" i="39"/>
  <c r="C17" i="39"/>
  <c r="C20" i="39"/>
  <c r="C15" i="39"/>
  <c r="C23" i="39"/>
  <c r="C19" i="39"/>
  <c r="C18" i="39"/>
  <c r="C16" i="39"/>
  <c r="C54" i="41" l="1"/>
  <c r="AE7" i="64" l="1"/>
  <c r="AF7" i="64"/>
  <c r="AG7" i="64"/>
  <c r="AH7" i="64"/>
  <c r="AI7" i="64"/>
  <c r="AJ7" i="64"/>
  <c r="AE8" i="64"/>
  <c r="AF8" i="64"/>
  <c r="AG8" i="64"/>
  <c r="AH8" i="64"/>
  <c r="AI8" i="64"/>
  <c r="AJ8" i="64"/>
  <c r="AD8" i="64"/>
  <c r="AC7" i="64"/>
  <c r="AD9" i="64" l="1"/>
  <c r="G58" i="41"/>
  <c r="I58" i="41"/>
  <c r="L53" i="41"/>
  <c r="F53" i="41"/>
  <c r="J58" i="41"/>
  <c r="H58" i="41"/>
  <c r="F58" i="41"/>
  <c r="J53" i="41"/>
  <c r="H53" i="41"/>
  <c r="G53" i="41"/>
  <c r="AJ9" i="64"/>
  <c r="M53" i="41"/>
  <c r="K53" i="41"/>
  <c r="I53" i="41"/>
  <c r="K58" i="41"/>
  <c r="AI9" i="64"/>
  <c r="AG9" i="64"/>
  <c r="AF9" i="64"/>
  <c r="AH9" i="64"/>
  <c r="AE9" i="64"/>
  <c r="F10" i="40" l="1"/>
  <c r="F42" i="41" l="1"/>
  <c r="I42" i="41"/>
  <c r="K42" i="41"/>
  <c r="M42" i="41"/>
  <c r="H42" i="41"/>
  <c r="J42" i="41"/>
  <c r="L42" i="41"/>
  <c r="F47" i="41"/>
  <c r="H47" i="41"/>
  <c r="J47" i="41"/>
  <c r="G42" i="41"/>
  <c r="I47" i="41" l="1"/>
  <c r="G47" i="41"/>
  <c r="K47" i="41"/>
  <c r="I31" i="41" l="1"/>
  <c r="K31" i="41"/>
  <c r="M31" i="41"/>
  <c r="G36" i="41"/>
  <c r="I36" i="41"/>
  <c r="H31" i="41"/>
  <c r="J31" i="41"/>
  <c r="L31" i="41"/>
  <c r="F36" i="41"/>
  <c r="H36" i="41"/>
  <c r="J36" i="41"/>
  <c r="G31" i="41"/>
  <c r="K36" i="41" l="1"/>
  <c r="H10" i="40" l="1"/>
  <c r="J10" i="40"/>
  <c r="L10" i="40"/>
  <c r="F15" i="40"/>
  <c r="H15" i="40"/>
  <c r="J15" i="40"/>
  <c r="C42" i="41"/>
  <c r="K30" i="61" l="1"/>
  <c r="K22" i="61"/>
  <c r="K14" i="61"/>
  <c r="C32" i="41"/>
  <c r="K15" i="40"/>
  <c r="G15" i="40"/>
  <c r="C21" i="41"/>
  <c r="C20" i="41"/>
  <c r="I15" i="40"/>
  <c r="G10" i="40"/>
  <c r="M10" i="40"/>
  <c r="I10" i="40"/>
  <c r="K10" i="40"/>
  <c r="C43" i="41"/>
  <c r="I25" i="41"/>
  <c r="G25" i="41"/>
  <c r="I20" i="41"/>
  <c r="M20" i="41"/>
  <c r="K20" i="41"/>
  <c r="K25" i="41"/>
  <c r="K22" i="57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674BF47A-C556-4E19-8FC4-A3C774E2A1FC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<sst xmlns="http://schemas.openxmlformats.org/spreadsheetml/2006/main" count="7480" uniqueCount="792">
  <si>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</si>
  <si>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</si>
  <si>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</si>
  <si>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</si>
  <si>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</si>
  <si>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</si>
  <si>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</si>
  <si>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</si>
  <si>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</si>
  <si>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</si>
  <si>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</si>
  <si>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</si>
  <si>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</si>
  <si>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</si>
  <si>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</si>
  <si>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</si>
  <si>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</si>
  <si>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</si>
  <si>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</si>
  <si>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</si>
  <si>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</si>
  <si>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</si>
  <si>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</si>
  <si>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</si>
  <si>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</si>
  <si>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</si>
  <si>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</si>
  <si>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</si>
  <si>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</si>
  <si>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</si>
  <si>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</si>
  <si>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</si>
  <si>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</si>
  <si>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</si>
  <si>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</si>
  <si>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</si>
  <si>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</si>
  <si>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</si>
  <si>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</si>
  <si>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</si>
  <si>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</si>
  <si>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</si>
  <si>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</si>
  <si>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</si>
  <si>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</si>
  <si>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</si>
  <si>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</si>
  <si>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</si>
  <si>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</si>
  <si>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</si>
  <si>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</si>
  <si>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</si>
  <si>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</si>
  <si>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</si>
  <si>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</si>
  <si>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</si>
  <si>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</si>
  <si>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</si>
  <si>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</si>
  <si>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</si>
  <si>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</si>
  <si>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</si>
  <si>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</si>
  <si>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</si>
  <si>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</si>
  <si>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</si>
  <si>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</si>
  <si>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</si>
  <si>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</si>
  <si>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</si>
  <si>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</si>
  <si>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</si>
  <si>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</si>
  <si>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</si>
  <si>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</si>
  <si>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</si>
  <si>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</si>
  <si>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</si>
  <si>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</si>
  <si>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</si>
  <si>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</si>
  <si>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</si>
  <si>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</si>
  <si>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</si>
  <si>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</si>
  <si>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</si>
  <si>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</si>
  <si>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</si>
  <si>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</si>
  <si>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</si>
  <si>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</si>
  <si>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</si>
  <si>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</si>
  <si>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</si>
  <si>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</si>
  <si>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</si>
  <si>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</si>
  <si>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</si>
  <si>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</si>
  <si>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</si>
  <si>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</si>
  <si>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</si>
  <si>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</si>
  <si>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</si>
  <si>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</si>
  <si>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</si>
  <si>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</si>
  <si>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</si>
  <si>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</si>
  <si>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</si>
  <si>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</si>
  <si>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</si>
  <si>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</si>
  <si>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</si>
  <si>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</si>
  <si>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</si>
  <si>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</si>
  <si>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</si>
  <si>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</si>
  <si>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</si>
  <si>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</si>
  <si>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</si>
  <si>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</si>
  <si>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</si>
  <si>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</si>
  <si>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</si>
  <si>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</si>
  <si>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</si>
  <si>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</si>
  <si>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</si>
  <si>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</si>
  <si>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</si>
  <si>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</si>
  <si>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</si>
  <si>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</si>
  <si>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</si>
  <si>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</si>
  <si>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</si>
  <si>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</si>
  <si>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</si>
  <si>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</si>
  <si>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</si>
  <si>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</si>
  <si>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</si>
  <si>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</si>
  <si>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</si>
  <si>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</si>
  <si>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</si>
  <si>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</si>
  <si>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</si>
  <si>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</si>
  <si>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</si>
  <si>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</si>
  <si>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</si>
  <si>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</si>
  <si>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</si>
  <si>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</si>
  <si>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</si>
  <si>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</si>
  <si>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</si>
  <si>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</si>
  <si>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</si>
  <si>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</si>
  <si>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</si>
  <si>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</si>
  <si>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</si>
  <si>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</si>
  <si>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</si>
  <si>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</si>
  <si>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</si>
  <si>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</si>
  <si>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</si>
  <si>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</si>
  <si>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</si>
  <si>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</si>
  <si>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</si>
  <si>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</si>
  <si>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</si>
  <si>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</si>
  <si>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</si>
  <si>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</si>
  <si>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</si>
  <si>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</si>
  <si>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</si>
  <si>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</si>
  <si>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</si>
  <si>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</si>
  <si>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</si>
  <si>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</si>
  <si>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</si>
  <si>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</si>
  <si>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</si>
  <si>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</si>
  <si>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</si>
  <si>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</si>
  <si>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</si>
  <si>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</si>
  <si>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</si>
  <si>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</si>
  <si>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</si>
  <si>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</si>
  <si>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</si>
  <si>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</si>
  <si>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</si>
  <si>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</si>
  <si>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</si>
  <si>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</si>
  <si>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</si>
  <si>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</si>
  <si>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</si>
  <si>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</si>
  <si>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</si>
  <si>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</si>
  <si>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</si>
  <si>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</si>
  <si>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</si>
  <si>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</si>
  <si>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</si>
  <si>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</si>
  <si>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</si>
  <si>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</si>
  <si>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</si>
  <si>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</si>
  <si>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</si>
  <si>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</si>
  <si>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</si>
  <si>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</si>
  <si>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</si>
  <si>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</si>
  <si>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</si>
  <si>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</si>
  <si>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</si>
  <si>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</si>
  <si>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</si>
  <si>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</si>
  <si>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</si>
  <si>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</si>
  <si>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</si>
  <si>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</si>
  <si>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</si>
  <si>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</si>
  <si>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</si>
  <si>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</si>
  <si>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</si>
  <si>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</si>
  <si>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</si>
  <si>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</si>
  <si>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</si>
  <si>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</si>
  <si>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</si>
  <si>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</si>
  <si>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</si>
  <si>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</si>
  <si>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</si>
  <si>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</si>
  <si>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</si>
  <si>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</si>
  <si>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</si>
  <si>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</si>
  <si>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</si>
  <si>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</si>
  <si>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</si>
  <si>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</si>
  <si>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</si>
  <si>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</si>
  <si>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</si>
  <si>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</si>
  <si>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</si>
  <si>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</si>
  <si>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</si>
  <si>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</si>
  <si>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</si>
  <si>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</si>
  <si>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</si>
  <si>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</si>
  <si>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</si>
  <si>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</si>
  <si>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</si>
  <si>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</si>
  <si>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</si>
  <si>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</si>
  <si>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</si>
  <si>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</si>
  <si>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</si>
  <si>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</si>
  <si>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</si>
  <si>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</si>
  <si>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</si>
  <si>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</si>
  <si>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</si>
  <si>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</si>
  <si>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</si>
  <si>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</si>
  <si>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</si>
  <si>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</si>
  <si>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</si>
  <si>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</si>
  <si>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</si>
  <si>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</si>
  <si>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</si>
  <si>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</si>
  <si>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</si>
  <si>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</si>
  <si>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</si>
  <si>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</si>
  <si>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</si>
  <si>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</si>
  <si>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</si>
  <si>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</si>
  <si>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</si>
  <si>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</si>
  <si>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</si>
  <si>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</si>
  <si>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</si>
  <si>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</si>
  <si>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</si>
  <si>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</si>
  <si>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</si>
  <si>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</si>
  <si>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</si>
  <si>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</si>
  <si>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</si>
  <si>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</si>
  <si>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</si>
  <si>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</si>
  <si>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</si>
  <si>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</si>
  <si>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</si>
  <si>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</si>
  <si>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</si>
  <si>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</si>
  <si>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</si>
  <si>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</si>
  <si>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</si>
  <si>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</si>
  <si>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</si>
  <si>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</si>
  <si>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</si>
  <si>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</si>
  <si>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</si>
  <si>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</si>
  <si>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</si>
  <si>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</si>
  <si>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</si>
  <si>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</si>
  <si>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</si>
  <si>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</si>
  <si>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</si>
  <si>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</si>
  <si>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</si>
  <si>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</si>
  <si>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</si>
  <si>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</si>
  <si>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</si>
  <si>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</si>
  <si>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</si>
  <si>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</si>
  <si>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</si>
  <si>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</si>
  <si>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</si>
  <si>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薑炒筍尾</t>
  </si>
  <si>
    <t>川味秋木耳</t>
  </si>
  <si>
    <t>炒油蔥醬</t>
  </si>
  <si>
    <t>蒸-全熟雞肉絲CL(113年)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</si>
  <si>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</si>
  <si>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</si>
  <si>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</si>
  <si>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</si>
  <si>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</si>
  <si>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</si>
  <si>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</si>
  <si>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</si>
  <si>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</si>
  <si>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</si>
  <si>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</si>
  <si>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</si>
  <si>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</si>
  <si>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</si>
  <si>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</si>
  <si>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</si>
  <si>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</si>
  <si>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</si>
  <si>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</si>
  <si>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</si>
  <si>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</si>
  <si>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</si>
  <si>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</si>
  <si>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</si>
  <si>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</si>
  <si>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</si>
  <si>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</si>
  <si>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</si>
  <si>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</si>
  <si>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</si>
  <si>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</si>
  <si>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</si>
  <si>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</si>
  <si>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</si>
  <si>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</si>
  <si>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</si>
  <si>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</si>
  <si>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</si>
  <si>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</si>
  <si>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</si>
  <si>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</si>
  <si>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</si>
  <si>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</si>
  <si>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</si>
  <si>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</si>
  <si>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</si>
  <si>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</si>
  <si>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</si>
  <si>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</si>
  <si>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</si>
  <si>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</si>
  <si>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</si>
  <si>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</si>
  <si>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</si>
  <si>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</si>
  <si>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</si>
  <si>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</si>
  <si>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</si>
  <si>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</si>
  <si>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</si>
  <si>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</si>
  <si>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</si>
  <si>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</si>
  <si>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</si>
  <si>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</si>
  <si>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</si>
  <si>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</si>
  <si>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</si>
  <si>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</si>
  <si>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</si>
  <si>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蘑菇白醬</t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</si>
  <si>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</si>
  <si>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</si>
  <si>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</si>
  <si>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</si>
  <si>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</si>
  <si>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</si>
  <si>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</si>
  <si>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</si>
  <si>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一配經典鮪魚沙拉細卷</t>
  </si>
  <si>
    <t>蔬活腿排補力餐盒</t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</si>
  <si>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</si>
  <si>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</si>
  <si>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</si>
  <si>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</si>
  <si>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</si>
  <si>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</si>
  <si>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</si>
  <si>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</si>
  <si>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</si>
  <si>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</si>
  <si>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</si>
  <si>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</si>
  <si>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</si>
  <si>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</si>
  <si>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</si>
  <si>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</si>
  <si>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</si>
  <si>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</si>
  <si>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</si>
  <si>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</si>
  <si>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操作方式冰杓定量,生產餘料報廢</t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</si>
  <si>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</si>
  <si>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</si>
  <si>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</si>
  <si>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抓量較不穩定造成調理多產</t>
  </si>
  <si>
    <t>6切-烤醃漬咖哩腿排</t>
  </si>
  <si>
    <t>一配鮭魚奶油醬油飯糰</t>
  </si>
  <si>
    <t>洋蔥壹號醬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</si>
  <si>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</si>
  <si>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</si>
  <si>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</si>
  <si>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</si>
  <si>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</si>
  <si>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</si>
  <si>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抓量較不穩定造成調理多產
增加線上抽秤頻率，調理展開量下修，並已採用多次補單方式執行，目前已控制在2%內。</t>
    <phoneticPr fontId="13" type="noConversion"/>
  </si>
  <si>
    <t>炙燒韓式牛五花</t>
  </si>
  <si>
    <t>反映研發，後續開發列入考量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</si>
  <si>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</si>
  <si>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</si>
  <si>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</si>
  <si>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</si>
  <si>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</si>
  <si>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</si>
  <si>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</si>
  <si>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</si>
  <si>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</si>
  <si>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蟹味可樂餅風炸飯糰</t>
  </si>
  <si>
    <t>二配鐵板豆腐燴蛋蓋飯</t>
  </si>
  <si>
    <t>二配濃起司燻腸紅醬焗烤飯</t>
  </si>
  <si>
    <t>辣炒酸菜碎</t>
  </si>
  <si>
    <t>焗飯-義式蕃茄紅醬</t>
  </si>
  <si>
    <t>煮鐵板豆腐</t>
  </si>
  <si>
    <t>油蔥肉燥(113年)</t>
  </si>
  <si>
    <t>拌蒜香五花肉</t>
  </si>
  <si>
    <t>生產前確認標準定量的機台設定，生產中抽查確認設定及實際出料重量</t>
  </si>
  <si>
    <t>二配鮮蝦旬彩炊飯飯糰</t>
  </si>
  <si>
    <t>新品一週,達成率上升.</t>
  </si>
  <si>
    <t>原物料大小長短差異，影響人員放料，生產餘料報廢</t>
  </si>
  <si>
    <t>增加線上抽秤頻率，調理展開量下修，並已採用多次補單方式執行。</t>
  </si>
  <si>
    <t>青花菜原物料規格偏大造成超用</t>
  </si>
  <si>
    <t>注餡機機台工差設定確認</t>
  </si>
  <si>
    <t>原物料肉片的大小塊差異</t>
  </si>
  <si>
    <t>賣相設定要鋪滿，肉片狀態影響鋪滿效果</t>
  </si>
  <si>
    <t>人員抓量放料手法不穩定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</si>
  <si>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</si>
  <si>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</si>
  <si>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</si>
  <si>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</si>
  <si>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烤墨西哥雞丁</t>
  </si>
  <si>
    <t>冷凍調味鱒鮭魚卵GL10-3</t>
  </si>
  <si>
    <t>二配溏心蛋五目飯糰</t>
  </si>
  <si>
    <t>清炒高麗菜(115年)</t>
  </si>
  <si>
    <t>調理展開量下修，並已採用多次補單方式執行，目前已控制在2%內。</t>
  </si>
  <si>
    <t>原物料大小長短差異，影響人員放料，生產餘料報廢
調理展開量下修，並已採用多次補單方式執行，目前已控制在2%內。</t>
    <phoneticPr fontId="13" type="noConversion"/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</si>
  <si>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</si>
  <si>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</si>
  <si>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</si>
  <si>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</si>
  <si>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</si>
  <si>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</si>
  <si>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</si>
  <si>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</si>
  <si>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</si>
  <si>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</si>
  <si>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</si>
  <si>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</si>
  <si>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</si>
  <si>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</si>
  <si>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</si>
  <si>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</si>
  <si>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</si>
  <si>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</si>
  <si>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</si>
  <si>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</si>
  <si>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</si>
  <si>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</si>
  <si>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</si>
  <si>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</si>
  <si>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炒黑胡椒豆芽(餐盒)</t>
  </si>
  <si>
    <t>餐盒用-三色高麗菜</t>
  </si>
  <si>
    <t>烤巴沙魚排</t>
  </si>
  <si>
    <t>燴蛋飯-炒肉燥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</si>
  <si>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</si>
  <si>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</si>
  <si>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</si>
  <si>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</si>
  <si>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</si>
  <si>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</si>
  <si>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</si>
  <si>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</si>
  <si>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</si>
  <si>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</si>
  <si>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新品,達成率提升中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</si>
  <si>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</si>
  <si>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</si>
  <si>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</si>
  <si>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</si>
  <si>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</si>
  <si>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元氣三重稻荷組</t>
  </si>
  <si>
    <t>0428-0504</t>
    <phoneticPr fontId="13" type="noConversion"/>
  </si>
  <si>
    <t>0505-0511</t>
    <phoneticPr fontId="13" type="noConversion"/>
  </si>
  <si>
    <t>0428-0504 總合計↑</t>
    <phoneticPr fontId="13" type="noConversion"/>
  </si>
  <si>
    <t>0505-0511 總合計↑</t>
    <phoneticPr fontId="13" type="noConversion"/>
  </si>
  <si>
    <t>整顆切片水煮蛋</t>
  </si>
  <si>
    <t>贅沢鮭魚肚飯糰</t>
  </si>
  <si>
    <t>熟化帶皮黃肉地瓜滾刀7-13g</t>
  </si>
  <si>
    <t>設定放料量範圍，後續開發列入考量調整，針對人員手法教育訓練，並增加線上抽秤頻率。</t>
  </si>
  <si>
    <t>確認分切方式，穩定分切長度減少規格異常。</t>
  </si>
  <si>
    <t>針對人員抓量手法教育訓練，並增加線上抽秤頻率。</t>
  </si>
  <si>
    <t>定期更換烤盤，制定烤盤更換時程，降低豆腐沾黏焦化物而造成報廢</t>
  </si>
  <si>
    <t>增加線上抽秤頻率，調理展開量下修，並已採用多次補單方式執行，目前已控制在2%內。</t>
  </si>
  <si>
    <t>每份用量少以致用量易有不穩定的狀況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</si>
  <si>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</si>
  <si>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</si>
  <si>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操作方式冰杓定量,生產餘料報廢
調理展開量下修，並已採用多次補單方式執行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</si>
  <si>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</si>
  <si>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賣相設定要鋪滿，肉片狀態影響鋪滿效果
確認分切方式，穩定分切長度減少規格異常。</t>
    <phoneticPr fontId="13" type="noConversion"/>
  </si>
  <si>
    <t>一配鹽蔥生鮭飯糰</t>
  </si>
  <si>
    <t>一配柚檸海灣貝飯糰</t>
  </si>
  <si>
    <t>山葵生鮪魚泥脆卷</t>
  </si>
  <si>
    <t>二配打拋風味豆腐飯</t>
  </si>
  <si>
    <t>大滿足香辣涼麵</t>
  </si>
  <si>
    <t>大滿足麻醬涼麵</t>
  </si>
  <si>
    <t>和風涓絲冷麵</t>
  </si>
  <si>
    <t>炒紅K碎蛋</t>
  </si>
  <si>
    <t>煮三杯料</t>
  </si>
  <si>
    <t>煮中華冷麵(110年)</t>
  </si>
  <si>
    <t>冷凍紅鮭碎肉20</t>
  </si>
  <si>
    <t>(V)消毒小黃瓜絲</t>
  </si>
  <si>
    <t>冷凍鮭魚骰子丁(蔥鹽風味)</t>
  </si>
  <si>
    <t>112年拌鮪魚沙拉</t>
  </si>
  <si>
    <t>(V)打拋醬</t>
  </si>
  <si>
    <t>拌明太子龍蝦沙拉(114年)</t>
  </si>
  <si>
    <t>煮燴蛋</t>
  </si>
  <si>
    <t>熟成紅鮭飯糰(114年)</t>
  </si>
  <si>
    <t>鮪魚飯糰</t>
  </si>
  <si>
    <t>明太子龍蝦風味沙拉飯糰(114年)</t>
  </si>
  <si>
    <t>人員抓量放料手法不穩定
針對人員抓量手法教育訓練，並增加線上抽秤頻率。</t>
    <phoneticPr fontId="13" type="noConversion"/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</si>
  <si>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</si>
  <si>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</si>
  <si>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醬油生鮭脆卷</t>
  </si>
  <si>
    <t>台式麻醬涼麵</t>
  </si>
  <si>
    <t>原物料規格</t>
    <phoneticPr fontId="13" type="noConversion"/>
  </si>
  <si>
    <t>反映研發，後續開發列入考量，目前報廢量以穩定控制</t>
  </si>
  <si>
    <t>調理展開量下修，並已採用多次補單方式執行。</t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</si>
  <si>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</si>
  <si>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</si>
  <si>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</t>
  </si>
  <si>
    <t>（８）報廢原因別前幾名品項(0428-0504)</t>
    <phoneticPr fontId="13" type="noConversion"/>
  </si>
  <si>
    <t>（８）超用原因別前幾名品項(0428-0504)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</si>
  <si>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</si>
  <si>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3" type="noConversion"/>
  </si>
  <si>
    <t>操作方式冰杓定量，因冰杓規格限制導致超用
回饋研發，後續開發列入考量，針對人員手法教育訓練，並增加線上抽秤頻率。</t>
    <phoneticPr fontId="13" type="noConversion"/>
  </si>
  <si>
    <t>設定雙圈秤重，抓量較不穩定造成超用
針對人員抓量手法教育訓練，並增加線上抽秤頻率。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</si>
  <si>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週更新(0428-0504)</t>
    </r>
    <phoneticPr fontId="13" type="noConversion"/>
  </si>
  <si>
    <t>鰹魚烏龍冷麵</t>
  </si>
  <si>
    <t>原因:生產餘料產生報廢。對策:增加線上抽秤頻率，調理展開量下修，並已採用多次補單方式執行，報廢量逐步下修，目前控制再2%以下。</t>
    <phoneticPr fontId="13" type="noConversion"/>
  </si>
  <si>
    <t>原因:原物料規格長短差異影響用量，生產餘料報廢。對策:生產改採「多次補單」方式備料，依實際產出需求分批補料，避免一次性備料過多造成餘料報廢。</t>
  </si>
  <si>
    <t>原因:單份用量少抓量不穩定，生產餘料產生報廢。對策:加強線上人員抓量教育訓練，提升小份量操作穩定度，下修調理展開量並改採多次補單備料。</t>
  </si>
  <si>
    <t>生產餘料產生報廢,目前報廢量控制再2%以下與超用量比例少,持續下修產出量。</t>
    <phoneticPr fontId="13" type="noConversion"/>
  </si>
  <si>
    <t>原因:生產餘料產生報廢。對策:增加線上抽秤頻率，提升用量穩定，調理展開量下修，並已採用多次補單方式執行，報廢量逐步下修。</t>
    <phoneticPr fontId="13" type="noConversion"/>
  </si>
  <si>
    <t>主要原因:烤盤產生炭渣，豆腐沾黏焦化物。對策:定期更換烤盤，制定烤盤更換時程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</si>
  <si>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</si>
  <si>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因4/10、4/11特定器具（大刮板）進貨交期銜接未完全到位，後段作業改以小刮板替代使用，導致破損量增加。對策:後續補足器具恢復標準器具配置，並納入安全庫存與領用管控機制以降低作業報廢影響。</t>
    <phoneticPr fontId="13" type="noConversion"/>
  </si>
  <si>
    <t>主因:因分切時造成破損。對策:確認蒸箱後，差壓冷卻製程的溫度銜接，破損數量已下修。</t>
    <phoneticPr fontId="13" type="noConversion"/>
  </si>
  <si>
    <t>主因:因葉梗差異容易取樣不穩導致超用。對策:調理展開量下修，並已採用多次補單方式執行，報廢率持續下修控制在2%內。</t>
    <phoneticPr fontId="13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</si>
  <si>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3" type="noConversion"/>
  </si>
  <si>
    <t>原因:單份用量少抓量不穩定，生產餘料產生報廢。對策:加強線上人員抓量教育訓練，提升小份量操作穩定度，下修調理展開量並改採多次補單備料。</t>
    <phoneticPr fontId="13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</si>
  <si>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3" type="noConversion"/>
  </si>
  <si>
    <t>高風險半成品拆袋即用,拆包後無法延用給下配次產生報廢。</t>
    <phoneticPr fontId="13" type="noConversion"/>
  </si>
  <si>
    <t>主因:冰杓定量，受人員操作影響較大，導致用量控制不穩。對策:針對人員加強冰杓手法定量教育訓練提升用量穩定性。</t>
    <phoneticPr fontId="13" type="noConversion"/>
  </si>
  <si>
    <t>主因:雞肉絲糾結成塊長短不一，人員抓量不穩定導致重量差異影響超用。對策:使用前先行撥散，已導入定量管理，目前用量逐步穩定，本月超用量1.7%，控制在2%內。</t>
    <phoneticPr fontId="13" type="noConversion"/>
  </si>
  <si>
    <t>主因:抓量較不穩定造成超用。對策:調整人員分切方式，穩定產品長短一致性降低抓量誤差並減少超用。</t>
    <phoneticPr fontId="13" type="noConversion"/>
  </si>
  <si>
    <t>主因:抓量較不穩定造成超用。對策:已導入定量管理，並加強人員抓量教育訓練。</t>
    <phoneticPr fontId="13" type="noConversion"/>
  </si>
  <si>
    <t>主因:原料單價高單份用量少，人員抓量穩定度不足，造成超用金額放大。對策：
加強人員抓量教育訓練，提升用量控制精準度。</t>
    <phoneticPr fontId="13" type="noConversion"/>
  </si>
  <si>
    <t>主因:青花菜原物料規格偏大造成超用。對策:量測設定放料量範圍，後續開發列入考量調整，並持續針對人員抓量秤重進行教育訓練。</t>
    <phoneticPr fontId="13" type="noConversion"/>
  </si>
  <si>
    <t>主因:賣相設定要鋪滿，肉片狀態影響鋪滿效果。對策:調整分切方式，穩定分切長度減少規格異常。反映研發設定放料重量範圍，目前控制在1%內。</t>
    <phoneticPr fontId="13" type="noConversion"/>
  </si>
  <si>
    <t>主因:採雙圈秤重設定，因整體使用總量較高，微幅抓量偏差即放大為超用金額。對策：持續強化人員抓量與秤重操作教育訓練，提升作業穩定度。</t>
    <phoneticPr fontId="13" type="noConversion"/>
  </si>
  <si>
    <t>主因:原物料肉塊的大小塊差異，導致超用問題。對策:針對人員分切規格進行教育訓練，規格厚薄盡量一致，降低重量落差導致超用。</t>
    <phoneticPr fontId="13" type="noConversion"/>
  </si>
  <si>
    <t>主因:原物料肉片的大小塊差異。對策:進行人員分切手法教育訓練，提升作業一致性，降低因規格差異造成之影響。</t>
    <phoneticPr fontId="13" type="noConversion"/>
  </si>
  <si>
    <t>熟化去皮馬鈴薯滾刀17-23g</t>
  </si>
  <si>
    <t>拌細卷鮪魚沙拉(114.10)</t>
  </si>
  <si>
    <t>煮烏龍冷麵(113年)</t>
  </si>
  <si>
    <t>歐姆蛋-黑咖哩醬</t>
  </si>
  <si>
    <t>配置人數依照生產線別不同有所差異.人時生產性穩定符合期待</t>
    <phoneticPr fontId="13" type="noConversion"/>
  </si>
  <si>
    <t>分切製程破損導致規格不符無法使用</t>
  </si>
  <si>
    <t>針對人員分切手法進行教育訓練，改善分切製程破損狀況。</t>
  </si>
  <si>
    <t>高風險半成品拆袋即用,拆包後無法延用給下配次產生報廢。</t>
  </si>
  <si>
    <t>操作方式冰杓定量，生產餘料報廢</t>
  </si>
  <si>
    <t>人員抓量放料手法不穩定，原物料單價高</t>
    <phoneticPr fontId="13" type="noConversion"/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</si>
  <si>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</si>
  <si>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高風險半成品拆袋即用,拆包後無法延用給下配次產生報廢。
反映研發，後續開發列入考量</t>
    <phoneticPr fontId="10"/>
  </si>
  <si>
    <t>分切製程破損導致規格不符無法使用
針對人員分切手法進行教育訓練，改善分切製程破損狀況。</t>
    <phoneticPr fontId="13" type="noConversion"/>
  </si>
  <si>
    <t>抓量較不穩定造成調理多產
增加線上抽秤頻率，調理展開量下修，並已採用多次補單方式執行。</t>
    <phoneticPr fontId="13" type="noConversion"/>
  </si>
  <si>
    <t>人員抓量放料手法不穩定，原物料單價高
針對人員抓量手法教育訓練，並增加線上抽秤頻率。</t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</si>
  <si>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</si>
  <si>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</si>
  <si>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</si>
  <si>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</si>
  <si>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</si>
  <si>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</si>
  <si>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</si>
  <si>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</si>
  <si>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</si>
  <si>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</si>
  <si>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</si>
  <si>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</si>
  <si>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</si>
  <si>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</si>
  <si>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</si>
  <si>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</si>
  <si>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B6</t>
    <phoneticPr fontId="13" type="noConversion"/>
  </si>
  <si>
    <t>0512-0518</t>
    <phoneticPr fontId="13" type="noConversion"/>
  </si>
  <si>
    <t>0519-0525</t>
    <phoneticPr fontId="13" type="noConversion"/>
  </si>
  <si>
    <t>0526-0601</t>
    <phoneticPr fontId="13" type="noConversion"/>
  </si>
  <si>
    <t>屏榮大溪廠半成品管理日別總表</t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</si>
  <si>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</si>
  <si>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</si>
  <si>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</si>
  <si>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月總超用率</t>
    </r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</si>
  <si>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0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</si>
  <si>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</si>
  <si>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</si>
  <si>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</si>
  <si>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</si>
  <si>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</si>
  <si>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</si>
  <si>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</si>
  <si>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0" type="noConversion"/>
  </si>
  <si>
    <t>5月平均人時性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</si>
  <si>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週更新(0505-0511)</t>
    </r>
    <phoneticPr fontId="13" type="noConversion"/>
  </si>
  <si>
    <r>
      <rPr>
        <sz val="10"/>
        <color rgb="FFFF0000"/>
        <rFont val="Meiryo UI"/>
        <family val="2"/>
      </rPr>
      <t>5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</si>
  <si>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二配香烤魚排青醬燉飯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</si>
  <si>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性前幾名品項(0505-0511)</t>
    </r>
    <phoneticPr fontId="13" type="noConversion"/>
  </si>
  <si>
    <t>0512-0518 總合計↑</t>
    <phoneticPr fontId="13" type="noConversion"/>
  </si>
  <si>
    <t>0519-0525 總合計↑</t>
    <phoneticPr fontId="13" type="noConversion"/>
  </si>
  <si>
    <t>0526-0601 總合計↑</t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</si>
  <si>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</si>
  <si>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t>拌鮪魚沙拉(手卷)</t>
  </si>
  <si>
    <t>蒜炒洋菇片(115年)</t>
  </si>
  <si>
    <t>蒜香奶油檸檬醬</t>
  </si>
  <si>
    <t>(V)炒海苔香鬆(飯糰)</t>
  </si>
  <si>
    <t>油亮中式香腸片(112年)</t>
  </si>
  <si>
    <t>(V)煮鹽水G雞肉</t>
  </si>
  <si>
    <t>煮白細麵生(方#12)</t>
  </si>
  <si>
    <t>拌海鮮總匯沙拉(手卷)</t>
  </si>
  <si>
    <t>二配芝麻香鬆飯糰(114年)</t>
  </si>
  <si>
    <t>（８）報廢原因別前幾名品項(0505-0511)</t>
    <phoneticPr fontId="13" type="noConversion"/>
  </si>
  <si>
    <t>（８）超用原因別前幾名品項(0505-0511)</t>
    <phoneticPr fontId="13" type="noConversion"/>
  </si>
  <si>
    <t>熱轉印辨識設備導入,檢查人員縮減,人時生產性上升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</si>
  <si>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性前幾名品項(0512-0518)</t>
    </r>
    <phoneticPr fontId="13" type="noConversion"/>
  </si>
  <si>
    <t>熱轉印辨識設備導入,檢查人員縮減,人時生產性上升</t>
    <phoneticPr fontId="13" type="noConversion"/>
  </si>
  <si>
    <t>反映研發，後續開發列入考量，目前報廢量以穩定控制</t>
    <phoneticPr fontId="13" type="noConversion"/>
  </si>
  <si>
    <t>魚肉烤箱製程，拿取後破損造成報廢</t>
  </si>
  <si>
    <t>已加強操作教育訓練，對比上週已下降。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</si>
  <si>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</si>
  <si>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</si>
  <si>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因原物料規格差異,超用量偏高，生產餘料報廢</t>
  </si>
  <si>
    <t>反映研發，後續開發列入考量，建議原物料規格多切製程</t>
  </si>
  <si>
    <t>原物料大小顆差異，影響人員放料</t>
  </si>
  <si>
    <t>增加線上抽秤頻率，展開量下修，並已採用多次補單方式執行</t>
    <phoneticPr fontId="13" type="noConversion"/>
  </si>
  <si>
    <t>增加線上抽秤頻率，調理展開量下修，並已採用多次補單方式執行。</t>
    <phoneticPr fontId="13" type="noConversion"/>
  </si>
  <si>
    <t>消毒機批量生產餘料報廢</t>
    <phoneticPr fontId="13" type="noConversion"/>
  </si>
  <si>
    <t>分切手法厚薄公差導致報廢</t>
    <phoneticPr fontId="13" type="noConversion"/>
  </si>
  <si>
    <t>針對人員分切進行教育訓練，穩定分切規格。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</si>
  <si>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</si>
  <si>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</si>
  <si>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</si>
  <si>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針對人員手法教育訓練，並增加線上抽秤頻率，待新規格導入確認用量。</t>
  </si>
  <si>
    <t>原物料大小規格差異導致超用狀況。</t>
    <phoneticPr fontId="13" type="noConversion"/>
  </si>
  <si>
    <t>原物料大小顆差異，影響人員放料
反映研發，後續開發列入考量</t>
    <phoneticPr fontId="10"/>
  </si>
  <si>
    <t>魚肉烤箱製程，拿取後破損造成報廢
已加強操作教育訓練，對比上週已下降。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</si>
  <si>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</si>
  <si>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</si>
  <si>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</si>
  <si>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因原物料規格差異,超用量偏高，生產餘料報廢
反映研發，後續開發列入考量，建議原物料規格多切製程</t>
    <phoneticPr fontId="13" type="noConversion"/>
  </si>
  <si>
    <t>原物料肉塊的大小塊差異
原物料大小規格差異導致超用狀況。</t>
    <phoneticPr fontId="13" type="noConversion"/>
  </si>
  <si>
    <t>一配黑胡椒洋蔥豬飯糰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</si>
  <si>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週更新(0512-0518)</t>
    </r>
    <phoneticPr fontId="13" type="noConversion"/>
  </si>
  <si>
    <t>鮪魚昆布細卷</t>
  </si>
  <si>
    <t>肉鬆火腿細卷</t>
  </si>
  <si>
    <t>懷舊滷雙拼便當</t>
  </si>
  <si>
    <t>烤燉飯魚排</t>
  </si>
  <si>
    <t>炒筍絲冬粉</t>
  </si>
  <si>
    <t>蒸黑滷D4棒</t>
  </si>
  <si>
    <t>燉飯青醬(115年)</t>
  </si>
  <si>
    <t>烤黑胡椒清肉排</t>
  </si>
  <si>
    <t>6切-烤義式腿排(113年)</t>
  </si>
  <si>
    <t>歐姆蛋(110年)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</si>
  <si>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</si>
  <si>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rPr>
        <sz val="11"/>
        <color theme="1"/>
        <rFont val="Microsoft JhengHei"/>
        <family val="2"/>
      </rPr>
      <t>轉移便二生產,配置人數減</t>
    </r>
    <r>
      <rPr>
        <sz val="11"/>
        <color theme="1"/>
        <rFont val="Calibri"/>
        <family val="2"/>
      </rPr>
      <t>1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</si>
  <si>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</si>
  <si>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已加強操作教育訓練</t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</si>
  <si>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</si>
  <si>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</si>
  <si>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</si>
  <si>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</si>
  <si>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</si>
  <si>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t>烤箱製程耗損導致報廢</t>
    <phoneticPr fontId="13" type="noConversion"/>
  </si>
  <si>
    <t>持續調整烤箱參數與作業條件，降低製程耗損並穩定產品品質</t>
  </si>
  <si>
    <t>分切製程耗損導致報廢</t>
    <phoneticPr fontId="13" type="noConversion"/>
  </si>
  <si>
    <t>已加強人員分切製程教育訓練，降低規格異常與耗損</t>
    <phoneticPr fontId="13" type="noConversion"/>
  </si>
  <si>
    <t>已加強人員分切製程教育訓練，降低規格異常與耗損</t>
  </si>
  <si>
    <t>單條麵體約5G，針對人員抓量手法教育訓練，並增加線上抽秤頻率。</t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</si>
  <si>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</si>
  <si>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</si>
  <si>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</si>
  <si>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（８）報廢原因別前幾名品項(0512-0518)</t>
    <phoneticPr fontId="13" type="noConversion"/>
  </si>
  <si>
    <t>（８）報廢原因別前幾名品項(0519-0525)</t>
    <phoneticPr fontId="13" type="noConversion"/>
  </si>
  <si>
    <t>（８）超用原因別前幾名品項(0512-0518)</t>
    <phoneticPr fontId="13" type="noConversion"/>
  </si>
  <si>
    <t>（８）超用原因別前幾名品項(0519-0525)</t>
    <phoneticPr fontId="13" type="noConversion"/>
  </si>
  <si>
    <t>青花菜原物料規格偏大造成超用
反映研發，後續開發列入考量，目前報廢量以穩定控制</t>
    <phoneticPr fontId="10"/>
  </si>
  <si>
    <t>魚肉烤箱製程，質地較軟拿取後破損造成報廢
已加強操作教育訓練</t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</si>
  <si>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</si>
  <si>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煮麵單藍批量設定，餘料報廢
反映研發，後續開發列入考量，目前報廢量以穩定控制</t>
    <phoneticPr fontId="10"/>
  </si>
  <si>
    <t>W4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</si>
  <si>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性前幾名品項(0519-0525)</t>
    </r>
    <phoneticPr fontId="13" type="noConversion"/>
  </si>
  <si>
    <t>一配椒鹽檸檬鯖魚飯糰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</si>
  <si>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週更新(0519-0525)</t>
    </r>
    <phoneticPr fontId="13" type="noConversion"/>
  </si>
  <si>
    <t>韓式辣炒豬肉飯卷</t>
  </si>
  <si>
    <t>日式胡麻雞絲冷麵</t>
  </si>
  <si>
    <t>雙拼炒混蔬</t>
  </si>
  <si>
    <t>蒸玉米塊</t>
  </si>
  <si>
    <t>義式烤馬鈴薯</t>
  </si>
  <si>
    <t>焙炒芝麻肉鬆(飯糰)</t>
  </si>
  <si>
    <t>蒸-解凍手撕雞</t>
  </si>
  <si>
    <t>煮2025屯京冷麵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</si>
</sst>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3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Microsoft JhengHei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b/>
      <sz val="12"/>
      <color rgb="FF000000"/>
      <name val="微軟正黑體"/>
      <family val="2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sz val="14"/>
      <color theme="1"/>
      <name val="Arial"/>
      <family val="2"/>
      <charset val="136"/>
      <scheme val="minor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sz val="12"/>
      <color rgb="FF000000"/>
      <name val="Microsoft JhengHei U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36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0" fontId="4" fillId="0" borderId="0" xfId="15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4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70" fillId="0" borderId="0" xfId="0" applyFont="1" applyAlignment="1">
      <alignment vertical="center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left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85" fontId="36" fillId="9" borderId="22" xfId="13" applyNumberFormat="1" applyFont="1" applyFill="1" applyBorder="1" applyAlignment="1">
      <alignment horizontal="center" vertical="center"/>
    </xf>
    <xf numFmtId="196" fontId="36" fillId="0" borderId="22" xfId="2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196" fontId="36" fillId="9" borderId="22" xfId="11" applyNumberFormat="1" applyFont="1" applyFill="1" applyBorder="1" applyAlignment="1">
      <alignment horizontal="center" vertical="center"/>
    </xf>
    <xf numFmtId="0" fontId="96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5" fillId="0" borderId="22" xfId="11" applyFont="1" applyBorder="1" applyAlignment="1">
      <alignment horizontal="left" vertical="center"/>
    </xf>
    <xf numFmtId="0" fontId="94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54" xfId="11" applyFont="1" applyBorder="1" applyAlignment="1">
      <alignment horizontal="left"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9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7" fillId="0" borderId="0" xfId="0" applyFont="1" applyAlignment="1">
      <alignment shrinkToFit="1"/>
    </xf>
    <xf numFmtId="0" fontId="7" fillId="0" borderId="82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8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8" fillId="0" borderId="0" xfId="11" applyFont="1" applyAlignment="1">
      <alignment horizontal="left" vertical="center" indent="1"/>
    </xf>
    <xf numFmtId="0" fontId="98" fillId="0" borderId="0" xfId="11" applyFont="1" applyAlignment="1">
      <alignment horizontal="left" vertical="center"/>
    </xf>
    <xf numFmtId="0" fontId="99" fillId="0" borderId="0" xfId="11" applyFont="1" applyAlignment="1">
      <alignment vertical="center" shrinkToFit="1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100" fillId="0" borderId="84" xfId="11" applyFont="1" applyBorder="1" applyAlignment="1">
      <alignment horizontal="center" vertical="center"/>
    </xf>
    <xf numFmtId="0" fontId="100" fillId="0" borderId="85" xfId="11" applyFont="1" applyBorder="1" applyAlignment="1">
      <alignment horizontal="center" vertical="center"/>
    </xf>
    <xf numFmtId="196" fontId="101" fillId="0" borderId="22" xfId="11" applyNumberFormat="1" applyFont="1" applyBorder="1" applyAlignment="1">
      <alignment horizontal="right" vertical="center"/>
    </xf>
    <xf numFmtId="199" fontId="101" fillId="0" borderId="22" xfId="11" applyNumberFormat="1" applyFont="1" applyBorder="1" applyAlignment="1">
      <alignment horizontal="right" vertical="center"/>
    </xf>
    <xf numFmtId="186" fontId="101" fillId="0" borderId="22" xfId="13" applyNumberFormat="1" applyFont="1" applyBorder="1" applyAlignment="1">
      <alignment vertical="center"/>
    </xf>
    <xf numFmtId="10" fontId="101" fillId="0" borderId="22" xfId="13" applyNumberFormat="1" applyFont="1" applyBorder="1" applyAlignment="1">
      <alignment vertical="center"/>
    </xf>
    <xf numFmtId="183" fontId="101" fillId="0" borderId="22" xfId="11" applyNumberFormat="1" applyFont="1" applyBorder="1" applyAlignment="1">
      <alignment vertical="center"/>
    </xf>
    <xf numFmtId="183" fontId="101" fillId="0" borderId="89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101" fillId="0" borderId="22" xfId="11" applyFont="1" applyBorder="1" applyAlignment="1">
      <alignment vertical="center"/>
    </xf>
    <xf numFmtId="196" fontId="101" fillId="9" borderId="87" xfId="11" applyNumberFormat="1" applyFont="1" applyFill="1" applyBorder="1"/>
    <xf numFmtId="0" fontId="101" fillId="9" borderId="22" xfId="11" applyFont="1" applyFill="1" applyBorder="1" applyAlignment="1">
      <alignment vertical="center"/>
    </xf>
    <xf numFmtId="10" fontId="102" fillId="9" borderId="22" xfId="13" applyNumberFormat="1" applyFont="1" applyFill="1" applyBorder="1" applyAlignment="1">
      <alignment horizontal="right" vertical="center"/>
    </xf>
    <xf numFmtId="10" fontId="101" fillId="9" borderId="22" xfId="13" applyNumberFormat="1" applyFont="1" applyFill="1" applyBorder="1" applyAlignment="1">
      <alignment horizontal="right" vertical="center"/>
    </xf>
    <xf numFmtId="10" fontId="101" fillId="9" borderId="87" xfId="13" applyNumberFormat="1" applyFont="1" applyFill="1" applyBorder="1" applyAlignment="1"/>
    <xf numFmtId="0" fontId="101" fillId="0" borderId="86" xfId="11" applyFont="1" applyBorder="1" applyAlignment="1">
      <alignment horizontal="left"/>
    </xf>
    <xf numFmtId="197" fontId="101" fillId="0" borderId="22" xfId="11" applyNumberFormat="1" applyFont="1" applyBorder="1" applyAlignment="1">
      <alignment horizontal="right" vertical="center"/>
    </xf>
    <xf numFmtId="199" fontId="101" fillId="9" borderId="87" xfId="11" applyNumberFormat="1" applyFont="1" applyFill="1" applyBorder="1"/>
    <xf numFmtId="10" fontId="101" fillId="9" borderId="87" xfId="13" applyNumberFormat="1" applyFont="1" applyFill="1" applyBorder="1" applyAlignment="1">
      <alignment horizontal="right" vertical="center"/>
    </xf>
    <xf numFmtId="186" fontId="101" fillId="9" borderId="87" xfId="13" applyNumberFormat="1" applyFont="1" applyFill="1" applyBorder="1" applyAlignment="1">
      <alignment horizontal="right" vertical="center"/>
    </xf>
    <xf numFmtId="10" fontId="101" fillId="0" borderId="87" xfId="13" applyNumberFormat="1" applyFont="1" applyFill="1" applyBorder="1" applyAlignment="1">
      <alignment horizontal="right" vertical="center"/>
    </xf>
    <xf numFmtId="10" fontId="101" fillId="0" borderId="22" xfId="13" applyNumberFormat="1" applyFont="1" applyBorder="1" applyAlignment="1"/>
    <xf numFmtId="197" fontId="101" fillId="9" borderId="87" xfId="13" applyNumberFormat="1" applyFont="1" applyFill="1" applyBorder="1" applyAlignment="1">
      <alignment horizontal="right" vertical="center"/>
    </xf>
    <xf numFmtId="0" fontId="101" fillId="0" borderId="23" xfId="11" applyFont="1" applyBorder="1" applyAlignment="1">
      <alignment vertical="center"/>
    </xf>
    <xf numFmtId="183" fontId="101" fillId="0" borderId="23" xfId="11" applyNumberFormat="1" applyFont="1" applyBorder="1" applyAlignment="1">
      <alignment vertical="center"/>
    </xf>
    <xf numFmtId="0" fontId="101" fillId="0" borderId="89" xfId="11" applyFont="1" applyBorder="1" applyAlignment="1">
      <alignment vertical="center"/>
    </xf>
    <xf numFmtId="197" fontId="101" fillId="9" borderId="90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85" fontId="26" fillId="0" borderId="0" xfId="13" applyNumberFormat="1" applyFont="1" applyAlignment="1"/>
    <xf numFmtId="10" fontId="28" fillId="3" borderId="94" xfId="11" applyNumberFormat="1" applyFont="1" applyFill="1" applyBorder="1" applyAlignment="1">
      <alignment horizontal="center" vertical="center" shrinkToFit="1"/>
    </xf>
    <xf numFmtId="0" fontId="95" fillId="5" borderId="22" xfId="22" applyFont="1" applyFill="1" applyBorder="1" applyAlignment="1">
      <alignment horizontal="center" vertical="center" wrapText="1"/>
    </xf>
    <xf numFmtId="0" fontId="28" fillId="0" borderId="77" xfId="11" applyFont="1" applyBorder="1" applyAlignment="1">
      <alignment horizontal="left" vertical="center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9" fontId="36" fillId="9" borderId="22" xfId="11" applyNumberFormat="1" applyFont="1" applyFill="1" applyBorder="1" applyAlignment="1">
      <alignment horizontal="center" vertical="center"/>
    </xf>
    <xf numFmtId="199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9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7" fillId="0" borderId="0" xfId="11" applyFont="1" applyAlignment="1">
      <alignment horizontal="center" shrinkToFit="1"/>
    </xf>
    <xf numFmtId="0" fontId="116" fillId="0" borderId="0" xfId="15" applyFont="1">
      <alignment vertical="center"/>
    </xf>
    <xf numFmtId="0" fontId="117" fillId="0" borderId="23" xfId="15" applyFont="1" applyBorder="1" applyAlignment="1">
      <alignment horizontal="center" vertical="center"/>
    </xf>
    <xf numFmtId="193" fontId="117" fillId="0" borderId="23" xfId="15" applyNumberFormat="1" applyFont="1" applyBorder="1" applyAlignment="1">
      <alignment horizontal="center" vertical="center"/>
    </xf>
    <xf numFmtId="186" fontId="117" fillId="0" borderId="23" xfId="15" applyNumberFormat="1" applyFont="1" applyBorder="1" applyAlignment="1">
      <alignment horizontal="center" vertical="center"/>
    </xf>
    <xf numFmtId="10" fontId="117" fillId="0" borderId="23" xfId="3" applyNumberFormat="1" applyFont="1" applyFill="1" applyBorder="1" applyAlignment="1">
      <alignment horizontal="center" vertical="center"/>
    </xf>
    <xf numFmtId="0" fontId="119" fillId="0" borderId="23" xfId="15" applyFont="1" applyBorder="1" applyAlignment="1">
      <alignment horizontal="center" vertical="center" wrapText="1"/>
    </xf>
    <xf numFmtId="0" fontId="122" fillId="0" borderId="23" xfId="11" applyFont="1" applyBorder="1" applyAlignment="1">
      <alignment horizontal="center" vertical="center"/>
    </xf>
    <xf numFmtId="0" fontId="118" fillId="0" borderId="0" xfId="15" applyFont="1">
      <alignment vertical="center"/>
    </xf>
    <xf numFmtId="193" fontId="118" fillId="0" borderId="0" xfId="15" applyNumberFormat="1" applyFont="1">
      <alignment vertical="center"/>
    </xf>
    <xf numFmtId="193" fontId="124" fillId="0" borderId="0" xfId="15" applyNumberFormat="1" applyFont="1">
      <alignment vertical="center"/>
    </xf>
    <xf numFmtId="195" fontId="116" fillId="0" borderId="0" xfId="15" applyNumberFormat="1" applyFont="1">
      <alignment vertical="center"/>
    </xf>
    <xf numFmtId="0" fontId="125" fillId="0" borderId="0" xfId="15" applyFont="1">
      <alignment vertical="center"/>
    </xf>
    <xf numFmtId="194" fontId="126" fillId="5" borderId="22" xfId="5" applyNumberFormat="1" applyFont="1" applyFill="1" applyBorder="1" applyAlignment="1">
      <alignment horizontal="center" vertical="center"/>
    </xf>
    <xf numFmtId="193" fontId="127" fillId="9" borderId="22" xfId="4" applyNumberFormat="1" applyFont="1" applyFill="1" applyBorder="1" applyAlignment="1">
      <alignment horizontal="center" vertical="center"/>
    </xf>
    <xf numFmtId="193" fontId="127" fillId="9" borderId="22" xfId="6" applyNumberFormat="1" applyFont="1" applyFill="1" applyBorder="1" applyAlignment="1">
      <alignment horizontal="center" vertical="center"/>
    </xf>
    <xf numFmtId="186" fontId="127" fillId="0" borderId="22" xfId="4" applyNumberFormat="1" applyFont="1" applyBorder="1" applyAlignment="1">
      <alignment horizontal="center" vertical="center"/>
    </xf>
    <xf numFmtId="10" fontId="127" fillId="0" borderId="22" xfId="3" applyNumberFormat="1" applyFont="1" applyBorder="1" applyAlignment="1">
      <alignment horizontal="center" vertical="center"/>
    </xf>
    <xf numFmtId="0" fontId="81" fillId="0" borderId="0" xfId="15" applyFont="1">
      <alignment vertical="center"/>
    </xf>
    <xf numFmtId="193" fontId="81" fillId="0" borderId="0" xfId="15" applyNumberFormat="1" applyFont="1">
      <alignment vertical="center"/>
    </xf>
    <xf numFmtId="0" fontId="116" fillId="0" borderId="0" xfId="4" applyFont="1">
      <alignment vertical="center"/>
    </xf>
    <xf numFmtId="194" fontId="126" fillId="10" borderId="22" xfId="5" applyNumberFormat="1" applyFont="1" applyFill="1" applyBorder="1" applyAlignment="1">
      <alignment horizontal="center" vertical="center"/>
    </xf>
    <xf numFmtId="3" fontId="116" fillId="0" borderId="0" xfId="4" applyNumberFormat="1" applyFont="1">
      <alignment vertical="center"/>
    </xf>
    <xf numFmtId="194" fontId="128" fillId="0" borderId="22" xfId="5" applyNumberFormat="1" applyFont="1" applyBorder="1" applyAlignment="1">
      <alignment horizontal="center" vertical="center"/>
    </xf>
    <xf numFmtId="193" fontId="127" fillId="9" borderId="22" xfId="17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26" xfId="11" applyFont="1" applyFill="1" applyBorder="1" applyAlignment="1">
      <alignment shrinkToFit="1"/>
    </xf>
    <xf numFmtId="0" fontId="26" fillId="4" borderId="36" xfId="11" applyFont="1" applyFill="1" applyBorder="1" applyAlignment="1">
      <alignment shrinkToFit="1"/>
    </xf>
    <xf numFmtId="0" fontId="28" fillId="0" borderId="27" xfId="11" applyFont="1" applyBorder="1" applyAlignment="1">
      <alignment vertical="center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1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101" fillId="0" borderId="86" xfId="11" applyFont="1" applyBorder="1" applyAlignment="1">
      <alignment horizontal="left" vertical="center"/>
    </xf>
    <xf numFmtId="0" fontId="101" fillId="0" borderId="91" xfId="11" applyFont="1" applyBorder="1" applyAlignment="1">
      <alignment horizontal="left" vertical="center"/>
    </xf>
    <xf numFmtId="0" fontId="101" fillId="0" borderId="88" xfId="11" applyFont="1" applyBorder="1" applyAlignment="1">
      <alignment horizontal="left" vertical="center"/>
    </xf>
    <xf numFmtId="0" fontId="100" fillId="0" borderId="83" xfId="11" applyFont="1" applyBorder="1" applyAlignment="1">
      <alignment horizontal="center" vertical="center"/>
    </xf>
    <xf numFmtId="0" fontId="100" fillId="0" borderId="84" xfId="11" applyFont="1" applyBorder="1" applyAlignment="1">
      <alignment horizontal="center" vertical="center"/>
    </xf>
    <xf numFmtId="0" fontId="101" fillId="0" borderId="92" xfId="11" applyFont="1" applyBorder="1" applyAlignment="1">
      <alignment horizontal="left" vertical="center"/>
    </xf>
    <xf numFmtId="0" fontId="101" fillId="0" borderId="93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5" fontId="26" fillId="0" borderId="0" xfId="13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90" fontId="26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/>
    </xf>
    <xf numFmtId="188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0" fontId="90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29" fillId="0" borderId="23" xfId="0" applyFont="1" applyBorder="1" applyAlignment="1">
      <alignment horizontal="center" vertical="center"/>
    </xf>
    <xf numFmtId="0" fontId="129" fillId="0" borderId="29" xfId="0" applyFont="1" applyBorder="1" applyAlignment="1">
      <alignment horizontal="center" vertical="center"/>
    </xf>
    <xf numFmtId="0" fontId="129" fillId="0" borderId="30" xfId="0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/>
    </xf>
    <xf numFmtId="189" fontId="26" fillId="0" borderId="29" xfId="0" applyNumberFormat="1" applyFont="1" applyBorder="1" applyAlignment="1">
      <alignment horizontal="center"/>
    </xf>
    <xf numFmtId="189" fontId="26" fillId="0" borderId="30" xfId="0" applyNumberFormat="1" applyFont="1" applyBorder="1" applyAlignment="1">
      <alignment horizontal="center"/>
    </xf>
    <xf numFmtId="0" fontId="107" fillId="0" borderId="29" xfId="0" applyFont="1" applyBorder="1" applyAlignment="1">
      <alignment horizontal="center" vertical="center"/>
    </xf>
    <xf numFmtId="0" fontId="107" fillId="0" borderId="3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90" fontId="26" fillId="0" borderId="29" xfId="0" applyNumberFormat="1" applyFont="1" applyBorder="1" applyAlignment="1">
      <alignment horizontal="center"/>
    </xf>
    <xf numFmtId="0" fontId="31" fillId="0" borderId="23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09" fillId="0" borderId="37" xfId="0" applyFont="1" applyBorder="1" applyAlignment="1">
      <alignment horizontal="left" vertical="center"/>
    </xf>
    <xf numFmtId="0" fontId="108" fillId="0" borderId="37" xfId="0" applyFont="1" applyBorder="1" applyAlignment="1">
      <alignment horizontal="left" vertical="center"/>
    </xf>
    <xf numFmtId="0" fontId="110" fillId="0" borderId="32" xfId="0" applyFont="1" applyBorder="1" applyAlignment="1">
      <alignment horizontal="left" vertical="center"/>
    </xf>
    <xf numFmtId="0" fontId="110" fillId="0" borderId="26" xfId="0" applyFont="1" applyBorder="1" applyAlignment="1">
      <alignment horizontal="left" vertical="center"/>
    </xf>
    <xf numFmtId="0" fontId="11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08" fillId="0" borderId="32" xfId="0" applyFont="1" applyBorder="1" applyAlignment="1">
      <alignment horizontal="left" vertical="center"/>
    </xf>
    <xf numFmtId="0" fontId="108" fillId="0" borderId="26" xfId="0" applyFont="1" applyBorder="1" applyAlignment="1">
      <alignment horizontal="left" vertical="center"/>
    </xf>
    <xf numFmtId="0" fontId="108" fillId="0" borderId="36" xfId="0" applyFont="1" applyBorder="1" applyAlignment="1">
      <alignment horizontal="left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0" fontId="87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shrinkToFit="1"/>
    </xf>
    <xf numFmtId="0" fontId="7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130" fillId="0" borderId="22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57" fillId="0" borderId="27" xfId="11" applyFont="1" applyBorder="1" applyAlignment="1">
      <alignment shrinkToFit="1"/>
    </xf>
    <xf numFmtId="0" fontId="57" fillId="0" borderId="25" xfId="11" applyFont="1" applyBorder="1" applyAlignment="1">
      <alignment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5" fillId="4" borderId="4" xfId="11" applyFont="1" applyFill="1" applyBorder="1" applyAlignment="1">
      <alignment vertical="center" wrapText="1"/>
    </xf>
    <xf numFmtId="0" fontId="85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57" fillId="0" borderId="22" xfId="11" applyFont="1" applyBorder="1" applyAlignment="1">
      <alignment horizontal="center" vertical="center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85" fillId="0" borderId="4" xfId="11" applyFont="1" applyBorder="1" applyAlignment="1">
      <alignment vertical="center" wrapText="1"/>
    </xf>
    <xf numFmtId="0" fontId="85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91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 shrinkToFit="1"/>
    </xf>
    <xf numFmtId="0" fontId="28" fillId="0" borderId="32" xfId="11" applyFont="1" applyBorder="1" applyAlignment="1">
      <alignment horizontal="center" vertical="center" shrinkToFit="1"/>
    </xf>
    <xf numFmtId="0" fontId="28" fillId="0" borderId="35" xfId="11" applyFont="1" applyBorder="1" applyAlignment="1">
      <alignment horizontal="center" vertical="center" shrinkToFit="1"/>
    </xf>
    <xf numFmtId="0" fontId="28" fillId="0" borderId="36" xfId="11" applyFont="1" applyBorder="1" applyAlignment="1">
      <alignment horizontal="center" vertical="center" shrinkToFit="1"/>
    </xf>
    <xf numFmtId="0" fontId="44" fillId="0" borderId="23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44" fillId="0" borderId="81" xfId="11" applyFont="1" applyBorder="1" applyAlignment="1">
      <alignment horizontal="center" vertical="center"/>
    </xf>
    <xf numFmtId="0" fontId="88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51" fillId="0" borderId="31" xfId="11" applyFont="1" applyBorder="1" applyAlignment="1">
      <alignment horizontal="left" vertical="center" shrinkToFit="1"/>
    </xf>
    <xf numFmtId="0" fontId="51" fillId="0" borderId="35" xfId="11" applyFont="1" applyBorder="1" applyAlignment="1">
      <alignment horizontal="left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27" fillId="5" borderId="22" xfId="15" applyNumberFormat="1" applyFont="1" applyFill="1" applyBorder="1" applyAlignment="1">
      <alignment horizontal="center" vertical="center"/>
    </xf>
    <xf numFmtId="195" fontId="127" fillId="10" borderId="22" xfId="15" applyNumberFormat="1" applyFont="1" applyFill="1" applyBorder="1" applyAlignment="1">
      <alignment horizontal="center" vertical="center"/>
    </xf>
    <xf numFmtId="0" fontId="114" fillId="11" borderId="22" xfId="15" applyFont="1" applyFill="1" applyBorder="1" applyAlignment="1">
      <alignment horizontal="center" vertical="center"/>
    </xf>
    <xf numFmtId="0" fontId="115" fillId="11" borderId="22" xfId="1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4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94" fillId="0" borderId="31" xfId="11" applyFont="1" applyBorder="1" applyAlignment="1">
      <alignment horizontal="center" vertical="center"/>
    </xf>
    <xf numFmtId="0" fontId="94" fillId="0" borderId="32" xfId="11" applyFont="1" applyBorder="1" applyAlignment="1">
      <alignment horizontal="center" vertical="center"/>
    </xf>
    <xf numFmtId="0" fontId="94" fillId="0" borderId="33" xfId="11" applyFont="1" applyBorder="1" applyAlignment="1">
      <alignment horizontal="center" vertical="center"/>
    </xf>
    <xf numFmtId="0" fontId="94" fillId="0" borderId="34" xfId="11" applyFont="1" applyBorder="1" applyAlignment="1">
      <alignment horizontal="center" vertical="center"/>
    </xf>
    <xf numFmtId="0" fontId="94" fillId="0" borderId="35" xfId="11" applyFont="1" applyBorder="1" applyAlignment="1">
      <alignment horizontal="center" vertical="center"/>
    </xf>
    <xf numFmtId="0" fontId="94" fillId="0" borderId="36" xfId="11" applyFont="1" applyBorder="1" applyAlignment="1">
      <alignment horizontal="center" vertical="center"/>
    </xf>
    <xf numFmtId="0" fontId="95" fillId="5" borderId="23" xfId="5" applyFont="1" applyFill="1" applyBorder="1" applyAlignment="1">
      <alignment horizontal="center" vertical="center"/>
    </xf>
    <xf numFmtId="0" fontId="95" fillId="5" borderId="29" xfId="5" applyFont="1" applyFill="1" applyBorder="1" applyAlignment="1">
      <alignment horizontal="center" vertical="center"/>
    </xf>
    <xf numFmtId="0" fontId="95" fillId="5" borderId="30" xfId="5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95" fillId="5" borderId="22" xfId="22" applyFont="1" applyFill="1" applyBorder="1" applyAlignment="1">
      <alignment horizontal="center" vertical="center"/>
    </xf>
    <xf numFmtId="0" fontId="95" fillId="5" borderId="23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95" fillId="5" borderId="22" xfId="22" applyFont="1" applyFill="1" applyBorder="1" applyAlignment="1">
      <alignment horizontal="center" vertical="center" wrapText="1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  <xf numFmtId="0" fontId="110" fillId="0" borderId="37" xfId="0" applyFont="1" applyBorder="1" applyAlignment="1">
      <alignment horizontal="left" vertical="center"/>
    </xf>
    <xf numFmtId="0" fontId="109" fillId="0" borderId="32" xfId="0" applyFont="1" applyBorder="1" applyAlignment="1">
      <alignment horizontal="left" vertical="center"/>
    </xf>
    <xf numFmtId="0" fontId="109" fillId="0" borderId="26" xfId="0" applyFont="1" applyBorder="1" applyAlignment="1">
      <alignment horizontal="left" vertical="center"/>
    </xf>
    <xf numFmtId="0" fontId="109" fillId="0" borderId="36" xfId="0" applyFont="1" applyBorder="1" applyAlignment="1">
      <alignment horizontal="left" vertical="center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6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135;&#30740;&#25152;114&#24180;JFM&#29256;\&#32371;&#20132;&#39135;&#30740;&#25152;\&#12304;JFM&#25351;&#23566;&#12305;&#22823;&#28330;&#24288;&#29983;&#29986;&#31649;&#29702;&#22577;&#34920;202603(&#25976;&#20540;&#32047;&#31309;&#32317;&#34920;(&#26376;).xlsx" TargetMode="External"/><Relationship Id="rId1" Type="http://schemas.openxmlformats.org/officeDocument/2006/relationships/externalLinkPath" Target="&#32371;&#20132;&#39135;&#30740;&#25152;/&#12304;JFM&#25351;&#23566;&#12305;&#22823;&#28330;&#24288;&#29983;&#29986;&#31649;&#29702;&#22577;&#34920;202603(&#25976;&#20540;&#32047;&#31309;&#32317;&#34920;(&#26376;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(&#9679;)&#22823;&#28330;&#24288;&#29983;&#29986;&#31649;&#29702;&#22577;&#34920;cora(0428-0504).xlsx" TargetMode="External"/><Relationship Id="rId2" Type="http://schemas.openxmlformats.org/officeDocument/2006/relationships/externalLinkPath" Target="file:///C:\Users\pzps99632\Desktop\(&#9679;)&#22823;&#28330;&#24288;&#29983;&#29986;&#31649;&#29702;&#22577;&#34920;cora(0428-0504).xlsx" TargetMode="External"/><Relationship Id="rId1" Type="http://schemas.openxmlformats.org/officeDocument/2006/relationships/externalLinkPath" Target="/Users/pzps99632/Desktop/(&#9679;)&#22823;&#28330;&#24288;&#29983;&#29986;&#31649;&#29702;&#22577;&#34920;cora(0428-0504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(&#9679;)&#22823;&#28330;&#24288;&#29983;&#29986;&#31649;&#29702;&#22577;&#34920;cora(0505-0511).xlsx" TargetMode="External"/><Relationship Id="rId2" Type="http://schemas.openxmlformats.org/officeDocument/2006/relationships/externalLinkPath" Target="file:///C:\Users\pzps99632\Desktop\(&#9679;)&#22823;&#28330;&#24288;&#29983;&#29986;&#31649;&#29702;&#22577;&#34920;cora(0505-0511).xlsx" TargetMode="External"/><Relationship Id="rId1" Type="http://schemas.openxmlformats.org/officeDocument/2006/relationships/externalLinkPath" Target="/Users/pzps99632/Desktop/(&#9679;)&#22823;&#28330;&#24288;&#29983;&#29986;&#31649;&#29702;&#22577;&#34920;cora(0505-0511)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(&#9679;)&#22823;&#28330;&#24288;&#29983;&#29986;&#31649;&#29702;&#22577;&#34920;cora(0512-0518).xlsx" TargetMode="External"/><Relationship Id="rId2" Type="http://schemas.openxmlformats.org/officeDocument/2006/relationships/externalLinkPath" Target="file:///C:\Users\pzps99632\Desktop\(&#9679;)&#22823;&#28330;&#24288;&#29983;&#29986;&#31649;&#29702;&#22577;&#34920;cora(0512-0518).xlsx" TargetMode="External"/><Relationship Id="rId1" Type="http://schemas.openxmlformats.org/officeDocument/2006/relationships/externalLinkPath" Target="/Users/pzps99632/Desktop/(&#9679;)&#22823;&#28330;&#24288;&#29983;&#29986;&#31649;&#29702;&#22577;&#34920;cora(0512-0518)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(&#9679;)&#22823;&#28330;&#24288;&#29983;&#29986;&#31649;&#29702;&#22577;&#34920;cora(0519-0525).xlsx" TargetMode="External"/><Relationship Id="rId2" Type="http://schemas.openxmlformats.org/officeDocument/2006/relationships/externalLinkPath" Target="file:///C:\Users\pzps99632\Desktop\(&#9679;)&#22823;&#28330;&#24288;&#29983;&#29986;&#31649;&#29702;&#22577;&#34920;cora(0519-0525).xlsx" TargetMode="External"/><Relationship Id="rId1" Type="http://schemas.openxmlformats.org/officeDocument/2006/relationships/externalLinkPath" Target="/Users/pzps99632/Desktop/(&#9679;)&#22823;&#28330;&#24288;&#29983;&#29986;&#31649;&#29702;&#22577;&#34920;cora(0519-0525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$&#39854;&#39135;&#21322;&#25104;&#21697;&#22577;&#24290;$/2026-05&#23631;&#27054;&#22823;&#28330;&#24288;&#21322;&#25104;&#21697;&#29983;&#29986;&#31649;&#29702;&#26085;&#22577;.xlsx" TargetMode="External"/><Relationship Id="rId2" Type="http://schemas.openxmlformats.org/officeDocument/2006/relationships/externalLinkPath" Target="file:///C:\Users\pzps99632\Desktop\$&#39854;&#39135;&#21322;&#25104;&#21697;&#22577;&#24290;$\2026-05&#23631;&#27054;&#22823;&#28330;&#24288;&#21322;&#25104;&#21697;&#29983;&#29986;&#31649;&#29702;&#26085;&#22577;.xlsx" TargetMode="External"/><Relationship Id="rId1" Type="http://schemas.openxmlformats.org/officeDocument/2006/relationships/externalLinkPath" Target="/Users/pzps99632/Desktop/$&#39854;&#39135;&#21322;&#25104;&#21697;&#22577;&#24290;$/2026-05&#23631;&#27054;&#22823;&#28330;&#24288;&#21322;&#25104;&#21697;&#29983;&#29986;&#31649;&#29702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數值累積總表(月)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填寫舉例"/>
      <sheetName val="鮮食品群番"/>
      <sheetName val="下拉式選單"/>
    </sheetNames>
    <sheetDataSet>
      <sheetData sheetId="0">
        <row r="6">
          <cell r="P6">
            <v>67948</v>
          </cell>
        </row>
      </sheetData>
      <sheetData sheetId="1"/>
      <sheetData sheetId="2"/>
      <sheetData sheetId="3"/>
      <sheetData sheetId="4">
        <row r="10">
          <cell r="K10">
            <v>0.82360963344933713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生產管理報表(月)"/>
      <sheetName val="生產管理報表(週) "/>
      <sheetName val="（１）收支狀況"/>
      <sheetName val="貼訂購銷售表"/>
      <sheetName val="W2"/>
      <sheetName val="W3"/>
      <sheetName val="W4"/>
      <sheetName val="W5"/>
      <sheetName val="W6"/>
      <sheetName val="W7"/>
      <sheetName val="W1"/>
      <sheetName val="產能清單0428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貼訂購銷售表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產能清單0505"/>
      <sheetName val="產能清單0511"/>
      <sheetName val="（５-8）品群別人時生產性(季節調理麵) --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2">
          <cell r="P22">
            <v>5</v>
          </cell>
          <cell r="Q22">
            <v>3191.7078973714551</v>
          </cell>
          <cell r="R22">
            <v>638.34157947429105</v>
          </cell>
          <cell r="S22">
            <v>19</v>
          </cell>
          <cell r="T22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產能清單0512"/>
      <sheetName val="（２）ＫＰＩ達成進度"/>
      <sheetName val="貼訂購銷售表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貼訂購銷售表"/>
      <sheetName val="（３）業績構成比"/>
      <sheetName val="（４）訂單數量構成比"/>
      <sheetName val="產能清單0519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日別報廢率總表"/>
      <sheetName val="0501-31合計"/>
      <sheetName val="0526分析日報"/>
      <sheetName val="0526合計"/>
      <sheetName val="0525分析日報"/>
      <sheetName val="0525合計"/>
      <sheetName val="0524分析日報"/>
      <sheetName val="0524合計"/>
      <sheetName val="0523分析日報"/>
      <sheetName val="0523合計"/>
      <sheetName val="0522分析日報"/>
      <sheetName val="0522合計"/>
      <sheetName val="0521分析日報"/>
      <sheetName val="0521合計"/>
      <sheetName val="0520分析日報"/>
      <sheetName val="0520合計"/>
      <sheetName val="0519分析日報"/>
      <sheetName val="0519合計"/>
      <sheetName val="0518分析日報"/>
      <sheetName val="0518合計"/>
      <sheetName val="0517分析日報"/>
      <sheetName val="0517合計"/>
      <sheetName val="0516分析日報"/>
      <sheetName val="0516合計"/>
      <sheetName val="0515分析日報"/>
      <sheetName val="0515合計"/>
      <sheetName val="0514分析日報"/>
      <sheetName val="0514合計"/>
      <sheetName val="0513分析日報"/>
      <sheetName val="0513合計"/>
      <sheetName val="0512分析日報"/>
      <sheetName val="0512合計"/>
      <sheetName val="0511分析日報"/>
      <sheetName val="0511合計"/>
      <sheetName val="0510分析日報"/>
      <sheetName val="0510合計"/>
      <sheetName val="0509分析日報"/>
      <sheetName val="0509合計"/>
      <sheetName val="0508分析日報"/>
      <sheetName val="0508合計"/>
      <sheetName val="0507分析日報"/>
      <sheetName val="0507合計"/>
      <sheetName val="0506分析日報"/>
      <sheetName val="0506合計"/>
      <sheetName val="0505分析日報"/>
      <sheetName val="0505合計"/>
      <sheetName val="0504分析日報"/>
      <sheetName val="0504合計"/>
      <sheetName val="0503分析日報"/>
      <sheetName val="0503合計"/>
      <sheetName val="0502分析日報"/>
      <sheetName val="0502合計"/>
      <sheetName val="0501分析日報"/>
      <sheetName val="0501合計"/>
      <sheetName val="名詞定義"/>
    </sheetNames>
    <sheetDataSet>
      <sheetData sheetId="0"/>
      <sheetData sheetId="1"/>
      <sheetData sheetId="2"/>
      <sheetData sheetId="3"/>
      <sheetData sheetId="4"/>
      <sheetData sheetId="5">
        <row r="2">
          <cell r="P2">
            <v>13358.007399999999</v>
          </cell>
          <cell r="S2">
            <v>40803.050300000024</v>
          </cell>
        </row>
      </sheetData>
      <sheetData sheetId="6"/>
      <sheetData sheetId="7">
        <row r="2">
          <cell r="P2">
            <v>13489.789299999997</v>
          </cell>
          <cell r="S2">
            <v>41371.554099999965</v>
          </cell>
        </row>
      </sheetData>
      <sheetData sheetId="8"/>
      <sheetData sheetId="9">
        <row r="2">
          <cell r="P2">
            <v>10832.206700000002</v>
          </cell>
          <cell r="S2">
            <v>33098.064799999986</v>
          </cell>
        </row>
      </sheetData>
      <sheetData sheetId="10"/>
      <sheetData sheetId="11">
        <row r="2">
          <cell r="P2">
            <v>10029.772500000001</v>
          </cell>
          <cell r="S2">
            <v>30619.340000000007</v>
          </cell>
        </row>
      </sheetData>
      <sheetData sheetId="12"/>
      <sheetData sheetId="13">
        <row r="2">
          <cell r="P2">
            <v>11543.172999999997</v>
          </cell>
          <cell r="S2">
            <v>35248.849600000009</v>
          </cell>
        </row>
      </sheetData>
      <sheetData sheetId="14"/>
      <sheetData sheetId="15">
        <row r="2">
          <cell r="P2">
            <v>12531.831999999999</v>
          </cell>
          <cell r="S2">
            <v>38639.647399999994</v>
          </cell>
        </row>
      </sheetData>
      <sheetData sheetId="16"/>
      <sheetData sheetId="17">
        <row r="2">
          <cell r="P2">
            <v>13809.297800000004</v>
          </cell>
          <cell r="S2">
            <v>42710.914400000001</v>
          </cell>
        </row>
      </sheetData>
      <sheetData sheetId="18"/>
      <sheetData sheetId="19">
        <row r="2">
          <cell r="P2">
            <v>12991.779300000002</v>
          </cell>
          <cell r="S2">
            <v>40133.131460000011</v>
          </cell>
        </row>
      </sheetData>
      <sheetData sheetId="20"/>
      <sheetData sheetId="21">
        <row r="2">
          <cell r="P2">
            <v>13656.043199999998</v>
          </cell>
          <cell r="S2">
            <v>42274.572300000007</v>
          </cell>
        </row>
      </sheetData>
      <sheetData sheetId="22"/>
      <sheetData sheetId="23">
        <row r="2">
          <cell r="P2">
            <v>10286.441499999997</v>
          </cell>
          <cell r="S2">
            <v>31722.859200000021</v>
          </cell>
        </row>
      </sheetData>
      <sheetData sheetId="24"/>
      <sheetData sheetId="25">
        <row r="2">
          <cell r="P2">
            <v>9256.0919999999987</v>
          </cell>
          <cell r="S2">
            <v>28563.915699999998</v>
          </cell>
        </row>
      </sheetData>
      <sheetData sheetId="26"/>
      <sheetData sheetId="27">
        <row r="2">
          <cell r="P2">
            <v>11024.869999999997</v>
          </cell>
          <cell r="S2">
            <v>34246.325399999972</v>
          </cell>
        </row>
      </sheetData>
      <sheetData sheetId="28"/>
      <sheetData sheetId="29">
        <row r="2">
          <cell r="P2">
            <v>12176.4776</v>
          </cell>
          <cell r="S2">
            <v>38239.596700000016</v>
          </cell>
        </row>
      </sheetData>
      <sheetData sheetId="30"/>
      <sheetData sheetId="31">
        <row r="2">
          <cell r="P2">
            <v>13012.466100000005</v>
          </cell>
          <cell r="S2">
            <v>40649.32450000001</v>
          </cell>
        </row>
      </sheetData>
      <sheetData sheetId="32"/>
      <sheetData sheetId="33">
        <row r="2">
          <cell r="P2">
            <v>12473.983500000002</v>
          </cell>
          <cell r="S2">
            <v>38148.039400000038</v>
          </cell>
        </row>
      </sheetData>
      <sheetData sheetId="34"/>
      <sheetData sheetId="35">
        <row r="2">
          <cell r="P2">
            <v>12541.243699999997</v>
          </cell>
          <cell r="S2">
            <v>38422.183799999963</v>
          </cell>
        </row>
      </sheetData>
      <sheetData sheetId="36"/>
      <sheetData sheetId="37">
        <row r="2">
          <cell r="P2">
            <v>9558.0511999999981</v>
          </cell>
          <cell r="S2">
            <v>29202.252100000012</v>
          </cell>
        </row>
      </sheetData>
      <sheetData sheetId="38"/>
      <sheetData sheetId="39">
        <row r="2">
          <cell r="P2">
            <v>8927.295500000002</v>
          </cell>
          <cell r="S2">
            <v>27135.552999999967</v>
          </cell>
        </row>
      </sheetData>
      <sheetData sheetId="40"/>
      <sheetData sheetId="41">
        <row r="2">
          <cell r="P2">
            <v>10313.073699999999</v>
          </cell>
          <cell r="S2">
            <v>31917.384500000007</v>
          </cell>
        </row>
      </sheetData>
      <sheetData sheetId="42"/>
      <sheetData sheetId="43">
        <row r="2">
          <cell r="P2">
            <v>11226.473800000003</v>
          </cell>
          <cell r="S2">
            <v>33764.994100000004</v>
          </cell>
        </row>
      </sheetData>
      <sheetData sheetId="44"/>
      <sheetData sheetId="45">
        <row r="2">
          <cell r="P2">
            <v>11994.588200000002</v>
          </cell>
          <cell r="S2">
            <v>36062.868699999999</v>
          </cell>
        </row>
      </sheetData>
      <sheetData sheetId="46"/>
      <sheetData sheetId="47">
        <row r="2">
          <cell r="P2">
            <v>12303.002800000002</v>
          </cell>
          <cell r="S2">
            <v>37509.23359999997</v>
          </cell>
        </row>
      </sheetData>
      <sheetData sheetId="48"/>
      <sheetData sheetId="49">
        <row r="2">
          <cell r="P2">
            <v>12998.566500000001</v>
          </cell>
          <cell r="S2">
            <v>39638.562199999993</v>
          </cell>
        </row>
      </sheetData>
      <sheetData sheetId="50"/>
      <sheetData sheetId="51">
        <row r="2">
          <cell r="P2">
            <v>8863.4772999999986</v>
          </cell>
          <cell r="S2">
            <v>28128.679200000013</v>
          </cell>
        </row>
      </sheetData>
      <sheetData sheetId="52"/>
      <sheetData sheetId="53">
        <row r="2">
          <cell r="P2">
            <v>8250.4066999999995</v>
          </cell>
          <cell r="S2">
            <v>26762.687600000001</v>
          </cell>
        </row>
      </sheetData>
      <sheetData sheetId="5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E15-AC20-41E5-88A7-CFD7E5BF0AEF}">
  <sheetPr codeName="工作表1"/>
  <dimension ref="B1:P45"/>
  <sheetViews>
    <sheetView workbookViewId="0">
      <selection activeCell="F6" sqref="F6"/>
    </sheetView>
  </sheetViews>
  <sheetFormatPr defaultColWidth="8.7109375" defaultRowHeight="13.5"/>
  <cols>
    <col min="1" max="1" width="8.7109375" style="409"/>
    <col min="2" max="2" width="27.7109375" style="409" bestFit="1" customWidth="1"/>
    <col min="3" max="3" width="34.7109375" style="409" customWidth="1"/>
    <col min="4" max="15" width="12.7109375" style="409" customWidth="1"/>
    <col min="16" max="16" width="15.7109375" style="409" customWidth="1"/>
    <col min="17" max="16384" width="8.7109375" style="409"/>
  </cols>
  <sheetData>
    <row r="1" spans="2:16" ht="18.75">
      <c r="B1" s="561" t="s">
        <v>197</v>
      </c>
      <c r="C1" s="562"/>
      <c r="D1" s="418" t="s">
        <v>519</v>
      </c>
      <c r="E1" s="418" t="s">
        <v>521</v>
      </c>
      <c r="F1" s="418" t="s">
        <v>522</v>
      </c>
      <c r="G1" s="418" t="s">
        <v>523</v>
      </c>
      <c r="H1" s="418" t="s">
        <v>524</v>
      </c>
      <c r="I1" s="418" t="s">
        <v>525</v>
      </c>
      <c r="J1" s="418" t="s">
        <v>526</v>
      </c>
      <c r="K1" s="418" t="s">
        <v>527</v>
      </c>
      <c r="L1" s="418" t="s">
        <v>528</v>
      </c>
      <c r="M1" s="418" t="s">
        <v>529</v>
      </c>
      <c r="N1" s="418" t="s">
        <v>530</v>
      </c>
      <c r="O1" s="418" t="s">
        <v>531</v>
      </c>
      <c r="P1" s="419" t="s">
        <v>532</v>
      </c>
    </row>
    <row r="2" spans="2:16" ht="15.75">
      <c r="B2" s="558" t="s">
        <v>547</v>
      </c>
      <c r="C2" s="431" t="s">
        <v>533</v>
      </c>
      <c r="D2" s="420">
        <v>146299.93539000006</v>
      </c>
      <c r="E2" s="420">
        <v>116569.43023000001</v>
      </c>
      <c r="F2" s="420">
        <v>148837.99842999995</v>
      </c>
      <c r="G2" s="420"/>
      <c r="H2" s="420"/>
      <c r="I2" s="420"/>
      <c r="J2" s="420"/>
      <c r="K2" s="420"/>
      <c r="L2" s="420"/>
      <c r="M2" s="420"/>
      <c r="N2" s="420"/>
      <c r="O2" s="420"/>
      <c r="P2" s="432">
        <f>SUM(D2:O2)</f>
        <v>411707.36404999997</v>
      </c>
    </row>
    <row r="3" spans="2:16" ht="15.75">
      <c r="B3" s="558"/>
      <c r="C3" s="431" t="s">
        <v>534</v>
      </c>
      <c r="D3" s="420">
        <v>4768701</v>
      </c>
      <c r="E3" s="420">
        <v>3787002</v>
      </c>
      <c r="F3" s="420">
        <v>5045753</v>
      </c>
      <c r="G3" s="420"/>
      <c r="H3" s="420"/>
      <c r="I3" s="420"/>
      <c r="J3" s="420"/>
      <c r="K3" s="420"/>
      <c r="L3" s="420"/>
      <c r="M3" s="420"/>
      <c r="N3" s="420"/>
      <c r="O3" s="420"/>
      <c r="P3" s="432">
        <f>SUM(D3:O3)</f>
        <v>13601456</v>
      </c>
    </row>
    <row r="4" spans="2:16" ht="15.75">
      <c r="B4" s="558"/>
      <c r="C4" s="431" t="s">
        <v>535</v>
      </c>
      <c r="D4" s="420">
        <v>93253</v>
      </c>
      <c r="E4" s="420">
        <v>74777</v>
      </c>
      <c r="F4" s="420">
        <v>93614</v>
      </c>
      <c r="G4" s="420"/>
      <c r="H4" s="420"/>
      <c r="I4" s="420"/>
      <c r="J4" s="420"/>
      <c r="K4" s="420"/>
      <c r="L4" s="420"/>
      <c r="M4" s="420"/>
      <c r="N4" s="420"/>
      <c r="O4" s="420"/>
      <c r="P4" s="432">
        <f>SUM(D4:O4)</f>
        <v>261644</v>
      </c>
    </row>
    <row r="5" spans="2:16" ht="15.75">
      <c r="B5" s="558"/>
      <c r="C5" s="433" t="s">
        <v>548</v>
      </c>
      <c r="D5" s="434">
        <v>0.65500000000000003</v>
      </c>
      <c r="E5" s="434">
        <v>0.65300000000000002</v>
      </c>
      <c r="F5" s="434">
        <v>0.64800000000000002</v>
      </c>
      <c r="G5" s="435" t="str">
        <f t="shared" ref="G5:O5" si="0">IFERROR(G4/G2, "")</f>
        <v/>
      </c>
      <c r="H5" s="435" t="str">
        <f t="shared" si="0"/>
        <v/>
      </c>
      <c r="I5" s="435" t="str">
        <f t="shared" si="0"/>
        <v/>
      </c>
      <c r="J5" s="435" t="str">
        <f t="shared" si="0"/>
        <v/>
      </c>
      <c r="K5" s="435" t="str">
        <f t="shared" si="0"/>
        <v/>
      </c>
      <c r="L5" s="435" t="str">
        <f t="shared" si="0"/>
        <v/>
      </c>
      <c r="M5" s="435" t="str">
        <f t="shared" si="0"/>
        <v/>
      </c>
      <c r="N5" s="435" t="str">
        <f t="shared" si="0"/>
        <v/>
      </c>
      <c r="O5" s="435" t="str">
        <f t="shared" si="0"/>
        <v/>
      </c>
      <c r="P5" s="436">
        <f>AVERAGEIF(D5:O5, "&gt;0")</f>
        <v>0.65200000000000002</v>
      </c>
    </row>
    <row r="6" spans="2:16" ht="15.75">
      <c r="B6" s="558"/>
      <c r="C6" s="431" t="s">
        <v>536</v>
      </c>
      <c r="D6" s="420">
        <v>22378</v>
      </c>
      <c r="E6" s="420">
        <v>22860</v>
      </c>
      <c r="F6" s="420">
        <v>22710</v>
      </c>
      <c r="G6" s="420"/>
      <c r="H6" s="420"/>
      <c r="I6" s="420"/>
      <c r="J6" s="420"/>
      <c r="K6" s="420"/>
      <c r="L6" s="420"/>
      <c r="M6" s="420"/>
      <c r="N6" s="420"/>
      <c r="O6" s="420"/>
      <c r="P6" s="432">
        <f t="shared" ref="P6" si="1">SUM(D6:O6)</f>
        <v>67948</v>
      </c>
    </row>
    <row r="7" spans="2:16" ht="15.75">
      <c r="B7" s="558"/>
      <c r="C7" s="433" t="s">
        <v>549</v>
      </c>
      <c r="D7" s="434">
        <v>0.157</v>
      </c>
      <c r="E7" s="434">
        <v>0.2</v>
      </c>
      <c r="F7" s="434">
        <v>0.157</v>
      </c>
      <c r="G7" s="435" t="str">
        <f t="shared" ref="G7:O7" si="2">IFERROR(G6/G2, "")</f>
        <v/>
      </c>
      <c r="H7" s="435" t="str">
        <f t="shared" si="2"/>
        <v/>
      </c>
      <c r="I7" s="435" t="str">
        <f t="shared" si="2"/>
        <v/>
      </c>
      <c r="J7" s="435" t="str">
        <f t="shared" si="2"/>
        <v/>
      </c>
      <c r="K7" s="435" t="str">
        <f t="shared" si="2"/>
        <v/>
      </c>
      <c r="L7" s="435" t="str">
        <f t="shared" si="2"/>
        <v/>
      </c>
      <c r="M7" s="435" t="str">
        <f t="shared" si="2"/>
        <v/>
      </c>
      <c r="N7" s="435" t="str">
        <f t="shared" si="2"/>
        <v/>
      </c>
      <c r="O7" s="435" t="str">
        <f t="shared" si="2"/>
        <v/>
      </c>
      <c r="P7" s="436">
        <f>AVERAGEIF(D7:O7, "&gt;0")</f>
        <v>0.17133333333333334</v>
      </c>
    </row>
    <row r="8" spans="2:16" ht="15.75">
      <c r="B8" s="437"/>
      <c r="C8" s="431"/>
      <c r="D8" s="420"/>
      <c r="E8" s="420"/>
      <c r="F8" s="420"/>
      <c r="G8" s="420"/>
      <c r="H8" s="420"/>
      <c r="I8" s="420"/>
      <c r="J8" s="420"/>
      <c r="K8" s="420"/>
      <c r="L8" s="420"/>
      <c r="M8" s="420"/>
      <c r="N8" s="420"/>
      <c r="O8" s="420"/>
      <c r="P8" s="432"/>
    </row>
    <row r="9" spans="2:16" ht="15.75">
      <c r="B9" s="558" t="s">
        <v>130</v>
      </c>
      <c r="C9" s="431" t="s">
        <v>550</v>
      </c>
      <c r="D9" s="438">
        <v>497.6</v>
      </c>
      <c r="E9" s="438">
        <v>497.6</v>
      </c>
      <c r="F9" s="438">
        <v>497.6</v>
      </c>
      <c r="G9" s="421"/>
      <c r="H9" s="421"/>
      <c r="I9" s="421"/>
      <c r="J9" s="421"/>
      <c r="K9" s="421"/>
      <c r="L9" s="421"/>
      <c r="M9" s="421"/>
      <c r="N9" s="421"/>
      <c r="O9" s="421"/>
      <c r="P9" s="439">
        <f>AVERAGEIF(D9:O9, "&gt;0")</f>
        <v>497.60000000000008</v>
      </c>
    </row>
    <row r="10" spans="2:16" ht="15.75">
      <c r="B10" s="558"/>
      <c r="C10" s="431" t="s">
        <v>537</v>
      </c>
      <c r="D10" s="438">
        <v>458.3841382804668</v>
      </c>
      <c r="E10" s="438">
        <v>476.04171528829499</v>
      </c>
      <c r="F10" s="438">
        <v>409.81563372836604</v>
      </c>
      <c r="G10" s="421"/>
      <c r="H10" s="421"/>
      <c r="I10" s="421"/>
      <c r="J10" s="421"/>
      <c r="K10" s="421"/>
      <c r="L10" s="421"/>
      <c r="M10" s="421"/>
      <c r="N10" s="421"/>
      <c r="O10" s="421"/>
      <c r="P10" s="439">
        <f>AVERAGEIF(D10:O10, "&gt;0")</f>
        <v>448.08049576570926</v>
      </c>
    </row>
    <row r="11" spans="2:16" ht="15.75">
      <c r="B11" s="558"/>
      <c r="C11" s="433" t="s">
        <v>538</v>
      </c>
      <c r="D11" s="435">
        <f t="shared" ref="D11:O11" si="3">IFERROR(D10/D9, "")</f>
        <v>0.92118998850576117</v>
      </c>
      <c r="E11" s="435">
        <f t="shared" si="3"/>
        <v>0.95667547284625198</v>
      </c>
      <c r="F11" s="435">
        <f t="shared" si="3"/>
        <v>0.82358447292678061</v>
      </c>
      <c r="G11" s="435" t="str">
        <f t="shared" si="3"/>
        <v/>
      </c>
      <c r="H11" s="435" t="str">
        <f t="shared" si="3"/>
        <v/>
      </c>
      <c r="I11" s="435" t="str">
        <f t="shared" si="3"/>
        <v/>
      </c>
      <c r="J11" s="435" t="str">
        <f t="shared" si="3"/>
        <v/>
      </c>
      <c r="K11" s="435" t="str">
        <f t="shared" si="3"/>
        <v/>
      </c>
      <c r="L11" s="435" t="str">
        <f t="shared" si="3"/>
        <v/>
      </c>
      <c r="M11" s="435" t="str">
        <f t="shared" si="3"/>
        <v/>
      </c>
      <c r="N11" s="435" t="str">
        <f t="shared" si="3"/>
        <v/>
      </c>
      <c r="O11" s="435" t="str">
        <f t="shared" si="3"/>
        <v/>
      </c>
      <c r="P11" s="440">
        <f>AVERAGEIF(D11:O11, "&gt;0")</f>
        <v>0.90048331142626459</v>
      </c>
    </row>
    <row r="12" spans="2:16" ht="15.75">
      <c r="B12" s="558"/>
      <c r="C12" s="431" t="s">
        <v>539</v>
      </c>
      <c r="D12" s="423">
        <v>2.4135432458014692E-3</v>
      </c>
      <c r="E12" s="422">
        <v>2.3657636051419204E-3</v>
      </c>
      <c r="F12" s="422">
        <v>2.0222247634522129E-3</v>
      </c>
      <c r="G12" s="422"/>
      <c r="H12" s="422"/>
      <c r="I12" s="422"/>
      <c r="J12" s="422"/>
      <c r="K12" s="422"/>
      <c r="L12" s="422"/>
      <c r="M12" s="422"/>
      <c r="N12" s="422"/>
      <c r="O12" s="422"/>
      <c r="P12" s="441">
        <f>AVERAGEIF(D12:O12, "&gt;0")</f>
        <v>2.267177204798534E-3</v>
      </c>
    </row>
    <row r="13" spans="2:16" ht="15.75">
      <c r="B13" s="558"/>
      <c r="C13" s="431" t="s">
        <v>540</v>
      </c>
      <c r="D13" s="423">
        <v>5.599443330875099E-3</v>
      </c>
      <c r="E13" s="423">
        <v>5.2393000579921759E-3</v>
      </c>
      <c r="F13" s="423">
        <v>4.8799137535570384E-3</v>
      </c>
      <c r="G13" s="423"/>
      <c r="H13" s="423"/>
      <c r="I13" s="423"/>
      <c r="J13" s="423"/>
      <c r="K13" s="423"/>
      <c r="L13" s="423"/>
      <c r="M13" s="423"/>
      <c r="N13" s="423"/>
      <c r="O13" s="423"/>
      <c r="P13" s="440">
        <f>AVERAGEIF(D13:O13, "&gt;0")</f>
        <v>5.2395523808081044E-3</v>
      </c>
    </row>
    <row r="14" spans="2:16" ht="15.75">
      <c r="B14" s="558"/>
      <c r="C14" s="431" t="s">
        <v>551</v>
      </c>
      <c r="D14" s="423">
        <v>0.89999999999999947</v>
      </c>
      <c r="E14" s="423">
        <v>0.89999999999999958</v>
      </c>
      <c r="F14" s="423">
        <v>0.89999999999999947</v>
      </c>
      <c r="G14" s="423"/>
      <c r="H14" s="423"/>
      <c r="I14" s="423"/>
      <c r="J14" s="423"/>
      <c r="K14" s="423"/>
      <c r="L14" s="423"/>
      <c r="M14" s="423"/>
      <c r="N14" s="423"/>
      <c r="O14" s="423"/>
      <c r="P14" s="440">
        <f t="shared" ref="P14" si="4">AVERAGEIF(D14:O14, "&gt;0")</f>
        <v>0.89999999999999947</v>
      </c>
    </row>
    <row r="15" spans="2:16" ht="15.75">
      <c r="B15" s="558"/>
      <c r="C15" s="431" t="s">
        <v>552</v>
      </c>
      <c r="D15" s="423">
        <v>5.7692307692307702E-2</v>
      </c>
      <c r="E15" s="423">
        <v>0.13873626373626369</v>
      </c>
      <c r="F15" s="423">
        <v>0.21960297766749381</v>
      </c>
      <c r="G15" s="423"/>
      <c r="H15" s="423"/>
      <c r="I15" s="423"/>
      <c r="J15" s="423"/>
      <c r="K15" s="423"/>
      <c r="L15" s="423"/>
      <c r="M15" s="423"/>
      <c r="N15" s="423"/>
      <c r="O15" s="423"/>
      <c r="P15" s="442">
        <v>0.21959999999999999</v>
      </c>
    </row>
    <row r="16" spans="2:16" ht="15.75">
      <c r="B16" s="437"/>
      <c r="C16" s="431"/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3"/>
      <c r="O16" s="423"/>
      <c r="P16" s="440"/>
    </row>
    <row r="17" spans="2:16" ht="15.75">
      <c r="B17" s="559" t="s">
        <v>553</v>
      </c>
      <c r="C17" s="431" t="s">
        <v>554</v>
      </c>
      <c r="D17" s="443">
        <v>0.36139567422949059</v>
      </c>
      <c r="E17" s="443">
        <v>0.34737656751091073</v>
      </c>
      <c r="F17" s="443">
        <v>0.36414345188530645</v>
      </c>
      <c r="G17" s="443"/>
      <c r="H17" s="443"/>
      <c r="I17" s="443"/>
      <c r="J17" s="443"/>
      <c r="K17" s="443"/>
      <c r="L17" s="443"/>
      <c r="M17" s="443"/>
      <c r="N17" s="443"/>
      <c r="O17" s="443"/>
      <c r="P17" s="440">
        <f>AVERAGEIF(D17:O17, "&gt;0")</f>
        <v>0.35763856454190263</v>
      </c>
    </row>
    <row r="18" spans="2:16" ht="15.75">
      <c r="B18" s="563"/>
      <c r="C18" s="431" t="s">
        <v>222</v>
      </c>
      <c r="D18" s="443">
        <v>6.9633574224369291E-2</v>
      </c>
      <c r="E18" s="443">
        <v>7.7793665132509071E-2</v>
      </c>
      <c r="F18" s="443">
        <v>8.4480826486750038E-2</v>
      </c>
      <c r="G18" s="443"/>
      <c r="H18" s="443"/>
      <c r="I18" s="443"/>
      <c r="J18" s="443"/>
      <c r="K18" s="443"/>
      <c r="L18" s="443"/>
      <c r="M18" s="443"/>
      <c r="N18" s="443"/>
      <c r="O18" s="443"/>
      <c r="P18" s="440">
        <f t="shared" ref="P18:P45" si="5">AVERAGEIF(D18:O18, "&gt;0")</f>
        <v>7.73026886145428E-2</v>
      </c>
    </row>
    <row r="19" spans="2:16" ht="15.75">
      <c r="B19" s="563"/>
      <c r="C19" s="431" t="s">
        <v>235</v>
      </c>
      <c r="D19" s="443">
        <v>2.2453221877666876E-2</v>
      </c>
      <c r="E19" s="443">
        <v>2.1676449691951108E-2</v>
      </c>
      <c r="F19" s="443">
        <v>2.4365160296787799E-2</v>
      </c>
      <c r="G19" s="443"/>
      <c r="H19" s="443"/>
      <c r="I19" s="443"/>
      <c r="J19" s="443"/>
      <c r="K19" s="443"/>
      <c r="L19" s="443"/>
      <c r="M19" s="443"/>
      <c r="N19" s="443"/>
      <c r="O19" s="443"/>
      <c r="P19" s="440">
        <f t="shared" si="5"/>
        <v>2.2831610622135262E-2</v>
      </c>
    </row>
    <row r="20" spans="2:16" ht="15.75">
      <c r="B20" s="563"/>
      <c r="C20" s="431" t="s">
        <v>220</v>
      </c>
      <c r="D20" s="443">
        <v>8.5850389930237133E-3</v>
      </c>
      <c r="E20" s="443">
        <v>9.9523222144173289E-3</v>
      </c>
      <c r="F20" s="443">
        <v>1.4684918119400437E-2</v>
      </c>
      <c r="G20" s="443"/>
      <c r="H20" s="443"/>
      <c r="I20" s="443"/>
      <c r="J20" s="443"/>
      <c r="K20" s="443"/>
      <c r="L20" s="443"/>
      <c r="M20" s="443"/>
      <c r="N20" s="443"/>
      <c r="O20" s="443"/>
      <c r="P20" s="440">
        <f t="shared" si="5"/>
        <v>1.1074093108947159E-2</v>
      </c>
    </row>
    <row r="21" spans="2:16" ht="15.75">
      <c r="B21" s="563"/>
      <c r="C21" s="431" t="s">
        <v>224</v>
      </c>
      <c r="D21" s="443">
        <v>0.16215294044225204</v>
      </c>
      <c r="E21" s="443">
        <v>0.18214707911075978</v>
      </c>
      <c r="F21" s="443">
        <v>0.20289323995580696</v>
      </c>
      <c r="G21" s="443"/>
      <c r="H21" s="443"/>
      <c r="I21" s="443"/>
      <c r="J21" s="443"/>
      <c r="K21" s="443"/>
      <c r="L21" s="443"/>
      <c r="M21" s="443"/>
      <c r="N21" s="443"/>
      <c r="O21" s="443"/>
      <c r="P21" s="440">
        <f t="shared" si="5"/>
        <v>0.18239775316960627</v>
      </c>
    </row>
    <row r="22" spans="2:16" ht="15.75">
      <c r="B22" s="563"/>
      <c r="C22" s="431" t="s">
        <v>226</v>
      </c>
      <c r="D22" s="443">
        <v>0.27057088032525339</v>
      </c>
      <c r="E22" s="443">
        <v>0.27529225824200032</v>
      </c>
      <c r="F22" s="443">
        <v>0.29293399487971084</v>
      </c>
      <c r="G22" s="443"/>
      <c r="H22" s="443"/>
      <c r="I22" s="443"/>
      <c r="J22" s="443"/>
      <c r="K22" s="443"/>
      <c r="L22" s="443"/>
      <c r="M22" s="443"/>
      <c r="N22" s="443"/>
      <c r="O22" s="443"/>
      <c r="P22" s="440">
        <f t="shared" si="5"/>
        <v>0.27959904448232148</v>
      </c>
    </row>
    <row r="23" spans="2:16" ht="15.75">
      <c r="B23" s="563"/>
      <c r="C23" s="431" t="s">
        <v>236</v>
      </c>
      <c r="D23" s="443">
        <v>2.9234371078829206E-2</v>
      </c>
      <c r="E23" s="443">
        <v>8.9796818765835347E-3</v>
      </c>
      <c r="F23" s="443">
        <v>0</v>
      </c>
      <c r="G23" s="443"/>
      <c r="H23" s="443"/>
      <c r="I23" s="443"/>
      <c r="J23" s="443"/>
      <c r="K23" s="443"/>
      <c r="L23" s="443"/>
      <c r="M23" s="443"/>
      <c r="N23" s="443"/>
      <c r="O23" s="443"/>
      <c r="P23" s="440">
        <f t="shared" si="5"/>
        <v>1.910702647770637E-2</v>
      </c>
    </row>
    <row r="24" spans="2:16" ht="15.75">
      <c r="B24" s="563"/>
      <c r="C24" s="431" t="s">
        <v>237</v>
      </c>
      <c r="D24" s="443">
        <v>4.0564165966170615E-2</v>
      </c>
      <c r="E24" s="443">
        <v>4.0109498783470192E-2</v>
      </c>
      <c r="F24" s="443">
        <v>1.6541184549440737E-3</v>
      </c>
      <c r="G24" s="443"/>
      <c r="H24" s="443"/>
      <c r="I24" s="443"/>
      <c r="J24" s="443"/>
      <c r="K24" s="443"/>
      <c r="L24" s="443"/>
      <c r="M24" s="443"/>
      <c r="N24" s="443"/>
      <c r="O24" s="443"/>
      <c r="P24" s="440">
        <f t="shared" si="5"/>
        <v>2.7442594401528294E-2</v>
      </c>
    </row>
    <row r="25" spans="2:16" ht="15.75">
      <c r="B25" s="564"/>
      <c r="C25" s="431" t="s">
        <v>232</v>
      </c>
      <c r="D25" s="443">
        <v>3.5410132862943831E-2</v>
      </c>
      <c r="E25" s="443">
        <v>3.6672477437397863E-2</v>
      </c>
      <c r="F25" s="443">
        <v>1.4844289921293864E-2</v>
      </c>
      <c r="G25" s="443"/>
      <c r="H25" s="443"/>
      <c r="I25" s="443"/>
      <c r="J25" s="443"/>
      <c r="K25" s="443"/>
      <c r="L25" s="443"/>
      <c r="M25" s="443"/>
      <c r="N25" s="443"/>
      <c r="O25" s="443"/>
      <c r="P25" s="440">
        <f t="shared" si="5"/>
        <v>2.8975633407211848E-2</v>
      </c>
    </row>
    <row r="26" spans="2:16" ht="15.75">
      <c r="B26" s="437"/>
      <c r="C26" s="431"/>
      <c r="D26" s="423"/>
      <c r="E26" s="423"/>
      <c r="F26" s="423"/>
      <c r="G26" s="423"/>
      <c r="H26" s="423"/>
      <c r="I26" s="423"/>
      <c r="J26" s="423"/>
      <c r="K26" s="423"/>
      <c r="L26" s="423"/>
      <c r="M26" s="423"/>
      <c r="N26" s="423"/>
      <c r="O26" s="423"/>
      <c r="P26" s="440"/>
    </row>
    <row r="27" spans="2:16" ht="15.75">
      <c r="B27" s="559" t="s">
        <v>555</v>
      </c>
      <c r="C27" s="431" t="s">
        <v>554</v>
      </c>
      <c r="D27" s="443">
        <v>0.58577126139802016</v>
      </c>
      <c r="E27" s="443">
        <v>0.57025346170928881</v>
      </c>
      <c r="F27" s="443">
        <v>0.57640851623137324</v>
      </c>
      <c r="G27" s="443"/>
      <c r="H27" s="443"/>
      <c r="I27" s="443"/>
      <c r="J27" s="443"/>
      <c r="K27" s="443"/>
      <c r="L27" s="443"/>
      <c r="M27" s="443"/>
      <c r="N27" s="443"/>
      <c r="O27" s="443"/>
      <c r="P27" s="440">
        <f>AVERAGEIF(D27:O27, "&gt;0")</f>
        <v>0.5774777464462274</v>
      </c>
    </row>
    <row r="28" spans="2:16" ht="15.75">
      <c r="B28" s="563"/>
      <c r="C28" s="431" t="s">
        <v>222</v>
      </c>
      <c r="D28" s="443">
        <v>8.1693945583923164E-2</v>
      </c>
      <c r="E28" s="443">
        <v>9.1615478418020382E-2</v>
      </c>
      <c r="F28" s="443">
        <v>0.10179987010858439</v>
      </c>
      <c r="G28" s="443"/>
      <c r="H28" s="443"/>
      <c r="I28" s="443"/>
      <c r="J28" s="443"/>
      <c r="K28" s="443"/>
      <c r="L28" s="443"/>
      <c r="M28" s="443"/>
      <c r="N28" s="443"/>
      <c r="O28" s="443"/>
      <c r="P28" s="440">
        <f t="shared" si="5"/>
        <v>9.1703098036842637E-2</v>
      </c>
    </row>
    <row r="29" spans="2:16" ht="15.75">
      <c r="B29" s="563"/>
      <c r="C29" s="431" t="s">
        <v>235</v>
      </c>
      <c r="D29" s="443">
        <v>2.4966128092325353E-2</v>
      </c>
      <c r="E29" s="443">
        <v>2.3825971045169769E-2</v>
      </c>
      <c r="F29" s="443">
        <v>2.6809080825002728E-2</v>
      </c>
      <c r="G29" s="443"/>
      <c r="H29" s="443"/>
      <c r="I29" s="443"/>
      <c r="J29" s="443"/>
      <c r="K29" s="443"/>
      <c r="L29" s="443"/>
      <c r="M29" s="443"/>
      <c r="N29" s="443"/>
      <c r="O29" s="443"/>
      <c r="P29" s="440">
        <f t="shared" si="5"/>
        <v>2.5200393320832615E-2</v>
      </c>
    </row>
    <row r="30" spans="2:16" ht="15.75">
      <c r="B30" s="563"/>
      <c r="C30" s="431" t="s">
        <v>220</v>
      </c>
      <c r="D30" s="443">
        <v>9.7963785106258503E-3</v>
      </c>
      <c r="E30" s="443">
        <v>1.1706621755150907E-2</v>
      </c>
      <c r="F30" s="443">
        <v>1.640151628508173E-2</v>
      </c>
      <c r="G30" s="443"/>
      <c r="H30" s="443"/>
      <c r="I30" s="443"/>
      <c r="J30" s="443"/>
      <c r="K30" s="443"/>
      <c r="L30" s="443"/>
      <c r="M30" s="443"/>
      <c r="N30" s="443"/>
      <c r="O30" s="443"/>
      <c r="P30" s="440">
        <f t="shared" si="5"/>
        <v>1.2634838850286162E-2</v>
      </c>
    </row>
    <row r="31" spans="2:16" ht="15.75">
      <c r="B31" s="563"/>
      <c r="C31" s="431" t="s">
        <v>224</v>
      </c>
      <c r="D31" s="443">
        <v>8.9953008167213674E-2</v>
      </c>
      <c r="E31" s="443">
        <v>0.10114834901064219</v>
      </c>
      <c r="F31" s="443">
        <v>0.11343936177613133</v>
      </c>
      <c r="G31" s="443"/>
      <c r="H31" s="443"/>
      <c r="I31" s="443"/>
      <c r="J31" s="443"/>
      <c r="K31" s="443"/>
      <c r="L31" s="443"/>
      <c r="M31" s="443"/>
      <c r="N31" s="443"/>
      <c r="O31" s="443"/>
      <c r="P31" s="440">
        <f t="shared" si="5"/>
        <v>0.1015135729846624</v>
      </c>
    </row>
    <row r="32" spans="2:16" ht="15.75">
      <c r="B32" s="563"/>
      <c r="C32" s="431" t="s">
        <v>226</v>
      </c>
      <c r="D32" s="443">
        <v>0.13708177551916129</v>
      </c>
      <c r="E32" s="443">
        <v>0.14060779476747043</v>
      </c>
      <c r="F32" s="443">
        <v>0.14223546019791297</v>
      </c>
      <c r="G32" s="443"/>
      <c r="H32" s="443"/>
      <c r="I32" s="443"/>
      <c r="J32" s="443"/>
      <c r="K32" s="443"/>
      <c r="L32" s="443"/>
      <c r="M32" s="443"/>
      <c r="N32" s="443"/>
      <c r="O32" s="443"/>
      <c r="P32" s="440">
        <f t="shared" si="5"/>
        <v>0.1399750101615149</v>
      </c>
    </row>
    <row r="33" spans="2:16" ht="15.75">
      <c r="B33" s="563"/>
      <c r="C33" s="431" t="s">
        <v>236</v>
      </c>
      <c r="D33" s="443">
        <v>1.5652480623129864E-2</v>
      </c>
      <c r="E33" s="443">
        <v>4.823868590510383E-3</v>
      </c>
      <c r="F33" s="443">
        <v>0</v>
      </c>
      <c r="G33" s="443"/>
      <c r="H33" s="443"/>
      <c r="I33" s="443"/>
      <c r="J33" s="443"/>
      <c r="K33" s="443"/>
      <c r="L33" s="443"/>
      <c r="M33" s="443"/>
      <c r="N33" s="443"/>
      <c r="O33" s="443"/>
      <c r="P33" s="440">
        <f t="shared" si="5"/>
        <v>1.0238174606820123E-2</v>
      </c>
    </row>
    <row r="34" spans="2:16" ht="15.75">
      <c r="B34" s="563"/>
      <c r="C34" s="431" t="s">
        <v>237</v>
      </c>
      <c r="D34" s="443">
        <v>2.2004734622699137E-2</v>
      </c>
      <c r="E34" s="443">
        <v>2.0902022232890293E-2</v>
      </c>
      <c r="F34" s="443">
        <v>6.7918504928798538E-4</v>
      </c>
      <c r="G34" s="443"/>
      <c r="H34" s="443"/>
      <c r="I34" s="443"/>
      <c r="J34" s="443"/>
      <c r="K34" s="443"/>
      <c r="L34" s="443"/>
      <c r="M34" s="443"/>
      <c r="N34" s="443"/>
      <c r="O34" s="443"/>
      <c r="P34" s="440">
        <f t="shared" si="5"/>
        <v>1.4528647301625805E-2</v>
      </c>
    </row>
    <row r="35" spans="2:16" ht="15.75">
      <c r="B35" s="564"/>
      <c r="C35" s="431" t="s">
        <v>232</v>
      </c>
      <c r="D35" s="443">
        <v>3.3080287482901531E-2</v>
      </c>
      <c r="E35" s="443">
        <v>3.5116432470856891E-2</v>
      </c>
      <c r="F35" s="443">
        <v>2.2227009526625659E-2</v>
      </c>
      <c r="G35" s="443"/>
      <c r="H35" s="443"/>
      <c r="I35" s="443"/>
      <c r="J35" s="443"/>
      <c r="K35" s="443"/>
      <c r="L35" s="443"/>
      <c r="M35" s="443"/>
      <c r="N35" s="443"/>
      <c r="O35" s="443"/>
      <c r="P35" s="440">
        <f t="shared" si="5"/>
        <v>3.0141243160128024E-2</v>
      </c>
    </row>
    <row r="36" spans="2:16" ht="15.75">
      <c r="B36" s="437"/>
      <c r="C36" s="431"/>
      <c r="D36" s="423"/>
      <c r="E36" s="423"/>
      <c r="F36" s="423"/>
      <c r="G36" s="423"/>
      <c r="H36" s="423"/>
      <c r="I36" s="423"/>
      <c r="J36" s="423"/>
      <c r="K36" s="423"/>
      <c r="L36" s="423"/>
      <c r="M36" s="423"/>
      <c r="N36" s="423"/>
      <c r="O36" s="423"/>
      <c r="P36" s="440"/>
    </row>
    <row r="37" spans="2:16" ht="15.75">
      <c r="B37" s="558" t="s">
        <v>556</v>
      </c>
      <c r="C37" s="431" t="s">
        <v>554</v>
      </c>
      <c r="D37" s="424">
        <v>768.96508698264131</v>
      </c>
      <c r="E37" s="424">
        <v>774.12086448722914</v>
      </c>
      <c r="F37" s="424">
        <v>757.5904244152307</v>
      </c>
      <c r="G37" s="424"/>
      <c r="H37" s="424"/>
      <c r="I37" s="424"/>
      <c r="J37" s="424"/>
      <c r="K37" s="424"/>
      <c r="L37" s="424"/>
      <c r="M37" s="424"/>
      <c r="N37" s="424"/>
      <c r="O37" s="424"/>
      <c r="P37" s="444">
        <f>AVERAGEIF(D37:O37, "&gt;0")</f>
        <v>766.89212529503368</v>
      </c>
    </row>
    <row r="38" spans="2:16" ht="15.75">
      <c r="B38" s="559"/>
      <c r="C38" s="445" t="s">
        <v>222</v>
      </c>
      <c r="D38" s="446">
        <v>280.52357557404559</v>
      </c>
      <c r="E38" s="446">
        <v>304.46478382945497</v>
      </c>
      <c r="F38" s="446">
        <v>311.70581961708376</v>
      </c>
      <c r="G38" s="446"/>
      <c r="H38" s="446"/>
      <c r="I38" s="446"/>
      <c r="J38" s="446"/>
      <c r="K38" s="446"/>
      <c r="L38" s="446"/>
      <c r="M38" s="446"/>
      <c r="N38" s="446"/>
      <c r="O38" s="446"/>
      <c r="P38" s="444">
        <f t="shared" si="5"/>
        <v>298.89805967352811</v>
      </c>
    </row>
    <row r="39" spans="2:16" ht="15.75">
      <c r="B39" s="559"/>
      <c r="C39" s="445" t="s">
        <v>235</v>
      </c>
      <c r="D39" s="446">
        <v>258.56166578115295</v>
      </c>
      <c r="E39" s="446">
        <v>203.2437413385673</v>
      </c>
      <c r="F39" s="446">
        <v>331.13667122055222</v>
      </c>
      <c r="G39" s="446"/>
      <c r="H39" s="446"/>
      <c r="I39" s="446"/>
      <c r="J39" s="446"/>
      <c r="K39" s="446"/>
      <c r="L39" s="446"/>
      <c r="M39" s="446"/>
      <c r="N39" s="446"/>
      <c r="O39" s="446"/>
      <c r="P39" s="444">
        <f t="shared" si="5"/>
        <v>264.31402611342418</v>
      </c>
    </row>
    <row r="40" spans="2:16" ht="15.75">
      <c r="B40" s="559"/>
      <c r="C40" s="445" t="s">
        <v>220</v>
      </c>
      <c r="D40" s="446">
        <v>486.07170829520021</v>
      </c>
      <c r="E40" s="446">
        <v>490.19814173593841</v>
      </c>
      <c r="F40" s="446">
        <v>493.97618103140815</v>
      </c>
      <c r="G40" s="446"/>
      <c r="H40" s="446"/>
      <c r="I40" s="446"/>
      <c r="J40" s="446"/>
      <c r="K40" s="446"/>
      <c r="L40" s="446"/>
      <c r="M40" s="446"/>
      <c r="N40" s="446"/>
      <c r="O40" s="446"/>
      <c r="P40" s="444">
        <f t="shared" si="5"/>
        <v>490.08201035418227</v>
      </c>
    </row>
    <row r="41" spans="2:16" ht="15.75">
      <c r="B41" s="559"/>
      <c r="C41" s="445" t="s">
        <v>224</v>
      </c>
      <c r="D41" s="446">
        <v>82.669482447974161</v>
      </c>
      <c r="E41" s="446">
        <v>81.452411562244222</v>
      </c>
      <c r="F41" s="446">
        <v>79.94999927589204</v>
      </c>
      <c r="G41" s="446"/>
      <c r="H41" s="446"/>
      <c r="I41" s="446"/>
      <c r="J41" s="446"/>
      <c r="K41" s="446"/>
      <c r="L41" s="446"/>
      <c r="M41" s="446"/>
      <c r="N41" s="446"/>
      <c r="O41" s="446"/>
      <c r="P41" s="444">
        <f t="shared" si="5"/>
        <v>81.357297762036808</v>
      </c>
    </row>
    <row r="42" spans="2:16" ht="15.75">
      <c r="B42" s="559"/>
      <c r="C42" s="445" t="s">
        <v>226</v>
      </c>
      <c r="D42" s="446">
        <v>78.306366965294018</v>
      </c>
      <c r="E42" s="446">
        <v>77.971322564328403</v>
      </c>
      <c r="F42" s="446">
        <v>77.906796798443906</v>
      </c>
      <c r="G42" s="446"/>
      <c r="H42" s="446"/>
      <c r="I42" s="446"/>
      <c r="J42" s="446"/>
      <c r="K42" s="446"/>
      <c r="L42" s="446"/>
      <c r="M42" s="446"/>
      <c r="N42" s="446"/>
      <c r="O42" s="446"/>
      <c r="P42" s="444">
        <f t="shared" si="5"/>
        <v>78.061495442688781</v>
      </c>
    </row>
    <row r="43" spans="2:16" ht="15.75">
      <c r="B43" s="559"/>
      <c r="C43" s="445" t="s">
        <v>236</v>
      </c>
      <c r="D43" s="446">
        <v>76.250132772766719</v>
      </c>
      <c r="E43" s="446">
        <v>72.949975663847383</v>
      </c>
      <c r="F43" s="446">
        <v>0</v>
      </c>
      <c r="G43" s="446"/>
      <c r="H43" s="446"/>
      <c r="I43" s="446"/>
      <c r="J43" s="446"/>
      <c r="K43" s="446"/>
      <c r="L43" s="446"/>
      <c r="M43" s="446"/>
      <c r="N43" s="446"/>
      <c r="O43" s="446"/>
      <c r="P43" s="444">
        <f t="shared" si="5"/>
        <v>74.600054218307051</v>
      </c>
    </row>
    <row r="44" spans="2:16" ht="15.75">
      <c r="B44" s="559"/>
      <c r="C44" s="445" t="s">
        <v>237</v>
      </c>
      <c r="D44" s="446">
        <v>110.80830487807768</v>
      </c>
      <c r="E44" s="446">
        <v>97.15750138812345</v>
      </c>
      <c r="F44" s="446">
        <v>84.60142398436416</v>
      </c>
      <c r="G44" s="446"/>
      <c r="H44" s="446"/>
      <c r="I44" s="446"/>
      <c r="J44" s="446"/>
      <c r="K44" s="446"/>
      <c r="L44" s="446"/>
      <c r="M44" s="446"/>
      <c r="N44" s="446"/>
      <c r="O44" s="446"/>
      <c r="P44" s="444">
        <f t="shared" si="5"/>
        <v>97.522410083521763</v>
      </c>
    </row>
    <row r="45" spans="2:16" ht="16.5" thickBot="1">
      <c r="B45" s="560"/>
      <c r="C45" s="447" t="s">
        <v>232</v>
      </c>
      <c r="D45" s="425">
        <v>76.123665150077642</v>
      </c>
      <c r="E45" s="425">
        <v>77.592138128204311</v>
      </c>
      <c r="F45" s="425">
        <v>83.044478559400275</v>
      </c>
      <c r="G45" s="425"/>
      <c r="H45" s="425"/>
      <c r="I45" s="425"/>
      <c r="J45" s="425"/>
      <c r="K45" s="425"/>
      <c r="L45" s="425"/>
      <c r="M45" s="425"/>
      <c r="N45" s="425"/>
      <c r="O45" s="425"/>
      <c r="P45" s="448">
        <f t="shared" si="5"/>
        <v>78.920093945894067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FF0000"/>
    <outlinePr summaryBelow="0" summaryRight="0"/>
  </sheetPr>
  <dimension ref="A1:P37"/>
  <sheetViews>
    <sheetView view="pageBreakPreview" topLeftCell="A4" zoomScale="115" zoomScaleNormal="100" zoomScaleSheetLayoutView="115" workbookViewId="0">
      <selection activeCell="F6" sqref="F6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565" t="s">
        <v>334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99"/>
    </row>
    <row r="2" spans="1:12" s="10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</row>
    <row r="3" spans="1:12" ht="21.6" customHeight="1">
      <c r="A3" s="114" t="s">
        <v>73</v>
      </c>
      <c r="B3" s="115">
        <v>4</v>
      </c>
      <c r="C3" s="114" t="s">
        <v>20</v>
      </c>
      <c r="D3" s="566" t="s">
        <v>365</v>
      </c>
      <c r="E3" s="566"/>
      <c r="F3" s="100"/>
      <c r="G3" s="109"/>
      <c r="H3" s="100"/>
      <c r="I3" s="100"/>
      <c r="J3" s="100"/>
      <c r="K3" s="100"/>
    </row>
    <row r="4" spans="1:12" ht="15.75" customHeight="1">
      <c r="A4" s="110" t="s">
        <v>520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49" t="e">
        <f>'（１）收支狀況'!#REF!/1000</f>
        <v>#REF!</v>
      </c>
      <c r="C6" s="417">
        <f>'數值累積總表(月)'!F2</f>
        <v>148837.99842999995</v>
      </c>
      <c r="D6" s="117" t="e">
        <f t="shared" ref="D6:D11" si="0">B6-C6</f>
        <v>#REF!</v>
      </c>
      <c r="E6" s="417">
        <f>'數值累積總表(月)'!P2</f>
        <v>411707.36404999997</v>
      </c>
      <c r="G6" s="107" t="s">
        <v>198</v>
      </c>
      <c r="H6" s="119">
        <v>497.6</v>
      </c>
      <c r="I6" s="450" t="e">
        <f>'（２）ＫＰＩ達成進度'!#REF!</f>
        <v>#REF!</v>
      </c>
      <c r="J6" s="427">
        <f>'數值累積總表(月)'!F10</f>
        <v>409.81563372836604</v>
      </c>
      <c r="K6" s="427">
        <f>'數值累積總表(月)'!P10</f>
        <v>448.08049576570926</v>
      </c>
      <c r="L6" s="101" t="s">
        <v>195</v>
      </c>
    </row>
    <row r="7" spans="1:12" ht="18" customHeight="1">
      <c r="A7" s="107" t="s">
        <v>25</v>
      </c>
      <c r="B7" s="449" t="e">
        <f>'（１）收支狀況'!#REF!</f>
        <v>#REF!</v>
      </c>
      <c r="C7" s="417">
        <f>'數值累積總表(月)'!F3</f>
        <v>5045753</v>
      </c>
      <c r="D7" s="117" t="e">
        <f t="shared" si="0"/>
        <v>#REF!</v>
      </c>
      <c r="E7" s="417">
        <f>'數值累積總表(月)'!P3</f>
        <v>13601456</v>
      </c>
      <c r="G7" s="107" t="s">
        <v>199</v>
      </c>
      <c r="H7" s="118">
        <v>0.8</v>
      </c>
      <c r="I7" s="426">
        <f>'[1]（２）ＫＰＩ達成進度'!K10</f>
        <v>0.82360963344933713</v>
      </c>
      <c r="J7" s="429">
        <f>'數值累積總表(月)'!F11</f>
        <v>0.82358447292678061</v>
      </c>
      <c r="K7" s="429">
        <f>'數值累積總表(月)'!P11</f>
        <v>0.90048331142626459</v>
      </c>
      <c r="L7" s="101" t="s">
        <v>4</v>
      </c>
    </row>
    <row r="8" spans="1:12" ht="18" customHeight="1">
      <c r="A8" s="107" t="s">
        <v>5</v>
      </c>
      <c r="B8" s="449">
        <v>93614</v>
      </c>
      <c r="C8" s="417">
        <f>'數值累積總表(月)'!F4</f>
        <v>93614</v>
      </c>
      <c r="D8" s="117">
        <f>B8-C8</f>
        <v>0</v>
      </c>
      <c r="E8" s="417">
        <f>'數值累積總表(月)'!P4</f>
        <v>261644</v>
      </c>
      <c r="G8" s="107" t="s">
        <v>200</v>
      </c>
      <c r="H8" s="118">
        <v>2.5000000000000001E-3</v>
      </c>
      <c r="I8" s="451" t="e">
        <f>'（２）ＫＰＩ達成進度'!#REF!</f>
        <v>#REF!</v>
      </c>
      <c r="J8" s="428">
        <f>'數值累積總表(月)'!F12</f>
        <v>2.0222247634522129E-3</v>
      </c>
      <c r="K8" s="428">
        <f>'數值累積總表(月)'!P12</f>
        <v>2.267177204798534E-3</v>
      </c>
      <c r="L8" s="101" t="s">
        <v>55</v>
      </c>
    </row>
    <row r="9" spans="1:12" ht="18" customHeight="1">
      <c r="A9" s="107" t="s">
        <v>6</v>
      </c>
      <c r="B9" s="426">
        <v>0.64800000000000002</v>
      </c>
      <c r="C9" s="452">
        <f>'數值累積總表(月)'!F5</f>
        <v>0.64800000000000002</v>
      </c>
      <c r="D9" s="118">
        <f t="shared" si="0"/>
        <v>0</v>
      </c>
      <c r="E9" s="452">
        <f>'數值累積總表(月)'!P5</f>
        <v>0.65200000000000002</v>
      </c>
      <c r="G9" s="107" t="s">
        <v>201</v>
      </c>
      <c r="H9" s="118">
        <v>4.0000000000000001E-3</v>
      </c>
      <c r="I9" s="426" t="e">
        <f>'（２）ＫＰＩ達成進度'!#REF!</f>
        <v>#REF!</v>
      </c>
      <c r="J9" s="429">
        <f>'數值累積總表(月)'!F13</f>
        <v>4.8799137535570384E-3</v>
      </c>
      <c r="K9" s="429">
        <f>'數值累積總表(月)'!P13</f>
        <v>5.2395523808081044E-3</v>
      </c>
      <c r="L9" s="101" t="s">
        <v>98</v>
      </c>
    </row>
    <row r="10" spans="1:12" ht="18" customHeight="1">
      <c r="A10" s="107" t="s">
        <v>64</v>
      </c>
      <c r="B10" s="449">
        <v>22710</v>
      </c>
      <c r="C10" s="417">
        <f>'數值累積總表(月)'!F6</f>
        <v>22710</v>
      </c>
      <c r="D10" s="117">
        <f>B10-C10</f>
        <v>0</v>
      </c>
      <c r="E10" s="417">
        <f>'[1]數值累積總表(月)'!P6</f>
        <v>67948</v>
      </c>
      <c r="G10" s="107" t="s">
        <v>202</v>
      </c>
      <c r="H10" s="118">
        <v>0.8</v>
      </c>
      <c r="I10" s="426" t="e">
        <f>'（２）ＫＰＩ達成進度'!#REF!</f>
        <v>#REF!</v>
      </c>
      <c r="J10" s="429">
        <f>'數值累積總表(月)'!F14</f>
        <v>0.89999999999999947</v>
      </c>
      <c r="K10" s="429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26">
        <v>0.157</v>
      </c>
      <c r="C11" s="452">
        <f>'數值累積總表(月)'!F7</f>
        <v>0.157</v>
      </c>
      <c r="D11" s="118">
        <f t="shared" si="0"/>
        <v>0</v>
      </c>
      <c r="E11" s="452">
        <f>'數值累積總表(月)'!P7</f>
        <v>0.17133333333333334</v>
      </c>
      <c r="G11" s="107" t="s">
        <v>203</v>
      </c>
      <c r="H11" s="118">
        <v>1</v>
      </c>
      <c r="I11" s="426" t="e">
        <f>'（２）ＫＰＩ達成進度'!#REF!</f>
        <v>#REF!</v>
      </c>
      <c r="J11" s="429">
        <f>'數值累積總表(月)'!F15</f>
        <v>0.21960297766749381</v>
      </c>
      <c r="K11" s="429">
        <f>'數值累積總表(月)'!P15</f>
        <v>0.21959999999999999</v>
      </c>
      <c r="L11" s="101" t="s">
        <v>62</v>
      </c>
    </row>
    <row r="12" spans="1:12" ht="9.6" customHeight="1">
      <c r="L12" s="99"/>
    </row>
    <row r="13" spans="1:12" ht="15.75" customHeight="1">
      <c r="A13" s="110" t="s">
        <v>32</v>
      </c>
      <c r="E13" s="311" t="s">
        <v>23</v>
      </c>
      <c r="G13" s="110" t="s">
        <v>33</v>
      </c>
      <c r="K13" s="311" t="s">
        <v>430</v>
      </c>
      <c r="L13" s="99"/>
    </row>
    <row r="14" spans="1:12" s="106" customFormat="1" ht="14.2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386</v>
      </c>
      <c r="B15" s="449">
        <f>SUM('（３）業績構成比'!M7:M9)/1000</f>
        <v>6378.1459000000004</v>
      </c>
      <c r="C15" s="118" t="str">
        <f>IFERROR(B15/$B$6,"")</f>
        <v/>
      </c>
      <c r="D15" s="453">
        <f>'數值累積總表(月)'!F17</f>
        <v>0.36414345188530645</v>
      </c>
      <c r="E15" s="118" t="str">
        <f>IFERROR(C15-D15,"")</f>
        <v/>
      </c>
      <c r="G15" s="107" t="s">
        <v>387</v>
      </c>
      <c r="H15" s="449">
        <f>SUM('（４）訂單數量構成比'!M7:M9)</f>
        <v>321465</v>
      </c>
      <c r="I15" s="118" t="str">
        <f t="shared" ref="I15:I23" si="1">IFERROR(H15/$B$7,"")</f>
        <v/>
      </c>
      <c r="J15" s="453">
        <f>'數值累積總表(月)'!F27</f>
        <v>0.57640851623137324</v>
      </c>
      <c r="K15" s="118" t="str">
        <f>IFERROR(I15-J15,"")</f>
        <v/>
      </c>
      <c r="L15" s="99"/>
    </row>
    <row r="16" spans="1:12" ht="18" customHeight="1">
      <c r="A16" s="107" t="s">
        <v>223</v>
      </c>
      <c r="B16" s="449">
        <f>SUM('（３）業績構成比'!S7:S9)/1000</f>
        <v>761.65179000000001</v>
      </c>
      <c r="C16" s="118" t="str">
        <f t="shared" ref="C16:C23" si="2">IFERROR(B16/$B$6,"")</f>
        <v/>
      </c>
      <c r="D16" s="453">
        <f>'數值累積總表(月)'!F18</f>
        <v>8.4480826486750038E-2</v>
      </c>
      <c r="E16" s="118" t="str">
        <f t="shared" ref="E16:E23" si="3">IFERROR(C16-D16,"")</f>
        <v/>
      </c>
      <c r="G16" s="107" t="s">
        <v>223</v>
      </c>
      <c r="H16" s="449">
        <f>SUM('（４）訂單數量構成比'!S7:S9)</f>
        <v>28968</v>
      </c>
      <c r="I16" s="118" t="str">
        <f t="shared" si="1"/>
        <v/>
      </c>
      <c r="J16" s="453">
        <f>'數值累積總表(月)'!F28</f>
        <v>0.10179987010858439</v>
      </c>
      <c r="K16" s="118" t="str">
        <f t="shared" ref="K16:K23" si="4">IFERROR(I16-J16,"")</f>
        <v/>
      </c>
      <c r="L16" s="99"/>
    </row>
    <row r="17" spans="1:16" ht="18" customHeight="1">
      <c r="A17" s="107" t="s">
        <v>219</v>
      </c>
      <c r="B17" s="449">
        <f>SUM('（３）業績構成比'!U7:U9)/1000</f>
        <v>287.38825000000003</v>
      </c>
      <c r="C17" s="118" t="str">
        <f t="shared" si="2"/>
        <v/>
      </c>
      <c r="D17" s="453">
        <f>'數值累積總表(月)'!F19</f>
        <v>2.4365160296787799E-2</v>
      </c>
      <c r="E17" s="118" t="str">
        <f t="shared" si="3"/>
        <v/>
      </c>
      <c r="G17" s="107" t="s">
        <v>235</v>
      </c>
      <c r="H17" s="449">
        <f>SUM('（４）訂單數量構成比'!U7:U9)</f>
        <v>10265</v>
      </c>
      <c r="I17" s="118" t="str">
        <f t="shared" si="1"/>
        <v/>
      </c>
      <c r="J17" s="453">
        <f>'數值累積總表(月)'!F29</f>
        <v>2.6809080825002728E-2</v>
      </c>
      <c r="K17" s="118" t="str">
        <f t="shared" si="4"/>
        <v/>
      </c>
      <c r="L17" s="99"/>
    </row>
    <row r="18" spans="1:16" ht="18" customHeight="1">
      <c r="A18" s="107" t="s">
        <v>221</v>
      </c>
      <c r="B18" s="449">
        <f>SUM('（３）業績構成比'!W7:W9)/1000</f>
        <v>372.33153000000004</v>
      </c>
      <c r="C18" s="118" t="str">
        <f t="shared" si="2"/>
        <v/>
      </c>
      <c r="D18" s="453">
        <f>'數值累積總表(月)'!F20</f>
        <v>1.4684918119400437E-2</v>
      </c>
      <c r="E18" s="118" t="str">
        <f t="shared" si="3"/>
        <v/>
      </c>
      <c r="G18" s="107" t="s">
        <v>220</v>
      </c>
      <c r="H18" s="449">
        <f>SUM('（４）訂單數量構成比'!W7:W9)</f>
        <v>14490</v>
      </c>
      <c r="I18" s="118" t="str">
        <f t="shared" si="1"/>
        <v/>
      </c>
      <c r="J18" s="453">
        <f>'數值累積總表(月)'!F30</f>
        <v>1.640151628508173E-2</v>
      </c>
      <c r="K18" s="118" t="str">
        <f t="shared" si="4"/>
        <v/>
      </c>
      <c r="L18" s="99"/>
    </row>
    <row r="19" spans="1:16" ht="18" customHeight="1">
      <c r="A19" s="107" t="s">
        <v>225</v>
      </c>
      <c r="B19" s="449">
        <f>SUM('（３）業績構成比'!AC7:AC9)/1000</f>
        <v>2169.0538900000001</v>
      </c>
      <c r="C19" s="118" t="str">
        <f t="shared" si="2"/>
        <v/>
      </c>
      <c r="D19" s="453">
        <f>'數值累積總表(月)'!F21</f>
        <v>0.20289323995580696</v>
      </c>
      <c r="E19" s="118" t="str">
        <f t="shared" si="3"/>
        <v/>
      </c>
      <c r="G19" s="107" t="s">
        <v>224</v>
      </c>
      <c r="H19" s="449">
        <f>SUM('（４）訂單數量構成比'!AC7:AC9)</f>
        <v>43187</v>
      </c>
      <c r="I19" s="118" t="str">
        <f t="shared" si="1"/>
        <v/>
      </c>
      <c r="J19" s="453">
        <f>'數值累積總表(月)'!F31</f>
        <v>0.11343936177613133</v>
      </c>
      <c r="K19" s="118" t="str">
        <f t="shared" si="4"/>
        <v/>
      </c>
      <c r="L19" s="99"/>
    </row>
    <row r="20" spans="1:16" ht="18" customHeight="1">
      <c r="A20" s="107" t="s">
        <v>227</v>
      </c>
      <c r="B20" s="449">
        <f>SUM('（３）業績構成比'!AE7:AE9)/1000</f>
        <v>4154.9153999999999</v>
      </c>
      <c r="C20" s="118" t="str">
        <f t="shared" si="2"/>
        <v/>
      </c>
      <c r="D20" s="453">
        <f>'數值累積總表(月)'!F22</f>
        <v>0.29293399487971084</v>
      </c>
      <c r="E20" s="118" t="str">
        <f t="shared" si="3"/>
        <v/>
      </c>
      <c r="G20" s="107" t="s">
        <v>226</v>
      </c>
      <c r="H20" s="449">
        <f>SUM('（４）訂單數量構成比'!AE7:AE9)</f>
        <v>66980</v>
      </c>
      <c r="I20" s="118" t="str">
        <f t="shared" si="1"/>
        <v/>
      </c>
      <c r="J20" s="453">
        <f>'數值累積總表(月)'!F32</f>
        <v>0.14223546019791297</v>
      </c>
      <c r="K20" s="118" t="str">
        <f t="shared" si="4"/>
        <v/>
      </c>
      <c r="L20" s="99"/>
    </row>
    <row r="21" spans="1:16" ht="18" customHeight="1">
      <c r="A21" s="107" t="s">
        <v>230</v>
      </c>
      <c r="B21" s="449">
        <f>SUM('（３）業績構成比'!AG7:AG9)/1000</f>
        <v>0</v>
      </c>
      <c r="C21" s="118" t="str">
        <f t="shared" si="2"/>
        <v/>
      </c>
      <c r="D21" s="453">
        <f>'數值累積總表(月)'!F23</f>
        <v>0</v>
      </c>
      <c r="E21" s="118" t="str">
        <f t="shared" si="3"/>
        <v/>
      </c>
      <c r="G21" s="107" t="s">
        <v>236</v>
      </c>
      <c r="H21" s="449">
        <f>SUM('（４）訂單數量構成比'!AG7:AG9)</f>
        <v>0</v>
      </c>
      <c r="I21" s="118" t="str">
        <f t="shared" si="1"/>
        <v/>
      </c>
      <c r="J21" s="453">
        <f>'數值累積總表(月)'!F33</f>
        <v>0</v>
      </c>
      <c r="K21" s="118" t="str">
        <f t="shared" si="4"/>
        <v/>
      </c>
      <c r="L21" s="99"/>
    </row>
    <row r="22" spans="1:16" ht="18" customHeight="1">
      <c r="A22" s="107" t="s">
        <v>231</v>
      </c>
      <c r="B22" s="449">
        <f>SUM('（３）業績構成比'!AI7:AI9)/1000</f>
        <v>2140.6655499999997</v>
      </c>
      <c r="C22" s="118" t="str">
        <f t="shared" si="2"/>
        <v/>
      </c>
      <c r="D22" s="453">
        <f>'數值累積總表(月)'!F24</f>
        <v>1.6541184549440737E-3</v>
      </c>
      <c r="E22" s="118" t="str">
        <f t="shared" si="3"/>
        <v/>
      </c>
      <c r="G22" s="107" t="s">
        <v>237</v>
      </c>
      <c r="H22" s="449">
        <f>SUM('（４）訂單數量構成比'!AI7:AI9)</f>
        <v>59298</v>
      </c>
      <c r="I22" s="118" t="str">
        <f t="shared" si="1"/>
        <v/>
      </c>
      <c r="J22" s="453">
        <f>'數值累積總表(月)'!F34</f>
        <v>6.7918504928798538E-4</v>
      </c>
      <c r="K22" s="118" t="str">
        <f t="shared" si="4"/>
        <v/>
      </c>
      <c r="L22" s="99"/>
    </row>
    <row r="23" spans="1:16" ht="18" customHeight="1">
      <c r="A23" s="107" t="s">
        <v>233</v>
      </c>
      <c r="B23" s="449">
        <f>SUM('（３）業績構成比'!AK7:AK9)/1000</f>
        <v>204.13139999999996</v>
      </c>
      <c r="C23" s="118" t="str">
        <f t="shared" si="2"/>
        <v/>
      </c>
      <c r="D23" s="453">
        <f>'數值累積總表(月)'!F25</f>
        <v>1.4844289921293864E-2</v>
      </c>
      <c r="E23" s="118" t="str">
        <f t="shared" si="3"/>
        <v/>
      </c>
      <c r="G23" s="107" t="s">
        <v>232</v>
      </c>
      <c r="H23" s="449">
        <f>SUM('（４）訂單數量構成比'!AK7:AK9)</f>
        <v>10362</v>
      </c>
      <c r="I23" s="118" t="str">
        <f t="shared" si="1"/>
        <v/>
      </c>
      <c r="J23" s="453">
        <f>'數值累積總表(月)'!F35</f>
        <v>2.2227009526625659E-2</v>
      </c>
      <c r="K23" s="118" t="str">
        <f t="shared" si="4"/>
        <v/>
      </c>
      <c r="L23" s="99"/>
    </row>
    <row r="24" spans="1:16" ht="15.75" customHeight="1">
      <c r="C24" s="112">
        <f>SUM(C15:C23)</f>
        <v>0</v>
      </c>
      <c r="D24" s="112">
        <f t="shared" ref="D24" si="5">SUM(D15:D23)</f>
        <v>1.0000000000000004</v>
      </c>
      <c r="I24" s="112">
        <f t="shared" ref="I24:J24" si="6">SUM(I15:I23)</f>
        <v>0</v>
      </c>
      <c r="J24" s="112">
        <f t="shared" si="6"/>
        <v>1</v>
      </c>
      <c r="L24" s="99"/>
    </row>
    <row r="25" spans="1:16" ht="9.6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54">
        <f>'（５-1）品群別人時生產性(18℃-飯糰)'!C1</f>
        <v>760.11672774834233</v>
      </c>
      <c r="C28" s="455">
        <f>'數值累積總表(月)'!F37</f>
        <v>757.5904244152307</v>
      </c>
      <c r="D28" s="222">
        <f t="shared" ref="D28:D36" si="7">B28-C28</f>
        <v>2.5263033331116276</v>
      </c>
      <c r="E28" s="430">
        <f>'數值累積總表(月)'!P37</f>
        <v>766.89212529503368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54">
        <f>'（５-2）品群別人時生產性(18℃-壽司手卷)'!C1</f>
        <v>310.70201422211397</v>
      </c>
      <c r="C29" s="455">
        <f>'數值累積總表(月)'!F38</f>
        <v>311.70581961708376</v>
      </c>
      <c r="D29" s="222">
        <f t="shared" si="7"/>
        <v>-1.0038053949697883</v>
      </c>
      <c r="E29" s="430">
        <f>'數值累積總表(月)'!P38</f>
        <v>298.89805967352811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54">
        <f>'（５-3）品群別人時生產性(4℃-飯糰)'!C1</f>
        <v>219.34228623545107</v>
      </c>
      <c r="C30" s="455">
        <f>'數值累積總表(月)'!F39</f>
        <v>331.13667122055222</v>
      </c>
      <c r="D30" s="222">
        <f t="shared" si="7"/>
        <v>-111.79438498510115</v>
      </c>
      <c r="E30" s="430">
        <f>'數值累積總表(月)'!P39</f>
        <v>264.31402611342418</v>
      </c>
      <c r="L30" s="99"/>
    </row>
    <row r="31" spans="1:16" ht="18" customHeight="1">
      <c r="A31" s="107" t="s">
        <v>220</v>
      </c>
      <c r="B31" s="454">
        <f>'（５-4）品群別人時生產性(4℃-壽司手卷)'!C1</f>
        <v>371.22991640591522</v>
      </c>
      <c r="C31" s="455">
        <f>'數值累積總表(月)'!F40</f>
        <v>493.97618103140815</v>
      </c>
      <c r="D31" s="222">
        <f t="shared" si="7"/>
        <v>-122.74626462549293</v>
      </c>
      <c r="E31" s="430">
        <f>'數值累積總表(月)'!P40</f>
        <v>490.08201035418227</v>
      </c>
      <c r="L31" s="99"/>
    </row>
    <row r="32" spans="1:16" ht="18" customHeight="1">
      <c r="A32" s="107" t="s">
        <v>224</v>
      </c>
      <c r="B32" s="454">
        <f>'（５-5）品群別人時生產性(微波主食) '!C1</f>
        <v>84.361095434675548</v>
      </c>
      <c r="C32" s="455">
        <f>'數值累積總表(月)'!F41</f>
        <v>79.94999927589204</v>
      </c>
      <c r="D32" s="222">
        <f t="shared" si="7"/>
        <v>4.4110961587835078</v>
      </c>
      <c r="E32" s="430">
        <f>'數值累積總表(月)'!P41</f>
        <v>81.357297762036808</v>
      </c>
      <c r="L32" s="99"/>
    </row>
    <row r="33" spans="1:12" ht="18" customHeight="1">
      <c r="A33" s="107" t="s">
        <v>226</v>
      </c>
      <c r="B33" s="454">
        <f>'（５-6）品群別人時生產性(便當)'!C1</f>
        <v>79.053234900641314</v>
      </c>
      <c r="C33" s="455">
        <f>'數值累積總表(月)'!F42</f>
        <v>77.906796798443906</v>
      </c>
      <c r="D33" s="222">
        <f t="shared" si="7"/>
        <v>1.1464381021974077</v>
      </c>
      <c r="E33" s="430">
        <f>'數值累積總表(月)'!P42</f>
        <v>78.061495442688781</v>
      </c>
      <c r="L33" s="99"/>
    </row>
    <row r="34" spans="1:12" ht="18" customHeight="1">
      <c r="A34" s="107" t="s">
        <v>236</v>
      </c>
      <c r="B34" s="454">
        <f>'（５-7）品群別人時生產性(熱食義麵) '!C1</f>
        <v>0</v>
      </c>
      <c r="C34" s="455">
        <f>'數值累積總表(月)'!F43</f>
        <v>0</v>
      </c>
      <c r="D34" s="222">
        <f t="shared" si="7"/>
        <v>0</v>
      </c>
      <c r="E34" s="430">
        <f>'數值累積總表(月)'!P43</f>
        <v>74.600054218307051</v>
      </c>
      <c r="L34" s="99"/>
    </row>
    <row r="35" spans="1:12" ht="18" customHeight="1">
      <c r="A35" s="107" t="s">
        <v>237</v>
      </c>
      <c r="B35" s="454">
        <f>'（５-8）品群別人時生產性(季節調理麵) '!C1</f>
        <v>162.26278175725193</v>
      </c>
      <c r="C35" s="455">
        <f>'數值累積總表(月)'!F44</f>
        <v>84.60142398436416</v>
      </c>
      <c r="D35" s="222">
        <f t="shared" si="7"/>
        <v>77.661357772887769</v>
      </c>
      <c r="E35" s="430">
        <f>'數值累積總表(月)'!P44</f>
        <v>97.522410083521763</v>
      </c>
      <c r="L35" s="99"/>
    </row>
    <row r="36" spans="1:12" ht="18" customHeight="1">
      <c r="A36" s="103" t="s">
        <v>232</v>
      </c>
      <c r="B36" s="454">
        <f>'（５-9）品群別人時生產性(微波小吃)'!C1</f>
        <v>83.049054798069449</v>
      </c>
      <c r="C36" s="455">
        <f>'數值累積總表(月)'!F45</f>
        <v>83.044478559400275</v>
      </c>
      <c r="D36" s="222">
        <f t="shared" si="7"/>
        <v>4.5762386691734491E-3</v>
      </c>
      <c r="E36" s="430">
        <f>'數值累積總表(月)'!P45</f>
        <v>78.920093945894067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37" sqref="B37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565" t="s">
        <v>366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99"/>
    </row>
    <row r="2" spans="1:16" s="10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</row>
    <row r="3" spans="1:16" ht="21.6" customHeight="1">
      <c r="A3" s="114" t="s">
        <v>325</v>
      </c>
      <c r="B3" s="115">
        <v>5</v>
      </c>
      <c r="C3" s="157" t="s">
        <v>326</v>
      </c>
      <c r="D3" s="115" t="s">
        <v>780</v>
      </c>
      <c r="E3" s="114" t="s">
        <v>20</v>
      </c>
      <c r="F3" s="567" t="s">
        <v>365</v>
      </c>
      <c r="G3" s="568"/>
      <c r="H3" s="100"/>
      <c r="I3" s="109"/>
      <c r="J3" s="100"/>
      <c r="K3" s="100"/>
      <c r="M3" s="100"/>
      <c r="N3" s="100"/>
    </row>
    <row r="4" spans="1:16" ht="15.75" customHeight="1">
      <c r="A4" s="110" t="s">
        <v>408</v>
      </c>
      <c r="E4" s="102" t="s">
        <v>414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'（１）收支狀況'!G26/1000</f>
        <v>42516.57056</v>
      </c>
      <c r="C6" s="117">
        <v>40956.337890000003</v>
      </c>
      <c r="D6" s="117">
        <f>B6-C6</f>
        <v>1560.2326699999976</v>
      </c>
      <c r="E6" s="216">
        <f>'（１）收支狀況'!H8:H8/1000</f>
        <v>143048.47843999998</v>
      </c>
      <c r="G6" s="217" t="s">
        <v>410</v>
      </c>
      <c r="H6" s="218">
        <v>442.4</v>
      </c>
      <c r="I6" s="218">
        <f>'（２）ＫＰＩ達成進度'!G26</f>
        <v>428.25467058896322</v>
      </c>
      <c r="J6" s="218">
        <v>415.43614844700403</v>
      </c>
      <c r="K6" s="218">
        <f>'（２）ＫＰＩ達成進度'!H8</f>
        <v>417.28805510835491</v>
      </c>
      <c r="L6" s="101" t="s">
        <v>195</v>
      </c>
    </row>
    <row r="7" spans="1:16" ht="18" customHeight="1">
      <c r="A7" s="107" t="s">
        <v>25</v>
      </c>
      <c r="B7" s="117">
        <f>'（１）收支狀況'!J26</f>
        <v>1429470</v>
      </c>
      <c r="C7" s="117">
        <v>1379544</v>
      </c>
      <c r="D7" s="117">
        <f t="shared" ref="D7:D11" si="0">B7-C7</f>
        <v>49926</v>
      </c>
      <c r="E7" s="216">
        <f>'（１）收支狀況'!K8:K8</f>
        <v>4799972</v>
      </c>
      <c r="G7" s="217" t="s">
        <v>411</v>
      </c>
      <c r="H7" s="219">
        <v>0.8</v>
      </c>
      <c r="I7" s="118">
        <f>'（２）ＫＰＩ達成進度'!J26</f>
        <v>0.96802592809440147</v>
      </c>
      <c r="J7" s="118">
        <v>0.93905096846067815</v>
      </c>
      <c r="K7" s="219">
        <f>'（２）ＫＰＩ達成進度'!K8</f>
        <v>0.94323701425939177</v>
      </c>
      <c r="L7" s="101" t="s">
        <v>4</v>
      </c>
    </row>
    <row r="8" spans="1:16" ht="18" customHeight="1">
      <c r="A8" s="107" t="s">
        <v>409</v>
      </c>
      <c r="B8" s="117">
        <f>'（１）收支狀況'!M26/1000</f>
        <v>28714.830002254021</v>
      </c>
      <c r="C8" s="117">
        <v>27664.857106270727</v>
      </c>
      <c r="D8" s="117">
        <f>B8-C8</f>
        <v>1049.9728959832937</v>
      </c>
      <c r="E8" s="216">
        <f>'（１）收支狀況'!N8:N8/1000</f>
        <v>96236.509161326409</v>
      </c>
      <c r="G8" s="217" t="s">
        <v>200</v>
      </c>
      <c r="H8" s="118">
        <v>2.5000000000000001E-3</v>
      </c>
      <c r="I8" s="220">
        <f>'（２）ＫＰＩ達成進度'!M26</f>
        <v>2.0127511123843255E-3</v>
      </c>
      <c r="J8" s="220">
        <v>2.0115952695870477E-3</v>
      </c>
      <c r="K8" s="220">
        <f>'（２）ＫＰＩ達成進度'!N8</f>
        <v>2.0088084639255138E-3</v>
      </c>
      <c r="L8" s="101" t="s">
        <v>55</v>
      </c>
    </row>
    <row r="9" spans="1:16" ht="18" customHeight="1">
      <c r="A9" s="107" t="s">
        <v>6</v>
      </c>
      <c r="B9" s="219">
        <f>'（１）收支狀況'!P26</f>
        <v>0.67537973133866092</v>
      </c>
      <c r="C9" s="219">
        <v>0.67547194235413921</v>
      </c>
      <c r="D9" s="219">
        <f t="shared" si="0"/>
        <v>-9.2211015478294023E-5</v>
      </c>
      <c r="E9" s="219">
        <f>'（１）收支狀況'!Q8</f>
        <v>0.67275451099391947</v>
      </c>
      <c r="G9" s="217" t="s">
        <v>201</v>
      </c>
      <c r="H9" s="118">
        <v>4.0000000000000001E-3</v>
      </c>
      <c r="I9" s="118">
        <f>'（２）ＫＰＩ達成進度'!P26</f>
        <v>6.170487432366297E-3</v>
      </c>
      <c r="J9" s="118">
        <v>6.2432220650564946E-3</v>
      </c>
      <c r="K9" s="118">
        <f>'（２）ＫＰＩ達成進度'!Q8</f>
        <v>6.1892326152071511E-3</v>
      </c>
      <c r="L9" s="101" t="s">
        <v>98</v>
      </c>
    </row>
    <row r="10" spans="1:16" ht="18" customHeight="1">
      <c r="A10" s="107" t="s">
        <v>64</v>
      </c>
      <c r="B10" s="117">
        <f>'（１）收支狀況'!S26/1000</f>
        <v>5868.7493420000001</v>
      </c>
      <c r="C10" s="117">
        <v>5719.2223939999994</v>
      </c>
      <c r="D10" s="117">
        <f t="shared" si="0"/>
        <v>149.52694800000063</v>
      </c>
      <c r="E10" s="216">
        <f>'（１）收支狀況'!T8/1000</f>
        <v>20224.262368</v>
      </c>
      <c r="G10" s="217" t="s">
        <v>412</v>
      </c>
      <c r="H10" s="219">
        <v>0.8</v>
      </c>
      <c r="I10" s="219">
        <f>'（２）ＫＰＩ達成進度'!S26</f>
        <v>0.90000000000000013</v>
      </c>
      <c r="J10" s="219">
        <v>0.90000000000000013</v>
      </c>
      <c r="K10" s="219">
        <f>'（２）ＫＰＩ達成進度'!T8</f>
        <v>0.89999999999999969</v>
      </c>
      <c r="L10" s="101" t="s">
        <v>7</v>
      </c>
      <c r="M10" s="312"/>
      <c r="N10" s="312"/>
      <c r="O10" s="312"/>
      <c r="P10" s="312"/>
    </row>
    <row r="11" spans="1:16" ht="18" customHeight="1">
      <c r="A11" s="107" t="s">
        <v>65</v>
      </c>
      <c r="B11" s="219">
        <f>'（１）收支狀況'!V26</f>
        <v>0.13803440081598151</v>
      </c>
      <c r="C11" s="219">
        <v>0.1396419379428066</v>
      </c>
      <c r="D11" s="219">
        <f t="shared" si="0"/>
        <v>-1.6075371268250982E-3</v>
      </c>
      <c r="E11" s="219">
        <f>'（１）收支狀況'!W8</f>
        <v>0.1413804787618404</v>
      </c>
      <c r="G11" s="217" t="s">
        <v>413</v>
      </c>
      <c r="H11" s="219">
        <v>1</v>
      </c>
      <c r="I11" s="309">
        <f>21/52*100%</f>
        <v>0.40384615384615385</v>
      </c>
      <c r="J11" s="309">
        <v>0.38461538461538464</v>
      </c>
      <c r="K11" s="309">
        <f>'（２）ＫＰＩ達成進度'!W8</f>
        <v>0.37846153846153852</v>
      </c>
      <c r="L11" s="101" t="s">
        <v>62</v>
      </c>
      <c r="M11" s="313"/>
      <c r="N11" s="313"/>
      <c r="O11" s="313"/>
      <c r="P11" s="313"/>
    </row>
    <row r="12" spans="1:16" ht="9.6" customHeight="1">
      <c r="L12" s="99"/>
    </row>
    <row r="13" spans="1:16" ht="15.75" customHeight="1">
      <c r="A13" s="110" t="s">
        <v>32</v>
      </c>
      <c r="E13" s="311" t="s">
        <v>23</v>
      </c>
      <c r="G13" s="110" t="s">
        <v>33</v>
      </c>
      <c r="K13" s="311" t="s">
        <v>430</v>
      </c>
      <c r="L13" s="99"/>
    </row>
    <row r="14" spans="1:16" s="106" customFormat="1" ht="14.2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386</v>
      </c>
      <c r="B15" s="117">
        <f>SUM('（３）業績構成比'!M28:M34)/1000</f>
        <v>15270.84879</v>
      </c>
      <c r="C15" s="219">
        <f>IFERROR(B15/$B$6,"")</f>
        <v>0.3591740488205547</v>
      </c>
      <c r="D15" s="219">
        <v>0.36787659117537375</v>
      </c>
      <c r="E15" s="219">
        <f>IFERROR(C15-D15,"")</f>
        <v>-8.7025423548190428E-3</v>
      </c>
      <c r="G15" s="107" t="s">
        <v>387</v>
      </c>
      <c r="H15" s="117">
        <f>SUM('（４）訂單數量構成比'!M28:M34)</f>
        <v>792788</v>
      </c>
      <c r="I15" s="219">
        <f>IFERROR(H15/$B$7,"")</f>
        <v>0.55460275486718857</v>
      </c>
      <c r="J15" s="219">
        <v>0.56586016828749208</v>
      </c>
      <c r="K15" s="219">
        <f t="shared" ref="K15:K23" si="1">IFERROR(I15-J15,"")</f>
        <v>-1.1257413420303508E-2</v>
      </c>
      <c r="L15" s="99"/>
    </row>
    <row r="16" spans="1:16" ht="18" customHeight="1">
      <c r="A16" s="107" t="s">
        <v>223</v>
      </c>
      <c r="B16" s="117">
        <f>SUM('（３）業績構成比'!S28:S34)/1000</f>
        <v>1647.9808100000002</v>
      </c>
      <c r="C16" s="219">
        <f t="shared" ref="C16:C23" si="2">IFERROR(B16/$B$6,"")</f>
        <v>3.8760906354719883E-2</v>
      </c>
      <c r="D16" s="219">
        <v>4.0700955600012509E-2</v>
      </c>
      <c r="E16" s="219">
        <f t="shared" ref="E16:E23" si="3">IFERROR(C16-D16,"")</f>
        <v>-1.9400492452926257E-3</v>
      </c>
      <c r="G16" s="107" t="s">
        <v>254</v>
      </c>
      <c r="H16" s="117">
        <f>SUM('（４）訂單數量構成比'!S28:S34)</f>
        <v>57036</v>
      </c>
      <c r="I16" s="219">
        <f>IFERROR(H16/$B$7,"")</f>
        <v>3.9900102835316587E-2</v>
      </c>
      <c r="J16" s="219">
        <v>4.1834113301206774E-2</v>
      </c>
      <c r="K16" s="219">
        <f t="shared" si="1"/>
        <v>-1.9340104658901874E-3</v>
      </c>
      <c r="L16" s="99"/>
    </row>
    <row r="17" spans="1:17" ht="18" customHeight="1">
      <c r="A17" s="107" t="s">
        <v>219</v>
      </c>
      <c r="B17" s="117">
        <f>SUM('（３）業績構成比'!U28:U34)/1000</f>
        <v>525.91356000000007</v>
      </c>
      <c r="C17" s="219">
        <f t="shared" si="2"/>
        <v>1.236961384874218E-2</v>
      </c>
      <c r="D17" s="219">
        <v>1.3361844056219156E-2</v>
      </c>
      <c r="E17" s="219">
        <f t="shared" si="3"/>
        <v>-9.9223020747697503E-4</v>
      </c>
      <c r="G17" s="107" t="s">
        <v>235</v>
      </c>
      <c r="H17" s="117">
        <f>SUM('（４）訂單數量構成比'!U28:U34)</f>
        <v>17548</v>
      </c>
      <c r="I17" s="219">
        <f t="shared" ref="I17:I23" si="4">IFERROR(H17/$B$7,"")</f>
        <v>1.2275878472440835E-2</v>
      </c>
      <c r="J17" s="219">
        <v>1.3236257777932418E-2</v>
      </c>
      <c r="K17" s="219">
        <f t="shared" si="1"/>
        <v>-9.6037930549158247E-4</v>
      </c>
      <c r="L17" s="99"/>
    </row>
    <row r="18" spans="1:17" ht="18" customHeight="1">
      <c r="A18" s="107" t="s">
        <v>221</v>
      </c>
      <c r="B18" s="117">
        <f>SUM('（３）業績構成比'!W28:W34)/1000</f>
        <v>1868.9288900000001</v>
      </c>
      <c r="C18" s="219">
        <f t="shared" si="2"/>
        <v>4.3957658517225433E-2</v>
      </c>
      <c r="D18" s="219">
        <v>3.3757669538554531E-2</v>
      </c>
      <c r="E18" s="219">
        <f t="shared" si="3"/>
        <v>1.0199988978670901E-2</v>
      </c>
      <c r="G18" s="107" t="s">
        <v>220</v>
      </c>
      <c r="H18" s="117">
        <f>SUM('（４）訂單數量構成比'!W28:W34)</f>
        <v>92367</v>
      </c>
      <c r="I18" s="219">
        <f t="shared" si="4"/>
        <v>6.4616256374740291E-2</v>
      </c>
      <c r="J18" s="219">
        <v>6.0622930475577437E-2</v>
      </c>
      <c r="K18" s="219">
        <f t="shared" si="1"/>
        <v>3.9933258991628542E-3</v>
      </c>
      <c r="L18" s="99"/>
    </row>
    <row r="19" spans="1:17" ht="18" customHeight="1">
      <c r="A19" s="107" t="s">
        <v>225</v>
      </c>
      <c r="B19" s="117">
        <f>SUM('（３）業績構成比'!AC28:AC34)/1000</f>
        <v>5340.4477900000002</v>
      </c>
      <c r="C19" s="219">
        <f t="shared" si="2"/>
        <v>0.12560862081911059</v>
      </c>
      <c r="D19" s="219">
        <v>0.14018095332204514</v>
      </c>
      <c r="E19" s="219">
        <f t="shared" si="3"/>
        <v>-1.4572332502934549E-2</v>
      </c>
      <c r="G19" s="107" t="s">
        <v>224</v>
      </c>
      <c r="H19" s="117">
        <f>SUM('（４）訂單數量構成比'!AC28:AC34)</f>
        <v>98672</v>
      </c>
      <c r="I19" s="219">
        <f t="shared" si="4"/>
        <v>6.9026982028304193E-2</v>
      </c>
      <c r="J19" s="219">
        <v>7.7107363012705654E-2</v>
      </c>
      <c r="K19" s="219">
        <f t="shared" si="1"/>
        <v>-8.0803809844014612E-3</v>
      </c>
      <c r="L19" s="99"/>
    </row>
    <row r="20" spans="1:17" ht="18" customHeight="1">
      <c r="A20" s="107" t="s">
        <v>227</v>
      </c>
      <c r="B20" s="117">
        <f>SUM('（３）業績構成比'!AE28:AE34)/1000</f>
        <v>11032.21695</v>
      </c>
      <c r="C20" s="219">
        <f t="shared" si="2"/>
        <v>0.25948040504422093</v>
      </c>
      <c r="D20" s="219">
        <v>0.2906906472442915</v>
      </c>
      <c r="E20" s="219">
        <f t="shared" si="3"/>
        <v>-3.121024220007057E-2</v>
      </c>
      <c r="G20" s="107" t="s">
        <v>226</v>
      </c>
      <c r="H20" s="117">
        <f>SUM('（４）訂單數量構成比'!AE28:AE34)</f>
        <v>178024</v>
      </c>
      <c r="I20" s="219">
        <f t="shared" si="4"/>
        <v>0.12453846530532295</v>
      </c>
      <c r="J20" s="219">
        <v>0.13933082235869243</v>
      </c>
      <c r="K20" s="219">
        <f t="shared" si="1"/>
        <v>-1.4792357053369481E-2</v>
      </c>
      <c r="L20" s="99"/>
    </row>
    <row r="21" spans="1:17" ht="18" customHeight="1">
      <c r="A21" s="107" t="s">
        <v>230</v>
      </c>
      <c r="B21" s="117">
        <f>SUM('（３）業績構成比'!AG28:AG34)/1000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SUM('（４）訂單數量構成比'!AG28:AG34)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SUM('（３）業績構成比'!AI28:AI34)/1000</f>
        <v>6358.6157699999994</v>
      </c>
      <c r="C22" s="219">
        <f t="shared" si="2"/>
        <v>0.14955617742091001</v>
      </c>
      <c r="D22" s="219">
        <v>0.10173726618798531</v>
      </c>
      <c r="E22" s="219">
        <f t="shared" si="3"/>
        <v>4.7818911232924699E-2</v>
      </c>
      <c r="G22" s="107" t="s">
        <v>237</v>
      </c>
      <c r="H22" s="117">
        <f>SUM('（４）訂單數量構成比'!AI28:AI34)</f>
        <v>169095</v>
      </c>
      <c r="I22" s="219">
        <f t="shared" si="4"/>
        <v>0.11829209427270247</v>
      </c>
      <c r="J22" s="219">
        <v>8.4385130158951077E-2</v>
      </c>
      <c r="K22" s="219">
        <f t="shared" si="1"/>
        <v>3.3906964113751395E-2</v>
      </c>
      <c r="L22" s="99"/>
    </row>
    <row r="23" spans="1:17" ht="18" customHeight="1">
      <c r="A23" s="107" t="s">
        <v>233</v>
      </c>
      <c r="B23" s="117">
        <f>SUM('（３）業績構成比'!AK28:AK34)/1000</f>
        <v>471.61799999999999</v>
      </c>
      <c r="C23" s="219">
        <f t="shared" si="2"/>
        <v>1.1092569174516224E-2</v>
      </c>
      <c r="D23" s="219">
        <v>1.1694072875518019E-2</v>
      </c>
      <c r="E23" s="219">
        <f t="shared" si="3"/>
        <v>-6.0150370100179457E-4</v>
      </c>
      <c r="G23" s="107" t="s">
        <v>232</v>
      </c>
      <c r="H23" s="117">
        <f>SUM('（４）訂單數量構成比'!AK28:AK34)</f>
        <v>23940</v>
      </c>
      <c r="I23" s="219">
        <f t="shared" si="4"/>
        <v>1.6747465843984136E-2</v>
      </c>
      <c r="J23" s="219">
        <v>1.762321462744211E-2</v>
      </c>
      <c r="K23" s="219">
        <f t="shared" si="1"/>
        <v>-8.7574878345797469E-4</v>
      </c>
      <c r="L23" s="99"/>
    </row>
    <row r="24" spans="1:17" ht="15.75" customHeight="1">
      <c r="B24" s="102"/>
      <c r="C24" s="112">
        <f>SUM(C15:C23)</f>
        <v>0.99999999999999989</v>
      </c>
      <c r="D24" s="112">
        <f>SUM(D15:D23)</f>
        <v>0.99999999999999989</v>
      </c>
      <c r="I24" s="112">
        <f>SUM(I15:I23)</f>
        <v>1</v>
      </c>
      <c r="J24" s="112">
        <f>SUM(J15:J23)</f>
        <v>1.0000000000000002</v>
      </c>
      <c r="L24" s="99"/>
    </row>
    <row r="25" spans="1:17" ht="9.6" customHeight="1">
      <c r="A25" s="113"/>
      <c r="L25" s="99"/>
    </row>
    <row r="26" spans="1:17" ht="15.75" customHeight="1">
      <c r="A26" s="110" t="s">
        <v>426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387</v>
      </c>
      <c r="B28" s="210">
        <f>'（５-1）品群別人時生產性(18℃-飯糰)'!L127</f>
        <v>770.3527721371712</v>
      </c>
      <c r="C28" s="210">
        <v>760.93081796057254</v>
      </c>
      <c r="D28" s="221">
        <f>B28-C28</f>
        <v>9.4219541765986605</v>
      </c>
      <c r="E28" s="222">
        <f>'（５-1）品群別人時生產性(18℃-飯糰)'!C1</f>
        <v>760.11672774834233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'（５-2）品群別人時生產性(18℃-壽司手卷)'!L67</f>
        <v>297.55154926033714</v>
      </c>
      <c r="C29" s="210">
        <v>297.61797541816094</v>
      </c>
      <c r="D29" s="221">
        <f>B29-C29</f>
        <v>-6.6426157823798349E-2</v>
      </c>
      <c r="E29" s="222">
        <f>'（５-2）品群別人時生產性(18℃-壽司手卷)'!C1</f>
        <v>310.70201422211397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'（５-3）品群別人時生產性(4℃-飯糰)'!L67</f>
        <v>118.9664452938366</v>
      </c>
      <c r="C30" s="210">
        <v>118.293956043956</v>
      </c>
      <c r="D30" s="221">
        <f>B30-C30</f>
        <v>0.67248924988059855</v>
      </c>
      <c r="E30" s="222">
        <f>'（５-3）品群別人時生產性(4℃-飯糰)'!C1</f>
        <v>219.34228623545107</v>
      </c>
      <c r="L30" s="99"/>
    </row>
    <row r="31" spans="1:17" ht="18" customHeight="1">
      <c r="A31" s="107" t="s">
        <v>220</v>
      </c>
      <c r="B31" s="210">
        <f>'（５-4）品群別人時生產性(4℃-壽司手卷)'!L67</f>
        <v>402.44739921758162</v>
      </c>
      <c r="C31" s="210">
        <v>376.16331532543052</v>
      </c>
      <c r="D31" s="221">
        <f>B31-C31</f>
        <v>26.284083892151102</v>
      </c>
      <c r="E31" s="222">
        <f>'（５-4）品群別人時生產性(4℃-壽司手卷)'!C1</f>
        <v>371.22991640591522</v>
      </c>
      <c r="L31" s="99"/>
    </row>
    <row r="32" spans="1:17" ht="18" customHeight="1">
      <c r="A32" s="107" t="s">
        <v>225</v>
      </c>
      <c r="B32" s="210">
        <f>'（５-5）品群別人時生產性(微波主食) '!L67</f>
        <v>83.406868784822322</v>
      </c>
      <c r="C32" s="210">
        <v>83.482010015922341</v>
      </c>
      <c r="D32" s="221">
        <f t="shared" ref="D32:D36" si="5">B32-C32</f>
        <v>-7.5141231100019468E-2</v>
      </c>
      <c r="E32" s="222">
        <f>'（５-5）品群別人時生產性(微波主食) '!C1</f>
        <v>84.361095434675548</v>
      </c>
      <c r="L32" s="99"/>
    </row>
    <row r="33" spans="1:12" ht="18" customHeight="1">
      <c r="A33" s="107" t="s">
        <v>226</v>
      </c>
      <c r="B33" s="210">
        <f>'（５-6）品群別人時生產性(便當)'!L67</f>
        <v>79.699950787579468</v>
      </c>
      <c r="C33" s="210">
        <v>79.360985596610206</v>
      </c>
      <c r="D33" s="221">
        <f t="shared" si="5"/>
        <v>0.3389651909692617</v>
      </c>
      <c r="E33" s="222">
        <f>'（５-6）品群別人時生產性(便當)'!C1</f>
        <v>79.053234900641314</v>
      </c>
      <c r="L33" s="99"/>
    </row>
    <row r="34" spans="1:12" ht="18" customHeight="1">
      <c r="A34" s="107" t="s">
        <v>236</v>
      </c>
      <c r="B34" s="210">
        <f>'（５-7）品群別人時生產性(熱食義麵) '!L67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'（５-8）品群別人時生產性(季節調理麵) '!L67</f>
        <v>158.43443359308074</v>
      </c>
      <c r="C35" s="210">
        <v>163.78593143038194</v>
      </c>
      <c r="D35" s="221">
        <f t="shared" si="5"/>
        <v>-5.3514978373011957</v>
      </c>
      <c r="E35" s="222">
        <f>'（５-8）品群別人時生產性(季節調理麵) '!C1</f>
        <v>162.26278175725193</v>
      </c>
      <c r="L35" s="99"/>
    </row>
    <row r="36" spans="1:12" ht="18" customHeight="1">
      <c r="A36" s="103" t="s">
        <v>232</v>
      </c>
      <c r="B36" s="210">
        <f>'（５-9）品群別人時生產性(微波小吃)'!L67</f>
        <v>83.044988181610321</v>
      </c>
      <c r="C36" s="210">
        <v>82.98075643624199</v>
      </c>
      <c r="D36" s="221">
        <f t="shared" si="5"/>
        <v>6.4231745368331872E-2</v>
      </c>
      <c r="E36" s="223">
        <f>'（５-9）品群別人時生產性(微波小吃)'!C1</f>
        <v>83.049054798069449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rgb="FFFFFFCC"/>
    <pageSetUpPr fitToPage="1"/>
  </sheetPr>
  <dimension ref="B2:W69"/>
  <sheetViews>
    <sheetView zoomScale="80" zoomScaleNormal="80" workbookViewId="0">
      <selection activeCell="R26" sqref="R26:R32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74" t="s">
        <v>126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</row>
    <row r="3" spans="2:23" s="77" customFormat="1" ht="23.45" customHeight="1">
      <c r="B3" s="578" t="s">
        <v>122</v>
      </c>
      <c r="C3" s="579" t="s">
        <v>119</v>
      </c>
      <c r="D3" s="580" t="s">
        <v>105</v>
      </c>
      <c r="E3" s="580"/>
      <c r="F3" s="577" t="s">
        <v>123</v>
      </c>
      <c r="G3" s="577"/>
      <c r="H3" s="577"/>
      <c r="I3" s="575" t="s">
        <v>124</v>
      </c>
      <c r="J3" s="575"/>
      <c r="K3" s="575"/>
      <c r="L3" s="576" t="s">
        <v>125</v>
      </c>
      <c r="M3" s="576"/>
      <c r="N3" s="576"/>
      <c r="O3" s="573" t="s">
        <v>127</v>
      </c>
      <c r="P3" s="573"/>
      <c r="Q3" s="573"/>
      <c r="R3" s="581" t="s">
        <v>128</v>
      </c>
      <c r="S3" s="581"/>
      <c r="T3" s="581"/>
      <c r="U3" s="573" t="s">
        <v>129</v>
      </c>
      <c r="V3" s="573"/>
      <c r="W3" s="573"/>
    </row>
    <row r="4" spans="2:23" s="77" customFormat="1" ht="23.45" customHeight="1">
      <c r="B4" s="578"/>
      <c r="C4" s="579"/>
      <c r="D4" s="580"/>
      <c r="E4" s="580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70">
        <v>46148</v>
      </c>
      <c r="C5" s="585"/>
      <c r="D5" s="80">
        <v>46140</v>
      </c>
      <c r="E5" s="80" t="s">
        <v>118</v>
      </c>
      <c r="F5" s="164">
        <v>6434818.2700000005</v>
      </c>
      <c r="G5" s="583">
        <f>SUM(F5:F11)</f>
        <v>37624281.149999999</v>
      </c>
      <c r="H5" s="583"/>
      <c r="I5" s="214">
        <v>214895</v>
      </c>
      <c r="J5" s="572">
        <f t="shared" ref="J5" si="0">SUM(I5:I11)</f>
        <v>1262288</v>
      </c>
      <c r="K5" s="572"/>
      <c r="L5" s="164">
        <v>4415081.3932121648</v>
      </c>
      <c r="M5" s="583">
        <f t="shared" ref="M5" si="1">SUM(L5:L11)</f>
        <v>25299964.531154636</v>
      </c>
      <c r="N5" s="583"/>
      <c r="O5" s="154">
        <f t="shared" ref="O5:O11" si="2">L5/F5</f>
        <v>0.68612371134020611</v>
      </c>
      <c r="P5" s="582">
        <f>M5/G5</f>
        <v>0.67243715382332658</v>
      </c>
      <c r="Q5" s="569"/>
      <c r="R5" s="165">
        <v>888285.34600000002</v>
      </c>
      <c r="S5" s="584">
        <f t="shared" ref="S5" si="3">SUM(R5:R11)</f>
        <v>5540839.9000000004</v>
      </c>
      <c r="T5" s="583"/>
      <c r="U5" s="154">
        <f t="shared" ref="U5:U11" si="4">R5/F5</f>
        <v>0.1380435792788908</v>
      </c>
      <c r="V5" s="582">
        <f>S5/G5</f>
        <v>0.14726766148461021</v>
      </c>
      <c r="W5" s="569"/>
    </row>
    <row r="6" spans="2:23">
      <c r="B6" s="571"/>
      <c r="C6" s="585"/>
      <c r="D6" s="80">
        <f t="shared" ref="D6" si="5">D5+1</f>
        <v>46141</v>
      </c>
      <c r="E6" s="80" t="s">
        <v>112</v>
      </c>
      <c r="F6" s="164">
        <v>5586966.5599999996</v>
      </c>
      <c r="G6" s="583"/>
      <c r="H6" s="583"/>
      <c r="I6" s="214">
        <v>189446</v>
      </c>
      <c r="J6" s="572"/>
      <c r="K6" s="572"/>
      <c r="L6" s="164">
        <v>3741194.0818375261</v>
      </c>
      <c r="M6" s="583"/>
      <c r="N6" s="583"/>
      <c r="O6" s="154">
        <f t="shared" si="2"/>
        <v>0.66962886597938154</v>
      </c>
      <c r="P6" s="582"/>
      <c r="Q6" s="569"/>
      <c r="R6" s="165">
        <v>808748.228</v>
      </c>
      <c r="S6" s="584"/>
      <c r="T6" s="583"/>
      <c r="U6" s="154">
        <f t="shared" si="4"/>
        <v>0.14475623208312169</v>
      </c>
      <c r="V6" s="582"/>
      <c r="W6" s="569"/>
    </row>
    <row r="7" spans="2:23">
      <c r="B7" s="571"/>
      <c r="C7" s="585"/>
      <c r="D7" s="80">
        <f t="shared" ref="D7:D67" si="6">D6+1</f>
        <v>46142</v>
      </c>
      <c r="E7" s="80" t="s">
        <v>113</v>
      </c>
      <c r="F7" s="164">
        <v>4446498.88</v>
      </c>
      <c r="G7" s="583"/>
      <c r="H7" s="583"/>
      <c r="I7" s="214">
        <v>150674</v>
      </c>
      <c r="J7" s="572"/>
      <c r="K7" s="572"/>
      <c r="L7" s="164">
        <v>2972919.983129072</v>
      </c>
      <c r="M7" s="583"/>
      <c r="N7" s="583"/>
      <c r="O7" s="154">
        <f t="shared" si="2"/>
        <v>0.66859793814432988</v>
      </c>
      <c r="P7" s="582"/>
      <c r="Q7" s="569"/>
      <c r="R7" s="165">
        <v>720191.12</v>
      </c>
      <c r="S7" s="584"/>
      <c r="T7" s="583"/>
      <c r="U7" s="154">
        <f t="shared" si="4"/>
        <v>0.16196813255466289</v>
      </c>
      <c r="V7" s="582"/>
      <c r="W7" s="569"/>
    </row>
    <row r="8" spans="2:23">
      <c r="B8" s="571"/>
      <c r="C8" s="586" t="s">
        <v>114</v>
      </c>
      <c r="D8" s="80">
        <f t="shared" si="6"/>
        <v>46143</v>
      </c>
      <c r="E8" s="80" t="s">
        <v>114</v>
      </c>
      <c r="F8" s="164">
        <v>4128529.58</v>
      </c>
      <c r="G8" s="583"/>
      <c r="H8" s="583">
        <f>SUM(F8:F38)</f>
        <v>143048478.43999997</v>
      </c>
      <c r="I8" s="214">
        <v>140738</v>
      </c>
      <c r="J8" s="572"/>
      <c r="K8" s="572">
        <f>SUM(I8:I38)</f>
        <v>4799972</v>
      </c>
      <c r="L8" s="164">
        <v>2836938.2538692784</v>
      </c>
      <c r="M8" s="583"/>
      <c r="N8" s="583">
        <f>SUM(L8:L38)</f>
        <v>96236509.161326408</v>
      </c>
      <c r="O8" s="154">
        <f t="shared" si="2"/>
        <v>0.68715463917525776</v>
      </c>
      <c r="P8" s="582"/>
      <c r="Q8" s="569">
        <f>N8/H8</f>
        <v>0.67275451099391947</v>
      </c>
      <c r="R8" s="165">
        <v>715052.78</v>
      </c>
      <c r="S8" s="584"/>
      <c r="T8" s="583">
        <f>SUM(R8:R38)</f>
        <v>20224262.368000001</v>
      </c>
      <c r="U8" s="154">
        <f t="shared" si="4"/>
        <v>0.17319793067826342</v>
      </c>
      <c r="V8" s="582"/>
      <c r="W8" s="569">
        <f>T8/H8</f>
        <v>0.1413804787618404</v>
      </c>
    </row>
    <row r="9" spans="2:23">
      <c r="B9" s="571"/>
      <c r="C9" s="586"/>
      <c r="D9" s="80">
        <f t="shared" si="6"/>
        <v>46144</v>
      </c>
      <c r="E9" s="80" t="s">
        <v>115</v>
      </c>
      <c r="F9" s="164">
        <v>4422738.33</v>
      </c>
      <c r="G9" s="583"/>
      <c r="H9" s="583"/>
      <c r="I9" s="214">
        <v>150228</v>
      </c>
      <c r="J9" s="572"/>
      <c r="K9" s="572"/>
      <c r="L9" s="164">
        <v>2943355.1562352581</v>
      </c>
      <c r="M9" s="583"/>
      <c r="N9" s="583"/>
      <c r="O9" s="154">
        <f t="shared" si="2"/>
        <v>0.66550515463917537</v>
      </c>
      <c r="P9" s="582"/>
      <c r="Q9" s="569"/>
      <c r="R9" s="165">
        <v>720724.18200000003</v>
      </c>
      <c r="S9" s="584"/>
      <c r="T9" s="583"/>
      <c r="U9" s="154">
        <f t="shared" si="4"/>
        <v>0.16295881153791886</v>
      </c>
      <c r="V9" s="582"/>
      <c r="W9" s="569"/>
    </row>
    <row r="10" spans="2:23">
      <c r="B10" s="571"/>
      <c r="C10" s="586"/>
      <c r="D10" s="80">
        <f t="shared" si="6"/>
        <v>46145</v>
      </c>
      <c r="E10" s="80" t="s">
        <v>116</v>
      </c>
      <c r="F10" s="164">
        <v>6472238.8599999994</v>
      </c>
      <c r="G10" s="583"/>
      <c r="H10" s="583"/>
      <c r="I10" s="214">
        <v>212432</v>
      </c>
      <c r="J10" s="572"/>
      <c r="K10" s="572"/>
      <c r="L10" s="164">
        <v>4332663.4859303096</v>
      </c>
      <c r="M10" s="583"/>
      <c r="N10" s="583"/>
      <c r="O10" s="154">
        <f t="shared" si="2"/>
        <v>0.6694226804123713</v>
      </c>
      <c r="P10" s="582"/>
      <c r="Q10" s="569"/>
      <c r="R10" s="165">
        <v>865468.50399999996</v>
      </c>
      <c r="S10" s="584"/>
      <c r="T10" s="583"/>
      <c r="U10" s="154">
        <f t="shared" si="4"/>
        <v>0.13372011180687482</v>
      </c>
      <c r="V10" s="582"/>
      <c r="W10" s="569"/>
    </row>
    <row r="11" spans="2:23">
      <c r="B11" s="571"/>
      <c r="C11" s="586"/>
      <c r="D11" s="80">
        <f t="shared" si="6"/>
        <v>46146</v>
      </c>
      <c r="E11" s="80" t="s">
        <v>117</v>
      </c>
      <c r="F11" s="164">
        <v>6132490.6699999999</v>
      </c>
      <c r="G11" s="583"/>
      <c r="H11" s="583"/>
      <c r="I11" s="214">
        <v>203875</v>
      </c>
      <c r="J11" s="572"/>
      <c r="K11" s="572"/>
      <c r="L11" s="164">
        <v>4057812.1769410307</v>
      </c>
      <c r="M11" s="583"/>
      <c r="N11" s="583"/>
      <c r="O11" s="154">
        <f t="shared" si="2"/>
        <v>0.6616907216494845</v>
      </c>
      <c r="P11" s="582"/>
      <c r="Q11" s="569"/>
      <c r="R11" s="165">
        <v>822369.74</v>
      </c>
      <c r="S11" s="584"/>
      <c r="T11" s="583"/>
      <c r="U11" s="154">
        <f t="shared" si="4"/>
        <v>0.13410044698853166</v>
      </c>
      <c r="V11" s="582"/>
      <c r="W11" s="569"/>
    </row>
    <row r="12" spans="2:23">
      <c r="B12" s="570">
        <f>B5+7</f>
        <v>46155</v>
      </c>
      <c r="C12" s="586"/>
      <c r="D12" s="80">
        <f t="shared" si="6"/>
        <v>46147</v>
      </c>
      <c r="E12" s="80" t="s">
        <v>118</v>
      </c>
      <c r="F12" s="164">
        <v>5984383.9399999995</v>
      </c>
      <c r="G12" s="583">
        <f>SUM(F12:F18)</f>
        <v>38419572.549999997</v>
      </c>
      <c r="H12" s="583"/>
      <c r="I12" s="214">
        <v>198337</v>
      </c>
      <c r="J12" s="572">
        <f t="shared" ref="J12" si="7">SUM(I12:I18)</f>
        <v>1283685</v>
      </c>
      <c r="K12" s="572"/>
      <c r="L12" s="164">
        <v>4026441.5820635054</v>
      </c>
      <c r="M12" s="583">
        <f t="shared" ref="M12" si="8">SUM(L12:L18)</f>
        <v>25686052.979825772</v>
      </c>
      <c r="N12" s="583"/>
      <c r="O12" s="154">
        <f t="shared" ref="O12:O18" si="9">L12/F12</f>
        <v>0.67282474226804134</v>
      </c>
      <c r="P12" s="582">
        <f>M12/G12</f>
        <v>0.66856685993571197</v>
      </c>
      <c r="Q12" s="569"/>
      <c r="R12" s="165">
        <v>817348.35800000001</v>
      </c>
      <c r="S12" s="584">
        <f t="shared" ref="S12" si="10">SUM(R12:R18)</f>
        <v>5512675.426</v>
      </c>
      <c r="T12" s="583"/>
      <c r="U12" s="154">
        <f t="shared" ref="U12:U18" si="11">R12/F12</f>
        <v>0.13658020043413191</v>
      </c>
      <c r="V12" s="582">
        <f>S12/G12</f>
        <v>0.14348612074810813</v>
      </c>
      <c r="W12" s="569"/>
    </row>
    <row r="13" spans="2:23">
      <c r="B13" s="571"/>
      <c r="C13" s="586"/>
      <c r="D13" s="80">
        <f t="shared" si="6"/>
        <v>46148</v>
      </c>
      <c r="E13" s="80" t="s">
        <v>112</v>
      </c>
      <c r="F13" s="164">
        <v>5601506.870000001</v>
      </c>
      <c r="G13" s="583"/>
      <c r="H13" s="583"/>
      <c r="I13" s="214">
        <v>188660</v>
      </c>
      <c r="J13" s="572"/>
      <c r="K13" s="572"/>
      <c r="L13" s="164">
        <v>3714549.7722255667</v>
      </c>
      <c r="M13" s="583"/>
      <c r="N13" s="583"/>
      <c r="O13" s="154">
        <f t="shared" si="9"/>
        <v>0.66313402061855653</v>
      </c>
      <c r="P13" s="582"/>
      <c r="Q13" s="569"/>
      <c r="R13" s="165">
        <v>791562.48600000003</v>
      </c>
      <c r="S13" s="584"/>
      <c r="T13" s="583"/>
      <c r="U13" s="154">
        <f t="shared" si="11"/>
        <v>0.1413124190277035</v>
      </c>
      <c r="V13" s="582"/>
      <c r="W13" s="569"/>
    </row>
    <row r="14" spans="2:23">
      <c r="B14" s="571"/>
      <c r="C14" s="586"/>
      <c r="D14" s="80">
        <f t="shared" si="6"/>
        <v>46149</v>
      </c>
      <c r="E14" s="80" t="s">
        <v>113</v>
      </c>
      <c r="F14" s="164">
        <v>5146313.3899999997</v>
      </c>
      <c r="G14" s="583"/>
      <c r="H14" s="583"/>
      <c r="I14" s="214">
        <v>175320</v>
      </c>
      <c r="J14" s="572"/>
      <c r="K14" s="572"/>
      <c r="L14" s="164">
        <v>3443997.8082315451</v>
      </c>
      <c r="M14" s="583"/>
      <c r="N14" s="583"/>
      <c r="O14" s="154">
        <f t="shared" si="9"/>
        <v>0.66921649484536061</v>
      </c>
      <c r="P14" s="582"/>
      <c r="Q14" s="569"/>
      <c r="R14" s="165">
        <v>743044.16200000001</v>
      </c>
      <c r="S14" s="584"/>
      <c r="T14" s="583"/>
      <c r="U14" s="154">
        <f t="shared" si="11"/>
        <v>0.14438377644156647</v>
      </c>
      <c r="V14" s="582"/>
      <c r="W14" s="569"/>
    </row>
    <row r="15" spans="2:23">
      <c r="B15" s="571"/>
      <c r="C15" s="586"/>
      <c r="D15" s="80">
        <f t="shared" si="6"/>
        <v>46150</v>
      </c>
      <c r="E15" s="80" t="s">
        <v>114</v>
      </c>
      <c r="F15" s="164">
        <v>4462931.74</v>
      </c>
      <c r="G15" s="583"/>
      <c r="H15" s="583"/>
      <c r="I15" s="214">
        <v>151315</v>
      </c>
      <c r="J15" s="572"/>
      <c r="K15" s="572"/>
      <c r="L15" s="164">
        <v>3016113.6833397942</v>
      </c>
      <c r="M15" s="583"/>
      <c r="N15" s="583"/>
      <c r="O15" s="154">
        <f t="shared" si="9"/>
        <v>0.67581443298969079</v>
      </c>
      <c r="P15" s="582"/>
      <c r="Q15" s="569"/>
      <c r="R15" s="165">
        <v>721133.71400000004</v>
      </c>
      <c r="S15" s="584"/>
      <c r="T15" s="583"/>
      <c r="U15" s="154">
        <f t="shared" si="11"/>
        <v>0.16158295847025436</v>
      </c>
      <c r="V15" s="582"/>
      <c r="W15" s="569"/>
    </row>
    <row r="16" spans="2:23">
      <c r="B16" s="571"/>
      <c r="C16" s="586"/>
      <c r="D16" s="80">
        <f t="shared" si="6"/>
        <v>46151</v>
      </c>
      <c r="E16" s="80" t="s">
        <v>115</v>
      </c>
      <c r="F16" s="164">
        <v>4779377.75</v>
      </c>
      <c r="G16" s="583"/>
      <c r="H16" s="583"/>
      <c r="I16" s="214">
        <v>161184</v>
      </c>
      <c r="J16" s="572"/>
      <c r="K16" s="572"/>
      <c r="L16" s="164">
        <v>3162469.9124329896</v>
      </c>
      <c r="M16" s="583"/>
      <c r="N16" s="583"/>
      <c r="O16" s="154">
        <f t="shared" si="9"/>
        <v>0.6616907216494845</v>
      </c>
      <c r="P16" s="582"/>
      <c r="Q16" s="569"/>
      <c r="R16" s="165">
        <v>747478.38800000004</v>
      </c>
      <c r="S16" s="584"/>
      <c r="T16" s="583"/>
      <c r="U16" s="154">
        <f t="shared" si="11"/>
        <v>0.15639659116712423</v>
      </c>
      <c r="V16" s="582"/>
      <c r="W16" s="569"/>
    </row>
    <row r="17" spans="2:23">
      <c r="B17" s="571"/>
      <c r="C17" s="586"/>
      <c r="D17" s="80">
        <f t="shared" si="6"/>
        <v>46152</v>
      </c>
      <c r="E17" s="80" t="s">
        <v>116</v>
      </c>
      <c r="F17" s="164">
        <v>6245830.3399999999</v>
      </c>
      <c r="G17" s="583"/>
      <c r="H17" s="583"/>
      <c r="I17" s="214">
        <v>206176</v>
      </c>
      <c r="J17" s="572"/>
      <c r="K17" s="572"/>
      <c r="L17" s="164">
        <v>4152124.9860263914</v>
      </c>
      <c r="M17" s="583"/>
      <c r="N17" s="583"/>
      <c r="O17" s="154">
        <f t="shared" si="9"/>
        <v>0.66478350515463913</v>
      </c>
      <c r="P17" s="582"/>
      <c r="Q17" s="569"/>
      <c r="R17" s="165">
        <v>848777.16599999997</v>
      </c>
      <c r="S17" s="584"/>
      <c r="T17" s="583"/>
      <c r="U17" s="154">
        <f t="shared" si="11"/>
        <v>0.13589500831686055</v>
      </c>
      <c r="V17" s="582"/>
      <c r="W17" s="569"/>
    </row>
    <row r="18" spans="2:23">
      <c r="B18" s="571"/>
      <c r="C18" s="586"/>
      <c r="D18" s="80">
        <f t="shared" si="6"/>
        <v>46153</v>
      </c>
      <c r="E18" s="80" t="s">
        <v>117</v>
      </c>
      <c r="F18" s="164">
        <v>6199228.5199999996</v>
      </c>
      <c r="G18" s="583"/>
      <c r="H18" s="583"/>
      <c r="I18" s="214">
        <v>202693</v>
      </c>
      <c r="J18" s="572"/>
      <c r="K18" s="572"/>
      <c r="L18" s="164">
        <v>4170355.2355059795</v>
      </c>
      <c r="M18" s="583"/>
      <c r="N18" s="583"/>
      <c r="O18" s="154">
        <f t="shared" si="9"/>
        <v>0.67272164948453617</v>
      </c>
      <c r="P18" s="582"/>
      <c r="Q18" s="569"/>
      <c r="R18" s="165">
        <v>843331.152</v>
      </c>
      <c r="S18" s="584"/>
      <c r="T18" s="583"/>
      <c r="U18" s="154">
        <f t="shared" si="11"/>
        <v>0.1360380810739979</v>
      </c>
      <c r="V18" s="582"/>
      <c r="W18" s="569"/>
    </row>
    <row r="19" spans="2:23">
      <c r="B19" s="570">
        <f>B12+7</f>
        <v>46162</v>
      </c>
      <c r="C19" s="586"/>
      <c r="D19" s="80">
        <f t="shared" si="6"/>
        <v>46154</v>
      </c>
      <c r="E19" s="80" t="s">
        <v>118</v>
      </c>
      <c r="F19" s="164">
        <v>6454119.3000000007</v>
      </c>
      <c r="G19" s="583">
        <f>SUM(F19:F25)</f>
        <v>40956337.890000001</v>
      </c>
      <c r="H19" s="583"/>
      <c r="I19" s="214">
        <v>218381</v>
      </c>
      <c r="J19" s="572">
        <f t="shared" ref="J19" si="12">SUM(I19:I25)</f>
        <v>1379544</v>
      </c>
      <c r="K19" s="572"/>
      <c r="L19" s="164">
        <v>4349144.8858268056</v>
      </c>
      <c r="M19" s="583">
        <f t="shared" ref="M19" si="13">SUM(L19:L25)</f>
        <v>27664857.106270727</v>
      </c>
      <c r="N19" s="583"/>
      <c r="O19" s="154">
        <f t="shared" ref="O19:O32" si="14">L19/F19</f>
        <v>0.67385567010309289</v>
      </c>
      <c r="P19" s="582">
        <f>M19/G19</f>
        <v>0.67547194235413921</v>
      </c>
      <c r="Q19" s="569"/>
      <c r="R19" s="165">
        <v>855626.60800000001</v>
      </c>
      <c r="S19" s="584">
        <f t="shared" ref="S19" si="15">SUM(R19:R25)</f>
        <v>5719222.3939999994</v>
      </c>
      <c r="T19" s="583"/>
      <c r="U19" s="154">
        <f t="shared" ref="U19:U32" si="16">R19/F19</f>
        <v>0.13257062168032746</v>
      </c>
      <c r="V19" s="582">
        <f>S19/G19</f>
        <v>0.1396419379428066</v>
      </c>
      <c r="W19" s="569"/>
    </row>
    <row r="20" spans="2:23">
      <c r="B20" s="571"/>
      <c r="C20" s="586"/>
      <c r="D20" s="80">
        <f t="shared" si="6"/>
        <v>46155</v>
      </c>
      <c r="E20" s="80" t="s">
        <v>112</v>
      </c>
      <c r="F20" s="164">
        <v>6058711.4500000002</v>
      </c>
      <c r="G20" s="583"/>
      <c r="H20" s="583"/>
      <c r="I20" s="214">
        <v>203270</v>
      </c>
      <c r="J20" s="572"/>
      <c r="K20" s="572"/>
      <c r="L20" s="164">
        <v>4125795.11462165</v>
      </c>
      <c r="M20" s="583"/>
      <c r="N20" s="583"/>
      <c r="O20" s="154">
        <f t="shared" si="14"/>
        <v>0.68096907216494851</v>
      </c>
      <c r="P20" s="582"/>
      <c r="Q20" s="569"/>
      <c r="R20" s="165">
        <v>820635.08200000005</v>
      </c>
      <c r="S20" s="584"/>
      <c r="T20" s="583"/>
      <c r="U20" s="154">
        <f t="shared" si="16"/>
        <v>0.13544713075913198</v>
      </c>
      <c r="V20" s="582"/>
      <c r="W20" s="569"/>
    </row>
    <row r="21" spans="2:23">
      <c r="B21" s="571"/>
      <c r="C21" s="586"/>
      <c r="D21" s="80">
        <f t="shared" si="6"/>
        <v>46156</v>
      </c>
      <c r="E21" s="80" t="s">
        <v>113</v>
      </c>
      <c r="F21" s="164">
        <v>5491384.3499999996</v>
      </c>
      <c r="G21" s="583"/>
      <c r="H21" s="583"/>
      <c r="I21" s="214">
        <v>186773</v>
      </c>
      <c r="J21" s="572"/>
      <c r="K21" s="572"/>
      <c r="L21" s="164">
        <v>3688511.916906185</v>
      </c>
      <c r="M21" s="583"/>
      <c r="N21" s="583"/>
      <c r="O21" s="154">
        <f t="shared" si="14"/>
        <v>0.67169072164948451</v>
      </c>
      <c r="P21" s="582"/>
      <c r="Q21" s="569"/>
      <c r="R21" s="165">
        <v>794354.79</v>
      </c>
      <c r="S21" s="584"/>
      <c r="T21" s="583"/>
      <c r="U21" s="154">
        <f t="shared" si="16"/>
        <v>0.14465474266065534</v>
      </c>
      <c r="V21" s="582"/>
      <c r="W21" s="569"/>
    </row>
    <row r="22" spans="2:23">
      <c r="B22" s="571"/>
      <c r="C22" s="586"/>
      <c r="D22" s="80">
        <f t="shared" si="6"/>
        <v>46157</v>
      </c>
      <c r="E22" s="80" t="s">
        <v>114</v>
      </c>
      <c r="F22" s="164">
        <v>4614223.6099999994</v>
      </c>
      <c r="G22" s="583"/>
      <c r="H22" s="583"/>
      <c r="I22" s="214">
        <v>156191</v>
      </c>
      <c r="J22" s="572"/>
      <c r="K22" s="572"/>
      <c r="L22" s="164">
        <v>3091244.4028065982</v>
      </c>
      <c r="M22" s="583"/>
      <c r="N22" s="583"/>
      <c r="O22" s="154">
        <f t="shared" si="14"/>
        <v>0.66993814432989707</v>
      </c>
      <c r="P22" s="582"/>
      <c r="Q22" s="569"/>
      <c r="R22" s="165">
        <v>744170.02</v>
      </c>
      <c r="S22" s="584"/>
      <c r="T22" s="583"/>
      <c r="U22" s="154">
        <f t="shared" si="16"/>
        <v>0.16127740718660147</v>
      </c>
      <c r="V22" s="582"/>
      <c r="W22" s="569"/>
    </row>
    <row r="23" spans="2:23">
      <c r="B23" s="571"/>
      <c r="C23" s="586"/>
      <c r="D23" s="80">
        <f t="shared" si="6"/>
        <v>46158</v>
      </c>
      <c r="E23" s="80" t="s">
        <v>115</v>
      </c>
      <c r="F23" s="164">
        <v>5113313.2700000005</v>
      </c>
      <c r="G23" s="583"/>
      <c r="H23" s="583"/>
      <c r="I23" s="214">
        <v>175227</v>
      </c>
      <c r="J23" s="572"/>
      <c r="K23" s="572"/>
      <c r="L23" s="164">
        <v>3476209.5904832999</v>
      </c>
      <c r="M23" s="583"/>
      <c r="N23" s="583"/>
      <c r="O23" s="154">
        <f t="shared" si="14"/>
        <v>0.6798350515463919</v>
      </c>
      <c r="P23" s="582"/>
      <c r="Q23" s="569"/>
      <c r="R23" s="165">
        <v>762694.09400000004</v>
      </c>
      <c r="S23" s="584"/>
      <c r="T23" s="583"/>
      <c r="U23" s="154">
        <f t="shared" si="16"/>
        <v>0.14915849151561958</v>
      </c>
      <c r="V23" s="582"/>
      <c r="W23" s="569"/>
    </row>
    <row r="24" spans="2:23">
      <c r="B24" s="571"/>
      <c r="C24" s="586"/>
      <c r="D24" s="80">
        <f t="shared" si="6"/>
        <v>46159</v>
      </c>
      <c r="E24" s="80" t="s">
        <v>116</v>
      </c>
      <c r="F24" s="164">
        <v>6768242.5</v>
      </c>
      <c r="G24" s="583"/>
      <c r="H24" s="583"/>
      <c r="I24" s="214">
        <v>223471</v>
      </c>
      <c r="J24" s="572"/>
      <c r="K24" s="572"/>
      <c r="L24" s="164">
        <v>4586635.5927319601</v>
      </c>
      <c r="M24" s="583"/>
      <c r="N24" s="583"/>
      <c r="O24" s="154">
        <f t="shared" si="14"/>
        <v>0.67767010309278375</v>
      </c>
      <c r="P24" s="582"/>
      <c r="Q24" s="569"/>
      <c r="R24" s="165">
        <v>887772.45</v>
      </c>
      <c r="S24" s="584"/>
      <c r="T24" s="583"/>
      <c r="U24" s="154">
        <f t="shared" si="16"/>
        <v>0.1311673525291093</v>
      </c>
      <c r="V24" s="582"/>
      <c r="W24" s="569"/>
    </row>
    <row r="25" spans="2:23">
      <c r="B25" s="571"/>
      <c r="C25" s="586"/>
      <c r="D25" s="80">
        <f t="shared" si="6"/>
        <v>46160</v>
      </c>
      <c r="E25" s="80" t="s">
        <v>117</v>
      </c>
      <c r="F25" s="164">
        <v>6456343.4099999992</v>
      </c>
      <c r="G25" s="583"/>
      <c r="H25" s="583"/>
      <c r="I25" s="214">
        <v>216231</v>
      </c>
      <c r="J25" s="572"/>
      <c r="K25" s="572"/>
      <c r="L25" s="164">
        <v>4347315.602894228</v>
      </c>
      <c r="M25" s="583"/>
      <c r="N25" s="583"/>
      <c r="O25" s="154">
        <f t="shared" si="14"/>
        <v>0.67334020618556722</v>
      </c>
      <c r="P25" s="582"/>
      <c r="Q25" s="569"/>
      <c r="R25" s="165">
        <v>853969.35</v>
      </c>
      <c r="S25" s="584"/>
      <c r="T25" s="583"/>
      <c r="U25" s="154">
        <f t="shared" si="16"/>
        <v>0.13226826638083058</v>
      </c>
      <c r="V25" s="582"/>
      <c r="W25" s="569"/>
    </row>
    <row r="26" spans="2:23">
      <c r="B26" s="570">
        <f>B19+7</f>
        <v>46169</v>
      </c>
      <c r="C26" s="586"/>
      <c r="D26" s="80">
        <f t="shared" si="6"/>
        <v>46161</v>
      </c>
      <c r="E26" s="80" t="s">
        <v>118</v>
      </c>
      <c r="F26" s="164">
        <v>6835923.04</v>
      </c>
      <c r="G26" s="583">
        <f>SUM(F26:F32)</f>
        <v>42516570.560000002</v>
      </c>
      <c r="H26" s="583"/>
      <c r="I26" s="214">
        <v>228237</v>
      </c>
      <c r="J26" s="572">
        <f t="shared" ref="J26" si="17">SUM(I26:I32)</f>
        <v>1429470</v>
      </c>
      <c r="K26" s="572"/>
      <c r="L26" s="164">
        <v>4571188.7841913402</v>
      </c>
      <c r="M26" s="583">
        <f t="shared" ref="M26" si="18">SUM(L26:L32)</f>
        <v>28714830.00225402</v>
      </c>
      <c r="N26" s="583"/>
      <c r="O26" s="154">
        <f t="shared" si="14"/>
        <v>0.66870103092783506</v>
      </c>
      <c r="P26" s="582">
        <f>M26/G26</f>
        <v>0.67537973133866092</v>
      </c>
      <c r="Q26" s="569"/>
      <c r="R26" s="165">
        <v>884983.51199999999</v>
      </c>
      <c r="S26" s="584">
        <f t="shared" ref="S26" si="19">SUM(R26:R32)</f>
        <v>5868749.3420000002</v>
      </c>
      <c r="T26" s="583"/>
      <c r="U26" s="154">
        <f t="shared" si="16"/>
        <v>0.12946071903114931</v>
      </c>
      <c r="V26" s="582">
        <f>S26/G26</f>
        <v>0.13803440081598151</v>
      </c>
      <c r="W26" s="569"/>
    </row>
    <row r="27" spans="2:23">
      <c r="B27" s="571"/>
      <c r="C27" s="586"/>
      <c r="D27" s="80">
        <f t="shared" si="6"/>
        <v>46162</v>
      </c>
      <c r="E27" s="80" t="s">
        <v>112</v>
      </c>
      <c r="F27" s="164">
        <v>6228516.46</v>
      </c>
      <c r="G27" s="583"/>
      <c r="H27" s="583"/>
      <c r="I27" s="214">
        <v>211240</v>
      </c>
      <c r="J27" s="572"/>
      <c r="K27" s="572"/>
      <c r="L27" s="164">
        <v>4213174.0103756711</v>
      </c>
      <c r="M27" s="583"/>
      <c r="N27" s="583"/>
      <c r="O27" s="154">
        <f t="shared" si="14"/>
        <v>0.67643298969072185</v>
      </c>
      <c r="P27" s="582"/>
      <c r="Q27" s="569"/>
      <c r="R27" s="165">
        <v>844783.09400000004</v>
      </c>
      <c r="S27" s="584"/>
      <c r="T27" s="583"/>
      <c r="U27" s="154">
        <f t="shared" si="16"/>
        <v>0.13563151023606673</v>
      </c>
      <c r="V27" s="582"/>
      <c r="W27" s="569"/>
    </row>
    <row r="28" spans="2:23">
      <c r="B28" s="571"/>
      <c r="C28" s="586"/>
      <c r="D28" s="80">
        <f t="shared" si="6"/>
        <v>46163</v>
      </c>
      <c r="E28" s="80" t="s">
        <v>113</v>
      </c>
      <c r="F28" s="164">
        <v>5748157.8600000013</v>
      </c>
      <c r="G28" s="583"/>
      <c r="H28" s="583"/>
      <c r="I28" s="214">
        <v>197064</v>
      </c>
      <c r="J28" s="572"/>
      <c r="K28" s="572"/>
      <c r="L28" s="164">
        <v>3926169.5964581454</v>
      </c>
      <c r="M28" s="583"/>
      <c r="N28" s="583"/>
      <c r="O28" s="154">
        <f t="shared" si="14"/>
        <v>0.68303092783505159</v>
      </c>
      <c r="P28" s="582"/>
      <c r="Q28" s="569"/>
      <c r="R28" s="165">
        <v>808523.82400000002</v>
      </c>
      <c r="S28" s="584"/>
      <c r="T28" s="583"/>
      <c r="U28" s="154">
        <f t="shared" si="16"/>
        <v>0.14065790183431043</v>
      </c>
      <c r="V28" s="582"/>
      <c r="W28" s="569"/>
    </row>
    <row r="29" spans="2:23">
      <c r="B29" s="571"/>
      <c r="C29" s="586"/>
      <c r="D29" s="80">
        <f t="shared" si="6"/>
        <v>46164</v>
      </c>
      <c r="E29" s="80" t="s">
        <v>114</v>
      </c>
      <c r="F29" s="164">
        <v>5000105.5199999996</v>
      </c>
      <c r="G29" s="583"/>
      <c r="H29" s="583"/>
      <c r="I29" s="214">
        <v>169031</v>
      </c>
      <c r="J29" s="572"/>
      <c r="K29" s="572"/>
      <c r="L29" s="164">
        <v>3362648.2834193814</v>
      </c>
      <c r="M29" s="583"/>
      <c r="N29" s="583"/>
      <c r="O29" s="154">
        <f t="shared" si="14"/>
        <v>0.67251546391752581</v>
      </c>
      <c r="P29" s="582"/>
      <c r="Q29" s="569"/>
      <c r="R29" s="165">
        <v>766839.196</v>
      </c>
      <c r="S29" s="584"/>
      <c r="T29" s="583"/>
      <c r="U29" s="154">
        <f t="shared" si="16"/>
        <v>0.15336460259342688</v>
      </c>
      <c r="V29" s="582"/>
      <c r="W29" s="569"/>
    </row>
    <row r="30" spans="2:23">
      <c r="B30" s="571"/>
      <c r="C30" s="586"/>
      <c r="D30" s="80">
        <f t="shared" si="6"/>
        <v>46165</v>
      </c>
      <c r="E30" s="80" t="s">
        <v>115</v>
      </c>
      <c r="F30" s="164">
        <v>5384919</v>
      </c>
      <c r="G30" s="583"/>
      <c r="H30" s="583"/>
      <c r="I30" s="214">
        <v>181373</v>
      </c>
      <c r="J30" s="572"/>
      <c r="K30" s="572"/>
      <c r="L30" s="164">
        <v>3674735.3431546395</v>
      </c>
      <c r="M30" s="583"/>
      <c r="N30" s="583"/>
      <c r="O30" s="154">
        <f t="shared" si="14"/>
        <v>0.68241237113402065</v>
      </c>
      <c r="P30" s="582"/>
      <c r="Q30" s="569"/>
      <c r="R30" s="165">
        <v>782023.26599999995</v>
      </c>
      <c r="S30" s="584"/>
      <c r="T30" s="583"/>
      <c r="U30" s="154">
        <f t="shared" si="16"/>
        <v>0.14522470365849513</v>
      </c>
      <c r="V30" s="582"/>
      <c r="W30" s="569"/>
    </row>
    <row r="31" spans="2:23">
      <c r="B31" s="571"/>
      <c r="C31" s="586"/>
      <c r="D31" s="80">
        <f t="shared" si="6"/>
        <v>46166</v>
      </c>
      <c r="E31" s="80" t="s">
        <v>116</v>
      </c>
      <c r="F31" s="164">
        <v>6678766.4799999986</v>
      </c>
      <c r="G31" s="583"/>
      <c r="H31" s="583"/>
      <c r="I31" s="214">
        <v>221134</v>
      </c>
      <c r="J31" s="572"/>
      <c r="K31" s="572"/>
      <c r="L31" s="164">
        <v>4514295.3143785568</v>
      </c>
      <c r="M31" s="583"/>
      <c r="N31" s="583"/>
      <c r="O31" s="154">
        <f t="shared" si="14"/>
        <v>0.67591752577319608</v>
      </c>
      <c r="P31" s="582"/>
      <c r="Q31" s="569"/>
      <c r="R31" s="165">
        <v>890788.44400000002</v>
      </c>
      <c r="S31" s="584"/>
      <c r="T31" s="583"/>
      <c r="U31" s="154">
        <f t="shared" si="16"/>
        <v>0.13337619254506414</v>
      </c>
      <c r="V31" s="582"/>
      <c r="W31" s="569"/>
    </row>
    <row r="32" spans="2:23">
      <c r="B32" s="571"/>
      <c r="C32" s="586"/>
      <c r="D32" s="80">
        <f t="shared" si="6"/>
        <v>46167</v>
      </c>
      <c r="E32" s="80" t="s">
        <v>117</v>
      </c>
      <c r="F32" s="164">
        <v>6640182.1999999993</v>
      </c>
      <c r="G32" s="583"/>
      <c r="H32" s="583"/>
      <c r="I32" s="214">
        <v>221391</v>
      </c>
      <c r="J32" s="572"/>
      <c r="K32" s="572"/>
      <c r="L32" s="164">
        <v>4452618.6702762879</v>
      </c>
      <c r="M32" s="583"/>
      <c r="N32" s="583"/>
      <c r="O32" s="154">
        <f t="shared" si="14"/>
        <v>0.67055670103092779</v>
      </c>
      <c r="P32" s="582"/>
      <c r="Q32" s="569"/>
      <c r="R32" s="165">
        <v>890808.00600000005</v>
      </c>
      <c r="S32" s="584"/>
      <c r="T32" s="583"/>
      <c r="U32" s="154">
        <f t="shared" si="16"/>
        <v>0.1341541510713366</v>
      </c>
      <c r="V32" s="582"/>
      <c r="W32" s="569"/>
    </row>
    <row r="33" spans="2:23">
      <c r="B33" s="570">
        <f>B26+7</f>
        <v>46176</v>
      </c>
      <c r="C33" s="586"/>
      <c r="D33" s="80">
        <f t="shared" si="6"/>
        <v>46168</v>
      </c>
      <c r="E33" s="80" t="s">
        <v>118</v>
      </c>
      <c r="F33" s="164"/>
      <c r="G33" s="583">
        <f>SUM(F33:F39)</f>
        <v>0</v>
      </c>
      <c r="H33" s="583"/>
      <c r="I33" s="214"/>
      <c r="J33" s="572">
        <f t="shared" ref="J33" si="20">SUM(I33:I39)</f>
        <v>0</v>
      </c>
      <c r="K33" s="572"/>
      <c r="L33" s="164"/>
      <c r="M33" s="583">
        <f t="shared" ref="M33" si="21">SUM(L33:L39)</f>
        <v>0</v>
      </c>
      <c r="N33" s="583"/>
      <c r="O33" s="154" t="e">
        <f t="shared" ref="O33:O60" si="22">L33/F33</f>
        <v>#DIV/0!</v>
      </c>
      <c r="P33" s="582" t="e">
        <f>M33/G33</f>
        <v>#DIV/0!</v>
      </c>
      <c r="Q33" s="569"/>
      <c r="R33" s="165"/>
      <c r="S33" s="584">
        <f t="shared" ref="S33" si="23">SUM(R33:R39)</f>
        <v>0</v>
      </c>
      <c r="T33" s="583"/>
      <c r="U33" s="154" t="e">
        <f t="shared" ref="U33:U60" si="24">R33/F33</f>
        <v>#DIV/0!</v>
      </c>
      <c r="V33" s="582" t="e">
        <f>S33/G33</f>
        <v>#DIV/0!</v>
      </c>
      <c r="W33" s="569"/>
    </row>
    <row r="34" spans="2:23">
      <c r="B34" s="571"/>
      <c r="C34" s="586"/>
      <c r="D34" s="80">
        <f t="shared" si="6"/>
        <v>46169</v>
      </c>
      <c r="E34" s="80" t="s">
        <v>112</v>
      </c>
      <c r="F34" s="164"/>
      <c r="G34" s="583"/>
      <c r="H34" s="583"/>
      <c r="I34" s="214"/>
      <c r="J34" s="572"/>
      <c r="K34" s="572"/>
      <c r="L34" s="164"/>
      <c r="M34" s="583"/>
      <c r="N34" s="583"/>
      <c r="O34" s="154" t="e">
        <f t="shared" si="22"/>
        <v>#DIV/0!</v>
      </c>
      <c r="P34" s="582"/>
      <c r="Q34" s="569"/>
      <c r="R34" s="165"/>
      <c r="S34" s="584"/>
      <c r="T34" s="583"/>
      <c r="U34" s="154" t="e">
        <f t="shared" si="24"/>
        <v>#DIV/0!</v>
      </c>
      <c r="V34" s="582"/>
      <c r="W34" s="569"/>
    </row>
    <row r="35" spans="2:23">
      <c r="B35" s="571"/>
      <c r="C35" s="586"/>
      <c r="D35" s="80">
        <f t="shared" si="6"/>
        <v>46170</v>
      </c>
      <c r="E35" s="80" t="s">
        <v>113</v>
      </c>
      <c r="F35" s="164"/>
      <c r="G35" s="583"/>
      <c r="H35" s="583"/>
      <c r="I35" s="214"/>
      <c r="J35" s="572"/>
      <c r="K35" s="572"/>
      <c r="L35" s="164"/>
      <c r="M35" s="583"/>
      <c r="N35" s="583"/>
      <c r="O35" s="154" t="e">
        <f t="shared" si="22"/>
        <v>#DIV/0!</v>
      </c>
      <c r="P35" s="582"/>
      <c r="Q35" s="569"/>
      <c r="R35" s="165"/>
      <c r="S35" s="584"/>
      <c r="T35" s="583"/>
      <c r="U35" s="154" t="e">
        <f t="shared" si="24"/>
        <v>#DIV/0!</v>
      </c>
      <c r="V35" s="582"/>
      <c r="W35" s="569"/>
    </row>
    <row r="36" spans="2:23">
      <c r="B36" s="571"/>
      <c r="C36" s="586"/>
      <c r="D36" s="80">
        <f t="shared" si="6"/>
        <v>46171</v>
      </c>
      <c r="E36" s="80" t="s">
        <v>114</v>
      </c>
      <c r="F36" s="164"/>
      <c r="G36" s="583"/>
      <c r="H36" s="583"/>
      <c r="I36" s="214"/>
      <c r="J36" s="572"/>
      <c r="K36" s="572"/>
      <c r="L36" s="164"/>
      <c r="M36" s="583"/>
      <c r="N36" s="583"/>
      <c r="O36" s="154" t="e">
        <f t="shared" si="22"/>
        <v>#DIV/0!</v>
      </c>
      <c r="P36" s="582"/>
      <c r="Q36" s="569"/>
      <c r="R36" s="165"/>
      <c r="S36" s="584"/>
      <c r="T36" s="583"/>
      <c r="U36" s="154" t="e">
        <f t="shared" si="24"/>
        <v>#DIV/0!</v>
      </c>
      <c r="V36" s="582"/>
      <c r="W36" s="569"/>
    </row>
    <row r="37" spans="2:23">
      <c r="B37" s="571"/>
      <c r="C37" s="586"/>
      <c r="D37" s="80">
        <f t="shared" si="6"/>
        <v>46172</v>
      </c>
      <c r="E37" s="80" t="s">
        <v>115</v>
      </c>
      <c r="F37" s="164"/>
      <c r="G37" s="583"/>
      <c r="H37" s="583"/>
      <c r="I37" s="214"/>
      <c r="J37" s="572"/>
      <c r="K37" s="572"/>
      <c r="L37" s="164"/>
      <c r="M37" s="583"/>
      <c r="N37" s="583"/>
      <c r="O37" s="154" t="e">
        <f t="shared" si="22"/>
        <v>#DIV/0!</v>
      </c>
      <c r="P37" s="582"/>
      <c r="Q37" s="569"/>
      <c r="R37" s="165"/>
      <c r="S37" s="584"/>
      <c r="T37" s="583"/>
      <c r="U37" s="154" t="e">
        <f t="shared" si="24"/>
        <v>#DIV/0!</v>
      </c>
      <c r="V37" s="582"/>
      <c r="W37" s="569"/>
    </row>
    <row r="38" spans="2:23">
      <c r="B38" s="571"/>
      <c r="C38" s="586"/>
      <c r="D38" s="80">
        <f t="shared" si="6"/>
        <v>46173</v>
      </c>
      <c r="E38" s="80" t="s">
        <v>116</v>
      </c>
      <c r="F38" s="164"/>
      <c r="G38" s="583"/>
      <c r="H38" s="583"/>
      <c r="I38" s="214"/>
      <c r="J38" s="572"/>
      <c r="K38" s="572"/>
      <c r="L38" s="164"/>
      <c r="M38" s="583"/>
      <c r="N38" s="583"/>
      <c r="O38" s="154" t="e">
        <f t="shared" si="22"/>
        <v>#DIV/0!</v>
      </c>
      <c r="P38" s="582"/>
      <c r="Q38" s="569"/>
      <c r="R38" s="165"/>
      <c r="S38" s="584"/>
      <c r="T38" s="583"/>
      <c r="U38" s="154" t="e">
        <f t="shared" si="24"/>
        <v>#DIV/0!</v>
      </c>
      <c r="V38" s="582"/>
      <c r="W38" s="569"/>
    </row>
    <row r="39" spans="2:23">
      <c r="B39" s="571"/>
      <c r="C39" s="586" t="s">
        <v>115</v>
      </c>
      <c r="D39" s="80">
        <f t="shared" si="6"/>
        <v>46174</v>
      </c>
      <c r="E39" s="80" t="s">
        <v>117</v>
      </c>
      <c r="F39" s="164"/>
      <c r="G39" s="583"/>
      <c r="I39" s="214"/>
      <c r="J39" s="572"/>
      <c r="L39" s="164"/>
      <c r="M39" s="583"/>
      <c r="O39" s="154" t="e">
        <f t="shared" si="22"/>
        <v>#DIV/0!</v>
      </c>
      <c r="P39" s="582"/>
      <c r="R39" s="165"/>
      <c r="S39" s="584"/>
      <c r="U39" s="154" t="e">
        <f t="shared" si="24"/>
        <v>#DIV/0!</v>
      </c>
      <c r="V39" s="582"/>
    </row>
    <row r="40" spans="2:23">
      <c r="B40" s="570">
        <f>B33+7</f>
        <v>46183</v>
      </c>
      <c r="C40" s="586"/>
      <c r="D40" s="80">
        <f t="shared" si="6"/>
        <v>46175</v>
      </c>
      <c r="E40" s="80" t="s">
        <v>118</v>
      </c>
      <c r="F40" s="164"/>
      <c r="G40" s="583">
        <f>SUM(F40:F46)</f>
        <v>0</v>
      </c>
      <c r="I40" s="214"/>
      <c r="J40" s="572">
        <f t="shared" ref="J40" si="25">SUM(I40:I46)</f>
        <v>0</v>
      </c>
      <c r="L40" s="164"/>
      <c r="M40" s="583">
        <f t="shared" ref="M40" si="26">SUM(L40:L46)</f>
        <v>0</v>
      </c>
      <c r="O40" s="154" t="e">
        <f t="shared" si="22"/>
        <v>#DIV/0!</v>
      </c>
      <c r="P40" s="582" t="e">
        <f>M40/G40</f>
        <v>#DIV/0!</v>
      </c>
      <c r="R40" s="165"/>
      <c r="S40" s="584">
        <f t="shared" ref="S40" si="27">SUM(R40:R46)</f>
        <v>0</v>
      </c>
      <c r="U40" s="154" t="e">
        <f t="shared" si="24"/>
        <v>#DIV/0!</v>
      </c>
      <c r="V40" s="582" t="e">
        <f>S40/G40</f>
        <v>#DIV/0!</v>
      </c>
    </row>
    <row r="41" spans="2:23">
      <c r="B41" s="571"/>
      <c r="C41" s="586"/>
      <c r="D41" s="80">
        <f t="shared" si="6"/>
        <v>46176</v>
      </c>
      <c r="E41" s="80" t="s">
        <v>112</v>
      </c>
      <c r="F41" s="164"/>
      <c r="G41" s="583"/>
      <c r="I41" s="214"/>
      <c r="J41" s="572"/>
      <c r="L41" s="164"/>
      <c r="M41" s="583"/>
      <c r="O41" s="154" t="e">
        <f t="shared" si="22"/>
        <v>#DIV/0!</v>
      </c>
      <c r="P41" s="582"/>
      <c r="R41" s="165"/>
      <c r="S41" s="584"/>
      <c r="U41" s="154" t="e">
        <f t="shared" si="24"/>
        <v>#DIV/0!</v>
      </c>
      <c r="V41" s="582"/>
    </row>
    <row r="42" spans="2:23">
      <c r="B42" s="571"/>
      <c r="C42" s="586"/>
      <c r="D42" s="80">
        <f t="shared" si="6"/>
        <v>46177</v>
      </c>
      <c r="E42" s="80" t="s">
        <v>113</v>
      </c>
      <c r="F42" s="164"/>
      <c r="G42" s="583"/>
      <c r="I42" s="214"/>
      <c r="J42" s="572"/>
      <c r="L42" s="164"/>
      <c r="M42" s="583"/>
      <c r="O42" s="154" t="e">
        <f t="shared" si="22"/>
        <v>#DIV/0!</v>
      </c>
      <c r="P42" s="582"/>
      <c r="R42" s="165"/>
      <c r="S42" s="584"/>
      <c r="U42" s="154" t="e">
        <f t="shared" si="24"/>
        <v>#DIV/0!</v>
      </c>
      <c r="V42" s="582"/>
    </row>
    <row r="43" spans="2:23">
      <c r="B43" s="571"/>
      <c r="C43" s="586"/>
      <c r="D43" s="80">
        <f t="shared" si="6"/>
        <v>46178</v>
      </c>
      <c r="E43" s="80" t="s">
        <v>114</v>
      </c>
      <c r="F43" s="164"/>
      <c r="G43" s="583"/>
      <c r="H43" s="164"/>
      <c r="I43" s="214"/>
      <c r="J43" s="572"/>
      <c r="K43" s="214"/>
      <c r="L43" s="164"/>
      <c r="M43" s="583"/>
      <c r="N43" s="164"/>
      <c r="O43" s="154" t="e">
        <f t="shared" si="22"/>
        <v>#DIV/0!</v>
      </c>
      <c r="P43" s="582"/>
      <c r="Q43" s="457"/>
      <c r="R43" s="165"/>
      <c r="S43" s="584"/>
      <c r="T43" s="164"/>
      <c r="U43" s="154" t="e">
        <f t="shared" si="24"/>
        <v>#DIV/0!</v>
      </c>
      <c r="V43" s="582"/>
      <c r="W43" s="457"/>
    </row>
    <row r="44" spans="2:23">
      <c r="B44" s="571"/>
      <c r="C44" s="586"/>
      <c r="D44" s="80">
        <f t="shared" si="6"/>
        <v>46179</v>
      </c>
      <c r="E44" s="80" t="s">
        <v>115</v>
      </c>
      <c r="F44" s="164"/>
      <c r="G44" s="583"/>
      <c r="I44" s="214"/>
      <c r="J44" s="572"/>
      <c r="L44" s="164"/>
      <c r="M44" s="583"/>
      <c r="O44" s="154" t="e">
        <f t="shared" si="22"/>
        <v>#DIV/0!</v>
      </c>
      <c r="P44" s="582"/>
      <c r="R44" s="165"/>
      <c r="S44" s="584"/>
      <c r="U44" s="154" t="e">
        <f t="shared" si="24"/>
        <v>#DIV/0!</v>
      </c>
      <c r="V44" s="582"/>
    </row>
    <row r="45" spans="2:23">
      <c r="B45" s="571"/>
      <c r="C45" s="586"/>
      <c r="D45" s="80">
        <f t="shared" si="6"/>
        <v>46180</v>
      </c>
      <c r="E45" s="80" t="s">
        <v>116</v>
      </c>
      <c r="F45" s="164"/>
      <c r="G45" s="583"/>
      <c r="I45" s="214"/>
      <c r="J45" s="572"/>
      <c r="L45" s="164"/>
      <c r="M45" s="583"/>
      <c r="O45" s="154" t="e">
        <f t="shared" si="22"/>
        <v>#DIV/0!</v>
      </c>
      <c r="P45" s="582"/>
      <c r="R45" s="165"/>
      <c r="S45" s="584"/>
      <c r="U45" s="154" t="e">
        <f t="shared" si="24"/>
        <v>#DIV/0!</v>
      </c>
      <c r="V45" s="582"/>
    </row>
    <row r="46" spans="2:23">
      <c r="B46" s="571"/>
      <c r="C46" s="586"/>
      <c r="D46" s="80">
        <f t="shared" si="6"/>
        <v>46181</v>
      </c>
      <c r="E46" s="80" t="s">
        <v>117</v>
      </c>
      <c r="F46" s="164"/>
      <c r="G46" s="583"/>
      <c r="I46" s="214"/>
      <c r="J46" s="572"/>
      <c r="L46" s="164"/>
      <c r="M46" s="583"/>
      <c r="O46" s="154" t="e">
        <f t="shared" si="22"/>
        <v>#DIV/0!</v>
      </c>
      <c r="P46" s="582"/>
      <c r="R46" s="165"/>
      <c r="S46" s="584"/>
      <c r="U46" s="154" t="e">
        <f t="shared" si="24"/>
        <v>#DIV/0!</v>
      </c>
      <c r="V46" s="582"/>
    </row>
    <row r="47" spans="2:23">
      <c r="B47" s="570">
        <f>B40+7</f>
        <v>46190</v>
      </c>
      <c r="C47" s="586"/>
      <c r="D47" s="80">
        <f t="shared" si="6"/>
        <v>46182</v>
      </c>
      <c r="E47" s="80" t="s">
        <v>118</v>
      </c>
      <c r="F47" s="164"/>
      <c r="G47" s="583">
        <f>SUM(F47:F53)</f>
        <v>0</v>
      </c>
      <c r="I47" s="214"/>
      <c r="J47" s="572">
        <f t="shared" ref="J47" si="28">SUM(I47:I53)</f>
        <v>0</v>
      </c>
      <c r="L47" s="164"/>
      <c r="M47" s="583">
        <f t="shared" ref="M47" si="29">SUM(L47:L53)</f>
        <v>0</v>
      </c>
      <c r="O47" s="154" t="e">
        <f t="shared" si="22"/>
        <v>#DIV/0!</v>
      </c>
      <c r="P47" s="582" t="e">
        <f>M47/G47</f>
        <v>#DIV/0!</v>
      </c>
      <c r="R47" s="165"/>
      <c r="S47" s="584">
        <f t="shared" ref="S47" si="30">SUM(R47:R53)</f>
        <v>0</v>
      </c>
      <c r="U47" s="154" t="e">
        <f t="shared" si="24"/>
        <v>#DIV/0!</v>
      </c>
      <c r="V47" s="582" t="e">
        <f>S47/G47</f>
        <v>#DIV/0!</v>
      </c>
    </row>
    <row r="48" spans="2:23">
      <c r="B48" s="571"/>
      <c r="C48" s="586"/>
      <c r="D48" s="80">
        <f t="shared" si="6"/>
        <v>46183</v>
      </c>
      <c r="E48" s="80" t="s">
        <v>112</v>
      </c>
      <c r="F48" s="164"/>
      <c r="G48" s="583"/>
      <c r="I48" s="214"/>
      <c r="J48" s="572"/>
      <c r="L48" s="164"/>
      <c r="M48" s="583"/>
      <c r="O48" s="154" t="e">
        <f t="shared" si="22"/>
        <v>#DIV/0!</v>
      </c>
      <c r="P48" s="582"/>
      <c r="R48" s="165"/>
      <c r="S48" s="584"/>
      <c r="U48" s="154" t="e">
        <f t="shared" si="24"/>
        <v>#DIV/0!</v>
      </c>
      <c r="V48" s="582"/>
    </row>
    <row r="49" spans="2:23">
      <c r="B49" s="571"/>
      <c r="C49" s="586"/>
      <c r="D49" s="80">
        <f t="shared" si="6"/>
        <v>46184</v>
      </c>
      <c r="E49" s="80" t="s">
        <v>113</v>
      </c>
      <c r="F49" s="164"/>
      <c r="G49" s="583"/>
      <c r="I49" s="214"/>
      <c r="J49" s="572"/>
      <c r="L49" s="164"/>
      <c r="M49" s="583"/>
      <c r="O49" s="154" t="e">
        <f t="shared" si="22"/>
        <v>#DIV/0!</v>
      </c>
      <c r="P49" s="582"/>
      <c r="R49" s="165"/>
      <c r="S49" s="584"/>
      <c r="U49" s="154" t="e">
        <f t="shared" si="24"/>
        <v>#DIV/0!</v>
      </c>
      <c r="V49" s="582"/>
    </row>
    <row r="50" spans="2:23">
      <c r="B50" s="571"/>
      <c r="C50" s="586"/>
      <c r="D50" s="80">
        <f t="shared" si="6"/>
        <v>46185</v>
      </c>
      <c r="E50" s="80" t="s">
        <v>114</v>
      </c>
      <c r="F50" s="164"/>
      <c r="G50" s="583"/>
      <c r="H50" s="164"/>
      <c r="I50" s="214"/>
      <c r="J50" s="572"/>
      <c r="K50" s="214"/>
      <c r="L50" s="164"/>
      <c r="M50" s="583"/>
      <c r="N50" s="164"/>
      <c r="O50" s="154" t="e">
        <f t="shared" si="22"/>
        <v>#DIV/0!</v>
      </c>
      <c r="P50" s="582"/>
      <c r="Q50" s="457"/>
      <c r="R50" s="165"/>
      <c r="S50" s="584"/>
      <c r="T50" s="164"/>
      <c r="U50" s="154" t="e">
        <f t="shared" si="24"/>
        <v>#DIV/0!</v>
      </c>
      <c r="V50" s="582"/>
      <c r="W50" s="457"/>
    </row>
    <row r="51" spans="2:23">
      <c r="B51" s="571"/>
      <c r="C51" s="586"/>
      <c r="D51" s="80">
        <f t="shared" si="6"/>
        <v>46186</v>
      </c>
      <c r="E51" s="80" t="s">
        <v>115</v>
      </c>
      <c r="F51" s="164"/>
      <c r="G51" s="583"/>
      <c r="I51" s="214"/>
      <c r="J51" s="572"/>
      <c r="L51" s="164"/>
      <c r="M51" s="583"/>
      <c r="O51" s="154" t="e">
        <f t="shared" si="22"/>
        <v>#DIV/0!</v>
      </c>
      <c r="P51" s="582"/>
      <c r="R51" s="165"/>
      <c r="S51" s="584"/>
      <c r="U51" s="154" t="e">
        <f t="shared" si="24"/>
        <v>#DIV/0!</v>
      </c>
      <c r="V51" s="582"/>
    </row>
    <row r="52" spans="2:23">
      <c r="B52" s="571"/>
      <c r="C52" s="586"/>
      <c r="D52" s="80">
        <f t="shared" si="6"/>
        <v>46187</v>
      </c>
      <c r="E52" s="80" t="s">
        <v>116</v>
      </c>
      <c r="F52" s="164"/>
      <c r="G52" s="583"/>
      <c r="I52" s="214"/>
      <c r="J52" s="572"/>
      <c r="L52" s="164"/>
      <c r="M52" s="583"/>
      <c r="O52" s="154" t="e">
        <f t="shared" si="22"/>
        <v>#DIV/0!</v>
      </c>
      <c r="P52" s="582"/>
      <c r="R52" s="165"/>
      <c r="S52" s="584"/>
      <c r="U52" s="154" t="e">
        <f t="shared" si="24"/>
        <v>#DIV/0!</v>
      </c>
      <c r="V52" s="582"/>
    </row>
    <row r="53" spans="2:23">
      <c r="B53" s="571"/>
      <c r="C53" s="586"/>
      <c r="D53" s="80">
        <f t="shared" si="6"/>
        <v>46188</v>
      </c>
      <c r="E53" s="80" t="s">
        <v>117</v>
      </c>
      <c r="F53" s="164"/>
      <c r="G53" s="583"/>
      <c r="I53" s="214"/>
      <c r="J53" s="572"/>
      <c r="L53" s="164"/>
      <c r="M53" s="583"/>
      <c r="O53" s="154" t="e">
        <f t="shared" si="22"/>
        <v>#DIV/0!</v>
      </c>
      <c r="P53" s="582"/>
      <c r="R53" s="165"/>
      <c r="S53" s="584"/>
      <c r="U53" s="154" t="e">
        <f t="shared" si="24"/>
        <v>#DIV/0!</v>
      </c>
      <c r="V53" s="582"/>
    </row>
    <row r="54" spans="2:23">
      <c r="B54" s="570">
        <f>B47+7</f>
        <v>46197</v>
      </c>
      <c r="C54" s="586"/>
      <c r="D54" s="80">
        <f t="shared" si="6"/>
        <v>46189</v>
      </c>
      <c r="E54" s="80" t="s">
        <v>118</v>
      </c>
      <c r="F54" s="164"/>
      <c r="G54" s="583">
        <f>SUM(F54:F60)</f>
        <v>0</v>
      </c>
      <c r="I54" s="214"/>
      <c r="J54" s="572">
        <f t="shared" ref="J54" si="31">SUM(I54:I60)</f>
        <v>0</v>
      </c>
      <c r="L54" s="164"/>
      <c r="M54" s="583">
        <f t="shared" ref="M54" si="32">SUM(L54:L60)</f>
        <v>0</v>
      </c>
      <c r="O54" s="154" t="e">
        <f t="shared" si="22"/>
        <v>#DIV/0!</v>
      </c>
      <c r="P54" s="582" t="e">
        <f>M54/G54</f>
        <v>#DIV/0!</v>
      </c>
      <c r="R54" s="165"/>
      <c r="S54" s="584">
        <f t="shared" ref="S54" si="33">SUM(R54:R60)</f>
        <v>0</v>
      </c>
      <c r="U54" s="154" t="e">
        <f t="shared" si="24"/>
        <v>#DIV/0!</v>
      </c>
      <c r="V54" s="582" t="e">
        <f>S54/G54</f>
        <v>#DIV/0!</v>
      </c>
    </row>
    <row r="55" spans="2:23">
      <c r="B55" s="571"/>
      <c r="C55" s="586"/>
      <c r="D55" s="80">
        <f t="shared" si="6"/>
        <v>46190</v>
      </c>
      <c r="E55" s="80" t="s">
        <v>112</v>
      </c>
      <c r="F55" s="164"/>
      <c r="G55" s="583"/>
      <c r="I55" s="214"/>
      <c r="J55" s="572"/>
      <c r="L55" s="164"/>
      <c r="M55" s="583"/>
      <c r="O55" s="154" t="e">
        <f t="shared" si="22"/>
        <v>#DIV/0!</v>
      </c>
      <c r="P55" s="582"/>
      <c r="R55" s="165"/>
      <c r="S55" s="584"/>
      <c r="U55" s="154" t="e">
        <f t="shared" si="24"/>
        <v>#DIV/0!</v>
      </c>
      <c r="V55" s="582"/>
    </row>
    <row r="56" spans="2:23">
      <c r="B56" s="571"/>
      <c r="C56" s="586"/>
      <c r="D56" s="80">
        <f t="shared" si="6"/>
        <v>46191</v>
      </c>
      <c r="E56" s="80" t="s">
        <v>113</v>
      </c>
      <c r="F56" s="164"/>
      <c r="G56" s="583"/>
      <c r="I56" s="214"/>
      <c r="J56" s="572"/>
      <c r="L56" s="164"/>
      <c r="M56" s="583"/>
      <c r="O56" s="154" t="e">
        <f t="shared" si="22"/>
        <v>#DIV/0!</v>
      </c>
      <c r="P56" s="582"/>
      <c r="R56" s="165"/>
      <c r="S56" s="584"/>
      <c r="U56" s="154" t="e">
        <f t="shared" si="24"/>
        <v>#DIV/0!</v>
      </c>
      <c r="V56" s="582"/>
    </row>
    <row r="57" spans="2:23">
      <c r="B57" s="571"/>
      <c r="C57" s="586"/>
      <c r="D57" s="80">
        <f t="shared" si="6"/>
        <v>46192</v>
      </c>
      <c r="E57" s="80" t="s">
        <v>114</v>
      </c>
      <c r="F57" s="164"/>
      <c r="G57" s="583"/>
      <c r="H57" s="164"/>
      <c r="I57" s="214"/>
      <c r="J57" s="572"/>
      <c r="K57" s="214"/>
      <c r="L57" s="164"/>
      <c r="M57" s="583"/>
      <c r="N57" s="164"/>
      <c r="O57" s="154" t="e">
        <f t="shared" si="22"/>
        <v>#DIV/0!</v>
      </c>
      <c r="P57" s="582"/>
      <c r="Q57" s="457"/>
      <c r="R57" s="165"/>
      <c r="S57" s="584"/>
      <c r="T57" s="164"/>
      <c r="U57" s="154" t="e">
        <f t="shared" si="24"/>
        <v>#DIV/0!</v>
      </c>
      <c r="V57" s="582"/>
      <c r="W57" s="457"/>
    </row>
    <row r="58" spans="2:23">
      <c r="B58" s="571"/>
      <c r="C58" s="586"/>
      <c r="D58" s="80">
        <f t="shared" si="6"/>
        <v>46193</v>
      </c>
      <c r="E58" s="80" t="s">
        <v>115</v>
      </c>
      <c r="F58" s="164"/>
      <c r="G58" s="583"/>
      <c r="I58" s="214"/>
      <c r="J58" s="572"/>
      <c r="L58" s="164"/>
      <c r="M58" s="583"/>
      <c r="O58" s="154" t="e">
        <f t="shared" si="22"/>
        <v>#DIV/0!</v>
      </c>
      <c r="P58" s="582"/>
      <c r="R58" s="165"/>
      <c r="S58" s="584"/>
      <c r="U58" s="154" t="e">
        <f t="shared" si="24"/>
        <v>#DIV/0!</v>
      </c>
      <c r="V58" s="582"/>
    </row>
    <row r="59" spans="2:23">
      <c r="B59" s="571"/>
      <c r="C59" s="586"/>
      <c r="D59" s="80">
        <f t="shared" si="6"/>
        <v>46194</v>
      </c>
      <c r="E59" s="80" t="s">
        <v>116</v>
      </c>
      <c r="F59" s="164"/>
      <c r="G59" s="583"/>
      <c r="I59" s="214"/>
      <c r="J59" s="572"/>
      <c r="L59" s="164"/>
      <c r="M59" s="583"/>
      <c r="O59" s="154" t="e">
        <f t="shared" si="22"/>
        <v>#DIV/0!</v>
      </c>
      <c r="P59" s="582"/>
      <c r="R59" s="165"/>
      <c r="S59" s="584"/>
      <c r="U59" s="154" t="e">
        <f t="shared" si="24"/>
        <v>#DIV/0!</v>
      </c>
      <c r="V59" s="582"/>
    </row>
    <row r="60" spans="2:23">
      <c r="B60" s="571"/>
      <c r="C60" s="586"/>
      <c r="D60" s="80">
        <f t="shared" si="6"/>
        <v>46195</v>
      </c>
      <c r="E60" s="80" t="s">
        <v>117</v>
      </c>
      <c r="F60" s="164"/>
      <c r="G60" s="583"/>
      <c r="I60" s="214"/>
      <c r="J60" s="572"/>
      <c r="L60" s="164"/>
      <c r="M60" s="583"/>
      <c r="O60" s="154" t="e">
        <f t="shared" si="22"/>
        <v>#DIV/0!</v>
      </c>
      <c r="P60" s="582"/>
      <c r="R60" s="165"/>
      <c r="S60" s="584"/>
      <c r="U60" s="154" t="e">
        <f t="shared" si="24"/>
        <v>#DIV/0!</v>
      </c>
      <c r="V60" s="582"/>
    </row>
    <row r="61" spans="2:23">
      <c r="B61" s="570">
        <f>B54+7</f>
        <v>46204</v>
      </c>
      <c r="C61" s="586"/>
      <c r="D61" s="80">
        <f t="shared" si="6"/>
        <v>46196</v>
      </c>
      <c r="E61" s="80" t="s">
        <v>118</v>
      </c>
      <c r="F61" s="164"/>
      <c r="G61" s="583">
        <f>SUM(F61:F67)</f>
        <v>0</v>
      </c>
      <c r="I61" s="214"/>
      <c r="J61" s="572">
        <f t="shared" ref="J61" si="34">SUM(I61:I67)</f>
        <v>0</v>
      </c>
      <c r="L61" s="164"/>
      <c r="M61" s="583">
        <f t="shared" ref="M61" si="35">SUM(L61:L67)</f>
        <v>0</v>
      </c>
      <c r="O61" s="154" t="e">
        <f t="shared" ref="O61:O67" si="36">L61/F61</f>
        <v>#DIV/0!</v>
      </c>
      <c r="P61" s="582" t="e">
        <f>M61/G61</f>
        <v>#DIV/0!</v>
      </c>
      <c r="R61" s="165"/>
      <c r="S61" s="584">
        <f t="shared" ref="S61" si="37">SUM(R61:R67)</f>
        <v>0</v>
      </c>
      <c r="U61" s="154" t="e">
        <f t="shared" ref="U61:U67" si="38">R61/F61</f>
        <v>#DIV/0!</v>
      </c>
      <c r="V61" s="582" t="e">
        <f>S61/G61</f>
        <v>#DIV/0!</v>
      </c>
    </row>
    <row r="62" spans="2:23">
      <c r="B62" s="571"/>
      <c r="C62" s="586"/>
      <c r="D62" s="80">
        <f t="shared" si="6"/>
        <v>46197</v>
      </c>
      <c r="E62" s="80" t="s">
        <v>112</v>
      </c>
      <c r="F62" s="164"/>
      <c r="G62" s="583"/>
      <c r="I62" s="214"/>
      <c r="J62" s="572"/>
      <c r="L62" s="164"/>
      <c r="M62" s="583"/>
      <c r="O62" s="154" t="e">
        <f t="shared" si="36"/>
        <v>#DIV/0!</v>
      </c>
      <c r="P62" s="582"/>
      <c r="R62" s="165"/>
      <c r="S62" s="584"/>
      <c r="U62" s="154" t="e">
        <f t="shared" si="38"/>
        <v>#DIV/0!</v>
      </c>
      <c r="V62" s="582"/>
    </row>
    <row r="63" spans="2:23">
      <c r="B63" s="571"/>
      <c r="C63" s="586"/>
      <c r="D63" s="80">
        <f t="shared" si="6"/>
        <v>46198</v>
      </c>
      <c r="E63" s="80" t="s">
        <v>113</v>
      </c>
      <c r="F63" s="164"/>
      <c r="G63" s="583"/>
      <c r="I63" s="214"/>
      <c r="J63" s="572"/>
      <c r="L63" s="164"/>
      <c r="M63" s="583"/>
      <c r="O63" s="154" t="e">
        <f t="shared" si="36"/>
        <v>#DIV/0!</v>
      </c>
      <c r="P63" s="582"/>
      <c r="R63" s="165"/>
      <c r="S63" s="584"/>
      <c r="U63" s="154" t="e">
        <f t="shared" si="38"/>
        <v>#DIV/0!</v>
      </c>
      <c r="V63" s="582"/>
    </row>
    <row r="64" spans="2:23">
      <c r="B64" s="571"/>
      <c r="C64" s="586"/>
      <c r="D64" s="80">
        <f t="shared" si="6"/>
        <v>46199</v>
      </c>
      <c r="E64" s="80" t="s">
        <v>114</v>
      </c>
      <c r="F64" s="164"/>
      <c r="G64" s="583"/>
      <c r="H64" s="164"/>
      <c r="I64" s="214"/>
      <c r="J64" s="572"/>
      <c r="K64" s="214"/>
      <c r="L64" s="164"/>
      <c r="M64" s="583"/>
      <c r="N64" s="164"/>
      <c r="O64" s="154" t="e">
        <f t="shared" si="36"/>
        <v>#DIV/0!</v>
      </c>
      <c r="P64" s="582"/>
      <c r="Q64" s="457"/>
      <c r="R64" s="165"/>
      <c r="S64" s="584"/>
      <c r="T64" s="164"/>
      <c r="U64" s="154" t="e">
        <f t="shared" si="38"/>
        <v>#DIV/0!</v>
      </c>
      <c r="V64" s="582"/>
      <c r="W64" s="457"/>
    </row>
    <row r="65" spans="2:22">
      <c r="B65" s="571"/>
      <c r="C65" s="586"/>
      <c r="D65" s="80">
        <f t="shared" si="6"/>
        <v>46200</v>
      </c>
      <c r="E65" s="80" t="s">
        <v>115</v>
      </c>
      <c r="F65" s="164"/>
      <c r="G65" s="583"/>
      <c r="I65" s="214"/>
      <c r="J65" s="572"/>
      <c r="L65" s="164"/>
      <c r="M65" s="583"/>
      <c r="O65" s="154" t="e">
        <f t="shared" si="36"/>
        <v>#DIV/0!</v>
      </c>
      <c r="P65" s="582"/>
      <c r="R65" s="165"/>
      <c r="S65" s="584"/>
      <c r="U65" s="154" t="e">
        <f t="shared" si="38"/>
        <v>#DIV/0!</v>
      </c>
      <c r="V65" s="582"/>
    </row>
    <row r="66" spans="2:22">
      <c r="B66" s="571"/>
      <c r="C66" s="586"/>
      <c r="D66" s="80">
        <f t="shared" si="6"/>
        <v>46201</v>
      </c>
      <c r="E66" s="80" t="s">
        <v>116</v>
      </c>
      <c r="F66" s="164"/>
      <c r="G66" s="583"/>
      <c r="I66" s="214"/>
      <c r="J66" s="572"/>
      <c r="L66" s="164"/>
      <c r="M66" s="583"/>
      <c r="O66" s="154" t="e">
        <f t="shared" si="36"/>
        <v>#DIV/0!</v>
      </c>
      <c r="P66" s="582"/>
      <c r="R66" s="165"/>
      <c r="S66" s="584"/>
      <c r="U66" s="154" t="e">
        <f t="shared" si="38"/>
        <v>#DIV/0!</v>
      </c>
      <c r="V66" s="582"/>
    </row>
    <row r="67" spans="2:22">
      <c r="B67" s="571"/>
      <c r="C67" s="586"/>
      <c r="D67" s="80">
        <f t="shared" si="6"/>
        <v>46202</v>
      </c>
      <c r="E67" s="80" t="s">
        <v>117</v>
      </c>
      <c r="F67" s="164"/>
      <c r="G67" s="583"/>
      <c r="I67" s="214"/>
      <c r="J67" s="572"/>
      <c r="L67" s="164"/>
      <c r="M67" s="583"/>
      <c r="O67" s="154" t="e">
        <f t="shared" si="36"/>
        <v>#DIV/0!</v>
      </c>
      <c r="P67" s="582"/>
      <c r="R67" s="165"/>
      <c r="S67" s="584"/>
      <c r="U67" s="154" t="e">
        <f t="shared" si="38"/>
        <v>#DIV/0!</v>
      </c>
      <c r="V67" s="582"/>
    </row>
    <row r="68" spans="2:22">
      <c r="C68" s="586"/>
    </row>
    <row r="69" spans="2:22">
      <c r="C69" s="586"/>
    </row>
  </sheetData>
  <mergeCells count="88">
    <mergeCell ref="W8:W38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C39:C69"/>
    <mergeCell ref="B54:B60"/>
    <mergeCell ref="G54:G60"/>
    <mergeCell ref="J54:J60"/>
    <mergeCell ref="M54:M60"/>
    <mergeCell ref="P54:P60"/>
    <mergeCell ref="V47:V53"/>
    <mergeCell ref="B40:B46"/>
    <mergeCell ref="G40:G46"/>
    <mergeCell ref="J40:J46"/>
    <mergeCell ref="M40:M46"/>
    <mergeCell ref="P40:P46"/>
    <mergeCell ref="S40:S46"/>
    <mergeCell ref="V40:V46"/>
    <mergeCell ref="B47:B53"/>
    <mergeCell ref="G47:G53"/>
    <mergeCell ref="J47:J53"/>
    <mergeCell ref="M47:M53"/>
    <mergeCell ref="P47:P53"/>
    <mergeCell ref="S47:S53"/>
    <mergeCell ref="S12:S18"/>
    <mergeCell ref="V12:V18"/>
    <mergeCell ref="B19:B25"/>
    <mergeCell ref="G19:G25"/>
    <mergeCell ref="J19:J25"/>
    <mergeCell ref="M19:M25"/>
    <mergeCell ref="P19:P25"/>
    <mergeCell ref="S19:S25"/>
    <mergeCell ref="V19:V25"/>
    <mergeCell ref="H8:H38"/>
    <mergeCell ref="K8:K38"/>
    <mergeCell ref="N8:N38"/>
    <mergeCell ref="Q8:Q38"/>
    <mergeCell ref="T8:T38"/>
    <mergeCell ref="B12:B18"/>
    <mergeCell ref="G12:G18"/>
    <mergeCell ref="C5:C7"/>
    <mergeCell ref="S26:S32"/>
    <mergeCell ref="V26:V32"/>
    <mergeCell ref="B33:B39"/>
    <mergeCell ref="G33:G39"/>
    <mergeCell ref="J33:J39"/>
    <mergeCell ref="M33:M39"/>
    <mergeCell ref="P33:P39"/>
    <mergeCell ref="S33:S39"/>
    <mergeCell ref="V33:V39"/>
    <mergeCell ref="C8:C38"/>
    <mergeCell ref="B26:B32"/>
    <mergeCell ref="G26:G32"/>
    <mergeCell ref="J26:J32"/>
    <mergeCell ref="M26:M32"/>
    <mergeCell ref="P26:P32"/>
    <mergeCell ref="J12:J18"/>
    <mergeCell ref="M12:M18"/>
    <mergeCell ref="P12:P18"/>
    <mergeCell ref="N5:N7"/>
    <mergeCell ref="Q5:Q7"/>
    <mergeCell ref="T5:T7"/>
    <mergeCell ref="S5:S11"/>
    <mergeCell ref="G5:G11"/>
    <mergeCell ref="M5:M11"/>
    <mergeCell ref="P5:P11"/>
    <mergeCell ref="W5:W7"/>
    <mergeCell ref="B5:B11"/>
    <mergeCell ref="J5:J11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V5:V11"/>
    <mergeCell ref="H5:H7"/>
    <mergeCell ref="K5:K7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67"/>
  <sheetViews>
    <sheetView topLeftCell="A7" zoomScale="85" zoomScaleNormal="85" workbookViewId="0">
      <selection activeCell="U26" sqref="U26:U32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6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3" t="s">
        <v>359</v>
      </c>
      <c r="C1" s="166">
        <v>442.4</v>
      </c>
    </row>
    <row r="2" spans="2:23" ht="38.1" customHeight="1">
      <c r="B2" s="574" t="s">
        <v>130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</row>
    <row r="3" spans="2:23" s="71" customFormat="1" ht="23.45" customHeight="1">
      <c r="B3" s="578" t="s">
        <v>122</v>
      </c>
      <c r="C3" s="579" t="s">
        <v>119</v>
      </c>
      <c r="D3" s="580" t="s">
        <v>105</v>
      </c>
      <c r="E3" s="580"/>
      <c r="F3" s="588" t="s">
        <v>107</v>
      </c>
      <c r="G3" s="588"/>
      <c r="H3" s="588"/>
      <c r="I3" s="590" t="s">
        <v>108</v>
      </c>
      <c r="J3" s="590"/>
      <c r="K3" s="590"/>
      <c r="L3" s="589" t="s">
        <v>324</v>
      </c>
      <c r="M3" s="589"/>
      <c r="N3" s="589"/>
      <c r="O3" s="589" t="s">
        <v>106</v>
      </c>
      <c r="P3" s="589"/>
      <c r="Q3" s="589"/>
      <c r="R3" s="589" t="s">
        <v>358</v>
      </c>
      <c r="S3" s="589"/>
      <c r="T3" s="589"/>
      <c r="U3" s="589" t="s">
        <v>431</v>
      </c>
      <c r="V3" s="589"/>
      <c r="W3" s="589"/>
    </row>
    <row r="4" spans="2:23" ht="15.75">
      <c r="B4" s="578"/>
      <c r="C4" s="579"/>
      <c r="D4" s="580"/>
      <c r="E4" s="580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70">
        <v>46148</v>
      </c>
      <c r="C5" s="585"/>
      <c r="D5" s="80">
        <v>46140</v>
      </c>
      <c r="E5" s="456" t="s">
        <v>118</v>
      </c>
      <c r="F5" s="88">
        <v>399.75430402726511</v>
      </c>
      <c r="G5" s="595">
        <f t="shared" ref="G5" si="0">AVERAGE(F5:F11)</f>
        <v>409.72046242744102</v>
      </c>
      <c r="H5" s="593"/>
      <c r="I5" s="154">
        <f t="shared" ref="I5:I11" si="1">F5/$C$1</f>
        <v>0.9036037613636192</v>
      </c>
      <c r="J5" s="594">
        <f t="shared" ref="J5" si="2">AVERAGE(I5:I11)</f>
        <v>0.92613124418499349</v>
      </c>
      <c r="K5" s="592"/>
      <c r="L5" s="162">
        <v>1.9999699074640695E-3</v>
      </c>
      <c r="M5" s="591">
        <f>AVERAGE(L5:L11)</f>
        <v>2.0023818766068025E-3</v>
      </c>
      <c r="N5" s="591"/>
      <c r="O5" s="84">
        <v>4.2745687361890328E-3</v>
      </c>
      <c r="P5" s="592">
        <f t="shared" ref="P5" si="3">AVERAGE(O5:O11)</f>
        <v>5.388819720072888E-3</v>
      </c>
      <c r="Q5" s="591"/>
      <c r="R5" s="154">
        <v>0.9</v>
      </c>
      <c r="S5" s="594">
        <f t="shared" ref="S5" si="4">AVERAGE(R5:R11)</f>
        <v>0.90000000000000013</v>
      </c>
      <c r="T5" s="592"/>
      <c r="U5" s="154">
        <f t="shared" ref="U5:U11" si="5">18/52*100%</f>
        <v>0.34615384615384615</v>
      </c>
      <c r="V5" s="582">
        <f t="shared" ref="V5" si="6">AVERAGE(U5:U11)</f>
        <v>0.3461538461538462</v>
      </c>
      <c r="W5" s="592"/>
    </row>
    <row r="6" spans="2:23">
      <c r="B6" s="570"/>
      <c r="C6" s="585"/>
      <c r="D6" s="80">
        <f t="shared" ref="D6" si="7">D5+1</f>
        <v>46141</v>
      </c>
      <c r="E6" s="456" t="s">
        <v>112</v>
      </c>
      <c r="F6" s="88">
        <v>399.78288508067499</v>
      </c>
      <c r="G6" s="595"/>
      <c r="H6" s="593"/>
      <c r="I6" s="154">
        <f t="shared" si="1"/>
        <v>0.90366836591472655</v>
      </c>
      <c r="J6" s="594"/>
      <c r="K6" s="592"/>
      <c r="L6" s="162">
        <v>2.0001055277481376E-3</v>
      </c>
      <c r="M6" s="591"/>
      <c r="N6" s="591"/>
      <c r="O6" s="84">
        <v>4.1835263821589754E-3</v>
      </c>
      <c r="P6" s="592"/>
      <c r="Q6" s="591"/>
      <c r="R6" s="154">
        <v>0.9</v>
      </c>
      <c r="S6" s="594"/>
      <c r="T6" s="592"/>
      <c r="U6" s="154">
        <f t="shared" si="5"/>
        <v>0.34615384615384615</v>
      </c>
      <c r="V6" s="582"/>
      <c r="W6" s="592"/>
    </row>
    <row r="7" spans="2:23">
      <c r="B7" s="570"/>
      <c r="C7" s="585"/>
      <c r="D7" s="80">
        <f t="shared" ref="D7:D67" si="8">D6+1</f>
        <v>46142</v>
      </c>
      <c r="E7" s="456" t="s">
        <v>113</v>
      </c>
      <c r="F7" s="88">
        <v>417.06453190105208</v>
      </c>
      <c r="G7" s="595"/>
      <c r="H7" s="593"/>
      <c r="I7" s="154">
        <f t="shared" si="1"/>
        <v>0.94273176288664584</v>
      </c>
      <c r="J7" s="594"/>
      <c r="K7" s="592"/>
      <c r="L7" s="162">
        <v>1.9995819722324996E-3</v>
      </c>
      <c r="M7" s="591"/>
      <c r="N7" s="591"/>
      <c r="O7" s="84">
        <v>4.1803774388896259E-3</v>
      </c>
      <c r="P7" s="592"/>
      <c r="Q7" s="591"/>
      <c r="R7" s="154">
        <v>0.9</v>
      </c>
      <c r="S7" s="594"/>
      <c r="T7" s="592"/>
      <c r="U7" s="154">
        <f t="shared" si="5"/>
        <v>0.34615384615384615</v>
      </c>
      <c r="V7" s="582"/>
      <c r="W7" s="592"/>
    </row>
    <row r="8" spans="2:23">
      <c r="B8" s="570"/>
      <c r="C8" s="585" t="s">
        <v>114</v>
      </c>
      <c r="D8" s="80">
        <f t="shared" si="8"/>
        <v>46143</v>
      </c>
      <c r="E8" s="456" t="s">
        <v>114</v>
      </c>
      <c r="F8" s="88">
        <v>421.58555206989342</v>
      </c>
      <c r="G8" s="595"/>
      <c r="H8" s="593">
        <f>AVERAGEIF(F8:F38,"&lt;&gt;0")</f>
        <v>417.28805510835491</v>
      </c>
      <c r="I8" s="154">
        <f t="shared" si="1"/>
        <v>0.95295106706576271</v>
      </c>
      <c r="J8" s="594"/>
      <c r="K8" s="592">
        <f>AVERAGEIF(I8:I38,"&lt;&gt;0")</f>
        <v>0.94323701425939177</v>
      </c>
      <c r="L8" s="162">
        <v>1.9983886611755846E-3</v>
      </c>
      <c r="M8" s="591"/>
      <c r="N8" s="591">
        <f>AVERAGEIF(L8:L38,"&lt;&gt;0")</f>
        <v>2.0088084639255138E-3</v>
      </c>
      <c r="O8" s="84">
        <v>6.4823775829650227E-3</v>
      </c>
      <c r="P8" s="592"/>
      <c r="Q8" s="591">
        <f>AVERAGEIF(O8:O38,"&lt;&gt;0")</f>
        <v>6.1892326152071511E-3</v>
      </c>
      <c r="R8" s="154">
        <v>0.9</v>
      </c>
      <c r="S8" s="594"/>
      <c r="T8" s="592">
        <f>AVERAGEIF(R8:R38,"&lt;&gt;0")</f>
        <v>0.89999999999999969</v>
      </c>
      <c r="U8" s="154">
        <f t="shared" si="5"/>
        <v>0.34615384615384615</v>
      </c>
      <c r="V8" s="582"/>
      <c r="W8" s="592">
        <f>AVERAGEIF(U8:U38,"&lt;&gt;0")</f>
        <v>0.37846153846153852</v>
      </c>
    </row>
    <row r="9" spans="2:23">
      <c r="B9" s="570"/>
      <c r="C9" s="585"/>
      <c r="D9" s="80">
        <f t="shared" si="8"/>
        <v>46144</v>
      </c>
      <c r="E9" s="456" t="s">
        <v>115</v>
      </c>
      <c r="F9" s="88">
        <v>423.2801153570785</v>
      </c>
      <c r="G9" s="595"/>
      <c r="H9" s="593"/>
      <c r="I9" s="154">
        <f t="shared" si="1"/>
        <v>0.95678145424294425</v>
      </c>
      <c r="J9" s="594"/>
      <c r="K9" s="592"/>
      <c r="L9" s="162">
        <v>2.004070021479204E-3</v>
      </c>
      <c r="M9" s="591"/>
      <c r="N9" s="591"/>
      <c r="O9" s="84">
        <v>6.3600143398038229E-3</v>
      </c>
      <c r="P9" s="592"/>
      <c r="Q9" s="591"/>
      <c r="R9" s="154">
        <v>0.9</v>
      </c>
      <c r="S9" s="594"/>
      <c r="T9" s="592"/>
      <c r="U9" s="154">
        <f t="shared" si="5"/>
        <v>0.34615384615384615</v>
      </c>
      <c r="V9" s="582"/>
      <c r="W9" s="592"/>
    </row>
    <row r="10" spans="2:23">
      <c r="B10" s="570"/>
      <c r="C10" s="585"/>
      <c r="D10" s="80">
        <f t="shared" si="8"/>
        <v>46145</v>
      </c>
      <c r="E10" s="456" t="s">
        <v>116</v>
      </c>
      <c r="F10" s="88">
        <v>403.29859707226103</v>
      </c>
      <c r="G10" s="595"/>
      <c r="H10" s="593"/>
      <c r="I10" s="154">
        <f t="shared" si="1"/>
        <v>0.91161527367147621</v>
      </c>
      <c r="J10" s="594"/>
      <c r="K10" s="592"/>
      <c r="L10" s="162">
        <v>2.0083570432380487E-3</v>
      </c>
      <c r="M10" s="591"/>
      <c r="N10" s="591"/>
      <c r="O10" s="84">
        <v>6.1243973001330158E-3</v>
      </c>
      <c r="P10" s="592"/>
      <c r="Q10" s="591"/>
      <c r="R10" s="154">
        <v>0.9</v>
      </c>
      <c r="S10" s="594"/>
      <c r="T10" s="592"/>
      <c r="U10" s="154">
        <f t="shared" si="5"/>
        <v>0.34615384615384615</v>
      </c>
      <c r="V10" s="582"/>
      <c r="W10" s="592"/>
    </row>
    <row r="11" spans="2:23">
      <c r="B11" s="570"/>
      <c r="C11" s="585"/>
      <c r="D11" s="80">
        <f t="shared" si="8"/>
        <v>46146</v>
      </c>
      <c r="E11" s="456" t="s">
        <v>117</v>
      </c>
      <c r="F11" s="88">
        <v>403.27725148386207</v>
      </c>
      <c r="G11" s="595"/>
      <c r="H11" s="593"/>
      <c r="I11" s="154">
        <f t="shared" si="1"/>
        <v>0.91156702414977875</v>
      </c>
      <c r="J11" s="594"/>
      <c r="K11" s="592"/>
      <c r="L11" s="162">
        <v>2.0062000029100737E-3</v>
      </c>
      <c r="M11" s="591"/>
      <c r="N11" s="591"/>
      <c r="O11" s="84">
        <v>6.1164762603707259E-3</v>
      </c>
      <c r="P11" s="592"/>
      <c r="Q11" s="591"/>
      <c r="R11" s="154">
        <v>0.9</v>
      </c>
      <c r="S11" s="594"/>
      <c r="T11" s="592"/>
      <c r="U11" s="154">
        <f t="shared" si="5"/>
        <v>0.34615384615384615</v>
      </c>
      <c r="V11" s="582"/>
      <c r="W11" s="592"/>
    </row>
    <row r="12" spans="2:23">
      <c r="B12" s="570">
        <f t="shared" ref="B12" si="9">B5+7</f>
        <v>46155</v>
      </c>
      <c r="C12" s="585"/>
      <c r="D12" s="80">
        <f t="shared" si="8"/>
        <v>46147</v>
      </c>
      <c r="E12" s="456" t="s">
        <v>118</v>
      </c>
      <c r="F12" s="88">
        <v>403.0732093535234</v>
      </c>
      <c r="G12" s="595">
        <f t="shared" ref="G12" si="10">AVERAGE(F12:F18)</f>
        <v>410.70344692485804</v>
      </c>
      <c r="H12" s="593"/>
      <c r="I12" s="154">
        <f t="shared" ref="I12:I18" si="11">F12/$C$1</f>
        <v>0.91110580776112893</v>
      </c>
      <c r="J12" s="594">
        <f t="shared" ref="J12" si="12">AVERAGE(I12:I18)</f>
        <v>0.9283531802098961</v>
      </c>
      <c r="K12" s="592"/>
      <c r="L12" s="162">
        <v>2.0043146162176222E-3</v>
      </c>
      <c r="M12" s="591">
        <f>AVERAGE(L12:L18)</f>
        <v>2.0046815993621878E-3</v>
      </c>
      <c r="N12" s="591"/>
      <c r="O12" s="84">
        <v>6.0261622685926792E-3</v>
      </c>
      <c r="P12" s="592">
        <f t="shared" ref="P12" si="13">AVERAGE(O12:O18)</f>
        <v>6.1073690592780916E-3</v>
      </c>
      <c r="Q12" s="591"/>
      <c r="R12" s="154">
        <v>0.9</v>
      </c>
      <c r="S12" s="594">
        <f t="shared" ref="S12" si="14">AVERAGE(R12:R18)</f>
        <v>0.90000000000000013</v>
      </c>
      <c r="T12" s="592"/>
      <c r="U12" s="154">
        <f>19/52*100%</f>
        <v>0.36538461538461536</v>
      </c>
      <c r="V12" s="582">
        <f t="shared" ref="V12" si="15">AVERAGE(U12:U18)</f>
        <v>0.36538461538461536</v>
      </c>
      <c r="W12" s="592"/>
    </row>
    <row r="13" spans="2:23">
      <c r="B13" s="570"/>
      <c r="C13" s="585"/>
      <c r="D13" s="80">
        <f t="shared" si="8"/>
        <v>46148</v>
      </c>
      <c r="E13" s="456" t="s">
        <v>112</v>
      </c>
      <c r="F13" s="88">
        <v>403.85732909575103</v>
      </c>
      <c r="G13" s="595"/>
      <c r="H13" s="593"/>
      <c r="I13" s="154">
        <f t="shared" si="11"/>
        <v>0.91287823032493454</v>
      </c>
      <c r="J13" s="594"/>
      <c r="K13" s="592"/>
      <c r="L13" s="162">
        <v>2.0041881694594804E-3</v>
      </c>
      <c r="M13" s="591"/>
      <c r="N13" s="591"/>
      <c r="O13" s="84">
        <v>6.0278412369420163E-3</v>
      </c>
      <c r="P13" s="592"/>
      <c r="Q13" s="591"/>
      <c r="R13" s="154">
        <v>0.9</v>
      </c>
      <c r="S13" s="594"/>
      <c r="T13" s="592"/>
      <c r="U13" s="154">
        <f>19/52*100%</f>
        <v>0.36538461538461536</v>
      </c>
      <c r="V13" s="582"/>
      <c r="W13" s="592"/>
    </row>
    <row r="14" spans="2:23">
      <c r="B14" s="570"/>
      <c r="C14" s="585"/>
      <c r="D14" s="80">
        <f t="shared" si="8"/>
        <v>46149</v>
      </c>
      <c r="E14" s="456" t="s">
        <v>113</v>
      </c>
      <c r="F14" s="88">
        <v>403.86518537519032</v>
      </c>
      <c r="G14" s="595"/>
      <c r="H14" s="593"/>
      <c r="I14" s="154">
        <f t="shared" si="11"/>
        <v>0.91289598864193111</v>
      </c>
      <c r="J14" s="594"/>
      <c r="K14" s="592"/>
      <c r="L14" s="162">
        <v>2.0039731198725156E-3</v>
      </c>
      <c r="M14" s="591"/>
      <c r="N14" s="591"/>
      <c r="O14" s="84">
        <v>6.2019900618605767E-3</v>
      </c>
      <c r="P14" s="592"/>
      <c r="Q14" s="591"/>
      <c r="R14" s="154">
        <v>0.9</v>
      </c>
      <c r="S14" s="594"/>
      <c r="T14" s="592"/>
      <c r="U14" s="154">
        <f t="shared" ref="U14:U18" si="16">19/52*100%</f>
        <v>0.36538461538461536</v>
      </c>
      <c r="V14" s="582"/>
      <c r="W14" s="592"/>
    </row>
    <row r="15" spans="2:23">
      <c r="B15" s="570"/>
      <c r="C15" s="585"/>
      <c r="D15" s="80">
        <f t="shared" si="8"/>
        <v>46150</v>
      </c>
      <c r="E15" s="456" t="s">
        <v>114</v>
      </c>
      <c r="F15" s="88">
        <v>405.06554719272492</v>
      </c>
      <c r="G15" s="595"/>
      <c r="H15" s="593"/>
      <c r="I15" s="154">
        <f t="shared" si="11"/>
        <v>0.9156092838895229</v>
      </c>
      <c r="J15" s="594"/>
      <c r="K15" s="592"/>
      <c r="L15" s="162">
        <v>2.0003208697966781E-3</v>
      </c>
      <c r="M15" s="591"/>
      <c r="N15" s="591"/>
      <c r="O15" s="84">
        <v>6.0802079397252818E-3</v>
      </c>
      <c r="P15" s="592"/>
      <c r="Q15" s="591"/>
      <c r="R15" s="154">
        <v>0.9</v>
      </c>
      <c r="S15" s="594"/>
      <c r="T15" s="592"/>
      <c r="U15" s="154">
        <f t="shared" si="16"/>
        <v>0.36538461538461536</v>
      </c>
      <c r="V15" s="582"/>
      <c r="W15" s="592"/>
    </row>
    <row r="16" spans="2:23">
      <c r="B16" s="570"/>
      <c r="C16" s="585"/>
      <c r="D16" s="80">
        <f t="shared" si="8"/>
        <v>46151</v>
      </c>
      <c r="E16" s="456" t="s">
        <v>115</v>
      </c>
      <c r="F16" s="88">
        <v>425.49494229298114</v>
      </c>
      <c r="G16" s="595"/>
      <c r="H16" s="593"/>
      <c r="I16" s="154">
        <f t="shared" si="11"/>
        <v>0.96178784424272412</v>
      </c>
      <c r="J16" s="594"/>
      <c r="K16" s="592"/>
      <c r="L16" s="162">
        <v>1.9998526377204649E-3</v>
      </c>
      <c r="M16" s="591"/>
      <c r="N16" s="591"/>
      <c r="O16" s="84">
        <v>6.1100531549321494E-3</v>
      </c>
      <c r="P16" s="592"/>
      <c r="Q16" s="591"/>
      <c r="R16" s="154">
        <v>0.9</v>
      </c>
      <c r="S16" s="594"/>
      <c r="T16" s="592"/>
      <c r="U16" s="154">
        <f t="shared" si="16"/>
        <v>0.36538461538461536</v>
      </c>
      <c r="V16" s="582"/>
      <c r="W16" s="592"/>
    </row>
    <row r="17" spans="2:23">
      <c r="B17" s="570"/>
      <c r="C17" s="585"/>
      <c r="D17" s="80">
        <f t="shared" si="8"/>
        <v>46152</v>
      </c>
      <c r="E17" s="456" t="s">
        <v>116</v>
      </c>
      <c r="F17" s="88">
        <v>426.57470816115932</v>
      </c>
      <c r="G17" s="595"/>
      <c r="H17" s="593"/>
      <c r="I17" s="154">
        <f t="shared" si="11"/>
        <v>0.96422854466808172</v>
      </c>
      <c r="J17" s="594"/>
      <c r="K17" s="592"/>
      <c r="L17" s="162">
        <v>2.0079385793883089E-3</v>
      </c>
      <c r="M17" s="591"/>
      <c r="N17" s="591"/>
      <c r="O17" s="84">
        <v>6.1516534565362472E-3</v>
      </c>
      <c r="P17" s="592"/>
      <c r="Q17" s="591"/>
      <c r="R17" s="154">
        <v>0.9</v>
      </c>
      <c r="S17" s="594"/>
      <c r="T17" s="592"/>
      <c r="U17" s="154">
        <f t="shared" si="16"/>
        <v>0.36538461538461536</v>
      </c>
      <c r="V17" s="582"/>
      <c r="W17" s="592"/>
    </row>
    <row r="18" spans="2:23">
      <c r="B18" s="570"/>
      <c r="C18" s="585"/>
      <c r="D18" s="80">
        <f t="shared" si="8"/>
        <v>46153</v>
      </c>
      <c r="E18" s="456" t="s">
        <v>117</v>
      </c>
      <c r="F18" s="88">
        <v>406.99320700267617</v>
      </c>
      <c r="G18" s="595"/>
      <c r="H18" s="593"/>
      <c r="I18" s="154">
        <f t="shared" si="11"/>
        <v>0.91996656194094983</v>
      </c>
      <c r="J18" s="594"/>
      <c r="K18" s="592"/>
      <c r="L18" s="162">
        <v>2.0121832030802443E-3</v>
      </c>
      <c r="M18" s="591"/>
      <c r="N18" s="591"/>
      <c r="O18" s="84">
        <v>6.1536752963576892E-3</v>
      </c>
      <c r="P18" s="592"/>
      <c r="Q18" s="591"/>
      <c r="R18" s="154">
        <v>0.9</v>
      </c>
      <c r="S18" s="594"/>
      <c r="T18" s="592"/>
      <c r="U18" s="154">
        <f t="shared" si="16"/>
        <v>0.36538461538461536</v>
      </c>
      <c r="V18" s="582"/>
      <c r="W18" s="592"/>
    </row>
    <row r="19" spans="2:23">
      <c r="B19" s="570">
        <f t="shared" ref="B19" si="17">B12+7</f>
        <v>46162</v>
      </c>
      <c r="C19" s="585"/>
      <c r="D19" s="80">
        <f t="shared" si="8"/>
        <v>46154</v>
      </c>
      <c r="E19" s="456" t="s">
        <v>118</v>
      </c>
      <c r="F19" s="88">
        <v>399.10268707293994</v>
      </c>
      <c r="G19" s="595">
        <f t="shared" ref="G19" si="18">AVERAGE(F19:F25)</f>
        <v>415.43614844700403</v>
      </c>
      <c r="H19" s="593"/>
      <c r="I19" s="154">
        <f t="shared" ref="I19:I32" si="19">F19/$C$1</f>
        <v>0.90213084781405961</v>
      </c>
      <c r="J19" s="594">
        <f t="shared" ref="J19" si="20">AVERAGE(I19:I25)</f>
        <v>0.93905096846067815</v>
      </c>
      <c r="K19" s="592"/>
      <c r="L19" s="162">
        <v>2.0161489887551361E-3</v>
      </c>
      <c r="M19" s="591">
        <f>AVERAGE(L19:L25)</f>
        <v>2.0115952695870477E-3</v>
      </c>
      <c r="N19" s="591"/>
      <c r="O19" s="84">
        <v>6.2981985009170826E-3</v>
      </c>
      <c r="P19" s="592">
        <f t="shared" ref="P19" si="21">AVERAGE(O19:O25)</f>
        <v>6.2432220650564946E-3</v>
      </c>
      <c r="Q19" s="591"/>
      <c r="R19" s="154">
        <v>0.9</v>
      </c>
      <c r="S19" s="594">
        <f t="shared" ref="S19" si="22">AVERAGE(R19:R25)</f>
        <v>0.90000000000000013</v>
      </c>
      <c r="T19" s="592"/>
      <c r="U19" s="154">
        <f>20/52*100%</f>
        <v>0.38461538461538464</v>
      </c>
      <c r="V19" s="582">
        <f t="shared" ref="V19" si="23">AVERAGE(U19:U25)</f>
        <v>0.38461538461538464</v>
      </c>
      <c r="W19" s="592"/>
    </row>
    <row r="20" spans="2:23">
      <c r="B20" s="570"/>
      <c r="C20" s="585"/>
      <c r="D20" s="80">
        <f t="shared" si="8"/>
        <v>46155</v>
      </c>
      <c r="E20" s="456" t="s">
        <v>112</v>
      </c>
      <c r="F20" s="88">
        <v>399.81127474606097</v>
      </c>
      <c r="G20" s="595"/>
      <c r="H20" s="593"/>
      <c r="I20" s="154">
        <f t="shared" si="19"/>
        <v>0.90373253785275998</v>
      </c>
      <c r="J20" s="594"/>
      <c r="K20" s="592"/>
      <c r="L20" s="162">
        <v>2.0097470725396567E-3</v>
      </c>
      <c r="M20" s="591"/>
      <c r="N20" s="591"/>
      <c r="O20" s="84">
        <v>6.3115065002806838E-3</v>
      </c>
      <c r="P20" s="592"/>
      <c r="Q20" s="591"/>
      <c r="R20" s="154">
        <v>0.9</v>
      </c>
      <c r="S20" s="594"/>
      <c r="T20" s="592"/>
      <c r="U20" s="154">
        <f>20/52*100%</f>
        <v>0.38461538461538464</v>
      </c>
      <c r="V20" s="582"/>
      <c r="W20" s="592"/>
    </row>
    <row r="21" spans="2:23">
      <c r="B21" s="570"/>
      <c r="C21" s="585"/>
      <c r="D21" s="80">
        <f t="shared" si="8"/>
        <v>46156</v>
      </c>
      <c r="E21" s="456" t="s">
        <v>113</v>
      </c>
      <c r="F21" s="88">
        <v>420.66224468427168</v>
      </c>
      <c r="G21" s="595"/>
      <c r="H21" s="593"/>
      <c r="I21" s="154">
        <f t="shared" si="19"/>
        <v>0.95086402505486367</v>
      </c>
      <c r="J21" s="594"/>
      <c r="K21" s="592"/>
      <c r="L21" s="162">
        <v>2.007666791707996E-3</v>
      </c>
      <c r="M21" s="591"/>
      <c r="N21" s="591"/>
      <c r="O21" s="84">
        <v>6.2363737843263468E-3</v>
      </c>
      <c r="P21" s="592"/>
      <c r="Q21" s="591"/>
      <c r="R21" s="154">
        <v>0.9</v>
      </c>
      <c r="S21" s="594"/>
      <c r="T21" s="592"/>
      <c r="U21" s="154">
        <f t="shared" ref="U21:U26" si="24">20/52*100%</f>
        <v>0.38461538461538464</v>
      </c>
      <c r="V21" s="582"/>
      <c r="W21" s="592"/>
    </row>
    <row r="22" spans="2:23">
      <c r="B22" s="570"/>
      <c r="C22" s="585"/>
      <c r="D22" s="80">
        <f t="shared" si="8"/>
        <v>46157</v>
      </c>
      <c r="E22" s="456" t="s">
        <v>114</v>
      </c>
      <c r="F22" s="88">
        <v>421.78574312112681</v>
      </c>
      <c r="G22" s="595"/>
      <c r="H22" s="593"/>
      <c r="I22" s="154">
        <f t="shared" si="19"/>
        <v>0.95340357848355972</v>
      </c>
      <c r="J22" s="594"/>
      <c r="K22" s="592"/>
      <c r="L22" s="162">
        <v>2.0059912094290543E-3</v>
      </c>
      <c r="M22" s="591"/>
      <c r="N22" s="591"/>
      <c r="O22" s="84">
        <v>6.1904056054188491E-3</v>
      </c>
      <c r="P22" s="592"/>
      <c r="Q22" s="591"/>
      <c r="R22" s="154">
        <v>0.9</v>
      </c>
      <c r="S22" s="594"/>
      <c r="T22" s="592"/>
      <c r="U22" s="154">
        <f t="shared" si="24"/>
        <v>0.38461538461538464</v>
      </c>
      <c r="V22" s="582"/>
      <c r="W22" s="592"/>
    </row>
    <row r="23" spans="2:23">
      <c r="B23" s="570"/>
      <c r="C23" s="585"/>
      <c r="D23" s="80">
        <f t="shared" si="8"/>
        <v>46158</v>
      </c>
      <c r="E23" s="456" t="s">
        <v>115</v>
      </c>
      <c r="F23" s="88">
        <v>422.78654161905376</v>
      </c>
      <c r="G23" s="595"/>
      <c r="H23" s="593"/>
      <c r="I23" s="154">
        <f t="shared" si="19"/>
        <v>0.95566578123655921</v>
      </c>
      <c r="J23" s="594"/>
      <c r="K23" s="592"/>
      <c r="L23" s="162">
        <v>2.0116978868380576E-3</v>
      </c>
      <c r="M23" s="591"/>
      <c r="N23" s="591"/>
      <c r="O23" s="84">
        <v>6.2039733387976095E-3</v>
      </c>
      <c r="P23" s="592"/>
      <c r="Q23" s="591"/>
      <c r="R23" s="154">
        <v>0.9</v>
      </c>
      <c r="S23" s="594"/>
      <c r="T23" s="592"/>
      <c r="U23" s="154">
        <f t="shared" si="24"/>
        <v>0.38461538461538464</v>
      </c>
      <c r="V23" s="582"/>
      <c r="W23" s="592"/>
    </row>
    <row r="24" spans="2:23">
      <c r="B24" s="570"/>
      <c r="C24" s="585"/>
      <c r="D24" s="80">
        <f t="shared" si="8"/>
        <v>46159</v>
      </c>
      <c r="E24" s="456" t="s">
        <v>116</v>
      </c>
      <c r="F24" s="88">
        <v>421.97264774389095</v>
      </c>
      <c r="G24" s="595"/>
      <c r="H24" s="593"/>
      <c r="I24" s="154">
        <f t="shared" si="19"/>
        <v>0.9538260572872761</v>
      </c>
      <c r="J24" s="594"/>
      <c r="K24" s="592"/>
      <c r="L24" s="162">
        <v>2.0176645857473336E-3</v>
      </c>
      <c r="M24" s="591"/>
      <c r="N24" s="591"/>
      <c r="O24" s="84">
        <v>6.2460191548987798E-3</v>
      </c>
      <c r="P24" s="592"/>
      <c r="Q24" s="591"/>
      <c r="R24" s="154">
        <v>0.9</v>
      </c>
      <c r="S24" s="594"/>
      <c r="T24" s="592"/>
      <c r="U24" s="154">
        <f t="shared" si="24"/>
        <v>0.38461538461538464</v>
      </c>
      <c r="V24" s="582"/>
      <c r="W24" s="592"/>
    </row>
    <row r="25" spans="2:23">
      <c r="B25" s="570"/>
      <c r="C25" s="585"/>
      <c r="D25" s="80">
        <f t="shared" si="8"/>
        <v>46160</v>
      </c>
      <c r="E25" s="456" t="s">
        <v>117</v>
      </c>
      <c r="F25" s="88">
        <v>421.93190014168437</v>
      </c>
      <c r="G25" s="595"/>
      <c r="H25" s="593"/>
      <c r="I25" s="154">
        <f t="shared" si="19"/>
        <v>0.95373395149566997</v>
      </c>
      <c r="J25" s="594"/>
      <c r="K25" s="592"/>
      <c r="L25" s="162">
        <v>2.0122503520920987E-3</v>
      </c>
      <c r="M25" s="591"/>
      <c r="N25" s="591"/>
      <c r="O25" s="84">
        <v>6.2160775707561086E-3</v>
      </c>
      <c r="P25" s="592"/>
      <c r="Q25" s="591"/>
      <c r="R25" s="154">
        <v>0.9</v>
      </c>
      <c r="S25" s="594"/>
      <c r="T25" s="592"/>
      <c r="U25" s="154">
        <f t="shared" si="24"/>
        <v>0.38461538461538464</v>
      </c>
      <c r="V25" s="582"/>
      <c r="W25" s="592"/>
    </row>
    <row r="26" spans="2:23">
      <c r="B26" s="570">
        <f t="shared" ref="B26" si="25">B19+7</f>
        <v>46169</v>
      </c>
      <c r="C26" s="585"/>
      <c r="D26" s="80">
        <f t="shared" si="8"/>
        <v>46161</v>
      </c>
      <c r="E26" s="456" t="s">
        <v>118</v>
      </c>
      <c r="F26" s="88">
        <v>428.03467024110449</v>
      </c>
      <c r="G26" s="595">
        <f t="shared" ref="G26" si="26">AVERAGE(F26:F32)</f>
        <v>428.25467058896322</v>
      </c>
      <c r="H26" s="593"/>
      <c r="I26" s="154">
        <f t="shared" si="19"/>
        <v>0.96752863978549841</v>
      </c>
      <c r="J26" s="594">
        <f t="shared" ref="J26" si="27">AVERAGE(I26:I32)</f>
        <v>0.96802592809440147</v>
      </c>
      <c r="K26" s="592"/>
      <c r="L26" s="162">
        <v>2.0201072655727272E-3</v>
      </c>
      <c r="M26" s="591">
        <f>AVERAGE(L26:L32)</f>
        <v>2.0127511123843255E-3</v>
      </c>
      <c r="N26" s="591"/>
      <c r="O26" s="84">
        <v>6.2480098371616548E-3</v>
      </c>
      <c r="P26" s="592">
        <f t="shared" ref="P26" si="28">AVERAGE(O26:O32)</f>
        <v>6.170487432366297E-3</v>
      </c>
      <c r="Q26" s="591"/>
      <c r="R26" s="154">
        <v>0.9</v>
      </c>
      <c r="S26" s="594">
        <f t="shared" ref="S26" si="29">AVERAGE(R26:R32)</f>
        <v>0.90000000000000013</v>
      </c>
      <c r="T26" s="592"/>
      <c r="U26" s="154">
        <f>21/52*100%</f>
        <v>0.40384615384615385</v>
      </c>
      <c r="V26" s="582">
        <f t="shared" ref="V26" si="30">AVERAGE(U26:U32)</f>
        <v>0.4038461538461538</v>
      </c>
      <c r="W26" s="592"/>
    </row>
    <row r="27" spans="2:23">
      <c r="B27" s="570"/>
      <c r="C27" s="585"/>
      <c r="D27" s="80">
        <f t="shared" si="8"/>
        <v>46162</v>
      </c>
      <c r="E27" s="456" t="s">
        <v>112</v>
      </c>
      <c r="F27" s="88">
        <v>427.84607843546866</v>
      </c>
      <c r="G27" s="595"/>
      <c r="H27" s="593"/>
      <c r="I27" s="154">
        <f t="shared" si="19"/>
        <v>0.96710234727728006</v>
      </c>
      <c r="J27" s="594"/>
      <c r="K27" s="592"/>
      <c r="L27" s="162">
        <v>2.0120091325888539E-3</v>
      </c>
      <c r="M27" s="591"/>
      <c r="N27" s="591"/>
      <c r="O27" s="84">
        <v>6.203667863470653E-3</v>
      </c>
      <c r="P27" s="592"/>
      <c r="Q27" s="591"/>
      <c r="R27" s="154">
        <v>0.9</v>
      </c>
      <c r="S27" s="594"/>
      <c r="T27" s="592"/>
      <c r="U27" s="154">
        <f t="shared" ref="U27:U32" si="31">21/52*100%</f>
        <v>0.40384615384615385</v>
      </c>
      <c r="V27" s="582"/>
      <c r="W27" s="592"/>
    </row>
    <row r="28" spans="2:23">
      <c r="B28" s="570"/>
      <c r="C28" s="585"/>
      <c r="D28" s="80">
        <f t="shared" si="8"/>
        <v>46163</v>
      </c>
      <c r="E28" s="456" t="s">
        <v>113</v>
      </c>
      <c r="F28" s="88">
        <v>428.42875214681851</v>
      </c>
      <c r="G28" s="595"/>
      <c r="H28" s="593"/>
      <c r="I28" s="154">
        <f t="shared" si="19"/>
        <v>0.96841942167002382</v>
      </c>
      <c r="J28" s="594"/>
      <c r="K28" s="592"/>
      <c r="L28" s="162">
        <v>2.0081517037529649E-3</v>
      </c>
      <c r="M28" s="591"/>
      <c r="N28" s="591"/>
      <c r="O28" s="84">
        <v>6.1321992990637881E-3</v>
      </c>
      <c r="P28" s="592"/>
      <c r="Q28" s="591"/>
      <c r="R28" s="154">
        <v>0.9</v>
      </c>
      <c r="S28" s="594"/>
      <c r="T28" s="592"/>
      <c r="U28" s="154">
        <f t="shared" si="31"/>
        <v>0.40384615384615385</v>
      </c>
      <c r="V28" s="582"/>
      <c r="W28" s="592"/>
    </row>
    <row r="29" spans="2:23">
      <c r="B29" s="570"/>
      <c r="C29" s="585"/>
      <c r="D29" s="80">
        <f t="shared" si="8"/>
        <v>46164</v>
      </c>
      <c r="E29" s="456" t="s">
        <v>114</v>
      </c>
      <c r="F29" s="88">
        <v>428.44386280464482</v>
      </c>
      <c r="G29" s="595"/>
      <c r="H29" s="593"/>
      <c r="I29" s="154">
        <f t="shared" si="19"/>
        <v>0.96845357776818453</v>
      </c>
      <c r="J29" s="594"/>
      <c r="K29" s="592"/>
      <c r="L29" s="162">
        <v>2.0059121672296233E-3</v>
      </c>
      <c r="M29" s="591"/>
      <c r="N29" s="591"/>
      <c r="O29" s="84">
        <v>6.1237387646171136E-3</v>
      </c>
      <c r="P29" s="592"/>
      <c r="Q29" s="591"/>
      <c r="R29" s="154">
        <v>0.9</v>
      </c>
      <c r="S29" s="594"/>
      <c r="T29" s="592"/>
      <c r="U29" s="154">
        <f t="shared" si="31"/>
        <v>0.40384615384615385</v>
      </c>
      <c r="V29" s="582"/>
      <c r="W29" s="592"/>
    </row>
    <row r="30" spans="2:23">
      <c r="B30" s="570"/>
      <c r="C30" s="585"/>
      <c r="D30" s="80">
        <f t="shared" si="8"/>
        <v>46165</v>
      </c>
      <c r="E30" s="456" t="s">
        <v>115</v>
      </c>
      <c r="F30" s="88">
        <v>428.76033691678788</v>
      </c>
      <c r="G30" s="595"/>
      <c r="H30" s="593"/>
      <c r="I30" s="154">
        <f t="shared" si="19"/>
        <v>0.96916893516452962</v>
      </c>
      <c r="J30" s="594"/>
      <c r="K30" s="592"/>
      <c r="L30" s="162">
        <v>2.0115821055061373E-3</v>
      </c>
      <c r="M30" s="591"/>
      <c r="N30" s="591"/>
      <c r="O30" s="84">
        <v>6.146436891622694E-3</v>
      </c>
      <c r="P30" s="592"/>
      <c r="Q30" s="591"/>
      <c r="R30" s="154">
        <v>0.9</v>
      </c>
      <c r="S30" s="594"/>
      <c r="T30" s="592"/>
      <c r="U30" s="154">
        <f t="shared" si="31"/>
        <v>0.40384615384615385</v>
      </c>
      <c r="V30" s="582"/>
      <c r="W30" s="592"/>
    </row>
    <row r="31" spans="2:23">
      <c r="B31" s="570"/>
      <c r="C31" s="585"/>
      <c r="D31" s="80">
        <f t="shared" si="8"/>
        <v>46166</v>
      </c>
      <c r="E31" s="456" t="s">
        <v>116</v>
      </c>
      <c r="F31" s="88">
        <v>429.01318361818107</v>
      </c>
      <c r="G31" s="595"/>
      <c r="H31" s="593"/>
      <c r="I31" s="154">
        <f t="shared" si="19"/>
        <v>0.96974046929968605</v>
      </c>
      <c r="J31" s="594"/>
      <c r="K31" s="592"/>
      <c r="L31" s="162">
        <v>2.0198025099988216E-3</v>
      </c>
      <c r="M31" s="591"/>
      <c r="N31" s="591"/>
      <c r="O31" s="84">
        <v>6.1944902885719645E-3</v>
      </c>
      <c r="P31" s="592"/>
      <c r="Q31" s="591"/>
      <c r="R31" s="154">
        <v>0.9</v>
      </c>
      <c r="S31" s="594"/>
      <c r="T31" s="592"/>
      <c r="U31" s="154">
        <f t="shared" si="31"/>
        <v>0.40384615384615385</v>
      </c>
      <c r="V31" s="582"/>
      <c r="W31" s="592"/>
    </row>
    <row r="32" spans="2:23">
      <c r="B32" s="570"/>
      <c r="C32" s="585"/>
      <c r="D32" s="80">
        <f t="shared" si="8"/>
        <v>46167</v>
      </c>
      <c r="E32" s="456" t="s">
        <v>117</v>
      </c>
      <c r="F32" s="88">
        <v>427.25580995973667</v>
      </c>
      <c r="G32" s="595"/>
      <c r="H32" s="593"/>
      <c r="I32" s="154">
        <f t="shared" si="19"/>
        <v>0.96576810569560734</v>
      </c>
      <c r="J32" s="594"/>
      <c r="K32" s="592"/>
      <c r="L32" s="162">
        <v>2.0116929020411517E-3</v>
      </c>
      <c r="M32" s="591"/>
      <c r="N32" s="591"/>
      <c r="O32" s="84">
        <v>6.1448690820562158E-3</v>
      </c>
      <c r="P32" s="592"/>
      <c r="Q32" s="591"/>
      <c r="R32" s="154">
        <v>0.9</v>
      </c>
      <c r="S32" s="594"/>
      <c r="T32" s="592"/>
      <c r="U32" s="154">
        <f t="shared" si="31"/>
        <v>0.40384615384615385</v>
      </c>
      <c r="V32" s="582"/>
      <c r="W32" s="592"/>
    </row>
    <row r="33" spans="2:23">
      <c r="B33" s="570">
        <f t="shared" ref="B33" si="32">B26+7</f>
        <v>46176</v>
      </c>
      <c r="C33" s="585"/>
      <c r="D33" s="80">
        <f t="shared" si="8"/>
        <v>46168</v>
      </c>
      <c r="E33" s="456" t="s">
        <v>118</v>
      </c>
      <c r="G33" s="595" t="e">
        <f t="shared" ref="G33" si="33">AVERAGE(F33:F39)</f>
        <v>#DIV/0!</v>
      </c>
      <c r="H33" s="593"/>
      <c r="I33" s="154">
        <f t="shared" ref="I33:I60" si="34">F33/$C$1</f>
        <v>0</v>
      </c>
      <c r="J33" s="594">
        <f t="shared" ref="J33" si="35">AVERAGE(I33:I39)</f>
        <v>0</v>
      </c>
      <c r="K33" s="592"/>
      <c r="L33" s="162"/>
      <c r="M33" s="591" t="e">
        <f>AVERAGE(L33:L39)</f>
        <v>#DIV/0!</v>
      </c>
      <c r="N33" s="591"/>
      <c r="O33" s="84"/>
      <c r="P33" s="592" t="e">
        <f t="shared" ref="P33" si="36">AVERAGE(O33:O39)</f>
        <v>#DIV/0!</v>
      </c>
      <c r="Q33" s="591"/>
      <c r="R33" s="154"/>
      <c r="S33" s="594" t="e">
        <f t="shared" ref="S33" si="37">AVERAGE(R33:R39)</f>
        <v>#DIV/0!</v>
      </c>
      <c r="T33" s="592"/>
      <c r="U33" s="154"/>
      <c r="V33" s="582" t="e">
        <f t="shared" ref="V33" si="38">AVERAGE(U33:U39)</f>
        <v>#DIV/0!</v>
      </c>
      <c r="W33" s="592"/>
    </row>
    <row r="34" spans="2:23">
      <c r="B34" s="570"/>
      <c r="C34" s="585"/>
      <c r="D34" s="80">
        <f t="shared" si="8"/>
        <v>46169</v>
      </c>
      <c r="E34" s="456" t="s">
        <v>112</v>
      </c>
      <c r="G34" s="595"/>
      <c r="H34" s="593"/>
      <c r="I34" s="154">
        <f t="shared" si="34"/>
        <v>0</v>
      </c>
      <c r="J34" s="594"/>
      <c r="K34" s="592"/>
      <c r="L34" s="162"/>
      <c r="M34" s="591"/>
      <c r="N34" s="591"/>
      <c r="O34" s="84"/>
      <c r="P34" s="592"/>
      <c r="Q34" s="591"/>
      <c r="R34" s="154"/>
      <c r="S34" s="594"/>
      <c r="T34" s="592"/>
      <c r="U34" s="154"/>
      <c r="V34" s="582"/>
      <c r="W34" s="592"/>
    </row>
    <row r="35" spans="2:23">
      <c r="B35" s="570"/>
      <c r="C35" s="585"/>
      <c r="D35" s="80">
        <f t="shared" si="8"/>
        <v>46170</v>
      </c>
      <c r="E35" s="456" t="s">
        <v>113</v>
      </c>
      <c r="G35" s="595"/>
      <c r="H35" s="593"/>
      <c r="I35" s="154">
        <f t="shared" si="34"/>
        <v>0</v>
      </c>
      <c r="J35" s="594"/>
      <c r="K35" s="592"/>
      <c r="L35" s="162"/>
      <c r="M35" s="591"/>
      <c r="N35" s="591"/>
      <c r="O35" s="84"/>
      <c r="P35" s="592"/>
      <c r="Q35" s="591"/>
      <c r="R35" s="154"/>
      <c r="S35" s="594"/>
      <c r="T35" s="592"/>
      <c r="U35" s="154"/>
      <c r="V35" s="582"/>
      <c r="W35" s="592"/>
    </row>
    <row r="36" spans="2:23">
      <c r="B36" s="570"/>
      <c r="C36" s="585"/>
      <c r="D36" s="80">
        <f t="shared" si="8"/>
        <v>46171</v>
      </c>
      <c r="E36" s="456" t="s">
        <v>114</v>
      </c>
      <c r="G36" s="595"/>
      <c r="H36" s="593"/>
      <c r="I36" s="154">
        <f t="shared" si="34"/>
        <v>0</v>
      </c>
      <c r="J36" s="594"/>
      <c r="K36" s="592"/>
      <c r="L36" s="162"/>
      <c r="M36" s="591"/>
      <c r="N36" s="591"/>
      <c r="O36" s="84"/>
      <c r="P36" s="592"/>
      <c r="Q36" s="591"/>
      <c r="R36" s="154"/>
      <c r="S36" s="594"/>
      <c r="T36" s="592"/>
      <c r="U36" s="154"/>
      <c r="V36" s="582"/>
      <c r="W36" s="592"/>
    </row>
    <row r="37" spans="2:23">
      <c r="B37" s="570"/>
      <c r="C37" s="585"/>
      <c r="D37" s="80">
        <f t="shared" si="8"/>
        <v>46172</v>
      </c>
      <c r="E37" s="456" t="s">
        <v>115</v>
      </c>
      <c r="G37" s="595"/>
      <c r="H37" s="593"/>
      <c r="I37" s="154">
        <f t="shared" si="34"/>
        <v>0</v>
      </c>
      <c r="J37" s="594"/>
      <c r="K37" s="592"/>
      <c r="L37" s="162"/>
      <c r="M37" s="591"/>
      <c r="N37" s="591"/>
      <c r="O37" s="84"/>
      <c r="P37" s="592"/>
      <c r="Q37" s="591"/>
      <c r="R37" s="154"/>
      <c r="S37" s="594"/>
      <c r="T37" s="592"/>
      <c r="U37" s="154"/>
      <c r="V37" s="582"/>
      <c r="W37" s="592"/>
    </row>
    <row r="38" spans="2:23">
      <c r="B38" s="570"/>
      <c r="C38" s="585"/>
      <c r="D38" s="80">
        <f t="shared" si="8"/>
        <v>46173</v>
      </c>
      <c r="E38" s="456" t="s">
        <v>116</v>
      </c>
      <c r="G38" s="595"/>
      <c r="H38" s="593"/>
      <c r="I38" s="154">
        <f t="shared" si="34"/>
        <v>0</v>
      </c>
      <c r="J38" s="594"/>
      <c r="K38" s="592"/>
      <c r="L38" s="162"/>
      <c r="M38" s="591"/>
      <c r="N38" s="591"/>
      <c r="O38" s="84"/>
      <c r="P38" s="592"/>
      <c r="Q38" s="591"/>
      <c r="R38" s="154"/>
      <c r="S38" s="594"/>
      <c r="T38" s="592"/>
      <c r="U38" s="154"/>
      <c r="V38" s="582"/>
      <c r="W38" s="592"/>
    </row>
    <row r="39" spans="2:23">
      <c r="B39" s="570"/>
      <c r="C39" s="73"/>
      <c r="D39" s="80">
        <f t="shared" si="8"/>
        <v>46174</v>
      </c>
      <c r="E39" s="456" t="s">
        <v>117</v>
      </c>
      <c r="G39" s="595"/>
      <c r="I39" s="154">
        <f t="shared" si="34"/>
        <v>0</v>
      </c>
      <c r="J39" s="594"/>
      <c r="L39" s="162"/>
      <c r="M39" s="591"/>
      <c r="O39" s="84"/>
      <c r="P39" s="592"/>
      <c r="R39" s="154"/>
      <c r="S39" s="594"/>
      <c r="U39" s="154"/>
      <c r="V39" s="582"/>
    </row>
    <row r="40" spans="2:23">
      <c r="B40" s="570">
        <f t="shared" ref="B40" si="39">B33+7</f>
        <v>46183</v>
      </c>
      <c r="D40" s="80">
        <f t="shared" si="8"/>
        <v>46175</v>
      </c>
      <c r="E40" s="456" t="s">
        <v>118</v>
      </c>
      <c r="G40" s="595" t="e">
        <f t="shared" ref="G40" si="40">AVERAGE(F40:F46)</f>
        <v>#DIV/0!</v>
      </c>
      <c r="I40" s="154">
        <f t="shared" si="34"/>
        <v>0</v>
      </c>
      <c r="J40" s="594">
        <f t="shared" ref="J40" si="41">AVERAGE(I40:I46)</f>
        <v>0</v>
      </c>
      <c r="L40" s="162"/>
      <c r="M40" s="591" t="e">
        <f>AVERAGE(L40:L46)</f>
        <v>#DIV/0!</v>
      </c>
      <c r="O40" s="84"/>
      <c r="P40" s="592" t="e">
        <f t="shared" ref="P40" si="42">AVERAGE(O40:O46)</f>
        <v>#DIV/0!</v>
      </c>
      <c r="R40" s="154"/>
      <c r="S40" s="594" t="e">
        <f t="shared" ref="S40" si="43">AVERAGE(R40:R46)</f>
        <v>#DIV/0!</v>
      </c>
      <c r="U40" s="154"/>
      <c r="V40" s="582" t="e">
        <f t="shared" ref="V40" si="44">AVERAGE(U40:U46)</f>
        <v>#DIV/0!</v>
      </c>
    </row>
    <row r="41" spans="2:23">
      <c r="B41" s="570"/>
      <c r="D41" s="80">
        <f t="shared" si="8"/>
        <v>46176</v>
      </c>
      <c r="E41" s="456" t="s">
        <v>112</v>
      </c>
      <c r="G41" s="595"/>
      <c r="I41" s="154">
        <f t="shared" si="34"/>
        <v>0</v>
      </c>
      <c r="J41" s="594"/>
      <c r="L41" s="162"/>
      <c r="M41" s="591"/>
      <c r="O41" s="84"/>
      <c r="P41" s="592"/>
      <c r="R41" s="154"/>
      <c r="S41" s="594"/>
      <c r="U41" s="154"/>
      <c r="V41" s="582"/>
    </row>
    <row r="42" spans="2:23">
      <c r="B42" s="570"/>
      <c r="D42" s="80">
        <f t="shared" si="8"/>
        <v>46177</v>
      </c>
      <c r="E42" s="456" t="s">
        <v>113</v>
      </c>
      <c r="G42" s="595"/>
      <c r="I42" s="154">
        <f t="shared" si="34"/>
        <v>0</v>
      </c>
      <c r="J42" s="594"/>
      <c r="L42" s="162"/>
      <c r="M42" s="591"/>
      <c r="O42" s="84"/>
      <c r="P42" s="592"/>
      <c r="R42" s="154"/>
      <c r="S42" s="594"/>
      <c r="U42" s="154"/>
      <c r="V42" s="582"/>
    </row>
    <row r="43" spans="2:23">
      <c r="B43" s="570"/>
      <c r="C43" s="73"/>
      <c r="D43" s="80">
        <f t="shared" si="8"/>
        <v>46178</v>
      </c>
      <c r="E43" s="456" t="s">
        <v>114</v>
      </c>
      <c r="G43" s="595"/>
      <c r="H43" s="87"/>
      <c r="I43" s="154">
        <f t="shared" si="34"/>
        <v>0</v>
      </c>
      <c r="J43" s="594"/>
      <c r="K43" s="84"/>
      <c r="L43" s="162"/>
      <c r="M43" s="591"/>
      <c r="N43" s="162"/>
      <c r="O43" s="84"/>
      <c r="P43" s="592"/>
      <c r="Q43" s="162"/>
      <c r="R43" s="154"/>
      <c r="S43" s="594"/>
      <c r="T43" s="84"/>
      <c r="U43" s="154"/>
      <c r="V43" s="582"/>
      <c r="W43" s="84"/>
    </row>
    <row r="44" spans="2:23">
      <c r="B44" s="570"/>
      <c r="C44" s="73"/>
      <c r="D44" s="80">
        <f t="shared" si="8"/>
        <v>46179</v>
      </c>
      <c r="E44" s="456" t="s">
        <v>115</v>
      </c>
      <c r="G44" s="595"/>
      <c r="I44" s="154">
        <f t="shared" si="34"/>
        <v>0</v>
      </c>
      <c r="J44" s="594"/>
      <c r="L44" s="162"/>
      <c r="M44" s="591"/>
      <c r="O44" s="84"/>
      <c r="P44" s="592"/>
      <c r="R44" s="154"/>
      <c r="S44" s="594"/>
      <c r="U44" s="154"/>
      <c r="V44" s="582"/>
    </row>
    <row r="45" spans="2:23">
      <c r="B45" s="570"/>
      <c r="C45" s="73"/>
      <c r="D45" s="80">
        <f t="shared" si="8"/>
        <v>46180</v>
      </c>
      <c r="E45" s="456" t="s">
        <v>116</v>
      </c>
      <c r="G45" s="595"/>
      <c r="I45" s="154">
        <f t="shared" si="34"/>
        <v>0</v>
      </c>
      <c r="J45" s="594"/>
      <c r="L45" s="162"/>
      <c r="M45" s="591"/>
      <c r="O45" s="84"/>
      <c r="P45" s="592"/>
      <c r="R45" s="154"/>
      <c r="S45" s="594"/>
      <c r="U45" s="154"/>
      <c r="V45" s="582"/>
    </row>
    <row r="46" spans="2:23">
      <c r="B46" s="570"/>
      <c r="C46" s="73"/>
      <c r="D46" s="80">
        <f t="shared" si="8"/>
        <v>46181</v>
      </c>
      <c r="E46" s="456" t="s">
        <v>117</v>
      </c>
      <c r="G46" s="595"/>
      <c r="I46" s="154">
        <f t="shared" si="34"/>
        <v>0</v>
      </c>
      <c r="J46" s="594"/>
      <c r="L46" s="162"/>
      <c r="M46" s="591"/>
      <c r="O46" s="84"/>
      <c r="P46" s="592"/>
      <c r="R46" s="154"/>
      <c r="S46" s="594"/>
      <c r="U46" s="154"/>
      <c r="V46" s="582"/>
    </row>
    <row r="47" spans="2:23">
      <c r="B47" s="570">
        <f t="shared" ref="B47" si="45">B40+7</f>
        <v>46190</v>
      </c>
      <c r="D47" s="80">
        <f t="shared" si="8"/>
        <v>46182</v>
      </c>
      <c r="E47" s="456" t="s">
        <v>118</v>
      </c>
      <c r="G47" s="595" t="e">
        <f t="shared" ref="G47" si="46">AVERAGE(F47:F53)</f>
        <v>#DIV/0!</v>
      </c>
      <c r="I47" s="154">
        <f t="shared" si="34"/>
        <v>0</v>
      </c>
      <c r="J47" s="594">
        <f t="shared" ref="J47" si="47">AVERAGE(I47:I53)</f>
        <v>0</v>
      </c>
      <c r="L47" s="162"/>
      <c r="M47" s="591" t="e">
        <f>AVERAGE(L47:L53)</f>
        <v>#DIV/0!</v>
      </c>
      <c r="O47" s="84"/>
      <c r="P47" s="592" t="e">
        <f t="shared" ref="P47" si="48">AVERAGE(O47:O53)</f>
        <v>#DIV/0!</v>
      </c>
      <c r="R47" s="154"/>
      <c r="S47" s="594" t="e">
        <f t="shared" ref="S47" si="49">AVERAGE(R47:R53)</f>
        <v>#DIV/0!</v>
      </c>
      <c r="U47" s="154"/>
      <c r="V47" s="582" t="e">
        <f t="shared" ref="V47" si="50">AVERAGE(U47:U53)</f>
        <v>#DIV/0!</v>
      </c>
    </row>
    <row r="48" spans="2:23">
      <c r="B48" s="570"/>
      <c r="D48" s="80">
        <f t="shared" si="8"/>
        <v>46183</v>
      </c>
      <c r="E48" s="456" t="s">
        <v>112</v>
      </c>
      <c r="G48" s="595"/>
      <c r="I48" s="154">
        <f t="shared" si="34"/>
        <v>0</v>
      </c>
      <c r="J48" s="594"/>
      <c r="L48" s="162"/>
      <c r="M48" s="591"/>
      <c r="O48" s="84"/>
      <c r="P48" s="592"/>
      <c r="R48" s="154"/>
      <c r="S48" s="594"/>
      <c r="U48" s="154"/>
      <c r="V48" s="582"/>
    </row>
    <row r="49" spans="2:23">
      <c r="B49" s="570"/>
      <c r="D49" s="80">
        <f t="shared" si="8"/>
        <v>46184</v>
      </c>
      <c r="E49" s="456" t="s">
        <v>113</v>
      </c>
      <c r="G49" s="595"/>
      <c r="I49" s="154">
        <f t="shared" si="34"/>
        <v>0</v>
      </c>
      <c r="J49" s="594"/>
      <c r="L49" s="162"/>
      <c r="M49" s="591"/>
      <c r="O49" s="84"/>
      <c r="P49" s="592"/>
      <c r="R49" s="154"/>
      <c r="S49" s="594"/>
      <c r="U49" s="154"/>
      <c r="V49" s="582"/>
    </row>
    <row r="50" spans="2:23">
      <c r="B50" s="570"/>
      <c r="C50" s="73"/>
      <c r="D50" s="80">
        <f t="shared" si="8"/>
        <v>46185</v>
      </c>
      <c r="E50" s="456" t="s">
        <v>114</v>
      </c>
      <c r="G50" s="595"/>
      <c r="H50" s="87"/>
      <c r="I50" s="154">
        <f t="shared" si="34"/>
        <v>0</v>
      </c>
      <c r="J50" s="594"/>
      <c r="K50" s="84"/>
      <c r="L50" s="162"/>
      <c r="M50" s="591"/>
      <c r="N50" s="162"/>
      <c r="O50" s="84"/>
      <c r="P50" s="592"/>
      <c r="Q50" s="162"/>
      <c r="R50" s="154"/>
      <c r="S50" s="594"/>
      <c r="T50" s="84"/>
      <c r="U50" s="154"/>
      <c r="V50" s="582"/>
      <c r="W50" s="84"/>
    </row>
    <row r="51" spans="2:23">
      <c r="B51" s="570"/>
      <c r="C51" s="73"/>
      <c r="D51" s="80">
        <f t="shared" si="8"/>
        <v>46186</v>
      </c>
      <c r="E51" s="456" t="s">
        <v>115</v>
      </c>
      <c r="G51" s="595"/>
      <c r="I51" s="154">
        <f t="shared" si="34"/>
        <v>0</v>
      </c>
      <c r="J51" s="594"/>
      <c r="L51" s="162"/>
      <c r="M51" s="591"/>
      <c r="O51" s="84"/>
      <c r="P51" s="592"/>
      <c r="R51" s="154"/>
      <c r="S51" s="594"/>
      <c r="U51" s="154"/>
      <c r="V51" s="582"/>
    </row>
    <row r="52" spans="2:23">
      <c r="B52" s="570"/>
      <c r="C52" s="73"/>
      <c r="D52" s="80">
        <f t="shared" si="8"/>
        <v>46187</v>
      </c>
      <c r="E52" s="456" t="s">
        <v>116</v>
      </c>
      <c r="G52" s="595"/>
      <c r="I52" s="154">
        <f t="shared" si="34"/>
        <v>0</v>
      </c>
      <c r="J52" s="594"/>
      <c r="L52" s="162"/>
      <c r="M52" s="591"/>
      <c r="O52" s="84"/>
      <c r="P52" s="592"/>
      <c r="R52" s="154"/>
      <c r="S52" s="594"/>
      <c r="U52" s="154"/>
      <c r="V52" s="582"/>
    </row>
    <row r="53" spans="2:23">
      <c r="B53" s="570"/>
      <c r="C53" s="73"/>
      <c r="D53" s="80">
        <f t="shared" si="8"/>
        <v>46188</v>
      </c>
      <c r="E53" s="456" t="s">
        <v>117</v>
      </c>
      <c r="G53" s="595"/>
      <c r="I53" s="154">
        <f t="shared" si="34"/>
        <v>0</v>
      </c>
      <c r="J53" s="594"/>
      <c r="L53" s="162"/>
      <c r="M53" s="591"/>
      <c r="O53" s="84"/>
      <c r="P53" s="592"/>
      <c r="R53" s="154"/>
      <c r="S53" s="594"/>
      <c r="U53" s="154"/>
      <c r="V53" s="582"/>
    </row>
    <row r="54" spans="2:23">
      <c r="B54" s="570">
        <f t="shared" ref="B54" si="51">B47+7</f>
        <v>46197</v>
      </c>
      <c r="D54" s="80">
        <f t="shared" si="8"/>
        <v>46189</v>
      </c>
      <c r="E54" s="456" t="s">
        <v>118</v>
      </c>
      <c r="G54" s="595" t="e">
        <f t="shared" ref="G54" si="52">AVERAGE(F54:F60)</f>
        <v>#DIV/0!</v>
      </c>
      <c r="I54" s="154">
        <f t="shared" si="34"/>
        <v>0</v>
      </c>
      <c r="J54" s="594">
        <f t="shared" ref="J54" si="53">AVERAGE(I54:I60)</f>
        <v>0</v>
      </c>
      <c r="L54" s="162"/>
      <c r="M54" s="591" t="e">
        <f>AVERAGE(L54:L60)</f>
        <v>#DIV/0!</v>
      </c>
      <c r="O54" s="84"/>
      <c r="P54" s="592" t="e">
        <f t="shared" ref="P54" si="54">AVERAGE(O54:O60)</f>
        <v>#DIV/0!</v>
      </c>
      <c r="R54" s="154"/>
      <c r="S54" s="594" t="e">
        <f t="shared" ref="S54" si="55">AVERAGE(R54:R60)</f>
        <v>#DIV/0!</v>
      </c>
      <c r="U54" s="154"/>
      <c r="V54" s="582" t="e">
        <f t="shared" ref="V54" si="56">AVERAGE(U54:U60)</f>
        <v>#DIV/0!</v>
      </c>
    </row>
    <row r="55" spans="2:23">
      <c r="B55" s="570"/>
      <c r="D55" s="80">
        <f t="shared" si="8"/>
        <v>46190</v>
      </c>
      <c r="E55" s="456" t="s">
        <v>112</v>
      </c>
      <c r="G55" s="595"/>
      <c r="I55" s="154">
        <f t="shared" si="34"/>
        <v>0</v>
      </c>
      <c r="J55" s="594"/>
      <c r="L55" s="162"/>
      <c r="M55" s="591"/>
      <c r="O55" s="84"/>
      <c r="P55" s="592"/>
      <c r="R55" s="154"/>
      <c r="S55" s="594"/>
      <c r="U55" s="154"/>
      <c r="V55" s="582"/>
    </row>
    <row r="56" spans="2:23">
      <c r="B56" s="570"/>
      <c r="D56" s="80">
        <f t="shared" si="8"/>
        <v>46191</v>
      </c>
      <c r="E56" s="456" t="s">
        <v>113</v>
      </c>
      <c r="G56" s="595"/>
      <c r="I56" s="154">
        <f t="shared" si="34"/>
        <v>0</v>
      </c>
      <c r="J56" s="594"/>
      <c r="L56" s="162"/>
      <c r="M56" s="591"/>
      <c r="O56" s="84"/>
      <c r="P56" s="592"/>
      <c r="R56" s="154"/>
      <c r="S56" s="594"/>
      <c r="U56" s="154"/>
      <c r="V56" s="582"/>
    </row>
    <row r="57" spans="2:23">
      <c r="B57" s="570"/>
      <c r="C57" s="73"/>
      <c r="D57" s="80">
        <f t="shared" si="8"/>
        <v>46192</v>
      </c>
      <c r="E57" s="456" t="s">
        <v>114</v>
      </c>
      <c r="G57" s="595"/>
      <c r="H57" s="87"/>
      <c r="I57" s="154">
        <f t="shared" si="34"/>
        <v>0</v>
      </c>
      <c r="J57" s="594"/>
      <c r="K57" s="84"/>
      <c r="L57" s="162"/>
      <c r="M57" s="591"/>
      <c r="N57" s="162"/>
      <c r="O57" s="84"/>
      <c r="P57" s="592"/>
      <c r="Q57" s="162"/>
      <c r="R57" s="154"/>
      <c r="S57" s="594"/>
      <c r="T57" s="84"/>
      <c r="U57" s="154"/>
      <c r="V57" s="582"/>
      <c r="W57" s="84"/>
    </row>
    <row r="58" spans="2:23">
      <c r="B58" s="570"/>
      <c r="C58" s="73"/>
      <c r="D58" s="80">
        <f t="shared" si="8"/>
        <v>46193</v>
      </c>
      <c r="E58" s="456" t="s">
        <v>115</v>
      </c>
      <c r="G58" s="595"/>
      <c r="I58" s="154">
        <f t="shared" si="34"/>
        <v>0</v>
      </c>
      <c r="J58" s="594"/>
      <c r="L58" s="162"/>
      <c r="M58" s="591"/>
      <c r="O58" s="84"/>
      <c r="P58" s="592"/>
      <c r="R58" s="154"/>
      <c r="S58" s="594"/>
      <c r="U58" s="154"/>
      <c r="V58" s="582"/>
    </row>
    <row r="59" spans="2:23">
      <c r="B59" s="570"/>
      <c r="C59" s="73"/>
      <c r="D59" s="80">
        <f t="shared" si="8"/>
        <v>46194</v>
      </c>
      <c r="E59" s="456" t="s">
        <v>116</v>
      </c>
      <c r="G59" s="595"/>
      <c r="I59" s="154">
        <f t="shared" si="34"/>
        <v>0</v>
      </c>
      <c r="J59" s="594"/>
      <c r="L59" s="162"/>
      <c r="M59" s="591"/>
      <c r="O59" s="84"/>
      <c r="P59" s="592"/>
      <c r="R59" s="154"/>
      <c r="S59" s="594"/>
      <c r="U59" s="154"/>
      <c r="V59" s="582"/>
    </row>
    <row r="60" spans="2:23">
      <c r="B60" s="570"/>
      <c r="C60" s="73"/>
      <c r="D60" s="80">
        <f t="shared" si="8"/>
        <v>46195</v>
      </c>
      <c r="E60" s="456" t="s">
        <v>117</v>
      </c>
      <c r="G60" s="595"/>
      <c r="I60" s="154">
        <f t="shared" si="34"/>
        <v>0</v>
      </c>
      <c r="J60" s="594"/>
      <c r="L60" s="162"/>
      <c r="M60" s="591"/>
      <c r="O60" s="84"/>
      <c r="P60" s="592"/>
      <c r="R60" s="154"/>
      <c r="S60" s="594"/>
      <c r="U60" s="154"/>
      <c r="V60" s="582"/>
    </row>
    <row r="61" spans="2:23">
      <c r="B61" s="570">
        <f t="shared" ref="B61" si="57">B54+7</f>
        <v>46204</v>
      </c>
      <c r="D61" s="80">
        <f t="shared" si="8"/>
        <v>46196</v>
      </c>
      <c r="E61" s="456" t="s">
        <v>118</v>
      </c>
      <c r="G61" s="595" t="e">
        <f t="shared" ref="G61" si="58">AVERAGE(F61:F67)</f>
        <v>#DIV/0!</v>
      </c>
      <c r="I61" s="154">
        <f t="shared" ref="I61:I67" si="59">F61/$C$1</f>
        <v>0</v>
      </c>
      <c r="J61" s="594">
        <f t="shared" ref="J61" si="60">AVERAGE(I61:I67)</f>
        <v>0</v>
      </c>
      <c r="L61" s="162"/>
      <c r="M61" s="591" t="e">
        <f>AVERAGE(L61:L67)</f>
        <v>#DIV/0!</v>
      </c>
      <c r="O61" s="84"/>
      <c r="P61" s="592" t="e">
        <f t="shared" ref="P61" si="61">AVERAGE(O61:O67)</f>
        <v>#DIV/0!</v>
      </c>
      <c r="R61" s="154"/>
      <c r="S61" s="594" t="e">
        <f t="shared" ref="S61" si="62">AVERAGE(R61:R67)</f>
        <v>#DIV/0!</v>
      </c>
      <c r="U61" s="154"/>
      <c r="V61" s="582" t="e">
        <f t="shared" ref="V61" si="63">AVERAGE(U61:U67)</f>
        <v>#DIV/0!</v>
      </c>
    </row>
    <row r="62" spans="2:23">
      <c r="B62" s="570"/>
      <c r="D62" s="80">
        <f t="shared" si="8"/>
        <v>46197</v>
      </c>
      <c r="E62" s="456" t="s">
        <v>112</v>
      </c>
      <c r="G62" s="595"/>
      <c r="I62" s="154">
        <f t="shared" si="59"/>
        <v>0</v>
      </c>
      <c r="J62" s="594"/>
      <c r="L62" s="162"/>
      <c r="M62" s="591"/>
      <c r="O62" s="84"/>
      <c r="P62" s="592"/>
      <c r="R62" s="154"/>
      <c r="S62" s="594"/>
      <c r="U62" s="154"/>
      <c r="V62" s="582"/>
    </row>
    <row r="63" spans="2:23">
      <c r="B63" s="570"/>
      <c r="D63" s="80">
        <f t="shared" si="8"/>
        <v>46198</v>
      </c>
      <c r="E63" s="456" t="s">
        <v>113</v>
      </c>
      <c r="G63" s="595"/>
      <c r="I63" s="154">
        <f t="shared" si="59"/>
        <v>0</v>
      </c>
      <c r="J63" s="594"/>
      <c r="L63" s="162"/>
      <c r="M63" s="591"/>
      <c r="O63" s="84"/>
      <c r="P63" s="592"/>
      <c r="R63" s="154"/>
      <c r="S63" s="594"/>
      <c r="U63" s="154"/>
      <c r="V63" s="582"/>
    </row>
    <row r="64" spans="2:23">
      <c r="B64" s="570"/>
      <c r="C64" s="73"/>
      <c r="D64" s="80">
        <f t="shared" si="8"/>
        <v>46199</v>
      </c>
      <c r="E64" s="456" t="s">
        <v>114</v>
      </c>
      <c r="G64" s="595"/>
      <c r="H64" s="87"/>
      <c r="I64" s="154">
        <f t="shared" si="59"/>
        <v>0</v>
      </c>
      <c r="J64" s="594"/>
      <c r="K64" s="84"/>
      <c r="L64" s="162"/>
      <c r="M64" s="591"/>
      <c r="N64" s="162"/>
      <c r="O64" s="84"/>
      <c r="P64" s="592"/>
      <c r="Q64" s="162"/>
      <c r="R64" s="154"/>
      <c r="S64" s="594"/>
      <c r="T64" s="84"/>
      <c r="U64" s="154"/>
      <c r="V64" s="582"/>
      <c r="W64" s="84"/>
    </row>
    <row r="65" spans="2:22">
      <c r="B65" s="570"/>
      <c r="C65" s="73"/>
      <c r="D65" s="80">
        <f t="shared" si="8"/>
        <v>46200</v>
      </c>
      <c r="E65" s="456" t="s">
        <v>115</v>
      </c>
      <c r="G65" s="595"/>
      <c r="I65" s="154">
        <f t="shared" si="59"/>
        <v>0</v>
      </c>
      <c r="J65" s="594"/>
      <c r="L65" s="162"/>
      <c r="M65" s="591"/>
      <c r="O65" s="84"/>
      <c r="P65" s="592"/>
      <c r="R65" s="154"/>
      <c r="S65" s="594"/>
      <c r="U65" s="154"/>
      <c r="V65" s="582"/>
    </row>
    <row r="66" spans="2:22">
      <c r="B66" s="570"/>
      <c r="C66" s="73"/>
      <c r="D66" s="80">
        <f t="shared" si="8"/>
        <v>46201</v>
      </c>
      <c r="E66" s="456" t="s">
        <v>116</v>
      </c>
      <c r="G66" s="595"/>
      <c r="I66" s="154">
        <f t="shared" si="59"/>
        <v>0</v>
      </c>
      <c r="J66" s="594"/>
      <c r="L66" s="162"/>
      <c r="M66" s="591"/>
      <c r="O66" s="84"/>
      <c r="P66" s="592"/>
      <c r="R66" s="154"/>
      <c r="S66" s="594"/>
      <c r="U66" s="154"/>
      <c r="V66" s="582"/>
    </row>
    <row r="67" spans="2:22">
      <c r="B67" s="570"/>
      <c r="C67" s="73"/>
      <c r="D67" s="80">
        <f t="shared" si="8"/>
        <v>46202</v>
      </c>
      <c r="E67" s="456" t="s">
        <v>117</v>
      </c>
      <c r="G67" s="595"/>
      <c r="I67" s="154">
        <f t="shared" si="59"/>
        <v>0</v>
      </c>
      <c r="J67" s="594"/>
      <c r="L67" s="162"/>
      <c r="M67" s="591"/>
      <c r="O67" s="84"/>
      <c r="P67" s="592"/>
      <c r="R67" s="154"/>
      <c r="S67" s="594"/>
      <c r="U67" s="154"/>
      <c r="V67" s="582"/>
    </row>
  </sheetData>
  <mergeCells count="87">
    <mergeCell ref="S40:S46"/>
    <mergeCell ref="V40:V46"/>
    <mergeCell ref="B47:B53"/>
    <mergeCell ref="G47:G53"/>
    <mergeCell ref="J47:J53"/>
    <mergeCell ref="M47:M53"/>
    <mergeCell ref="P47:P53"/>
    <mergeCell ref="S47:S53"/>
    <mergeCell ref="V47:V53"/>
    <mergeCell ref="M40:M46"/>
    <mergeCell ref="P40:P46"/>
    <mergeCell ref="B40:B46"/>
    <mergeCell ref="G40:G46"/>
    <mergeCell ref="J40:J46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B54:B60"/>
    <mergeCell ref="G54:G60"/>
    <mergeCell ref="J54:J60"/>
    <mergeCell ref="M54:M60"/>
    <mergeCell ref="P54:P60"/>
    <mergeCell ref="M26:M32"/>
    <mergeCell ref="P26:P32"/>
    <mergeCell ref="N8:N38"/>
    <mergeCell ref="S12:S18"/>
    <mergeCell ref="W8:W38"/>
    <mergeCell ref="S26:S32"/>
    <mergeCell ref="V26:V32"/>
    <mergeCell ref="S33:S39"/>
    <mergeCell ref="V33:V39"/>
    <mergeCell ref="V12:V18"/>
    <mergeCell ref="M19:M25"/>
    <mergeCell ref="P19:P25"/>
    <mergeCell ref="S19:S25"/>
    <mergeCell ref="V19:V25"/>
    <mergeCell ref="Q8:Q38"/>
    <mergeCell ref="T8:T38"/>
    <mergeCell ref="B33:B39"/>
    <mergeCell ref="G33:G39"/>
    <mergeCell ref="J33:J39"/>
    <mergeCell ref="M33:M39"/>
    <mergeCell ref="P33:P39"/>
    <mergeCell ref="C8:C38"/>
    <mergeCell ref="H8:H38"/>
    <mergeCell ref="K8:K38"/>
    <mergeCell ref="B26:B32"/>
    <mergeCell ref="G26:G32"/>
    <mergeCell ref="G5:G11"/>
    <mergeCell ref="C5:C7"/>
    <mergeCell ref="J26:J32"/>
    <mergeCell ref="B19:B25"/>
    <mergeCell ref="G19:G25"/>
    <mergeCell ref="J19:J25"/>
    <mergeCell ref="B12:B18"/>
    <mergeCell ref="G12:G18"/>
    <mergeCell ref="J12:J18"/>
    <mergeCell ref="M12:M18"/>
    <mergeCell ref="P12:P18"/>
    <mergeCell ref="B5:B11"/>
    <mergeCell ref="N5:N7"/>
    <mergeCell ref="Q5:Q7"/>
    <mergeCell ref="T5:T7"/>
    <mergeCell ref="W5:W7"/>
    <mergeCell ref="H5:H7"/>
    <mergeCell ref="K5:K7"/>
    <mergeCell ref="S5:S11"/>
    <mergeCell ref="V5:V11"/>
    <mergeCell ref="J5:J11"/>
    <mergeCell ref="M5:M11"/>
    <mergeCell ref="P5:P11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34"/>
  <sheetViews>
    <sheetView topLeftCell="A4" zoomScale="85" zoomScaleNormal="85" workbookViewId="0">
      <selection activeCell="G28" sqref="G28:G34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21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74" t="s">
        <v>322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Z2" s="574"/>
      <c r="AA2" s="574"/>
      <c r="AB2" s="574"/>
      <c r="AC2" s="574"/>
      <c r="AD2" s="574"/>
      <c r="AE2" s="574"/>
      <c r="AF2" s="574"/>
      <c r="AG2" s="574"/>
      <c r="AH2" s="574"/>
      <c r="AI2" s="574"/>
      <c r="AJ2" s="574"/>
      <c r="AK2" s="574"/>
      <c r="AL2" s="574"/>
    </row>
    <row r="3" spans="1:40" ht="25.35" customHeight="1">
      <c r="B3" s="610" t="s">
        <v>151</v>
      </c>
      <c r="C3" s="611" t="s">
        <v>144</v>
      </c>
      <c r="D3" s="612" t="s">
        <v>105</v>
      </c>
      <c r="E3" s="612"/>
      <c r="F3" s="614" t="s">
        <v>135</v>
      </c>
      <c r="G3" s="614"/>
      <c r="H3" s="614"/>
      <c r="I3" s="615" t="s">
        <v>109</v>
      </c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/>
      <c r="U3" s="615"/>
      <c r="V3" s="615"/>
      <c r="W3" s="615"/>
      <c r="X3" s="615"/>
      <c r="Y3" s="615"/>
      <c r="Z3" s="615"/>
      <c r="AA3" s="615"/>
      <c r="AB3" s="615"/>
      <c r="AC3" s="615"/>
      <c r="AD3" s="615"/>
      <c r="AE3" s="615"/>
      <c r="AF3" s="615"/>
      <c r="AG3" s="615"/>
      <c r="AH3" s="615"/>
      <c r="AI3" s="615"/>
      <c r="AJ3" s="615"/>
      <c r="AK3" s="615"/>
      <c r="AL3" s="615"/>
    </row>
    <row r="4" spans="1:40" ht="25.35" customHeight="1">
      <c r="B4" s="610"/>
      <c r="C4" s="611"/>
      <c r="D4" s="612"/>
      <c r="E4" s="612"/>
      <c r="F4" s="614"/>
      <c r="G4" s="614"/>
      <c r="H4" s="614"/>
      <c r="I4" s="608" t="s">
        <v>145</v>
      </c>
      <c r="J4" s="608"/>
      <c r="K4" s="608"/>
      <c r="L4" s="608"/>
      <c r="M4" s="608"/>
      <c r="N4" s="608"/>
      <c r="O4" s="608" t="s">
        <v>146</v>
      </c>
      <c r="P4" s="608"/>
      <c r="Q4" s="608"/>
      <c r="R4" s="608"/>
      <c r="S4" s="608"/>
      <c r="T4" s="608"/>
      <c r="U4" s="608" t="s">
        <v>147</v>
      </c>
      <c r="V4" s="608"/>
      <c r="W4" s="608" t="s">
        <v>148</v>
      </c>
      <c r="X4" s="608"/>
      <c r="Y4" s="608" t="s">
        <v>139</v>
      </c>
      <c r="Z4" s="608"/>
      <c r="AA4" s="608"/>
      <c r="AB4" s="608"/>
      <c r="AC4" s="608"/>
      <c r="AD4" s="608"/>
      <c r="AE4" s="608" t="s">
        <v>137</v>
      </c>
      <c r="AF4" s="608"/>
      <c r="AG4" s="608" t="s">
        <v>149</v>
      </c>
      <c r="AH4" s="608"/>
      <c r="AI4" s="608" t="s">
        <v>150</v>
      </c>
      <c r="AJ4" s="608"/>
      <c r="AK4" s="608" t="s">
        <v>143</v>
      </c>
      <c r="AL4" s="608"/>
    </row>
    <row r="5" spans="1:40" ht="25.35" customHeight="1">
      <c r="B5" s="610"/>
      <c r="C5" s="611"/>
      <c r="D5" s="612"/>
      <c r="E5" s="612"/>
      <c r="F5" s="617" t="s">
        <v>116</v>
      </c>
      <c r="G5" s="609" t="s">
        <v>120</v>
      </c>
      <c r="H5" s="609" t="s">
        <v>121</v>
      </c>
      <c r="I5" s="608" t="s">
        <v>133</v>
      </c>
      <c r="J5" s="608"/>
      <c r="K5" s="608" t="s">
        <v>134</v>
      </c>
      <c r="L5" s="608"/>
      <c r="M5" s="616" t="s">
        <v>152</v>
      </c>
      <c r="N5" s="608"/>
      <c r="O5" s="608" t="s">
        <v>133</v>
      </c>
      <c r="P5" s="608"/>
      <c r="Q5" s="608" t="s">
        <v>134</v>
      </c>
      <c r="R5" s="608"/>
      <c r="S5" s="616" t="s">
        <v>152</v>
      </c>
      <c r="T5" s="608"/>
      <c r="U5" s="608" t="s">
        <v>133</v>
      </c>
      <c r="V5" s="608"/>
      <c r="W5" s="608" t="s">
        <v>133</v>
      </c>
      <c r="X5" s="608"/>
      <c r="Y5" s="608" t="s">
        <v>133</v>
      </c>
      <c r="Z5" s="608"/>
      <c r="AA5" s="608" t="s">
        <v>134</v>
      </c>
      <c r="AB5" s="608"/>
      <c r="AC5" s="616" t="s">
        <v>152</v>
      </c>
      <c r="AD5" s="608"/>
      <c r="AE5" s="608" t="s">
        <v>133</v>
      </c>
      <c r="AF5" s="608"/>
      <c r="AG5" s="608" t="s">
        <v>133</v>
      </c>
      <c r="AH5" s="608"/>
      <c r="AI5" s="608" t="s">
        <v>133</v>
      </c>
      <c r="AJ5" s="608"/>
      <c r="AK5" s="608" t="s">
        <v>133</v>
      </c>
      <c r="AL5" s="608"/>
    </row>
    <row r="6" spans="1:40" s="77" customFormat="1" ht="23.45" customHeight="1">
      <c r="B6" s="610"/>
      <c r="C6" s="611"/>
      <c r="D6" s="613"/>
      <c r="E6" s="613"/>
      <c r="F6" s="618"/>
      <c r="G6" s="609"/>
      <c r="H6" s="609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96">
        <f>D8+7</f>
        <v>46148</v>
      </c>
      <c r="C7" s="606"/>
      <c r="D7" s="171">
        <v>46140</v>
      </c>
      <c r="E7" s="171" t="s">
        <v>118</v>
      </c>
      <c r="F7" s="322">
        <f t="shared" ref="F7:F34" si="0">SUM(M7,S7,U7,W7,AC7,AE7,AG7,AI7,AK7)</f>
        <v>6434818.2700000005</v>
      </c>
      <c r="G7" s="599">
        <f t="shared" ref="G7" si="1">SUM(F7:F13)</f>
        <v>37624281.149999999</v>
      </c>
      <c r="H7" s="604"/>
      <c r="I7" s="172">
        <v>1196647.98</v>
      </c>
      <c r="J7" s="173">
        <f t="shared" ref="J7:J34" si="2">I7/$F7</f>
        <v>0.18596453385155193</v>
      </c>
      <c r="K7" s="172">
        <v>1283344.1200000001</v>
      </c>
      <c r="L7" s="173">
        <f t="shared" ref="L7:L34" si="3">K7/$F7</f>
        <v>0.19943750796865939</v>
      </c>
      <c r="M7" s="172">
        <f t="shared" ref="M7:M34" si="4">I7+K7</f>
        <v>2479992.1</v>
      </c>
      <c r="N7" s="173">
        <f t="shared" ref="N7" si="5">M7/$F7</f>
        <v>0.38540204182021132</v>
      </c>
      <c r="O7" s="172">
        <v>293690.21000000002</v>
      </c>
      <c r="P7" s="173">
        <f t="shared" ref="P7:P34" si="6">O7/$F7</f>
        <v>4.5640793209222985E-2</v>
      </c>
      <c r="Q7" s="172">
        <v>0</v>
      </c>
      <c r="R7" s="173">
        <f t="shared" ref="R7:R34" si="7">Q7/$F7</f>
        <v>0</v>
      </c>
      <c r="S7" s="172">
        <f t="shared" ref="S7:S34" si="8">O7+Q7</f>
        <v>293690.21000000002</v>
      </c>
      <c r="T7" s="173">
        <f t="shared" ref="T7" si="9">S7/$F7</f>
        <v>4.5640793209222985E-2</v>
      </c>
      <c r="U7" s="172">
        <v>106373.61</v>
      </c>
      <c r="V7" s="173">
        <f t="shared" ref="V7" si="10">U7/$F7</f>
        <v>1.653094237267403E-2</v>
      </c>
      <c r="W7" s="172">
        <v>124844.22</v>
      </c>
      <c r="X7" s="173">
        <f t="shared" ref="X7:X34" si="11">W7/$F7</f>
        <v>1.9401359100076031E-2</v>
      </c>
      <c r="Y7" s="172">
        <v>224979.51</v>
      </c>
      <c r="Z7" s="173">
        <f t="shared" ref="Z7:Z34" si="12">Y7/$F7</f>
        <v>3.4962838196827585E-2</v>
      </c>
      <c r="AA7" s="172">
        <v>654753.21</v>
      </c>
      <c r="AB7" s="173">
        <f t="shared" ref="AB7:AB34" si="13">AA7/$F7</f>
        <v>0.10175162413716463</v>
      </c>
      <c r="AC7" s="172">
        <f t="shared" ref="AC7:AC34" si="14">Y7+AA7</f>
        <v>879732.72</v>
      </c>
      <c r="AD7" s="173">
        <f t="shared" ref="AD7:AD34" si="15">AC7/$F7</f>
        <v>0.1367144623339922</v>
      </c>
      <c r="AE7" s="172">
        <v>1635891.7599999998</v>
      </c>
      <c r="AF7" s="173">
        <f t="shared" ref="AF7:AF34" si="16">AE7/F7</f>
        <v>0.25422501325744506</v>
      </c>
      <c r="AG7" s="172">
        <v>0</v>
      </c>
      <c r="AH7" s="173">
        <f t="shared" ref="AH7:AH34" si="17">AG7/$F7</f>
        <v>0</v>
      </c>
      <c r="AI7" s="172">
        <v>840773.25</v>
      </c>
      <c r="AJ7" s="173">
        <f t="shared" ref="AJ7:AJ34" si="18">AI7/$F7</f>
        <v>0.13065998365793785</v>
      </c>
      <c r="AK7" s="172">
        <v>73520.399999999994</v>
      </c>
      <c r="AL7" s="173">
        <f t="shared" ref="AL7:AL34" si="19">AK7/$F7</f>
        <v>1.1425404248440412E-2</v>
      </c>
      <c r="AN7" s="72"/>
    </row>
    <row r="8" spans="1:40" s="73" customFormat="1" ht="14.25" customHeight="1">
      <c r="B8" s="597"/>
      <c r="C8" s="606"/>
      <c r="D8" s="171">
        <v>46141</v>
      </c>
      <c r="E8" s="171" t="s">
        <v>112</v>
      </c>
      <c r="F8" s="322">
        <f t="shared" si="0"/>
        <v>5586966.5599999996</v>
      </c>
      <c r="G8" s="599"/>
      <c r="H8" s="604"/>
      <c r="I8" s="172">
        <v>1152282.1399999999</v>
      </c>
      <c r="J8" s="173">
        <f t="shared" si="2"/>
        <v>0.20624468172939986</v>
      </c>
      <c r="K8" s="172">
        <v>1052758.5</v>
      </c>
      <c r="L8" s="173">
        <f t="shared" si="3"/>
        <v>0.18843114393009722</v>
      </c>
      <c r="M8" s="172">
        <f t="shared" si="4"/>
        <v>2205040.6399999997</v>
      </c>
      <c r="N8" s="173">
        <f t="shared" ref="N8" si="20">M8/F8</f>
        <v>0.39467582565949705</v>
      </c>
      <c r="O8" s="172">
        <v>273819.69</v>
      </c>
      <c r="P8" s="173">
        <f t="shared" si="6"/>
        <v>4.901044011260379E-2</v>
      </c>
      <c r="Q8" s="172">
        <v>0</v>
      </c>
      <c r="R8" s="173">
        <f t="shared" si="7"/>
        <v>0</v>
      </c>
      <c r="S8" s="172">
        <f t="shared" si="8"/>
        <v>273819.69</v>
      </c>
      <c r="T8" s="173">
        <f t="shared" ref="T8" si="21">S8/F8</f>
        <v>4.901044011260379E-2</v>
      </c>
      <c r="U8" s="172">
        <v>96518.21</v>
      </c>
      <c r="V8" s="173">
        <f t="shared" ref="V8" si="22">U8/F8</f>
        <v>1.7275601878669562E-2</v>
      </c>
      <c r="W8" s="172">
        <v>143424.39000000001</v>
      </c>
      <c r="X8" s="173">
        <f t="shared" si="11"/>
        <v>2.5671245470994912E-2</v>
      </c>
      <c r="Y8" s="172">
        <v>174567.75</v>
      </c>
      <c r="Z8" s="173">
        <f t="shared" si="12"/>
        <v>3.1245533354328867E-2</v>
      </c>
      <c r="AA8" s="172">
        <v>510976.59000000008</v>
      </c>
      <c r="AB8" s="173">
        <f t="shared" si="13"/>
        <v>9.1458680576029822E-2</v>
      </c>
      <c r="AC8" s="172">
        <f t="shared" si="14"/>
        <v>685544.34000000008</v>
      </c>
      <c r="AD8" s="173">
        <f t="shared" si="15"/>
        <v>0.12270421393035869</v>
      </c>
      <c r="AE8" s="172">
        <v>1433507.3699999999</v>
      </c>
      <c r="AF8" s="173">
        <f t="shared" si="16"/>
        <v>0.25658062467443871</v>
      </c>
      <c r="AG8" s="172">
        <v>0</v>
      </c>
      <c r="AH8" s="173">
        <f t="shared" si="17"/>
        <v>0</v>
      </c>
      <c r="AI8" s="172">
        <v>685934.0199999999</v>
      </c>
      <c r="AJ8" s="173">
        <f t="shared" si="18"/>
        <v>0.12277396197624636</v>
      </c>
      <c r="AK8" s="172">
        <v>63177.899999999994</v>
      </c>
      <c r="AL8" s="173">
        <f t="shared" si="19"/>
        <v>1.1308086297190939E-2</v>
      </c>
      <c r="AN8" s="72"/>
    </row>
    <row r="9" spans="1:40" s="73" customFormat="1" ht="14.25" customHeight="1">
      <c r="B9" s="597"/>
      <c r="C9" s="607"/>
      <c r="D9" s="171">
        <v>46142</v>
      </c>
      <c r="E9" s="171" t="s">
        <v>113</v>
      </c>
      <c r="F9" s="322">
        <f t="shared" si="0"/>
        <v>4446498.88</v>
      </c>
      <c r="G9" s="599"/>
      <c r="H9" s="604"/>
      <c r="I9" s="172">
        <v>762684.46000000008</v>
      </c>
      <c r="J9" s="173">
        <f t="shared" si="2"/>
        <v>0.17152471654282753</v>
      </c>
      <c r="K9" s="172">
        <v>930428.7</v>
      </c>
      <c r="L9" s="173">
        <f t="shared" si="3"/>
        <v>0.20924973222977625</v>
      </c>
      <c r="M9" s="172">
        <f t="shared" si="4"/>
        <v>1693113.1600000001</v>
      </c>
      <c r="N9" s="173">
        <f t="shared" ref="N9" si="23">M9/$F9</f>
        <v>0.3807744487726038</v>
      </c>
      <c r="O9" s="172">
        <v>194141.89</v>
      </c>
      <c r="P9" s="173">
        <f t="shared" si="6"/>
        <v>4.3661742696761908E-2</v>
      </c>
      <c r="Q9" s="172">
        <v>0</v>
      </c>
      <c r="R9" s="173">
        <f t="shared" si="7"/>
        <v>0</v>
      </c>
      <c r="S9" s="172">
        <f t="shared" si="8"/>
        <v>194141.89</v>
      </c>
      <c r="T9" s="173">
        <f t="shared" ref="T9" si="24">S9/$F9</f>
        <v>4.3661742696761908E-2</v>
      </c>
      <c r="U9" s="172">
        <v>84496.430000000008</v>
      </c>
      <c r="V9" s="173">
        <f t="shared" ref="V9" si="25">U9/$F9</f>
        <v>1.9002912691614127E-2</v>
      </c>
      <c r="W9" s="172">
        <v>104062.92000000001</v>
      </c>
      <c r="X9" s="173">
        <f t="shared" si="11"/>
        <v>2.3403338853421687E-2</v>
      </c>
      <c r="Y9" s="172">
        <v>149475.41</v>
      </c>
      <c r="Z9" s="173">
        <f t="shared" si="12"/>
        <v>3.3616428123332848E-2</v>
      </c>
      <c r="AA9" s="172">
        <v>454301.41999999993</v>
      </c>
      <c r="AB9" s="173">
        <f t="shared" si="13"/>
        <v>0.10217059134849032</v>
      </c>
      <c r="AC9" s="172">
        <f t="shared" si="14"/>
        <v>603776.82999999996</v>
      </c>
      <c r="AD9" s="173">
        <f t="shared" si="15"/>
        <v>0.13578701947182317</v>
      </c>
      <c r="AE9" s="172">
        <v>1085516.27</v>
      </c>
      <c r="AF9" s="173">
        <f t="shared" si="16"/>
        <v>0.24412831292560677</v>
      </c>
      <c r="AG9" s="172">
        <v>0</v>
      </c>
      <c r="AH9" s="173">
        <f t="shared" si="17"/>
        <v>0</v>
      </c>
      <c r="AI9" s="172">
        <v>613958.28</v>
      </c>
      <c r="AJ9" s="173">
        <f t="shared" si="18"/>
        <v>0.13807678728123282</v>
      </c>
      <c r="AK9" s="172">
        <v>67433.099999999991</v>
      </c>
      <c r="AL9" s="173">
        <f t="shared" si="19"/>
        <v>1.5165437306935743E-2</v>
      </c>
      <c r="AN9" s="72"/>
    </row>
    <row r="10" spans="1:40" s="73" customFormat="1" ht="14.25" customHeight="1">
      <c r="B10" s="597"/>
      <c r="C10" s="600" t="s">
        <v>114</v>
      </c>
      <c r="D10" s="171">
        <v>46143</v>
      </c>
      <c r="E10" s="171" t="s">
        <v>114</v>
      </c>
      <c r="F10" s="322">
        <f t="shared" si="0"/>
        <v>4128529.58</v>
      </c>
      <c r="G10" s="599"/>
      <c r="H10" s="603">
        <f>SUM(F10:F34)</f>
        <v>143048478.43999997</v>
      </c>
      <c r="I10" s="172">
        <v>735223.63</v>
      </c>
      <c r="J10" s="173">
        <f t="shared" si="2"/>
        <v>0.17808365321195058</v>
      </c>
      <c r="K10" s="172">
        <v>904301.05</v>
      </c>
      <c r="L10" s="173">
        <f t="shared" si="3"/>
        <v>0.21903707663395258</v>
      </c>
      <c r="M10" s="172">
        <f t="shared" si="4"/>
        <v>1639524.6800000002</v>
      </c>
      <c r="N10" s="173">
        <f t="shared" ref="N10" si="26">M10/F10</f>
        <v>0.39712072984590319</v>
      </c>
      <c r="O10" s="172">
        <v>189738.31</v>
      </c>
      <c r="P10" s="173">
        <f t="shared" si="6"/>
        <v>4.5957841968519937E-2</v>
      </c>
      <c r="Q10" s="172">
        <v>0</v>
      </c>
      <c r="R10" s="173">
        <f t="shared" si="7"/>
        <v>0</v>
      </c>
      <c r="S10" s="172">
        <f t="shared" si="8"/>
        <v>189738.31</v>
      </c>
      <c r="T10" s="173">
        <f t="shared" ref="T10" si="27">S10/F10</f>
        <v>4.5957841968519937E-2</v>
      </c>
      <c r="U10" s="172">
        <v>74886.61</v>
      </c>
      <c r="V10" s="173">
        <f t="shared" ref="V10" si="28">U10/F10</f>
        <v>1.8138809120510163E-2</v>
      </c>
      <c r="W10" s="172">
        <v>51528.840000000004</v>
      </c>
      <c r="X10" s="173">
        <f t="shared" si="11"/>
        <v>1.2481160423222644E-2</v>
      </c>
      <c r="Y10" s="172">
        <v>153506.08000000002</v>
      </c>
      <c r="Z10" s="173">
        <f t="shared" si="12"/>
        <v>3.7181780347084255E-2</v>
      </c>
      <c r="AA10" s="172">
        <v>528791.27999999991</v>
      </c>
      <c r="AB10" s="173">
        <f t="shared" si="13"/>
        <v>0.12808223115601364</v>
      </c>
      <c r="AC10" s="172">
        <f t="shared" si="14"/>
        <v>682297.35999999987</v>
      </c>
      <c r="AD10" s="173">
        <f t="shared" si="15"/>
        <v>0.16526401150309789</v>
      </c>
      <c r="AE10" s="172">
        <v>951820.67</v>
      </c>
      <c r="AF10" s="173">
        <f t="shared" si="16"/>
        <v>0.23054713586428999</v>
      </c>
      <c r="AG10" s="172">
        <v>0</v>
      </c>
      <c r="AH10" s="173">
        <f t="shared" si="17"/>
        <v>0</v>
      </c>
      <c r="AI10" s="172">
        <v>473191.21</v>
      </c>
      <c r="AJ10" s="173">
        <f t="shared" si="18"/>
        <v>0.11461494966447594</v>
      </c>
      <c r="AK10" s="172">
        <v>65541.899999999994</v>
      </c>
      <c r="AL10" s="173">
        <f t="shared" si="19"/>
        <v>1.5875361609980276E-2</v>
      </c>
      <c r="AN10" s="72"/>
    </row>
    <row r="11" spans="1:40" s="73" customFormat="1" ht="14.25" customHeight="1">
      <c r="B11" s="597"/>
      <c r="C11" s="601"/>
      <c r="D11" s="171">
        <v>46144</v>
      </c>
      <c r="E11" s="171" t="s">
        <v>115</v>
      </c>
      <c r="F11" s="322">
        <f t="shared" si="0"/>
        <v>4422738.33</v>
      </c>
      <c r="G11" s="599"/>
      <c r="H11" s="604"/>
      <c r="I11" s="172">
        <v>696928.84999999986</v>
      </c>
      <c r="J11" s="173">
        <f t="shared" si="2"/>
        <v>0.15757858548235654</v>
      </c>
      <c r="K11" s="172">
        <v>1077660.98</v>
      </c>
      <c r="L11" s="173">
        <f t="shared" si="3"/>
        <v>0.24366374395023274</v>
      </c>
      <c r="M11" s="172">
        <f t="shared" si="4"/>
        <v>1774589.8299999998</v>
      </c>
      <c r="N11" s="173">
        <f t="shared" ref="N11" si="29">M11/$F11</f>
        <v>0.40124232943258931</v>
      </c>
      <c r="O11" s="172">
        <v>185451.78999999998</v>
      </c>
      <c r="P11" s="173">
        <f t="shared" si="6"/>
        <v>4.1931440696379607E-2</v>
      </c>
      <c r="Q11" s="172">
        <v>0</v>
      </c>
      <c r="R11" s="173">
        <f t="shared" si="7"/>
        <v>0</v>
      </c>
      <c r="S11" s="172">
        <f t="shared" si="8"/>
        <v>185451.78999999998</v>
      </c>
      <c r="T11" s="173">
        <f t="shared" ref="T11" si="30">S11/$F11</f>
        <v>4.1931440696379607E-2</v>
      </c>
      <c r="U11" s="172">
        <v>77677.25</v>
      </c>
      <c r="V11" s="173">
        <f t="shared" ref="V11" si="31">U11/$F11</f>
        <v>1.7563157529150046E-2</v>
      </c>
      <c r="W11" s="172">
        <v>43769.16</v>
      </c>
      <c r="X11" s="173">
        <f t="shared" si="11"/>
        <v>9.8963937574846304E-3</v>
      </c>
      <c r="Y11" s="172">
        <v>182174.93000000002</v>
      </c>
      <c r="Z11" s="173">
        <f t="shared" si="12"/>
        <v>4.1190528674121221E-2</v>
      </c>
      <c r="AA11" s="172">
        <v>591196.37000000011</v>
      </c>
      <c r="AB11" s="173">
        <f t="shared" si="13"/>
        <v>0.13367202079079368</v>
      </c>
      <c r="AC11" s="172">
        <f t="shared" si="14"/>
        <v>773371.30000000016</v>
      </c>
      <c r="AD11" s="173">
        <f t="shared" si="15"/>
        <v>0.17486254946491492</v>
      </c>
      <c r="AE11" s="172">
        <v>1049970.06</v>
      </c>
      <c r="AF11" s="173">
        <f t="shared" si="16"/>
        <v>0.2374027088326521</v>
      </c>
      <c r="AG11" s="172">
        <v>0</v>
      </c>
      <c r="AH11" s="173">
        <f t="shared" si="17"/>
        <v>0</v>
      </c>
      <c r="AI11" s="172">
        <v>455262.94</v>
      </c>
      <c r="AJ11" s="173">
        <f t="shared" si="18"/>
        <v>0.10293689249302705</v>
      </c>
      <c r="AK11" s="172">
        <v>62646</v>
      </c>
      <c r="AL11" s="173">
        <f t="shared" si="19"/>
        <v>1.4164527793802352E-2</v>
      </c>
      <c r="AN11" s="72"/>
    </row>
    <row r="12" spans="1:40" s="73" customFormat="1" ht="14.25" customHeight="1">
      <c r="B12" s="597"/>
      <c r="C12" s="601"/>
      <c r="D12" s="171">
        <v>46145</v>
      </c>
      <c r="E12" s="171" t="s">
        <v>116</v>
      </c>
      <c r="F12" s="322">
        <f t="shared" si="0"/>
        <v>6472238.8599999994</v>
      </c>
      <c r="G12" s="599"/>
      <c r="H12" s="604"/>
      <c r="I12" s="172">
        <v>1156742.08</v>
      </c>
      <c r="J12" s="173">
        <f t="shared" si="2"/>
        <v>0.17872363876261516</v>
      </c>
      <c r="K12" s="172">
        <v>1287660.1300000001</v>
      </c>
      <c r="L12" s="173">
        <f t="shared" si="3"/>
        <v>0.19895126830964954</v>
      </c>
      <c r="M12" s="172">
        <f t="shared" si="4"/>
        <v>2444402.21</v>
      </c>
      <c r="N12" s="173">
        <f t="shared" ref="N12" si="32">M12/F12</f>
        <v>0.37767490707226464</v>
      </c>
      <c r="O12" s="172">
        <v>295800.71000000002</v>
      </c>
      <c r="P12" s="173">
        <f t="shared" si="6"/>
        <v>4.5702996505292769E-2</v>
      </c>
      <c r="Q12" s="172">
        <v>0</v>
      </c>
      <c r="R12" s="173">
        <f t="shared" si="7"/>
        <v>0</v>
      </c>
      <c r="S12" s="172">
        <f t="shared" si="8"/>
        <v>295800.71000000002</v>
      </c>
      <c r="T12" s="173">
        <f t="shared" ref="T12" si="33">S12/F12</f>
        <v>4.5702996505292769E-2</v>
      </c>
      <c r="U12" s="172">
        <v>113189.96</v>
      </c>
      <c r="V12" s="173">
        <f t="shared" ref="V12" si="34">U12/F12</f>
        <v>1.748853255394224E-2</v>
      </c>
      <c r="W12" s="172">
        <v>63000.240000000005</v>
      </c>
      <c r="X12" s="173">
        <f t="shared" si="11"/>
        <v>9.7339176385094067E-3</v>
      </c>
      <c r="Y12" s="172">
        <v>232813.77000000002</v>
      </c>
      <c r="Z12" s="173">
        <f t="shared" si="12"/>
        <v>3.5971133797123189E-2</v>
      </c>
      <c r="AA12" s="172">
        <v>696145.05</v>
      </c>
      <c r="AB12" s="173">
        <f t="shared" si="13"/>
        <v>0.10755861535060839</v>
      </c>
      <c r="AC12" s="172">
        <f t="shared" si="14"/>
        <v>928958.82000000007</v>
      </c>
      <c r="AD12" s="173">
        <f t="shared" si="15"/>
        <v>0.14352974914773156</v>
      </c>
      <c r="AE12" s="172">
        <v>1880462.73</v>
      </c>
      <c r="AF12" s="173">
        <f t="shared" si="16"/>
        <v>0.29054285088606885</v>
      </c>
      <c r="AG12" s="172">
        <v>0</v>
      </c>
      <c r="AH12" s="173">
        <f t="shared" si="17"/>
        <v>0</v>
      </c>
      <c r="AI12" s="172">
        <v>683482.69</v>
      </c>
      <c r="AJ12" s="173">
        <f t="shared" si="18"/>
        <v>0.10560220424250535</v>
      </c>
      <c r="AK12" s="172">
        <v>62941.5</v>
      </c>
      <c r="AL12" s="173">
        <f t="shared" si="19"/>
        <v>9.724841953685252E-3</v>
      </c>
      <c r="AN12" s="72"/>
    </row>
    <row r="13" spans="1:40" s="73" customFormat="1" ht="14.25" customHeight="1">
      <c r="B13" s="598"/>
      <c r="C13" s="601"/>
      <c r="D13" s="171">
        <v>46146</v>
      </c>
      <c r="E13" s="171" t="s">
        <v>117</v>
      </c>
      <c r="F13" s="322">
        <f t="shared" si="0"/>
        <v>6132490.6699999999</v>
      </c>
      <c r="G13" s="599"/>
      <c r="H13" s="604"/>
      <c r="I13" s="172">
        <v>1117910.6499999999</v>
      </c>
      <c r="J13" s="173">
        <f t="shared" si="2"/>
        <v>0.1822930861466765</v>
      </c>
      <c r="K13" s="172">
        <v>1252098.08</v>
      </c>
      <c r="L13" s="173">
        <f t="shared" si="3"/>
        <v>0.20417447777380804</v>
      </c>
      <c r="M13" s="172">
        <f t="shared" si="4"/>
        <v>2370008.73</v>
      </c>
      <c r="N13" s="173">
        <f t="shared" ref="N13:N14" si="35">M13/$F13</f>
        <v>0.38646756392048454</v>
      </c>
      <c r="O13" s="172">
        <v>275130.65000000002</v>
      </c>
      <c r="P13" s="173">
        <f t="shared" si="6"/>
        <v>4.4864422109263481E-2</v>
      </c>
      <c r="Q13" s="172">
        <v>0</v>
      </c>
      <c r="R13" s="173">
        <f t="shared" si="7"/>
        <v>0</v>
      </c>
      <c r="S13" s="172">
        <f t="shared" si="8"/>
        <v>275130.65000000002</v>
      </c>
      <c r="T13" s="173">
        <f t="shared" ref="T13:T14" si="36">S13/$F13</f>
        <v>4.4864422109263481E-2</v>
      </c>
      <c r="U13" s="172">
        <v>106413.37</v>
      </c>
      <c r="V13" s="173">
        <f t="shared" ref="V13:V14" si="37">U13/$F13</f>
        <v>1.7352390036330868E-2</v>
      </c>
      <c r="W13" s="172">
        <v>63885</v>
      </c>
      <c r="X13" s="173">
        <f t="shared" si="11"/>
        <v>1.0417463871983355E-2</v>
      </c>
      <c r="Y13" s="172">
        <v>228328.94</v>
      </c>
      <c r="Z13" s="173">
        <f t="shared" si="12"/>
        <v>3.7232659988702441E-2</v>
      </c>
      <c r="AA13" s="172">
        <v>684259.9</v>
      </c>
      <c r="AB13" s="173">
        <f t="shared" si="13"/>
        <v>0.11157944411515917</v>
      </c>
      <c r="AC13" s="172">
        <f t="shared" si="14"/>
        <v>912588.84000000008</v>
      </c>
      <c r="AD13" s="173">
        <f t="shared" si="15"/>
        <v>0.14881210410386161</v>
      </c>
      <c r="AE13" s="172">
        <v>1710646.62</v>
      </c>
      <c r="AF13" s="173">
        <f t="shared" si="16"/>
        <v>0.27894809989168728</v>
      </c>
      <c r="AG13" s="172">
        <v>0</v>
      </c>
      <c r="AH13" s="173">
        <f t="shared" si="17"/>
        <v>0</v>
      </c>
      <c r="AI13" s="172">
        <v>623429.36</v>
      </c>
      <c r="AJ13" s="173">
        <f t="shared" si="18"/>
        <v>0.10166005845712929</v>
      </c>
      <c r="AK13" s="172">
        <v>70388.099999999991</v>
      </c>
      <c r="AL13" s="173">
        <f t="shared" si="19"/>
        <v>1.1477897609259631E-2</v>
      </c>
      <c r="AN13" s="72"/>
    </row>
    <row r="14" spans="1:40" s="73" customFormat="1" ht="14.25" customHeight="1">
      <c r="B14" s="596">
        <f>D15+7</f>
        <v>46155</v>
      </c>
      <c r="C14" s="601"/>
      <c r="D14" s="171">
        <v>46147</v>
      </c>
      <c r="E14" s="171" t="s">
        <v>118</v>
      </c>
      <c r="F14" s="322">
        <f t="shared" si="0"/>
        <v>5984383.9399999995</v>
      </c>
      <c r="G14" s="599">
        <f t="shared" ref="G14" si="38">SUM(F14:F20)</f>
        <v>38419572.549999997</v>
      </c>
      <c r="H14" s="604"/>
      <c r="I14" s="172">
        <v>1056722.76</v>
      </c>
      <c r="J14" s="173">
        <f t="shared" si="2"/>
        <v>0.17658004075186395</v>
      </c>
      <c r="K14" s="172">
        <v>1211356.7500000002</v>
      </c>
      <c r="L14" s="173">
        <f t="shared" si="3"/>
        <v>0.20241962450022891</v>
      </c>
      <c r="M14" s="172">
        <f t="shared" si="4"/>
        <v>2268079.5100000002</v>
      </c>
      <c r="N14" s="173">
        <f t="shared" si="35"/>
        <v>0.37899966525209283</v>
      </c>
      <c r="O14" s="172">
        <v>289161.94</v>
      </c>
      <c r="P14" s="173">
        <f t="shared" si="6"/>
        <v>4.8319416484497821E-2</v>
      </c>
      <c r="Q14" s="172">
        <v>0</v>
      </c>
      <c r="R14" s="173">
        <f t="shared" si="7"/>
        <v>0</v>
      </c>
      <c r="S14" s="172">
        <f t="shared" si="8"/>
        <v>289161.94</v>
      </c>
      <c r="T14" s="173">
        <f t="shared" si="36"/>
        <v>4.8319416484497821E-2</v>
      </c>
      <c r="U14" s="172">
        <v>96983.859999999986</v>
      </c>
      <c r="V14" s="173">
        <f t="shared" si="37"/>
        <v>1.6206156050876643E-2</v>
      </c>
      <c r="W14" s="172">
        <v>51599.28</v>
      </c>
      <c r="X14" s="173">
        <f t="shared" si="11"/>
        <v>8.6223211139758536E-3</v>
      </c>
      <c r="Y14" s="172">
        <v>223730.57</v>
      </c>
      <c r="Z14" s="173">
        <f t="shared" si="12"/>
        <v>3.7385731303864175E-2</v>
      </c>
      <c r="AA14" s="172">
        <v>660245.14</v>
      </c>
      <c r="AB14" s="173">
        <f t="shared" si="13"/>
        <v>0.11032800479041457</v>
      </c>
      <c r="AC14" s="172">
        <f t="shared" si="14"/>
        <v>883975.71</v>
      </c>
      <c r="AD14" s="173">
        <f t="shared" si="15"/>
        <v>0.14771373609427874</v>
      </c>
      <c r="AE14" s="172">
        <v>1692750.3900000001</v>
      </c>
      <c r="AF14" s="173">
        <f t="shared" si="16"/>
        <v>0.28286126140496265</v>
      </c>
      <c r="AG14" s="172">
        <v>0</v>
      </c>
      <c r="AH14" s="173">
        <f t="shared" si="17"/>
        <v>0</v>
      </c>
      <c r="AI14" s="172">
        <v>630913.25</v>
      </c>
      <c r="AJ14" s="173">
        <f t="shared" si="18"/>
        <v>0.10542659968437788</v>
      </c>
      <c r="AK14" s="172">
        <v>70920</v>
      </c>
      <c r="AL14" s="173">
        <f t="shared" si="19"/>
        <v>1.1850843914937717E-2</v>
      </c>
      <c r="AN14" s="72"/>
    </row>
    <row r="15" spans="1:40" s="73" customFormat="1" ht="14.25" customHeight="1">
      <c r="B15" s="597"/>
      <c r="C15" s="601"/>
      <c r="D15" s="171">
        <v>46148</v>
      </c>
      <c r="E15" s="171" t="s">
        <v>112</v>
      </c>
      <c r="F15" s="322">
        <f t="shared" si="0"/>
        <v>5601506.870000001</v>
      </c>
      <c r="G15" s="599"/>
      <c r="H15" s="604"/>
      <c r="I15" s="172">
        <v>1042367.5000000001</v>
      </c>
      <c r="J15" s="173">
        <f t="shared" si="2"/>
        <v>0.18608698055564465</v>
      </c>
      <c r="K15" s="172">
        <v>1158816.8900000001</v>
      </c>
      <c r="L15" s="173">
        <f t="shared" si="3"/>
        <v>0.20687592051458109</v>
      </c>
      <c r="M15" s="172">
        <f t="shared" si="4"/>
        <v>2201184.39</v>
      </c>
      <c r="N15" s="173">
        <f t="shared" ref="N15" si="39">M15/F15</f>
        <v>0.39296290107022575</v>
      </c>
      <c r="O15" s="172">
        <v>283443.26</v>
      </c>
      <c r="P15" s="173">
        <f t="shared" si="6"/>
        <v>5.0601251873498093E-2</v>
      </c>
      <c r="Q15" s="172">
        <v>0</v>
      </c>
      <c r="R15" s="173">
        <f t="shared" si="7"/>
        <v>0</v>
      </c>
      <c r="S15" s="172">
        <f t="shared" si="8"/>
        <v>283443.26</v>
      </c>
      <c r="T15" s="173">
        <f t="shared" ref="T15" si="40">S15/F15</f>
        <v>5.0601251873498093E-2</v>
      </c>
      <c r="U15" s="172">
        <v>94909.73</v>
      </c>
      <c r="V15" s="173">
        <f t="shared" ref="V15" si="41">U15/F15</f>
        <v>1.6943606819141505E-2</v>
      </c>
      <c r="W15" s="172">
        <v>58081.08</v>
      </c>
      <c r="X15" s="173">
        <f t="shared" si="11"/>
        <v>1.036883134269904E-2</v>
      </c>
      <c r="Y15" s="172">
        <v>195118.49000000002</v>
      </c>
      <c r="Z15" s="173">
        <f t="shared" si="12"/>
        <v>3.4833214441813226E-2</v>
      </c>
      <c r="AA15" s="172">
        <v>608668.34</v>
      </c>
      <c r="AB15" s="173">
        <f t="shared" si="13"/>
        <v>0.10866153592702812</v>
      </c>
      <c r="AC15" s="172">
        <f t="shared" si="14"/>
        <v>803786.83</v>
      </c>
      <c r="AD15" s="173">
        <f t="shared" si="15"/>
        <v>0.14349475036884135</v>
      </c>
      <c r="AE15" s="172">
        <v>1525813.43</v>
      </c>
      <c r="AF15" s="173">
        <f t="shared" si="16"/>
        <v>0.27239338724581441</v>
      </c>
      <c r="AG15" s="172">
        <v>0</v>
      </c>
      <c r="AH15" s="173">
        <f t="shared" si="17"/>
        <v>0</v>
      </c>
      <c r="AI15" s="172">
        <v>556867.15</v>
      </c>
      <c r="AJ15" s="173">
        <f t="shared" si="18"/>
        <v>9.941381184095556E-2</v>
      </c>
      <c r="AK15" s="172">
        <v>77421</v>
      </c>
      <c r="AL15" s="173">
        <f t="shared" si="19"/>
        <v>1.382145943882418E-2</v>
      </c>
      <c r="AN15" s="72"/>
    </row>
    <row r="16" spans="1:40" s="73" customFormat="1" ht="14.25" customHeight="1">
      <c r="B16" s="597"/>
      <c r="C16" s="601"/>
      <c r="D16" s="171">
        <v>46149</v>
      </c>
      <c r="E16" s="171" t="s">
        <v>113</v>
      </c>
      <c r="F16" s="322">
        <f t="shared" si="0"/>
        <v>5146313.3899999997</v>
      </c>
      <c r="G16" s="599"/>
      <c r="H16" s="604"/>
      <c r="I16" s="172">
        <v>1025270.2699999998</v>
      </c>
      <c r="J16" s="173">
        <f t="shared" si="2"/>
        <v>0.19922421980601532</v>
      </c>
      <c r="K16" s="172">
        <v>1038831.8900000001</v>
      </c>
      <c r="L16" s="173">
        <f t="shared" si="3"/>
        <v>0.20185943048446961</v>
      </c>
      <c r="M16" s="172">
        <f t="shared" si="4"/>
        <v>2064102.16</v>
      </c>
      <c r="N16" s="173">
        <f t="shared" ref="N16" si="42">M16/$F16</f>
        <v>0.40108365029048493</v>
      </c>
      <c r="O16" s="172">
        <v>290629.81</v>
      </c>
      <c r="P16" s="173">
        <f t="shared" si="6"/>
        <v>5.6473399106384388E-2</v>
      </c>
      <c r="Q16" s="172">
        <v>0</v>
      </c>
      <c r="R16" s="173">
        <f t="shared" si="7"/>
        <v>0</v>
      </c>
      <c r="S16" s="172">
        <f t="shared" si="8"/>
        <v>290629.81</v>
      </c>
      <c r="T16" s="173">
        <f t="shared" ref="T16" si="43">S16/$F16</f>
        <v>5.6473399106384388E-2</v>
      </c>
      <c r="U16" s="172">
        <v>90950.97</v>
      </c>
      <c r="V16" s="173">
        <f t="shared" ref="V16" si="44">U16/$F16</f>
        <v>1.7673033705395854E-2</v>
      </c>
      <c r="W16" s="172">
        <v>54794.67</v>
      </c>
      <c r="X16" s="173">
        <f t="shared" si="11"/>
        <v>1.0647363626644587E-2</v>
      </c>
      <c r="Y16" s="172">
        <v>184729.58000000002</v>
      </c>
      <c r="Z16" s="173">
        <f t="shared" si="12"/>
        <v>3.5895517043123569E-2</v>
      </c>
      <c r="AA16" s="172">
        <v>503106.35000000003</v>
      </c>
      <c r="AB16" s="173">
        <f t="shared" si="13"/>
        <v>9.776053494480251E-2</v>
      </c>
      <c r="AC16" s="172">
        <f t="shared" si="14"/>
        <v>687835.93</v>
      </c>
      <c r="AD16" s="173">
        <f t="shared" si="15"/>
        <v>0.13365605198792607</v>
      </c>
      <c r="AE16" s="172">
        <v>1344665.0899999999</v>
      </c>
      <c r="AF16" s="173">
        <f t="shared" si="16"/>
        <v>0.26128705892899384</v>
      </c>
      <c r="AG16" s="172">
        <v>0</v>
      </c>
      <c r="AH16" s="173">
        <f t="shared" si="17"/>
        <v>0</v>
      </c>
      <c r="AI16" s="172">
        <v>540819.05999999994</v>
      </c>
      <c r="AJ16" s="173">
        <f t="shared" si="18"/>
        <v>0.10508863705247456</v>
      </c>
      <c r="AK16" s="172">
        <v>72515.7</v>
      </c>
      <c r="AL16" s="173">
        <f t="shared" si="19"/>
        <v>1.4090805301695784E-2</v>
      </c>
      <c r="AN16" s="72"/>
    </row>
    <row r="17" spans="2:40" s="73" customFormat="1" ht="14.25" customHeight="1">
      <c r="B17" s="597"/>
      <c r="C17" s="601"/>
      <c r="D17" s="171">
        <v>46150</v>
      </c>
      <c r="E17" s="171" t="s">
        <v>114</v>
      </c>
      <c r="F17" s="322">
        <f t="shared" si="0"/>
        <v>4462931.74</v>
      </c>
      <c r="G17" s="599"/>
      <c r="H17" s="604"/>
      <c r="I17" s="172">
        <v>777175.74</v>
      </c>
      <c r="J17" s="173">
        <f t="shared" si="2"/>
        <v>0.17414018077722154</v>
      </c>
      <c r="K17" s="172">
        <v>961676.77999999991</v>
      </c>
      <c r="L17" s="173">
        <f t="shared" si="3"/>
        <v>0.21548095198964434</v>
      </c>
      <c r="M17" s="172">
        <f t="shared" si="4"/>
        <v>1738852.52</v>
      </c>
      <c r="N17" s="173">
        <f t="shared" ref="N17" si="45">M17/F17</f>
        <v>0.38962113276686594</v>
      </c>
      <c r="O17" s="172">
        <v>226043.27000000002</v>
      </c>
      <c r="P17" s="173">
        <f t="shared" si="6"/>
        <v>5.0649053843696029E-2</v>
      </c>
      <c r="Q17" s="172">
        <v>0</v>
      </c>
      <c r="R17" s="173">
        <f t="shared" si="7"/>
        <v>0</v>
      </c>
      <c r="S17" s="172">
        <f t="shared" si="8"/>
        <v>226043.27000000002</v>
      </c>
      <c r="T17" s="173">
        <f t="shared" ref="T17" si="46">S17/F17</f>
        <v>5.0649053843696029E-2</v>
      </c>
      <c r="U17" s="172">
        <v>79333.320000000007</v>
      </c>
      <c r="V17" s="173">
        <f t="shared" ref="V17" si="47">U17/F17</f>
        <v>1.7776054983982346E-2</v>
      </c>
      <c r="W17" s="172">
        <v>34375.919999999998</v>
      </c>
      <c r="X17" s="173">
        <f t="shared" si="11"/>
        <v>7.7025421858681617E-3</v>
      </c>
      <c r="Y17" s="172">
        <v>173545.89</v>
      </c>
      <c r="Z17" s="173">
        <f t="shared" si="12"/>
        <v>3.8886073126451183E-2</v>
      </c>
      <c r="AA17" s="172">
        <v>503735.32999999996</v>
      </c>
      <c r="AB17" s="173">
        <f t="shared" si="13"/>
        <v>0.11287094657647619</v>
      </c>
      <c r="AC17" s="172">
        <f t="shared" si="14"/>
        <v>677281.22</v>
      </c>
      <c r="AD17" s="173">
        <f t="shared" si="15"/>
        <v>0.15175701970292738</v>
      </c>
      <c r="AE17" s="172">
        <v>1077397.94</v>
      </c>
      <c r="AF17" s="173">
        <f t="shared" si="16"/>
        <v>0.24141035596479901</v>
      </c>
      <c r="AG17" s="172">
        <v>0</v>
      </c>
      <c r="AH17" s="173">
        <f t="shared" si="17"/>
        <v>0</v>
      </c>
      <c r="AI17" s="172">
        <v>559614.05000000005</v>
      </c>
      <c r="AJ17" s="173">
        <f t="shared" si="18"/>
        <v>0.12539157724155559</v>
      </c>
      <c r="AK17" s="172">
        <v>70033.5</v>
      </c>
      <c r="AL17" s="173">
        <f t="shared" si="19"/>
        <v>1.5692263310305526E-2</v>
      </c>
      <c r="AN17" s="72"/>
    </row>
    <row r="18" spans="2:40" s="73" customFormat="1" ht="14.25" customHeight="1">
      <c r="B18" s="597"/>
      <c r="C18" s="601"/>
      <c r="D18" s="171">
        <v>46151</v>
      </c>
      <c r="E18" s="171" t="s">
        <v>115</v>
      </c>
      <c r="F18" s="322">
        <f t="shared" si="0"/>
        <v>4779377.75</v>
      </c>
      <c r="G18" s="599"/>
      <c r="H18" s="604"/>
      <c r="I18" s="172">
        <v>749797.69</v>
      </c>
      <c r="J18" s="173">
        <f t="shared" si="2"/>
        <v>0.15688186396231182</v>
      </c>
      <c r="K18" s="172">
        <v>1107396.2000000002</v>
      </c>
      <c r="L18" s="173">
        <f t="shared" si="3"/>
        <v>0.23170300778171388</v>
      </c>
      <c r="M18" s="172">
        <f t="shared" si="4"/>
        <v>1857193.8900000001</v>
      </c>
      <c r="N18" s="173">
        <f t="shared" ref="N18" si="48">M18/$F18</f>
        <v>0.38858487174402573</v>
      </c>
      <c r="O18" s="172">
        <v>219797.09000000003</v>
      </c>
      <c r="P18" s="173">
        <f t="shared" si="6"/>
        <v>4.5988641513008681E-2</v>
      </c>
      <c r="Q18" s="172">
        <v>0</v>
      </c>
      <c r="R18" s="173">
        <f t="shared" si="7"/>
        <v>0</v>
      </c>
      <c r="S18" s="172">
        <f t="shared" si="8"/>
        <v>219797.09000000003</v>
      </c>
      <c r="T18" s="173">
        <f t="shared" ref="T18" si="49">S18/$F18</f>
        <v>4.5988641513008681E-2</v>
      </c>
      <c r="U18" s="172">
        <v>85618.32</v>
      </c>
      <c r="V18" s="173">
        <f t="shared" ref="V18" si="50">U18/$F18</f>
        <v>1.7914114447220669E-2</v>
      </c>
      <c r="W18" s="172">
        <v>35587.35</v>
      </c>
      <c r="X18" s="173">
        <f t="shared" si="11"/>
        <v>7.4460216081476292E-3</v>
      </c>
      <c r="Y18" s="172">
        <v>199660.09</v>
      </c>
      <c r="Z18" s="173">
        <f t="shared" si="12"/>
        <v>4.1775331527205604E-2</v>
      </c>
      <c r="AA18" s="172">
        <v>505230.48999999993</v>
      </c>
      <c r="AB18" s="173">
        <f t="shared" si="13"/>
        <v>0.10571051639515205</v>
      </c>
      <c r="AC18" s="172">
        <f t="shared" si="14"/>
        <v>704890.58</v>
      </c>
      <c r="AD18" s="173">
        <f t="shared" si="15"/>
        <v>0.14748584792235767</v>
      </c>
      <c r="AE18" s="172">
        <v>1227699.52</v>
      </c>
      <c r="AF18" s="173">
        <f t="shared" si="16"/>
        <v>0.25687434310878648</v>
      </c>
      <c r="AG18" s="172">
        <v>0</v>
      </c>
      <c r="AH18" s="173">
        <f t="shared" si="17"/>
        <v>0</v>
      </c>
      <c r="AI18" s="172">
        <v>581926.19999999995</v>
      </c>
      <c r="AJ18" s="173">
        <f t="shared" si="18"/>
        <v>0.12175773300195825</v>
      </c>
      <c r="AK18" s="172">
        <v>66664.800000000003</v>
      </c>
      <c r="AL18" s="173">
        <f t="shared" si="19"/>
        <v>1.3948426654494929E-2</v>
      </c>
      <c r="AN18" s="72"/>
    </row>
    <row r="19" spans="2:40" s="73" customFormat="1" ht="14.25" customHeight="1">
      <c r="B19" s="597"/>
      <c r="C19" s="601"/>
      <c r="D19" s="171">
        <v>46152</v>
      </c>
      <c r="E19" s="171" t="s">
        <v>116</v>
      </c>
      <c r="F19" s="322">
        <f t="shared" si="0"/>
        <v>6245830.3399999999</v>
      </c>
      <c r="G19" s="599"/>
      <c r="H19" s="604"/>
      <c r="I19" s="172">
        <v>1083630</v>
      </c>
      <c r="J19" s="173">
        <f t="shared" si="2"/>
        <v>0.17349654745825197</v>
      </c>
      <c r="K19" s="172">
        <v>1255020.8699999996</v>
      </c>
      <c r="L19" s="173">
        <f t="shared" si="3"/>
        <v>0.20093739369808108</v>
      </c>
      <c r="M19" s="172">
        <f t="shared" si="4"/>
        <v>2338650.8699999996</v>
      </c>
      <c r="N19" s="173">
        <f t="shared" ref="N19" si="51">M19/F19</f>
        <v>0.37443394115633305</v>
      </c>
      <c r="O19" s="172">
        <v>295487.26</v>
      </c>
      <c r="P19" s="173">
        <f t="shared" si="6"/>
        <v>4.7309523940735156E-2</v>
      </c>
      <c r="Q19" s="172">
        <v>0</v>
      </c>
      <c r="R19" s="173">
        <f t="shared" si="7"/>
        <v>0</v>
      </c>
      <c r="S19" s="172">
        <f t="shared" si="8"/>
        <v>295487.26</v>
      </c>
      <c r="T19" s="173">
        <f t="shared" ref="T19" si="52">S19/F19</f>
        <v>4.7309523940735156E-2</v>
      </c>
      <c r="U19" s="172">
        <v>112838.37</v>
      </c>
      <c r="V19" s="173">
        <f t="shared" ref="V19" si="53">U19/F19</f>
        <v>1.8066191980488536E-2</v>
      </c>
      <c r="W19" s="172">
        <v>39317.61</v>
      </c>
      <c r="X19" s="173">
        <f t="shared" si="11"/>
        <v>6.2950172930890088E-3</v>
      </c>
      <c r="Y19" s="172">
        <v>228612.79</v>
      </c>
      <c r="Z19" s="173">
        <f t="shared" si="12"/>
        <v>3.6602465573856754E-2</v>
      </c>
      <c r="AA19" s="172">
        <v>562910.9800000001</v>
      </c>
      <c r="AB19" s="173">
        <f t="shared" si="13"/>
        <v>9.0125883886881267E-2</v>
      </c>
      <c r="AC19" s="172">
        <f t="shared" si="14"/>
        <v>791523.77000000014</v>
      </c>
      <c r="AD19" s="173">
        <f t="shared" si="15"/>
        <v>0.12672834946073802</v>
      </c>
      <c r="AE19" s="172">
        <v>1848588.9100000001</v>
      </c>
      <c r="AF19" s="173">
        <f t="shared" si="16"/>
        <v>0.29597168180524097</v>
      </c>
      <c r="AG19" s="172">
        <v>0</v>
      </c>
      <c r="AH19" s="173">
        <f t="shared" si="17"/>
        <v>0</v>
      </c>
      <c r="AI19" s="172">
        <v>752049.54999999993</v>
      </c>
      <c r="AJ19" s="173">
        <f t="shared" si="18"/>
        <v>0.12040825783942123</v>
      </c>
      <c r="AK19" s="172">
        <v>67374</v>
      </c>
      <c r="AL19" s="173">
        <f t="shared" si="19"/>
        <v>1.0787036523953995E-2</v>
      </c>
      <c r="AN19" s="72"/>
    </row>
    <row r="20" spans="2:40" s="73" customFormat="1" ht="14.25" customHeight="1">
      <c r="B20" s="598"/>
      <c r="C20" s="601"/>
      <c r="D20" s="171">
        <v>46153</v>
      </c>
      <c r="E20" s="171" t="s">
        <v>117</v>
      </c>
      <c r="F20" s="322">
        <f t="shared" si="0"/>
        <v>6199228.5199999996</v>
      </c>
      <c r="G20" s="599"/>
      <c r="H20" s="604"/>
      <c r="I20" s="172">
        <v>1050325.18</v>
      </c>
      <c r="J20" s="173">
        <f t="shared" si="2"/>
        <v>0.16942836945136522</v>
      </c>
      <c r="K20" s="172">
        <v>1229086.51</v>
      </c>
      <c r="L20" s="173">
        <f t="shared" si="3"/>
        <v>0.19826443016815906</v>
      </c>
      <c r="M20" s="172">
        <f t="shared" si="4"/>
        <v>2279411.69</v>
      </c>
      <c r="N20" s="173">
        <f t="shared" ref="N20:N21" si="54">M20/$F20</f>
        <v>0.36769279961952428</v>
      </c>
      <c r="O20" s="172">
        <v>282914.21000000002</v>
      </c>
      <c r="P20" s="173">
        <f t="shared" si="6"/>
        <v>4.5637002908871641E-2</v>
      </c>
      <c r="Q20" s="172">
        <v>0</v>
      </c>
      <c r="R20" s="173">
        <f t="shared" si="7"/>
        <v>0</v>
      </c>
      <c r="S20" s="172">
        <f t="shared" si="8"/>
        <v>282914.21000000002</v>
      </c>
      <c r="T20" s="173">
        <f t="shared" ref="T20:T21" si="55">S20/$F20</f>
        <v>4.5637002908871641E-2</v>
      </c>
      <c r="U20" s="172">
        <v>104488.37999999999</v>
      </c>
      <c r="V20" s="173">
        <f t="shared" ref="V20:V21" si="56">U20/$F20</f>
        <v>1.6855061829532298E-2</v>
      </c>
      <c r="W20" s="172">
        <v>44479.320000000007</v>
      </c>
      <c r="X20" s="173">
        <f t="shared" si="11"/>
        <v>7.1749766695162918E-3</v>
      </c>
      <c r="Y20" s="172">
        <v>233551.78</v>
      </c>
      <c r="Z20" s="173">
        <f t="shared" si="12"/>
        <v>3.7674329837416608E-2</v>
      </c>
      <c r="AA20" s="172">
        <v>861641.65000000014</v>
      </c>
      <c r="AB20" s="173">
        <f t="shared" si="13"/>
        <v>0.13899175473531344</v>
      </c>
      <c r="AC20" s="172">
        <f t="shared" si="14"/>
        <v>1095193.4300000002</v>
      </c>
      <c r="AD20" s="173">
        <f t="shared" si="15"/>
        <v>0.17666608457273006</v>
      </c>
      <c r="AE20" s="172">
        <v>1667881.47</v>
      </c>
      <c r="AF20" s="173">
        <f t="shared" si="16"/>
        <v>0.26904661840083288</v>
      </c>
      <c r="AG20" s="172">
        <v>0</v>
      </c>
      <c r="AH20" s="173">
        <f t="shared" si="17"/>
        <v>0</v>
      </c>
      <c r="AI20" s="172">
        <v>645961.5199999999</v>
      </c>
      <c r="AJ20" s="173">
        <f t="shared" si="18"/>
        <v>0.1042003078150763</v>
      </c>
      <c r="AK20" s="172">
        <v>78898.5</v>
      </c>
      <c r="AL20" s="173">
        <f t="shared" si="19"/>
        <v>1.272714818391628E-2</v>
      </c>
      <c r="AN20" s="72"/>
    </row>
    <row r="21" spans="2:40" s="73" customFormat="1" ht="14.25" customHeight="1">
      <c r="B21" s="596">
        <f>D22+7</f>
        <v>46162</v>
      </c>
      <c r="C21" s="601"/>
      <c r="D21" s="171">
        <v>46154</v>
      </c>
      <c r="E21" s="171" t="s">
        <v>118</v>
      </c>
      <c r="F21" s="322">
        <f t="shared" si="0"/>
        <v>6454119.3000000007</v>
      </c>
      <c r="G21" s="599">
        <f t="shared" ref="G21" si="57">SUM(F21:F27)</f>
        <v>40956337.890000001</v>
      </c>
      <c r="H21" s="604"/>
      <c r="I21" s="172">
        <v>1115036.17</v>
      </c>
      <c r="J21" s="173">
        <f t="shared" si="2"/>
        <v>0.1727634892029343</v>
      </c>
      <c r="K21" s="172">
        <v>1195721.3799999999</v>
      </c>
      <c r="L21" s="173">
        <f t="shared" si="3"/>
        <v>0.18526484008437832</v>
      </c>
      <c r="M21" s="172">
        <f t="shared" si="4"/>
        <v>2310757.5499999998</v>
      </c>
      <c r="N21" s="173">
        <f t="shared" si="54"/>
        <v>0.3580283292873126</v>
      </c>
      <c r="O21" s="172">
        <v>253726.14</v>
      </c>
      <c r="P21" s="173">
        <f t="shared" si="6"/>
        <v>3.9312279213679857E-2</v>
      </c>
      <c r="Q21" s="172">
        <v>0</v>
      </c>
      <c r="R21" s="173">
        <f t="shared" si="7"/>
        <v>0</v>
      </c>
      <c r="S21" s="172">
        <f t="shared" si="8"/>
        <v>253726.14</v>
      </c>
      <c r="T21" s="173">
        <f t="shared" si="55"/>
        <v>3.9312279213679857E-2</v>
      </c>
      <c r="U21" s="172">
        <v>89910</v>
      </c>
      <c r="V21" s="173">
        <f t="shared" si="56"/>
        <v>1.3930638065521967E-2</v>
      </c>
      <c r="W21" s="172">
        <v>300064.81999999995</v>
      </c>
      <c r="X21" s="173">
        <f t="shared" si="11"/>
        <v>4.649198535886994E-2</v>
      </c>
      <c r="Y21" s="172">
        <v>218961.89</v>
      </c>
      <c r="Z21" s="173">
        <f t="shared" si="12"/>
        <v>3.392591302116154E-2</v>
      </c>
      <c r="AA21" s="172">
        <v>712691.08000000007</v>
      </c>
      <c r="AB21" s="173">
        <f t="shared" si="13"/>
        <v>0.11042421852970706</v>
      </c>
      <c r="AC21" s="172">
        <f t="shared" si="14"/>
        <v>931652.97000000009</v>
      </c>
      <c r="AD21" s="173">
        <f t="shared" si="15"/>
        <v>0.14435013155086859</v>
      </c>
      <c r="AE21" s="172">
        <v>1903970.3499999999</v>
      </c>
      <c r="AF21" s="173">
        <f t="shared" si="16"/>
        <v>0.29500079894711578</v>
      </c>
      <c r="AG21" s="172">
        <v>0</v>
      </c>
      <c r="AH21" s="173">
        <f t="shared" si="17"/>
        <v>0</v>
      </c>
      <c r="AI21" s="172">
        <v>591403.56999999995</v>
      </c>
      <c r="AJ21" s="173">
        <f t="shared" si="18"/>
        <v>9.1631955114309688E-2</v>
      </c>
      <c r="AK21" s="172">
        <v>72633.899999999994</v>
      </c>
      <c r="AL21" s="173">
        <f t="shared" si="19"/>
        <v>1.1253882462321388E-2</v>
      </c>
      <c r="AN21" s="72"/>
    </row>
    <row r="22" spans="2:40" s="73" customFormat="1" ht="14.25" customHeight="1">
      <c r="B22" s="597"/>
      <c r="C22" s="601"/>
      <c r="D22" s="171">
        <v>46155</v>
      </c>
      <c r="E22" s="171" t="s">
        <v>112</v>
      </c>
      <c r="F22" s="322">
        <f t="shared" si="0"/>
        <v>6058711.4500000002</v>
      </c>
      <c r="G22" s="599"/>
      <c r="H22" s="604"/>
      <c r="I22" s="172">
        <v>1084776.5999999999</v>
      </c>
      <c r="J22" s="173">
        <f t="shared" si="2"/>
        <v>0.17904411011354565</v>
      </c>
      <c r="K22" s="172">
        <v>1168045.23</v>
      </c>
      <c r="L22" s="173">
        <f t="shared" si="3"/>
        <v>0.19278773046701209</v>
      </c>
      <c r="M22" s="172">
        <f t="shared" si="4"/>
        <v>2252821.83</v>
      </c>
      <c r="N22" s="173">
        <f t="shared" ref="N22" si="58">M22/F22</f>
        <v>0.37183184058055779</v>
      </c>
      <c r="O22" s="172">
        <v>255442.31</v>
      </c>
      <c r="P22" s="173">
        <f t="shared" si="6"/>
        <v>4.2161161182218042E-2</v>
      </c>
      <c r="Q22" s="172">
        <v>0</v>
      </c>
      <c r="R22" s="173">
        <f t="shared" si="7"/>
        <v>0</v>
      </c>
      <c r="S22" s="172">
        <f t="shared" si="8"/>
        <v>255442.31</v>
      </c>
      <c r="T22" s="173">
        <f t="shared" ref="T22" si="59">S22/F22</f>
        <v>4.2161161182218042E-2</v>
      </c>
      <c r="U22" s="172">
        <v>76513.41</v>
      </c>
      <c r="V22" s="173">
        <f t="shared" ref="V22" si="60">U22/F22</f>
        <v>1.2628660505031974E-2</v>
      </c>
      <c r="W22" s="172">
        <v>186478.69</v>
      </c>
      <c r="X22" s="173">
        <f t="shared" si="11"/>
        <v>3.0778605572972122E-2</v>
      </c>
      <c r="Y22" s="172">
        <v>195345.57</v>
      </c>
      <c r="Z22" s="173">
        <f t="shared" si="12"/>
        <v>3.2242098276523801E-2</v>
      </c>
      <c r="AA22" s="172">
        <v>655359.29999999993</v>
      </c>
      <c r="AB22" s="173">
        <f t="shared" si="13"/>
        <v>0.10816809901055775</v>
      </c>
      <c r="AC22" s="172">
        <f t="shared" si="14"/>
        <v>850704.86999999988</v>
      </c>
      <c r="AD22" s="173">
        <f t="shared" si="15"/>
        <v>0.14041019728708154</v>
      </c>
      <c r="AE22" s="172">
        <v>1786693.56</v>
      </c>
      <c r="AF22" s="173">
        <f t="shared" si="16"/>
        <v>0.2948966252551935</v>
      </c>
      <c r="AG22" s="172">
        <v>0</v>
      </c>
      <c r="AH22" s="173">
        <f t="shared" si="17"/>
        <v>0</v>
      </c>
      <c r="AI22" s="172">
        <v>581087.07999999996</v>
      </c>
      <c r="AJ22" s="173">
        <f t="shared" si="18"/>
        <v>9.5909350493989923E-2</v>
      </c>
      <c r="AK22" s="172">
        <v>68969.7</v>
      </c>
      <c r="AL22" s="173">
        <f t="shared" si="19"/>
        <v>1.1383559122955095E-2</v>
      </c>
      <c r="AN22" s="72"/>
    </row>
    <row r="23" spans="2:40" s="73" customFormat="1" ht="14.25" customHeight="1">
      <c r="B23" s="597"/>
      <c r="C23" s="601"/>
      <c r="D23" s="171">
        <v>46156</v>
      </c>
      <c r="E23" s="171" t="s">
        <v>113</v>
      </c>
      <c r="F23" s="322">
        <f t="shared" si="0"/>
        <v>5491384.3499999996</v>
      </c>
      <c r="G23" s="599"/>
      <c r="H23" s="604"/>
      <c r="I23" s="172">
        <v>1070847.58</v>
      </c>
      <c r="J23" s="173">
        <f t="shared" si="2"/>
        <v>0.19500503183682638</v>
      </c>
      <c r="K23" s="172">
        <v>1035509.0299999999</v>
      </c>
      <c r="L23" s="173">
        <f t="shared" si="3"/>
        <v>0.18856976019170829</v>
      </c>
      <c r="M23" s="172">
        <f t="shared" si="4"/>
        <v>2106356.61</v>
      </c>
      <c r="N23" s="173">
        <f t="shared" ref="N23" si="61">M23/$F23</f>
        <v>0.38357479202853467</v>
      </c>
      <c r="O23" s="172">
        <v>249318.02000000002</v>
      </c>
      <c r="P23" s="173">
        <f t="shared" si="6"/>
        <v>4.5401669981450128E-2</v>
      </c>
      <c r="Q23" s="172">
        <v>0</v>
      </c>
      <c r="R23" s="173">
        <f t="shared" si="7"/>
        <v>0</v>
      </c>
      <c r="S23" s="172">
        <f t="shared" si="8"/>
        <v>249318.02000000002</v>
      </c>
      <c r="T23" s="173">
        <f t="shared" ref="T23" si="62">S23/$F23</f>
        <v>4.5401669981450128E-2</v>
      </c>
      <c r="U23" s="172">
        <v>77682.239999999991</v>
      </c>
      <c r="V23" s="173">
        <f t="shared" ref="V23" si="63">U23/$F23</f>
        <v>1.4146203406796684E-2</v>
      </c>
      <c r="W23" s="172">
        <v>172919.19</v>
      </c>
      <c r="X23" s="173">
        <f t="shared" si="11"/>
        <v>3.1489179955141916E-2</v>
      </c>
      <c r="Y23" s="172">
        <v>178428.11000000002</v>
      </c>
      <c r="Z23" s="173">
        <f t="shared" si="12"/>
        <v>3.2492373257391835E-2</v>
      </c>
      <c r="AA23" s="172">
        <v>493800.17</v>
      </c>
      <c r="AB23" s="173">
        <f t="shared" si="13"/>
        <v>8.9922711383332701E-2</v>
      </c>
      <c r="AC23" s="172">
        <f t="shared" si="14"/>
        <v>672228.28</v>
      </c>
      <c r="AD23" s="173">
        <f t="shared" si="15"/>
        <v>0.12241508464072454</v>
      </c>
      <c r="AE23" s="172">
        <v>1623438.9800000002</v>
      </c>
      <c r="AF23" s="173">
        <f t="shared" si="16"/>
        <v>0.29563382865378934</v>
      </c>
      <c r="AG23" s="172">
        <v>0</v>
      </c>
      <c r="AH23" s="173">
        <f t="shared" si="17"/>
        <v>0</v>
      </c>
      <c r="AI23" s="172">
        <v>520530.43</v>
      </c>
      <c r="AJ23" s="173">
        <f t="shared" si="18"/>
        <v>9.4790383776360509E-2</v>
      </c>
      <c r="AK23" s="172">
        <v>68910.599999999991</v>
      </c>
      <c r="AL23" s="173">
        <f t="shared" si="19"/>
        <v>1.254885755720231E-2</v>
      </c>
      <c r="AN23" s="72"/>
    </row>
    <row r="24" spans="2:40" s="73" customFormat="1" ht="14.25" customHeight="1">
      <c r="B24" s="597"/>
      <c r="C24" s="601"/>
      <c r="D24" s="171">
        <v>46157</v>
      </c>
      <c r="E24" s="171" t="s">
        <v>114</v>
      </c>
      <c r="F24" s="322">
        <f t="shared" si="0"/>
        <v>4614223.6099999994</v>
      </c>
      <c r="G24" s="599"/>
      <c r="H24" s="604"/>
      <c r="I24" s="172">
        <v>809505.48999999987</v>
      </c>
      <c r="J24" s="173">
        <f t="shared" si="2"/>
        <v>0.17543698754556022</v>
      </c>
      <c r="K24" s="172">
        <v>914660.83</v>
      </c>
      <c r="L24" s="173">
        <f t="shared" si="3"/>
        <v>0.19822637724312631</v>
      </c>
      <c r="M24" s="172">
        <f t="shared" si="4"/>
        <v>1724166.3199999998</v>
      </c>
      <c r="N24" s="173">
        <f t="shared" ref="N24" si="64">M24/F24</f>
        <v>0.37366336478868656</v>
      </c>
      <c r="O24" s="172">
        <v>193179.34999999998</v>
      </c>
      <c r="P24" s="173">
        <f t="shared" si="6"/>
        <v>4.1866057288888085E-2</v>
      </c>
      <c r="Q24" s="172">
        <v>0</v>
      </c>
      <c r="R24" s="173">
        <f t="shared" si="7"/>
        <v>0</v>
      </c>
      <c r="S24" s="172">
        <f t="shared" si="8"/>
        <v>193179.34999999998</v>
      </c>
      <c r="T24" s="173">
        <f t="shared" ref="T24" si="65">S24/F24</f>
        <v>4.1866057288888085E-2</v>
      </c>
      <c r="U24" s="172">
        <v>62937</v>
      </c>
      <c r="V24" s="173">
        <f t="shared" ref="V24" si="66">U24/F24</f>
        <v>1.3639781102849502E-2</v>
      </c>
      <c r="W24" s="172">
        <v>133926.64000000001</v>
      </c>
      <c r="X24" s="173">
        <f t="shared" si="11"/>
        <v>2.9024739873844137E-2</v>
      </c>
      <c r="Y24" s="172">
        <v>171275.09</v>
      </c>
      <c r="Z24" s="173">
        <f t="shared" si="12"/>
        <v>3.7118940146032502E-2</v>
      </c>
      <c r="AA24" s="172">
        <v>485813.02</v>
      </c>
      <c r="AB24" s="173">
        <f t="shared" si="13"/>
        <v>0.10528597247587662</v>
      </c>
      <c r="AC24" s="172">
        <f t="shared" si="14"/>
        <v>657088.11</v>
      </c>
      <c r="AD24" s="173">
        <f t="shared" si="15"/>
        <v>0.14240491262190913</v>
      </c>
      <c r="AE24" s="172">
        <v>1253124.5</v>
      </c>
      <c r="AF24" s="173">
        <f t="shared" si="16"/>
        <v>0.27157862425310597</v>
      </c>
      <c r="AG24" s="172">
        <v>0</v>
      </c>
      <c r="AH24" s="173">
        <f t="shared" si="17"/>
        <v>0</v>
      </c>
      <c r="AI24" s="172">
        <v>523550.58999999997</v>
      </c>
      <c r="AJ24" s="173">
        <f t="shared" si="18"/>
        <v>0.11346450329484575</v>
      </c>
      <c r="AK24" s="172">
        <v>66251.099999999991</v>
      </c>
      <c r="AL24" s="173">
        <f t="shared" si="19"/>
        <v>1.435801677587099E-2</v>
      </c>
      <c r="AN24" s="72"/>
    </row>
    <row r="25" spans="2:40" s="73" customFormat="1" ht="14.25" customHeight="1">
      <c r="B25" s="597"/>
      <c r="C25" s="601"/>
      <c r="D25" s="171">
        <v>46158</v>
      </c>
      <c r="E25" s="171" t="s">
        <v>115</v>
      </c>
      <c r="F25" s="322">
        <f t="shared" si="0"/>
        <v>5113313.2700000005</v>
      </c>
      <c r="G25" s="599"/>
      <c r="H25" s="604"/>
      <c r="I25" s="172">
        <v>796592.73999999987</v>
      </c>
      <c r="J25" s="173">
        <f t="shared" si="2"/>
        <v>0.15578797893601379</v>
      </c>
      <c r="K25" s="172">
        <v>1106475.8799999999</v>
      </c>
      <c r="L25" s="173">
        <f t="shared" si="3"/>
        <v>0.2163911776131017</v>
      </c>
      <c r="M25" s="172">
        <f t="shared" si="4"/>
        <v>1903068.6199999996</v>
      </c>
      <c r="N25" s="173">
        <f t="shared" ref="N25" si="67">M25/$F25</f>
        <v>0.37217915654911543</v>
      </c>
      <c r="O25" s="172">
        <v>194413.76</v>
      </c>
      <c r="P25" s="173">
        <f t="shared" si="6"/>
        <v>3.8021093121877118E-2</v>
      </c>
      <c r="Q25" s="172">
        <v>0</v>
      </c>
      <c r="R25" s="173">
        <f t="shared" si="7"/>
        <v>0</v>
      </c>
      <c r="S25" s="172">
        <f t="shared" si="8"/>
        <v>194413.76</v>
      </c>
      <c r="T25" s="173">
        <f t="shared" ref="T25" si="68">S25/$F25</f>
        <v>3.8021093121877118E-2</v>
      </c>
      <c r="U25" s="172">
        <v>65514.42</v>
      </c>
      <c r="V25" s="173">
        <f t="shared" ref="V25" si="69">U25/$F25</f>
        <v>1.2812518330213707E-2</v>
      </c>
      <c r="W25" s="172">
        <v>209467.55</v>
      </c>
      <c r="X25" s="173">
        <f t="shared" si="11"/>
        <v>4.0965131400994718E-2</v>
      </c>
      <c r="Y25" s="172">
        <v>196651.28</v>
      </c>
      <c r="Z25" s="173">
        <f t="shared" si="12"/>
        <v>3.8458680236503479E-2</v>
      </c>
      <c r="AA25" s="172">
        <v>600393.51</v>
      </c>
      <c r="AB25" s="173">
        <f t="shared" si="13"/>
        <v>0.1174177051741639</v>
      </c>
      <c r="AC25" s="172">
        <f t="shared" si="14"/>
        <v>797044.79</v>
      </c>
      <c r="AD25" s="173">
        <f t="shared" si="15"/>
        <v>0.1558763854106674</v>
      </c>
      <c r="AE25" s="172">
        <v>1363515.66</v>
      </c>
      <c r="AF25" s="173">
        <f t="shared" si="16"/>
        <v>0.26665991070795469</v>
      </c>
      <c r="AG25" s="172">
        <v>0</v>
      </c>
      <c r="AH25" s="173">
        <f t="shared" si="17"/>
        <v>0</v>
      </c>
      <c r="AI25" s="172">
        <v>517701.56999999995</v>
      </c>
      <c r="AJ25" s="173">
        <f t="shared" si="18"/>
        <v>0.10124581512292125</v>
      </c>
      <c r="AK25" s="172">
        <v>62586.899999999994</v>
      </c>
      <c r="AL25" s="173">
        <f t="shared" si="19"/>
        <v>1.2239989356255497E-2</v>
      </c>
      <c r="AN25" s="72"/>
    </row>
    <row r="26" spans="2:40" s="73" customFormat="1" ht="14.25" customHeight="1">
      <c r="B26" s="597"/>
      <c r="C26" s="601"/>
      <c r="D26" s="171">
        <v>46159</v>
      </c>
      <c r="E26" s="171" t="s">
        <v>116</v>
      </c>
      <c r="F26" s="322">
        <f t="shared" si="0"/>
        <v>6768242.5</v>
      </c>
      <c r="G26" s="599"/>
      <c r="H26" s="604"/>
      <c r="I26" s="172">
        <v>1134516.07</v>
      </c>
      <c r="J26" s="173">
        <f t="shared" si="2"/>
        <v>0.1676234369557533</v>
      </c>
      <c r="K26" s="172">
        <v>1265772.78</v>
      </c>
      <c r="L26" s="173">
        <f t="shared" si="3"/>
        <v>0.18701646402297201</v>
      </c>
      <c r="M26" s="172">
        <f t="shared" si="4"/>
        <v>2400288.85</v>
      </c>
      <c r="N26" s="173">
        <f t="shared" ref="N26" si="70">M26/F26</f>
        <v>0.35463990097872528</v>
      </c>
      <c r="O26" s="172">
        <v>262376.93</v>
      </c>
      <c r="P26" s="173">
        <f t="shared" si="6"/>
        <v>3.8765887894826462E-2</v>
      </c>
      <c r="Q26" s="172">
        <v>0</v>
      </c>
      <c r="R26" s="173">
        <f t="shared" si="7"/>
        <v>0</v>
      </c>
      <c r="S26" s="172">
        <f t="shared" si="8"/>
        <v>262376.93</v>
      </c>
      <c r="T26" s="173">
        <f t="shared" ref="T26" si="71">S26/F26</f>
        <v>3.8765887894826462E-2</v>
      </c>
      <c r="U26" s="172">
        <v>89130.78</v>
      </c>
      <c r="V26" s="173">
        <f t="shared" ref="V26" si="72">U26/F26</f>
        <v>1.3168969640198322E-2</v>
      </c>
      <c r="W26" s="172">
        <v>197389.95</v>
      </c>
      <c r="X26" s="173">
        <f t="shared" si="11"/>
        <v>2.9164136775536635E-2</v>
      </c>
      <c r="Y26" s="172">
        <v>229066.95</v>
      </c>
      <c r="Z26" s="173">
        <f t="shared" si="12"/>
        <v>3.3844376882181747E-2</v>
      </c>
      <c r="AA26" s="172">
        <v>685935.54999999993</v>
      </c>
      <c r="AB26" s="173">
        <f t="shared" si="13"/>
        <v>0.10134618403522036</v>
      </c>
      <c r="AC26" s="172">
        <f t="shared" si="14"/>
        <v>915002.5</v>
      </c>
      <c r="AD26" s="173">
        <f t="shared" si="15"/>
        <v>0.13519056091740211</v>
      </c>
      <c r="AE26" s="172">
        <v>2115476.4200000004</v>
      </c>
      <c r="AF26" s="173">
        <f t="shared" si="16"/>
        <v>0.31255919391186121</v>
      </c>
      <c r="AG26" s="172">
        <v>0</v>
      </c>
      <c r="AH26" s="173">
        <f t="shared" si="17"/>
        <v>0</v>
      </c>
      <c r="AI26" s="172">
        <v>722030.47</v>
      </c>
      <c r="AJ26" s="173">
        <f t="shared" si="18"/>
        <v>0.10667916671129912</v>
      </c>
      <c r="AK26" s="172">
        <v>66546.599999999991</v>
      </c>
      <c r="AL26" s="173">
        <f t="shared" si="19"/>
        <v>9.8321831701508912E-3</v>
      </c>
      <c r="AN26" s="72"/>
    </row>
    <row r="27" spans="2:40" s="73" customFormat="1" ht="14.25" customHeight="1">
      <c r="B27" s="598"/>
      <c r="C27" s="601"/>
      <c r="D27" s="171">
        <v>46160</v>
      </c>
      <c r="E27" s="171" t="s">
        <v>117</v>
      </c>
      <c r="F27" s="322">
        <f t="shared" si="0"/>
        <v>6456343.4099999992</v>
      </c>
      <c r="G27" s="599"/>
      <c r="H27" s="604"/>
      <c r="I27" s="172">
        <v>1118926.4200000002</v>
      </c>
      <c r="J27" s="173">
        <f t="shared" si="2"/>
        <v>0.17330652181030753</v>
      </c>
      <c r="K27" s="172">
        <v>1250491.7699999998</v>
      </c>
      <c r="L27" s="173">
        <f t="shared" si="3"/>
        <v>0.19368420955786797</v>
      </c>
      <c r="M27" s="172">
        <f t="shared" si="4"/>
        <v>2369418.19</v>
      </c>
      <c r="N27" s="173">
        <f t="shared" ref="N27:N28" si="73">M27/$F27</f>
        <v>0.3669907313681755</v>
      </c>
      <c r="O27" s="172">
        <v>258505.58000000002</v>
      </c>
      <c r="P27" s="173">
        <f t="shared" si="6"/>
        <v>4.003900715683896E-2</v>
      </c>
      <c r="Q27" s="172">
        <v>0</v>
      </c>
      <c r="R27" s="173">
        <f t="shared" si="7"/>
        <v>0</v>
      </c>
      <c r="S27" s="172">
        <f t="shared" si="8"/>
        <v>258505.58000000002</v>
      </c>
      <c r="T27" s="173">
        <f t="shared" ref="T27:T28" si="74">S27/$F27</f>
        <v>4.003900715683896E-2</v>
      </c>
      <c r="U27" s="172">
        <v>85564.349999999991</v>
      </c>
      <c r="V27" s="173">
        <f t="shared" ref="V27:V28" si="75">U27/$F27</f>
        <v>1.3252756950237875E-2</v>
      </c>
      <c r="W27" s="172">
        <v>182343.67999999999</v>
      </c>
      <c r="X27" s="173">
        <f t="shared" si="11"/>
        <v>2.8242562147108592E-2</v>
      </c>
      <c r="Y27" s="172">
        <v>234687.18000000002</v>
      </c>
      <c r="Z27" s="173">
        <f t="shared" si="12"/>
        <v>3.6349860144753367E-2</v>
      </c>
      <c r="AA27" s="172">
        <v>682889.78999999992</v>
      </c>
      <c r="AB27" s="173">
        <f t="shared" si="13"/>
        <v>0.10577036359966485</v>
      </c>
      <c r="AC27" s="172">
        <f t="shared" si="14"/>
        <v>917576.97</v>
      </c>
      <c r="AD27" s="173">
        <f t="shared" si="15"/>
        <v>0.14212022374441821</v>
      </c>
      <c r="AE27" s="172">
        <v>1859404.9</v>
      </c>
      <c r="AF27" s="173">
        <f t="shared" si="16"/>
        <v>0.28799659217631363</v>
      </c>
      <c r="AG27" s="172">
        <v>0</v>
      </c>
      <c r="AH27" s="173">
        <f t="shared" si="17"/>
        <v>0</v>
      </c>
      <c r="AI27" s="172">
        <v>710482.1399999999</v>
      </c>
      <c r="AJ27" s="173">
        <f t="shared" si="18"/>
        <v>0.11004404426498744</v>
      </c>
      <c r="AK27" s="172">
        <v>73047.599999999991</v>
      </c>
      <c r="AL27" s="173">
        <f t="shared" si="19"/>
        <v>1.1314082191919837E-2</v>
      </c>
      <c r="AN27" s="72"/>
    </row>
    <row r="28" spans="2:40" s="73" customFormat="1" ht="14.25" customHeight="1">
      <c r="B28" s="596">
        <f>D29+7</f>
        <v>46169</v>
      </c>
      <c r="C28" s="601"/>
      <c r="D28" s="171">
        <v>46161</v>
      </c>
      <c r="E28" s="171" t="s">
        <v>118</v>
      </c>
      <c r="F28" s="322">
        <f t="shared" si="0"/>
        <v>6835923.04</v>
      </c>
      <c r="G28" s="599">
        <f t="shared" ref="G28" si="76">SUM(F28:F34)</f>
        <v>42516570.560000002</v>
      </c>
      <c r="H28" s="604"/>
      <c r="I28" s="172">
        <v>1210265.3299999998</v>
      </c>
      <c r="J28" s="173">
        <f t="shared" si="2"/>
        <v>0.177044902775851</v>
      </c>
      <c r="K28" s="172">
        <v>1209573.95</v>
      </c>
      <c r="L28" s="173">
        <f t="shared" si="3"/>
        <v>0.17694376354476921</v>
      </c>
      <c r="M28" s="172">
        <f t="shared" si="4"/>
        <v>2419839.2799999998</v>
      </c>
      <c r="N28" s="173">
        <f t="shared" si="73"/>
        <v>0.3539886663206202</v>
      </c>
      <c r="O28" s="172">
        <v>252229.57</v>
      </c>
      <c r="P28" s="173">
        <f t="shared" si="6"/>
        <v>3.6897660860734323E-2</v>
      </c>
      <c r="Q28" s="172">
        <v>0</v>
      </c>
      <c r="R28" s="173">
        <f t="shared" si="7"/>
        <v>0</v>
      </c>
      <c r="S28" s="172">
        <f t="shared" si="8"/>
        <v>252229.57</v>
      </c>
      <c r="T28" s="173">
        <f t="shared" si="74"/>
        <v>3.6897660860734323E-2</v>
      </c>
      <c r="U28" s="172">
        <v>79240.679999999993</v>
      </c>
      <c r="V28" s="173">
        <f t="shared" si="75"/>
        <v>1.1591803994329344E-2</v>
      </c>
      <c r="W28" s="172">
        <v>392843.94000000006</v>
      </c>
      <c r="X28" s="173">
        <f t="shared" si="11"/>
        <v>5.7467577926389304E-2</v>
      </c>
      <c r="Y28" s="172">
        <v>222765.48</v>
      </c>
      <c r="Z28" s="173">
        <f t="shared" si="12"/>
        <v>3.2587476292009282E-2</v>
      </c>
      <c r="AA28" s="172">
        <v>661727.72</v>
      </c>
      <c r="AB28" s="173">
        <f t="shared" si="13"/>
        <v>9.6801516946276214E-2</v>
      </c>
      <c r="AC28" s="172">
        <f t="shared" si="14"/>
        <v>884493.2</v>
      </c>
      <c r="AD28" s="173">
        <f t="shared" si="15"/>
        <v>0.12938899323828548</v>
      </c>
      <c r="AE28" s="172">
        <v>1771368.6300000001</v>
      </c>
      <c r="AF28" s="173">
        <f t="shared" si="16"/>
        <v>0.25912647343086531</v>
      </c>
      <c r="AG28" s="172">
        <v>0</v>
      </c>
      <c r="AH28" s="173">
        <f t="shared" si="17"/>
        <v>0</v>
      </c>
      <c r="AI28" s="172">
        <v>969420.24</v>
      </c>
      <c r="AJ28" s="173">
        <f t="shared" si="18"/>
        <v>0.14181263222647397</v>
      </c>
      <c r="AK28" s="172">
        <v>66487.5</v>
      </c>
      <c r="AL28" s="173">
        <f t="shared" si="19"/>
        <v>9.7261920023020039E-3</v>
      </c>
      <c r="AN28" s="72"/>
    </row>
    <row r="29" spans="2:40" s="73" customFormat="1" ht="14.25" customHeight="1">
      <c r="B29" s="597"/>
      <c r="C29" s="601"/>
      <c r="D29" s="171">
        <v>46162</v>
      </c>
      <c r="E29" s="171" t="s">
        <v>112</v>
      </c>
      <c r="F29" s="322">
        <f t="shared" si="0"/>
        <v>6228516.46</v>
      </c>
      <c r="G29" s="599"/>
      <c r="H29" s="604"/>
      <c r="I29" s="172">
        <v>1154888.9800000002</v>
      </c>
      <c r="J29" s="173">
        <f t="shared" si="2"/>
        <v>0.18541959187501292</v>
      </c>
      <c r="K29" s="172">
        <v>1153130.3500000001</v>
      </c>
      <c r="L29" s="173">
        <f t="shared" si="3"/>
        <v>0.18513724052998651</v>
      </c>
      <c r="M29" s="172">
        <f t="shared" si="4"/>
        <v>2308019.33</v>
      </c>
      <c r="N29" s="173">
        <f t="shared" ref="N29" si="77">M29/F29</f>
        <v>0.37055683240499937</v>
      </c>
      <c r="O29" s="172">
        <v>251660.72</v>
      </c>
      <c r="P29" s="173">
        <f t="shared" si="6"/>
        <v>4.0404600616564798E-2</v>
      </c>
      <c r="Q29" s="172">
        <v>0</v>
      </c>
      <c r="R29" s="173">
        <f t="shared" si="7"/>
        <v>0</v>
      </c>
      <c r="S29" s="172">
        <f t="shared" si="8"/>
        <v>251660.72</v>
      </c>
      <c r="T29" s="173">
        <f t="shared" ref="T29" si="78">S29/F29</f>
        <v>4.0404600616564798E-2</v>
      </c>
      <c r="U29" s="172">
        <v>79300.62</v>
      </c>
      <c r="V29" s="173">
        <f t="shared" ref="V29" si="79">U29/F29</f>
        <v>1.2731863279044782E-2</v>
      </c>
      <c r="W29" s="172">
        <v>277853</v>
      </c>
      <c r="X29" s="173">
        <f t="shared" si="11"/>
        <v>4.4609820297400321E-2</v>
      </c>
      <c r="Y29" s="172">
        <v>187681.62000000002</v>
      </c>
      <c r="Z29" s="173">
        <f t="shared" si="12"/>
        <v>3.0132636110911076E-2</v>
      </c>
      <c r="AA29" s="172">
        <v>578888.23</v>
      </c>
      <c r="AB29" s="173">
        <f t="shared" si="13"/>
        <v>9.2941591102417995E-2</v>
      </c>
      <c r="AC29" s="172">
        <f t="shared" si="14"/>
        <v>766569.85</v>
      </c>
      <c r="AD29" s="173">
        <f t="shared" si="15"/>
        <v>0.12307422721332906</v>
      </c>
      <c r="AE29" s="172">
        <v>1590146.66</v>
      </c>
      <c r="AF29" s="173">
        <f t="shared" si="16"/>
        <v>0.25530102877820765</v>
      </c>
      <c r="AG29" s="172">
        <v>0</v>
      </c>
      <c r="AH29" s="173">
        <f t="shared" si="17"/>
        <v>0</v>
      </c>
      <c r="AI29" s="172">
        <v>881623.17999999993</v>
      </c>
      <c r="AJ29" s="173">
        <f t="shared" si="18"/>
        <v>0.1415462551414691</v>
      </c>
      <c r="AK29" s="172">
        <v>73343.099999999991</v>
      </c>
      <c r="AL29" s="173">
        <f t="shared" si="19"/>
        <v>1.17753722689849E-2</v>
      </c>
      <c r="AN29" s="72"/>
    </row>
    <row r="30" spans="2:40" s="73" customFormat="1" ht="14.25" customHeight="1">
      <c r="B30" s="597"/>
      <c r="C30" s="601"/>
      <c r="D30" s="171">
        <v>46163</v>
      </c>
      <c r="E30" s="171" t="s">
        <v>113</v>
      </c>
      <c r="F30" s="322">
        <f t="shared" si="0"/>
        <v>5748157.8600000013</v>
      </c>
      <c r="G30" s="599"/>
      <c r="H30" s="604"/>
      <c r="I30" s="172">
        <v>1115129.07</v>
      </c>
      <c r="J30" s="173">
        <f t="shared" si="2"/>
        <v>0.19399764188104601</v>
      </c>
      <c r="K30" s="172">
        <v>1008697.6500000001</v>
      </c>
      <c r="L30" s="173">
        <f t="shared" si="3"/>
        <v>0.17548189777794307</v>
      </c>
      <c r="M30" s="172">
        <f t="shared" si="4"/>
        <v>2123826.7200000002</v>
      </c>
      <c r="N30" s="173">
        <f t="shared" ref="N30" si="80">M30/$F30</f>
        <v>0.36947953965898905</v>
      </c>
      <c r="O30" s="172">
        <v>250001.04</v>
      </c>
      <c r="P30" s="173">
        <f t="shared" si="6"/>
        <v>4.3492375486013521E-2</v>
      </c>
      <c r="Q30" s="172">
        <v>0</v>
      </c>
      <c r="R30" s="173">
        <f t="shared" si="7"/>
        <v>0</v>
      </c>
      <c r="S30" s="172">
        <f t="shared" si="8"/>
        <v>250001.04</v>
      </c>
      <c r="T30" s="173">
        <f t="shared" ref="T30" si="81">S30/$F30</f>
        <v>4.3492375486013521E-2</v>
      </c>
      <c r="U30" s="172">
        <v>72407.520000000004</v>
      </c>
      <c r="V30" s="173">
        <f t="shared" ref="V30" si="82">U30/$F30</f>
        <v>1.2596647789349331E-2</v>
      </c>
      <c r="W30" s="172">
        <v>290188.37</v>
      </c>
      <c r="X30" s="173">
        <f t="shared" si="11"/>
        <v>5.0483716186597548E-2</v>
      </c>
      <c r="Y30" s="172">
        <v>178257.80000000002</v>
      </c>
      <c r="Z30" s="173">
        <f t="shared" si="12"/>
        <v>3.1011291676669432E-2</v>
      </c>
      <c r="AA30" s="172">
        <v>434945.84</v>
      </c>
      <c r="AB30" s="173">
        <f t="shared" si="13"/>
        <v>7.566699638273329E-2</v>
      </c>
      <c r="AC30" s="172">
        <f t="shared" si="14"/>
        <v>613203.64</v>
      </c>
      <c r="AD30" s="173">
        <f t="shared" si="15"/>
        <v>0.10667828805940271</v>
      </c>
      <c r="AE30" s="172">
        <v>1431228.08</v>
      </c>
      <c r="AF30" s="173">
        <f t="shared" si="16"/>
        <v>0.24898900045170294</v>
      </c>
      <c r="AG30" s="172">
        <v>0</v>
      </c>
      <c r="AH30" s="173">
        <f t="shared" si="17"/>
        <v>0</v>
      </c>
      <c r="AI30" s="172">
        <v>897328.09</v>
      </c>
      <c r="AJ30" s="173">
        <f t="shared" si="18"/>
        <v>0.15610707149229192</v>
      </c>
      <c r="AK30" s="172">
        <v>69974.399999999994</v>
      </c>
      <c r="AL30" s="173">
        <f t="shared" si="19"/>
        <v>1.2173360875652775E-2</v>
      </c>
      <c r="AN30" s="72"/>
    </row>
    <row r="31" spans="2:40" s="73" customFormat="1" ht="14.25" customHeight="1">
      <c r="B31" s="597"/>
      <c r="C31" s="601"/>
      <c r="D31" s="171">
        <v>46164</v>
      </c>
      <c r="E31" s="171" t="s">
        <v>114</v>
      </c>
      <c r="F31" s="322">
        <f t="shared" si="0"/>
        <v>5000105.5199999996</v>
      </c>
      <c r="G31" s="599"/>
      <c r="H31" s="604"/>
      <c r="I31" s="172">
        <v>875205.2300000001</v>
      </c>
      <c r="J31" s="173">
        <f t="shared" si="2"/>
        <v>0.17503735201172319</v>
      </c>
      <c r="K31" s="172">
        <v>927115.64</v>
      </c>
      <c r="L31" s="173">
        <f t="shared" si="3"/>
        <v>0.18541921491288849</v>
      </c>
      <c r="M31" s="172">
        <f t="shared" si="4"/>
        <v>1802320.87</v>
      </c>
      <c r="N31" s="173">
        <f t="shared" ref="N31" si="83">M31/F31</f>
        <v>0.3604565669246117</v>
      </c>
      <c r="O31" s="172">
        <v>197767.69</v>
      </c>
      <c r="P31" s="173">
        <f t="shared" si="6"/>
        <v>3.9552703279749989E-2</v>
      </c>
      <c r="Q31" s="172">
        <v>0</v>
      </c>
      <c r="R31" s="173">
        <f t="shared" si="7"/>
        <v>0</v>
      </c>
      <c r="S31" s="172">
        <f t="shared" si="8"/>
        <v>197767.69</v>
      </c>
      <c r="T31" s="173">
        <f t="shared" ref="T31" si="84">S31/F31</f>
        <v>3.9552703279749989E-2</v>
      </c>
      <c r="U31" s="172">
        <v>61918.02</v>
      </c>
      <c r="V31" s="173">
        <f t="shared" ref="V31" si="85">U31/F31</f>
        <v>1.2383342661936463E-2</v>
      </c>
      <c r="W31" s="172">
        <v>172933.82</v>
      </c>
      <c r="X31" s="173">
        <f t="shared" si="11"/>
        <v>3.4586034096336433E-2</v>
      </c>
      <c r="Y31" s="172">
        <v>163043.44</v>
      </c>
      <c r="Z31" s="173">
        <f t="shared" si="12"/>
        <v>3.2607999840771361E-2</v>
      </c>
      <c r="AA31" s="172">
        <v>473104.68</v>
      </c>
      <c r="AB31" s="173">
        <f t="shared" si="13"/>
        <v>9.4618939161907931E-2</v>
      </c>
      <c r="AC31" s="172">
        <f t="shared" si="14"/>
        <v>636148.12</v>
      </c>
      <c r="AD31" s="173">
        <f t="shared" si="15"/>
        <v>0.12722693900267928</v>
      </c>
      <c r="AE31" s="172">
        <v>1206731.8900000001</v>
      </c>
      <c r="AF31" s="173">
        <f t="shared" si="16"/>
        <v>0.24134128473352703</v>
      </c>
      <c r="AG31" s="172">
        <v>0</v>
      </c>
      <c r="AH31" s="173">
        <f t="shared" si="17"/>
        <v>0</v>
      </c>
      <c r="AI31" s="172">
        <v>861057.51</v>
      </c>
      <c r="AJ31" s="173">
        <f t="shared" si="18"/>
        <v>0.17220786772515956</v>
      </c>
      <c r="AK31" s="172">
        <v>61227.6</v>
      </c>
      <c r="AL31" s="173">
        <f t="shared" si="19"/>
        <v>1.2245261575999701E-2</v>
      </c>
      <c r="AN31" s="72"/>
    </row>
    <row r="32" spans="2:40" s="73" customFormat="1" ht="14.25" customHeight="1">
      <c r="B32" s="597"/>
      <c r="C32" s="601"/>
      <c r="D32" s="171">
        <v>46165</v>
      </c>
      <c r="E32" s="171" t="s">
        <v>115</v>
      </c>
      <c r="F32" s="322">
        <f t="shared" si="0"/>
        <v>5384919</v>
      </c>
      <c r="G32" s="599"/>
      <c r="H32" s="604"/>
      <c r="I32" s="172">
        <v>845622.7</v>
      </c>
      <c r="J32" s="173">
        <f t="shared" si="2"/>
        <v>0.1570353611632784</v>
      </c>
      <c r="K32" s="172">
        <v>1062168.51</v>
      </c>
      <c r="L32" s="173">
        <f t="shared" si="3"/>
        <v>0.19724874413152732</v>
      </c>
      <c r="M32" s="172">
        <f t="shared" si="4"/>
        <v>1907791.21</v>
      </c>
      <c r="N32" s="173">
        <f t="shared" ref="N32" si="86">M32/$F32</f>
        <v>0.35428410529480575</v>
      </c>
      <c r="O32" s="172">
        <v>194266.11000000002</v>
      </c>
      <c r="P32" s="173">
        <f t="shared" si="6"/>
        <v>3.6075957688500054E-2</v>
      </c>
      <c r="Q32" s="172">
        <v>0</v>
      </c>
      <c r="R32" s="173">
        <f t="shared" si="7"/>
        <v>0</v>
      </c>
      <c r="S32" s="172">
        <f t="shared" si="8"/>
        <v>194266.11000000002</v>
      </c>
      <c r="T32" s="173">
        <f t="shared" ref="T32" si="87">S32/$F32</f>
        <v>3.6075957688500054E-2</v>
      </c>
      <c r="U32" s="172">
        <v>65244.689999999995</v>
      </c>
      <c r="V32" s="173">
        <f t="shared" ref="V32" si="88">U32/$F32</f>
        <v>1.2116187820095343E-2</v>
      </c>
      <c r="W32" s="172">
        <v>202139.97000000003</v>
      </c>
      <c r="X32" s="173">
        <f t="shared" si="11"/>
        <v>3.7538163526693723E-2</v>
      </c>
      <c r="Y32" s="172">
        <v>188533.17</v>
      </c>
      <c r="Z32" s="173">
        <f t="shared" si="12"/>
        <v>3.5011328861214074E-2</v>
      </c>
      <c r="AA32" s="172">
        <v>553341</v>
      </c>
      <c r="AB32" s="173">
        <f t="shared" si="13"/>
        <v>0.10275753451444673</v>
      </c>
      <c r="AC32" s="172">
        <f t="shared" si="14"/>
        <v>741874.17</v>
      </c>
      <c r="AD32" s="173">
        <f t="shared" si="15"/>
        <v>0.1377688633756608</v>
      </c>
      <c r="AE32" s="172">
        <v>1313441.9800000002</v>
      </c>
      <c r="AF32" s="173">
        <f t="shared" si="16"/>
        <v>0.24391118603641024</v>
      </c>
      <c r="AG32" s="172">
        <v>0</v>
      </c>
      <c r="AH32" s="173">
        <f t="shared" si="17"/>
        <v>0</v>
      </c>
      <c r="AI32" s="172">
        <v>893850.67</v>
      </c>
      <c r="AJ32" s="173">
        <f t="shared" si="18"/>
        <v>0.1659914791661676</v>
      </c>
      <c r="AK32" s="172">
        <v>66310.2</v>
      </c>
      <c r="AL32" s="173">
        <f t="shared" si="19"/>
        <v>1.231405709166656E-2</v>
      </c>
      <c r="AN32" s="72"/>
    </row>
    <row r="33" spans="2:40" s="73" customFormat="1" ht="14.25" customHeight="1">
      <c r="B33" s="597"/>
      <c r="C33" s="601"/>
      <c r="D33" s="171">
        <v>46166</v>
      </c>
      <c r="E33" s="171" t="s">
        <v>116</v>
      </c>
      <c r="F33" s="322">
        <f t="shared" si="0"/>
        <v>6678766.4799999986</v>
      </c>
      <c r="G33" s="599"/>
      <c r="H33" s="604"/>
      <c r="I33" s="172">
        <v>1155172.47</v>
      </c>
      <c r="J33" s="173">
        <f t="shared" si="2"/>
        <v>0.17296194940476498</v>
      </c>
      <c r="K33" s="172">
        <v>1189057.5999999999</v>
      </c>
      <c r="L33" s="173">
        <f t="shared" si="3"/>
        <v>0.17803551053337624</v>
      </c>
      <c r="M33" s="172">
        <f t="shared" si="4"/>
        <v>2344230.0699999998</v>
      </c>
      <c r="N33" s="173">
        <f t="shared" ref="N33" si="89">M33/F33</f>
        <v>0.35099745993814119</v>
      </c>
      <c r="O33" s="172">
        <v>247167.59</v>
      </c>
      <c r="P33" s="173">
        <f t="shared" si="6"/>
        <v>3.7007970070545126E-2</v>
      </c>
      <c r="Q33" s="172">
        <v>0</v>
      </c>
      <c r="R33" s="173">
        <f t="shared" si="7"/>
        <v>0</v>
      </c>
      <c r="S33" s="172">
        <f t="shared" si="8"/>
        <v>247167.59</v>
      </c>
      <c r="T33" s="173">
        <f t="shared" ref="T33" si="90">S33/F33</f>
        <v>3.7007970070545126E-2</v>
      </c>
      <c r="U33" s="172">
        <v>85384.53</v>
      </c>
      <c r="V33" s="173">
        <f t="shared" ref="V33" si="91">U33/F33</f>
        <v>1.2784476033963687E-2</v>
      </c>
      <c r="W33" s="172">
        <v>278693.45</v>
      </c>
      <c r="X33" s="173">
        <f t="shared" si="11"/>
        <v>4.1728281836858006E-2</v>
      </c>
      <c r="Y33" s="172">
        <v>204769.39</v>
      </c>
      <c r="Z33" s="173">
        <f t="shared" si="12"/>
        <v>3.0659761890641828E-2</v>
      </c>
      <c r="AA33" s="172">
        <v>639419.34000000008</v>
      </c>
      <c r="AB33" s="173">
        <f t="shared" si="13"/>
        <v>9.5739137146774483E-2</v>
      </c>
      <c r="AC33" s="172">
        <f t="shared" si="14"/>
        <v>844188.7300000001</v>
      </c>
      <c r="AD33" s="173">
        <f t="shared" si="15"/>
        <v>0.1263988990374163</v>
      </c>
      <c r="AE33" s="172">
        <v>1871756.2099999997</v>
      </c>
      <c r="AF33" s="173">
        <f t="shared" si="16"/>
        <v>0.28025477692701123</v>
      </c>
      <c r="AG33" s="172">
        <v>0</v>
      </c>
      <c r="AH33" s="173">
        <f t="shared" si="17"/>
        <v>0</v>
      </c>
      <c r="AI33" s="172">
        <v>943045.1</v>
      </c>
      <c r="AJ33" s="173">
        <f t="shared" si="18"/>
        <v>0.14120049006414731</v>
      </c>
      <c r="AK33" s="172">
        <v>64300.799999999996</v>
      </c>
      <c r="AL33" s="173">
        <f t="shared" si="19"/>
        <v>9.6276460919172621E-3</v>
      </c>
      <c r="AN33" s="72"/>
    </row>
    <row r="34" spans="2:40" s="73" customFormat="1" ht="14.25" customHeight="1">
      <c r="B34" s="598"/>
      <c r="C34" s="602"/>
      <c r="D34" s="171">
        <v>46167</v>
      </c>
      <c r="E34" s="171" t="s">
        <v>117</v>
      </c>
      <c r="F34" s="322">
        <f t="shared" si="0"/>
        <v>6640182.1999999993</v>
      </c>
      <c r="G34" s="599"/>
      <c r="H34" s="605"/>
      <c r="I34" s="172">
        <v>1163570.68</v>
      </c>
      <c r="J34" s="173">
        <f t="shared" si="2"/>
        <v>0.17523173987605342</v>
      </c>
      <c r="K34" s="172">
        <v>1201250.6299999999</v>
      </c>
      <c r="L34" s="173">
        <f t="shared" si="3"/>
        <v>0.18090627543322532</v>
      </c>
      <c r="M34" s="172">
        <f t="shared" si="4"/>
        <v>2364821.3099999996</v>
      </c>
      <c r="N34" s="173">
        <f t="shared" ref="N34" si="92">M34/$F34</f>
        <v>0.35613801530927869</v>
      </c>
      <c r="O34" s="172">
        <v>254888.09000000003</v>
      </c>
      <c r="P34" s="173">
        <f t="shared" si="6"/>
        <v>3.8385707247611374E-2</v>
      </c>
      <c r="Q34" s="172">
        <v>0</v>
      </c>
      <c r="R34" s="173">
        <f t="shared" si="7"/>
        <v>0</v>
      </c>
      <c r="S34" s="172">
        <f t="shared" si="8"/>
        <v>254888.09000000003</v>
      </c>
      <c r="T34" s="173">
        <f t="shared" ref="T34" si="93">S34/$F34</f>
        <v>3.8385707247611374E-2</v>
      </c>
      <c r="U34" s="172">
        <v>82417.5</v>
      </c>
      <c r="V34" s="173">
        <f t="shared" ref="V34" si="94">U34/$F34</f>
        <v>1.2411933515920693E-2</v>
      </c>
      <c r="W34" s="172">
        <v>254276.34</v>
      </c>
      <c r="X34" s="173">
        <f t="shared" si="11"/>
        <v>3.8293578751498719E-2</v>
      </c>
      <c r="Y34" s="172">
        <v>224752.43000000002</v>
      </c>
      <c r="Z34" s="173">
        <f t="shared" si="12"/>
        <v>3.384732876757509E-2</v>
      </c>
      <c r="AA34" s="172">
        <v>629217.65</v>
      </c>
      <c r="AB34" s="173">
        <f t="shared" si="13"/>
        <v>9.475909411039958E-2</v>
      </c>
      <c r="AC34" s="172">
        <f t="shared" si="14"/>
        <v>853970.08000000007</v>
      </c>
      <c r="AD34" s="173">
        <f t="shared" si="15"/>
        <v>0.12860642287797466</v>
      </c>
      <c r="AE34" s="172">
        <v>1847543.5</v>
      </c>
      <c r="AF34" s="173">
        <f t="shared" si="16"/>
        <v>0.27823686825942823</v>
      </c>
      <c r="AG34" s="172">
        <v>0</v>
      </c>
      <c r="AH34" s="173">
        <f t="shared" si="17"/>
        <v>0</v>
      </c>
      <c r="AI34" s="172">
        <v>912290.98</v>
      </c>
      <c r="AJ34" s="173">
        <f t="shared" si="18"/>
        <v>0.13738944994611746</v>
      </c>
      <c r="AK34" s="172">
        <v>69974.399999999994</v>
      </c>
      <c r="AL34" s="173">
        <f t="shared" si="19"/>
        <v>1.0538024092170242E-2</v>
      </c>
      <c r="AN34" s="72"/>
    </row>
  </sheetData>
  <mergeCells count="45">
    <mergeCell ref="B28:B34"/>
    <mergeCell ref="G28:G34"/>
    <mergeCell ref="C10:C34"/>
    <mergeCell ref="H10:H34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  <mergeCell ref="B21:B27"/>
    <mergeCell ref="G21:G27"/>
    <mergeCell ref="B14:B20"/>
    <mergeCell ref="G14:G20"/>
    <mergeCell ref="B7:B13"/>
    <mergeCell ref="G7:G13"/>
    <mergeCell ref="C7:C9"/>
    <mergeCell ref="H7:H9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34"/>
  <sheetViews>
    <sheetView topLeftCell="A4" zoomScale="85" zoomScaleNormal="85" workbookViewId="0">
      <selection activeCell="G7" sqref="G7:G13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74" t="s">
        <v>323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Z2" s="574"/>
      <c r="AA2" s="574"/>
      <c r="AB2" s="574"/>
      <c r="AC2" s="574"/>
      <c r="AD2" s="574"/>
      <c r="AE2" s="574"/>
      <c r="AF2" s="574"/>
      <c r="AG2" s="574"/>
      <c r="AH2" s="574"/>
      <c r="AI2" s="574"/>
      <c r="AJ2" s="574"/>
      <c r="AK2" s="574"/>
      <c r="AL2" s="574"/>
    </row>
    <row r="3" spans="1:38" ht="25.35" customHeight="1">
      <c r="B3" s="610" t="s">
        <v>415</v>
      </c>
      <c r="C3" s="611" t="s">
        <v>416</v>
      </c>
      <c r="D3" s="612" t="s">
        <v>105</v>
      </c>
      <c r="E3" s="612"/>
      <c r="F3" s="629" t="s">
        <v>153</v>
      </c>
      <c r="G3" s="629"/>
      <c r="H3" s="629"/>
      <c r="I3" s="626" t="s">
        <v>321</v>
      </c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  <c r="W3" s="626"/>
      <c r="X3" s="626"/>
      <c r="Y3" s="626"/>
      <c r="Z3" s="626"/>
      <c r="AA3" s="626"/>
      <c r="AB3" s="626"/>
      <c r="AC3" s="626"/>
      <c r="AD3" s="626"/>
      <c r="AE3" s="626"/>
      <c r="AF3" s="626"/>
      <c r="AG3" s="626"/>
      <c r="AH3" s="626"/>
      <c r="AI3" s="626"/>
      <c r="AJ3" s="626"/>
      <c r="AK3" s="626"/>
      <c r="AL3" s="626"/>
    </row>
    <row r="4" spans="1:38" ht="25.35" customHeight="1">
      <c r="B4" s="610"/>
      <c r="C4" s="611"/>
      <c r="D4" s="612"/>
      <c r="E4" s="612"/>
      <c r="F4" s="629"/>
      <c r="G4" s="629"/>
      <c r="H4" s="629"/>
      <c r="I4" s="623" t="s">
        <v>417</v>
      </c>
      <c r="J4" s="623"/>
      <c r="K4" s="623"/>
      <c r="L4" s="623"/>
      <c r="M4" s="623"/>
      <c r="N4" s="623"/>
      <c r="O4" s="623" t="s">
        <v>418</v>
      </c>
      <c r="P4" s="623"/>
      <c r="Q4" s="623"/>
      <c r="R4" s="623"/>
      <c r="S4" s="623"/>
      <c r="T4" s="623"/>
      <c r="U4" s="623" t="s">
        <v>419</v>
      </c>
      <c r="V4" s="623"/>
      <c r="W4" s="623" t="s">
        <v>420</v>
      </c>
      <c r="X4" s="623"/>
      <c r="Y4" s="623" t="s">
        <v>139</v>
      </c>
      <c r="Z4" s="623"/>
      <c r="AA4" s="623"/>
      <c r="AB4" s="623"/>
      <c r="AC4" s="623"/>
      <c r="AD4" s="623"/>
      <c r="AE4" s="623" t="s">
        <v>137</v>
      </c>
      <c r="AF4" s="623"/>
      <c r="AG4" s="623" t="s">
        <v>421</v>
      </c>
      <c r="AH4" s="623"/>
      <c r="AI4" s="623" t="s">
        <v>422</v>
      </c>
      <c r="AJ4" s="623"/>
      <c r="AK4" s="623" t="s">
        <v>143</v>
      </c>
      <c r="AL4" s="623"/>
    </row>
    <row r="5" spans="1:38" ht="25.35" customHeight="1">
      <c r="B5" s="610"/>
      <c r="C5" s="611"/>
      <c r="D5" s="612"/>
      <c r="E5" s="612"/>
      <c r="F5" s="624" t="s">
        <v>116</v>
      </c>
      <c r="G5" s="624" t="s">
        <v>120</v>
      </c>
      <c r="H5" s="624" t="s">
        <v>121</v>
      </c>
      <c r="I5" s="623" t="s">
        <v>133</v>
      </c>
      <c r="J5" s="623"/>
      <c r="K5" s="623" t="s">
        <v>134</v>
      </c>
      <c r="L5" s="623"/>
      <c r="M5" s="623" t="s">
        <v>152</v>
      </c>
      <c r="N5" s="623"/>
      <c r="O5" s="623" t="s">
        <v>133</v>
      </c>
      <c r="P5" s="623"/>
      <c r="Q5" s="623" t="s">
        <v>134</v>
      </c>
      <c r="R5" s="623"/>
      <c r="S5" s="623" t="s">
        <v>152</v>
      </c>
      <c r="T5" s="623"/>
      <c r="U5" s="623" t="s">
        <v>133</v>
      </c>
      <c r="V5" s="623"/>
      <c r="W5" s="623" t="s">
        <v>133</v>
      </c>
      <c r="X5" s="623"/>
      <c r="Y5" s="623" t="s">
        <v>133</v>
      </c>
      <c r="Z5" s="623"/>
      <c r="AA5" s="623" t="s">
        <v>134</v>
      </c>
      <c r="AB5" s="623"/>
      <c r="AC5" s="623" t="s">
        <v>152</v>
      </c>
      <c r="AD5" s="623"/>
      <c r="AE5" s="623" t="s">
        <v>133</v>
      </c>
      <c r="AF5" s="623"/>
      <c r="AG5" s="623" t="s">
        <v>133</v>
      </c>
      <c r="AH5" s="623"/>
      <c r="AI5" s="623" t="s">
        <v>133</v>
      </c>
      <c r="AJ5" s="623"/>
      <c r="AK5" s="623" t="s">
        <v>133</v>
      </c>
      <c r="AL5" s="623"/>
    </row>
    <row r="6" spans="1:38" s="77" customFormat="1" ht="23.45" customHeight="1">
      <c r="B6" s="610"/>
      <c r="C6" s="628"/>
      <c r="D6" s="613"/>
      <c r="E6" s="613"/>
      <c r="F6" s="625"/>
      <c r="G6" s="624"/>
      <c r="H6" s="624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96">
        <f>D8+7</f>
        <v>46148</v>
      </c>
      <c r="C7" s="606"/>
      <c r="D7" s="171">
        <v>46140</v>
      </c>
      <c r="E7" s="171" t="s">
        <v>118</v>
      </c>
      <c r="F7" s="323">
        <f t="shared" ref="F7:F34" si="0">SUM(M7,S7,U7,W7,AC7,AE7,AG7,AI7,AK7)</f>
        <v>214895</v>
      </c>
      <c r="G7" s="619">
        <f t="shared" ref="G7" si="1">SUM(F7:F13)</f>
        <v>1262288</v>
      </c>
      <c r="H7" s="627"/>
      <c r="I7" s="310">
        <v>56898</v>
      </c>
      <c r="J7" s="232">
        <f t="shared" ref="J7:J34" si="2">I7/$F7</f>
        <v>0.26477116731426975</v>
      </c>
      <c r="K7" s="310">
        <v>67514</v>
      </c>
      <c r="L7" s="232">
        <f t="shared" ref="L7:L34" si="3">K7/$F7</f>
        <v>0.31417203750668932</v>
      </c>
      <c r="M7" s="310">
        <f t="shared" ref="M7:M34" si="4">I7+K7</f>
        <v>124412</v>
      </c>
      <c r="N7" s="232">
        <f t="shared" ref="N7:N34" si="5">M7/$F7</f>
        <v>0.57894320482095907</v>
      </c>
      <c r="O7" s="310">
        <v>11239</v>
      </c>
      <c r="P7" s="232">
        <f t="shared" ref="P7:P34" si="6">O7/$F7</f>
        <v>5.2299960445799112E-2</v>
      </c>
      <c r="Q7" s="310">
        <v>0</v>
      </c>
      <c r="R7" s="232">
        <f t="shared" ref="R7:R34" si="7">Q7/$F7</f>
        <v>0</v>
      </c>
      <c r="S7" s="310">
        <f t="shared" ref="S7:S34" si="8">O7+Q7</f>
        <v>11239</v>
      </c>
      <c r="T7" s="232">
        <f t="shared" ref="T7:T34" si="9">S7/$F7</f>
        <v>5.2299960445799112E-2</v>
      </c>
      <c r="U7" s="310">
        <v>3808</v>
      </c>
      <c r="V7" s="232">
        <f t="shared" ref="V7:V34" si="10">U7/$F7</f>
        <v>1.772028199818516E-2</v>
      </c>
      <c r="W7" s="310">
        <v>4795</v>
      </c>
      <c r="X7" s="232">
        <f t="shared" ref="X7:X34" si="11">W7/$F7</f>
        <v>2.2313222736685359E-2</v>
      </c>
      <c r="Y7" s="310">
        <v>3963</v>
      </c>
      <c r="Z7" s="232">
        <f t="shared" ref="Z7:Z34" si="12">Y7/$F7</f>
        <v>1.8441564484981039E-2</v>
      </c>
      <c r="AA7" s="310">
        <v>13498</v>
      </c>
      <c r="AB7" s="232">
        <f t="shared" ref="AB7:AB34" si="13">AA7/$F7</f>
        <v>6.2812071011424178E-2</v>
      </c>
      <c r="AC7" s="310">
        <f t="shared" ref="AC7:AC34" si="14">Y7+AA7</f>
        <v>17461</v>
      </c>
      <c r="AD7" s="232">
        <f t="shared" ref="AD7:AD34" si="15">AC7/$F7</f>
        <v>8.1253635496405227E-2</v>
      </c>
      <c r="AE7" s="310">
        <v>26331</v>
      </c>
      <c r="AF7" s="232">
        <f t="shared" ref="AF7:AF34" si="16">AE7/$F7</f>
        <v>0.12252960748272412</v>
      </c>
      <c r="AG7" s="310">
        <v>0</v>
      </c>
      <c r="AH7" s="232">
        <f t="shared" ref="AH7:AH34" si="17">AG7/$F7</f>
        <v>0</v>
      </c>
      <c r="AI7" s="310">
        <v>23117</v>
      </c>
      <c r="AJ7" s="232">
        <f t="shared" ref="AJ7:AJ34" si="18">AI7/$F7</f>
        <v>0.10757346611135671</v>
      </c>
      <c r="AK7" s="310">
        <v>3732</v>
      </c>
      <c r="AL7" s="232">
        <f t="shared" ref="AL7:AL34" si="19">AK7/$F7</f>
        <v>1.7366620907885245E-2</v>
      </c>
    </row>
    <row r="8" spans="1:38" s="73" customFormat="1" ht="14.25" customHeight="1">
      <c r="B8" s="597"/>
      <c r="C8" s="606"/>
      <c r="D8" s="171">
        <v>46141</v>
      </c>
      <c r="E8" s="171" t="s">
        <v>112</v>
      </c>
      <c r="F8" s="323">
        <f t="shared" si="0"/>
        <v>189446</v>
      </c>
      <c r="G8" s="619"/>
      <c r="H8" s="627"/>
      <c r="I8" s="310">
        <v>54628</v>
      </c>
      <c r="J8" s="232">
        <f t="shared" si="2"/>
        <v>0.28835657654423952</v>
      </c>
      <c r="K8" s="310">
        <v>56301</v>
      </c>
      <c r="L8" s="232">
        <f t="shared" si="3"/>
        <v>0.2971875890755149</v>
      </c>
      <c r="M8" s="310">
        <f t="shared" si="4"/>
        <v>110929</v>
      </c>
      <c r="N8" s="232">
        <f t="shared" si="5"/>
        <v>0.58554416561975442</v>
      </c>
      <c r="O8" s="310">
        <v>10410</v>
      </c>
      <c r="P8" s="232">
        <f t="shared" si="6"/>
        <v>5.4949695427720831E-2</v>
      </c>
      <c r="Q8" s="310">
        <v>0</v>
      </c>
      <c r="R8" s="232">
        <f t="shared" si="7"/>
        <v>0</v>
      </c>
      <c r="S8" s="310">
        <f t="shared" si="8"/>
        <v>10410</v>
      </c>
      <c r="T8" s="232">
        <f t="shared" si="9"/>
        <v>5.4949695427720831E-2</v>
      </c>
      <c r="U8" s="310">
        <v>3448</v>
      </c>
      <c r="V8" s="232">
        <f t="shared" si="10"/>
        <v>1.8200437063859886E-2</v>
      </c>
      <c r="W8" s="310">
        <v>5590</v>
      </c>
      <c r="X8" s="232">
        <f t="shared" si="11"/>
        <v>2.950708909135057E-2</v>
      </c>
      <c r="Y8" s="310">
        <v>3075</v>
      </c>
      <c r="Z8" s="232">
        <f t="shared" si="12"/>
        <v>1.6231538274759035E-2</v>
      </c>
      <c r="AA8" s="310">
        <v>10603</v>
      </c>
      <c r="AB8" s="232">
        <f t="shared" si="13"/>
        <v>5.5968455390982129E-2</v>
      </c>
      <c r="AC8" s="310">
        <f t="shared" si="14"/>
        <v>13678</v>
      </c>
      <c r="AD8" s="232">
        <f t="shared" si="15"/>
        <v>7.2199993665741161E-2</v>
      </c>
      <c r="AE8" s="310">
        <v>23123</v>
      </c>
      <c r="AF8" s="232">
        <f t="shared" si="16"/>
        <v>0.12205588927715549</v>
      </c>
      <c r="AG8" s="310">
        <v>0</v>
      </c>
      <c r="AH8" s="232">
        <f t="shared" si="17"/>
        <v>0</v>
      </c>
      <c r="AI8" s="310">
        <v>19061</v>
      </c>
      <c r="AJ8" s="232">
        <f t="shared" si="18"/>
        <v>0.10061442310737624</v>
      </c>
      <c r="AK8" s="310">
        <v>3207</v>
      </c>
      <c r="AL8" s="232">
        <f t="shared" si="19"/>
        <v>1.6928306747041374E-2</v>
      </c>
    </row>
    <row r="9" spans="1:38" s="73" customFormat="1" ht="14.25" customHeight="1">
      <c r="B9" s="597"/>
      <c r="C9" s="606"/>
      <c r="D9" s="171">
        <v>46142</v>
      </c>
      <c r="E9" s="171" t="s">
        <v>113</v>
      </c>
      <c r="F9" s="323">
        <f t="shared" si="0"/>
        <v>150674</v>
      </c>
      <c r="G9" s="619"/>
      <c r="H9" s="627"/>
      <c r="I9" s="310">
        <v>36437</v>
      </c>
      <c r="J9" s="232">
        <f t="shared" si="2"/>
        <v>0.24182672524788618</v>
      </c>
      <c r="K9" s="310">
        <v>49687</v>
      </c>
      <c r="L9" s="232">
        <f t="shared" si="3"/>
        <v>0.32976492294622828</v>
      </c>
      <c r="M9" s="310">
        <f t="shared" si="4"/>
        <v>86124</v>
      </c>
      <c r="N9" s="232">
        <f t="shared" si="5"/>
        <v>0.57159164819411445</v>
      </c>
      <c r="O9" s="310">
        <v>7319</v>
      </c>
      <c r="P9" s="232">
        <f t="shared" si="6"/>
        <v>4.8575069355031392E-2</v>
      </c>
      <c r="Q9" s="310">
        <v>0</v>
      </c>
      <c r="R9" s="232">
        <f t="shared" si="7"/>
        <v>0</v>
      </c>
      <c r="S9" s="310">
        <f t="shared" si="8"/>
        <v>7319</v>
      </c>
      <c r="T9" s="232">
        <f t="shared" si="9"/>
        <v>4.8575069355031392E-2</v>
      </c>
      <c r="U9" s="310">
        <v>3009</v>
      </c>
      <c r="V9" s="232">
        <f t="shared" si="10"/>
        <v>1.9970266933910297E-2</v>
      </c>
      <c r="W9" s="310">
        <v>4105</v>
      </c>
      <c r="X9" s="232">
        <f t="shared" si="11"/>
        <v>2.7244249173712785E-2</v>
      </c>
      <c r="Y9" s="310">
        <v>2633</v>
      </c>
      <c r="Z9" s="232">
        <f t="shared" si="12"/>
        <v>1.7474813172810175E-2</v>
      </c>
      <c r="AA9" s="310">
        <v>9415</v>
      </c>
      <c r="AB9" s="232">
        <f t="shared" si="13"/>
        <v>6.2485896704142715E-2</v>
      </c>
      <c r="AC9" s="310">
        <f t="shared" si="14"/>
        <v>12048</v>
      </c>
      <c r="AD9" s="232">
        <f t="shared" si="15"/>
        <v>7.996070987695289E-2</v>
      </c>
      <c r="AE9" s="310">
        <v>17526</v>
      </c>
      <c r="AF9" s="232">
        <f t="shared" si="16"/>
        <v>0.11631734738574671</v>
      </c>
      <c r="AG9" s="310">
        <v>0</v>
      </c>
      <c r="AH9" s="232">
        <f t="shared" si="17"/>
        <v>0</v>
      </c>
      <c r="AI9" s="310">
        <v>17120</v>
      </c>
      <c r="AJ9" s="232">
        <f t="shared" si="18"/>
        <v>0.11362278827136732</v>
      </c>
      <c r="AK9" s="310">
        <v>3423</v>
      </c>
      <c r="AL9" s="232">
        <f t="shared" si="19"/>
        <v>2.2717920809164155E-2</v>
      </c>
    </row>
    <row r="10" spans="1:38" s="73" customFormat="1" ht="14.25" customHeight="1">
      <c r="B10" s="597"/>
      <c r="C10" s="600" t="s">
        <v>114</v>
      </c>
      <c r="D10" s="171">
        <v>46143</v>
      </c>
      <c r="E10" s="171" t="s">
        <v>114</v>
      </c>
      <c r="F10" s="323">
        <f t="shared" si="0"/>
        <v>140738</v>
      </c>
      <c r="G10" s="619"/>
      <c r="H10" s="620">
        <f>SUM(F10:F27)</f>
        <v>3370502</v>
      </c>
      <c r="I10" s="310">
        <v>35108</v>
      </c>
      <c r="J10" s="232">
        <f t="shared" si="2"/>
        <v>0.24945643678324261</v>
      </c>
      <c r="K10" s="310">
        <v>47984</v>
      </c>
      <c r="L10" s="232">
        <f t="shared" si="3"/>
        <v>0.34094558683511206</v>
      </c>
      <c r="M10" s="310">
        <f t="shared" si="4"/>
        <v>83092</v>
      </c>
      <c r="N10" s="232">
        <f t="shared" si="5"/>
        <v>0.5904020236183547</v>
      </c>
      <c r="O10" s="310">
        <v>7180</v>
      </c>
      <c r="P10" s="232">
        <f t="shared" si="6"/>
        <v>5.1016782958404977E-2</v>
      </c>
      <c r="Q10" s="310">
        <v>0</v>
      </c>
      <c r="R10" s="232">
        <f t="shared" si="7"/>
        <v>0</v>
      </c>
      <c r="S10" s="310">
        <f t="shared" si="8"/>
        <v>7180</v>
      </c>
      <c r="T10" s="232">
        <f t="shared" si="9"/>
        <v>5.1016782958404977E-2</v>
      </c>
      <c r="U10" s="310">
        <v>2658</v>
      </c>
      <c r="V10" s="232">
        <f t="shared" si="10"/>
        <v>1.8886157256746579E-2</v>
      </c>
      <c r="W10" s="310">
        <v>2200</v>
      </c>
      <c r="X10" s="232">
        <f t="shared" si="11"/>
        <v>1.5631883357728544E-2</v>
      </c>
      <c r="Y10" s="310">
        <v>2704</v>
      </c>
      <c r="Z10" s="232">
        <f t="shared" si="12"/>
        <v>1.9213005726953631E-2</v>
      </c>
      <c r="AA10" s="310">
        <v>10892</v>
      </c>
      <c r="AB10" s="232">
        <f t="shared" si="13"/>
        <v>7.7392033423808779E-2</v>
      </c>
      <c r="AC10" s="310">
        <f t="shared" si="14"/>
        <v>13596</v>
      </c>
      <c r="AD10" s="232">
        <f t="shared" si="15"/>
        <v>9.6605039150762406E-2</v>
      </c>
      <c r="AE10" s="310">
        <v>15422</v>
      </c>
      <c r="AF10" s="232">
        <f t="shared" si="16"/>
        <v>0.1095795023376771</v>
      </c>
      <c r="AG10" s="310">
        <v>0</v>
      </c>
      <c r="AH10" s="232">
        <f t="shared" si="17"/>
        <v>0</v>
      </c>
      <c r="AI10" s="310">
        <v>13263</v>
      </c>
      <c r="AJ10" s="232">
        <f t="shared" si="18"/>
        <v>9.4238940442524413E-2</v>
      </c>
      <c r="AK10" s="310">
        <v>3327</v>
      </c>
      <c r="AL10" s="232">
        <f t="shared" si="19"/>
        <v>2.3639670877801305E-2</v>
      </c>
    </row>
    <row r="11" spans="1:38" s="73" customFormat="1" ht="14.25" customHeight="1">
      <c r="B11" s="597"/>
      <c r="C11" s="601"/>
      <c r="D11" s="171">
        <v>46144</v>
      </c>
      <c r="E11" s="171" t="s">
        <v>115</v>
      </c>
      <c r="F11" s="323">
        <f t="shared" si="0"/>
        <v>150228</v>
      </c>
      <c r="G11" s="619"/>
      <c r="H11" s="621"/>
      <c r="I11" s="310">
        <v>33372</v>
      </c>
      <c r="J11" s="232">
        <f t="shared" si="2"/>
        <v>0.22214234363767074</v>
      </c>
      <c r="K11" s="310">
        <v>56972</v>
      </c>
      <c r="L11" s="232">
        <f t="shared" si="3"/>
        <v>0.37923689325558485</v>
      </c>
      <c r="M11" s="310">
        <f t="shared" si="4"/>
        <v>90344</v>
      </c>
      <c r="N11" s="232">
        <f t="shared" si="5"/>
        <v>0.60137923689325556</v>
      </c>
      <c r="O11" s="310">
        <v>6959</v>
      </c>
      <c r="P11" s="232">
        <f t="shared" si="6"/>
        <v>4.6322922491146792E-2</v>
      </c>
      <c r="Q11" s="310">
        <v>0</v>
      </c>
      <c r="R11" s="232">
        <f t="shared" si="7"/>
        <v>0</v>
      </c>
      <c r="S11" s="310">
        <f t="shared" si="8"/>
        <v>6959</v>
      </c>
      <c r="T11" s="232">
        <f t="shared" si="9"/>
        <v>4.6322922491146792E-2</v>
      </c>
      <c r="U11" s="310">
        <v>2800</v>
      </c>
      <c r="V11" s="232">
        <f t="shared" si="10"/>
        <v>1.8638336395345741E-2</v>
      </c>
      <c r="W11" s="310">
        <v>1872</v>
      </c>
      <c r="X11" s="232">
        <f t="shared" si="11"/>
        <v>1.2461059190031152E-2</v>
      </c>
      <c r="Y11" s="310">
        <v>3209</v>
      </c>
      <c r="Z11" s="232">
        <f t="shared" si="12"/>
        <v>2.1360864818808743E-2</v>
      </c>
      <c r="AA11" s="310">
        <v>12056</v>
      </c>
      <c r="AB11" s="232">
        <f t="shared" si="13"/>
        <v>8.0251351279388664E-2</v>
      </c>
      <c r="AC11" s="310">
        <f t="shared" si="14"/>
        <v>15265</v>
      </c>
      <c r="AD11" s="232">
        <f t="shared" si="15"/>
        <v>0.1016122160981974</v>
      </c>
      <c r="AE11" s="310">
        <v>17040</v>
      </c>
      <c r="AF11" s="232">
        <f t="shared" si="16"/>
        <v>0.11342759006310409</v>
      </c>
      <c r="AG11" s="310">
        <v>0</v>
      </c>
      <c r="AH11" s="232">
        <f t="shared" si="17"/>
        <v>0</v>
      </c>
      <c r="AI11" s="310">
        <v>12768</v>
      </c>
      <c r="AJ11" s="232">
        <f t="shared" si="18"/>
        <v>8.4990813962776579E-2</v>
      </c>
      <c r="AK11" s="310">
        <v>3180</v>
      </c>
      <c r="AL11" s="232">
        <f t="shared" si="19"/>
        <v>2.1167824906142663E-2</v>
      </c>
    </row>
    <row r="12" spans="1:38" s="73" customFormat="1" ht="14.25" customHeight="1">
      <c r="B12" s="597"/>
      <c r="C12" s="601"/>
      <c r="D12" s="171">
        <v>46145</v>
      </c>
      <c r="E12" s="171" t="s">
        <v>116</v>
      </c>
      <c r="F12" s="323">
        <f t="shared" si="0"/>
        <v>212432</v>
      </c>
      <c r="G12" s="619"/>
      <c r="H12" s="621"/>
      <c r="I12" s="310">
        <v>55360</v>
      </c>
      <c r="J12" s="232">
        <f t="shared" si="2"/>
        <v>0.26060103939142881</v>
      </c>
      <c r="K12" s="310">
        <v>68288</v>
      </c>
      <c r="L12" s="232">
        <f t="shared" si="3"/>
        <v>0.32145816072908034</v>
      </c>
      <c r="M12" s="310">
        <f t="shared" si="4"/>
        <v>123648</v>
      </c>
      <c r="N12" s="232">
        <f t="shared" si="5"/>
        <v>0.58205920012050916</v>
      </c>
      <c r="O12" s="310">
        <v>11280</v>
      </c>
      <c r="P12" s="232">
        <f t="shared" si="6"/>
        <v>5.3099344731490548E-2</v>
      </c>
      <c r="Q12" s="310">
        <v>0</v>
      </c>
      <c r="R12" s="232">
        <f t="shared" si="7"/>
        <v>0</v>
      </c>
      <c r="S12" s="310">
        <f t="shared" si="8"/>
        <v>11280</v>
      </c>
      <c r="T12" s="232">
        <f t="shared" si="9"/>
        <v>5.3099344731490548E-2</v>
      </c>
      <c r="U12" s="310">
        <v>3993</v>
      </c>
      <c r="V12" s="232">
        <f t="shared" si="10"/>
        <v>1.8796603148301574E-2</v>
      </c>
      <c r="W12" s="310">
        <v>2692</v>
      </c>
      <c r="X12" s="232">
        <f t="shared" si="11"/>
        <v>1.2672290427054304E-2</v>
      </c>
      <c r="Y12" s="310">
        <v>4101</v>
      </c>
      <c r="Z12" s="232">
        <f t="shared" si="12"/>
        <v>1.9305001129773292E-2</v>
      </c>
      <c r="AA12" s="310">
        <v>14261</v>
      </c>
      <c r="AB12" s="232">
        <f t="shared" si="13"/>
        <v>6.7132070497853427E-2</v>
      </c>
      <c r="AC12" s="310">
        <f t="shared" si="14"/>
        <v>18362</v>
      </c>
      <c r="AD12" s="232">
        <f t="shared" si="15"/>
        <v>8.6437071627626719E-2</v>
      </c>
      <c r="AE12" s="310">
        <v>30259</v>
      </c>
      <c r="AF12" s="232">
        <f t="shared" si="16"/>
        <v>0.14244087519771031</v>
      </c>
      <c r="AG12" s="310">
        <v>0</v>
      </c>
      <c r="AH12" s="232">
        <f t="shared" si="17"/>
        <v>0</v>
      </c>
      <c r="AI12" s="310">
        <v>19003</v>
      </c>
      <c r="AJ12" s="232">
        <f t="shared" si="18"/>
        <v>8.945450779543572E-2</v>
      </c>
      <c r="AK12" s="310">
        <v>3195</v>
      </c>
      <c r="AL12" s="232">
        <f t="shared" si="19"/>
        <v>1.5040106951871657E-2</v>
      </c>
    </row>
    <row r="13" spans="1:38" s="73" customFormat="1" ht="14.25" customHeight="1">
      <c r="B13" s="598"/>
      <c r="C13" s="601"/>
      <c r="D13" s="171">
        <v>46146</v>
      </c>
      <c r="E13" s="171" t="s">
        <v>117</v>
      </c>
      <c r="F13" s="323">
        <f t="shared" si="0"/>
        <v>203875</v>
      </c>
      <c r="G13" s="619"/>
      <c r="H13" s="621"/>
      <c r="I13" s="310">
        <v>53553</v>
      </c>
      <c r="J13" s="232">
        <f t="shared" si="2"/>
        <v>0.26267565910484364</v>
      </c>
      <c r="K13" s="310">
        <v>66674</v>
      </c>
      <c r="L13" s="232">
        <f t="shared" si="3"/>
        <v>0.32703372164316369</v>
      </c>
      <c r="M13" s="310">
        <f t="shared" si="4"/>
        <v>120227</v>
      </c>
      <c r="N13" s="232">
        <f t="shared" si="5"/>
        <v>0.58970938074800738</v>
      </c>
      <c r="O13" s="310">
        <v>10449</v>
      </c>
      <c r="P13" s="232">
        <f t="shared" si="6"/>
        <v>5.1251992642550585E-2</v>
      </c>
      <c r="Q13" s="310">
        <v>0</v>
      </c>
      <c r="R13" s="232">
        <f t="shared" si="7"/>
        <v>0</v>
      </c>
      <c r="S13" s="310">
        <f t="shared" si="8"/>
        <v>10449</v>
      </c>
      <c r="T13" s="232">
        <f t="shared" si="9"/>
        <v>5.1251992642550585E-2</v>
      </c>
      <c r="U13" s="310">
        <v>3801</v>
      </c>
      <c r="V13" s="232">
        <f t="shared" si="10"/>
        <v>1.8643776824034335E-2</v>
      </c>
      <c r="W13" s="310">
        <v>2732</v>
      </c>
      <c r="X13" s="232">
        <f t="shared" si="11"/>
        <v>1.3400367872470877E-2</v>
      </c>
      <c r="Y13" s="310">
        <v>4022</v>
      </c>
      <c r="Z13" s="232">
        <f t="shared" si="12"/>
        <v>1.9727774371551196E-2</v>
      </c>
      <c r="AA13" s="310">
        <v>14040</v>
      </c>
      <c r="AB13" s="232">
        <f t="shared" si="13"/>
        <v>6.8865726548129988E-2</v>
      </c>
      <c r="AC13" s="310">
        <f t="shared" si="14"/>
        <v>18062</v>
      </c>
      <c r="AD13" s="232">
        <f t="shared" si="15"/>
        <v>8.8593500919681184E-2</v>
      </c>
      <c r="AE13" s="310">
        <v>27589</v>
      </c>
      <c r="AF13" s="232">
        <f t="shared" si="16"/>
        <v>0.13532311465358676</v>
      </c>
      <c r="AG13" s="310">
        <v>0</v>
      </c>
      <c r="AH13" s="232">
        <f t="shared" si="17"/>
        <v>0</v>
      </c>
      <c r="AI13" s="310">
        <v>17442</v>
      </c>
      <c r="AJ13" s="232">
        <f t="shared" si="18"/>
        <v>8.5552421827099934E-2</v>
      </c>
      <c r="AK13" s="310">
        <v>3573</v>
      </c>
      <c r="AL13" s="232">
        <f t="shared" si="19"/>
        <v>1.7525444512568975E-2</v>
      </c>
    </row>
    <row r="14" spans="1:38" s="73" customFormat="1" ht="14.25" customHeight="1">
      <c r="B14" s="596">
        <f>D15+7</f>
        <v>46155</v>
      </c>
      <c r="C14" s="601"/>
      <c r="D14" s="171">
        <v>46147</v>
      </c>
      <c r="E14" s="171" t="s">
        <v>118</v>
      </c>
      <c r="F14" s="323">
        <f t="shared" si="0"/>
        <v>198337</v>
      </c>
      <c r="G14" s="619">
        <f t="shared" ref="G14" si="20">SUM(F14:F20)</f>
        <v>1283685</v>
      </c>
      <c r="H14" s="621"/>
      <c r="I14" s="310">
        <v>51170</v>
      </c>
      <c r="J14" s="232">
        <f t="shared" si="2"/>
        <v>0.25799523034027944</v>
      </c>
      <c r="K14" s="310">
        <v>64604</v>
      </c>
      <c r="L14" s="232">
        <f t="shared" si="3"/>
        <v>0.32572843191134282</v>
      </c>
      <c r="M14" s="310">
        <f t="shared" si="4"/>
        <v>115774</v>
      </c>
      <c r="N14" s="232">
        <f t="shared" si="5"/>
        <v>0.5837236622516222</v>
      </c>
      <c r="O14" s="310">
        <v>10926</v>
      </c>
      <c r="P14" s="232">
        <f t="shared" si="6"/>
        <v>5.5088057195581255E-2</v>
      </c>
      <c r="Q14" s="310">
        <v>0</v>
      </c>
      <c r="R14" s="232">
        <f t="shared" si="7"/>
        <v>0</v>
      </c>
      <c r="S14" s="310">
        <f t="shared" si="8"/>
        <v>10926</v>
      </c>
      <c r="T14" s="232">
        <f t="shared" si="9"/>
        <v>5.5088057195581255E-2</v>
      </c>
      <c r="U14" s="310">
        <v>3463</v>
      </c>
      <c r="V14" s="232">
        <f t="shared" si="10"/>
        <v>1.7460181408410935E-2</v>
      </c>
      <c r="W14" s="310">
        <v>2204</v>
      </c>
      <c r="X14" s="232">
        <f t="shared" si="11"/>
        <v>1.1112399602696421E-2</v>
      </c>
      <c r="Y14" s="310">
        <v>3941</v>
      </c>
      <c r="Z14" s="232">
        <f t="shared" si="12"/>
        <v>1.9870220886672684E-2</v>
      </c>
      <c r="AA14" s="310">
        <v>13524</v>
      </c>
      <c r="AB14" s="232">
        <f t="shared" si="13"/>
        <v>6.8186974694585484E-2</v>
      </c>
      <c r="AC14" s="310">
        <f t="shared" si="14"/>
        <v>17465</v>
      </c>
      <c r="AD14" s="232">
        <f t="shared" si="15"/>
        <v>8.8057195581258157E-2</v>
      </c>
      <c r="AE14" s="310">
        <v>27258</v>
      </c>
      <c r="AF14" s="232">
        <f t="shared" si="16"/>
        <v>0.13743275334405583</v>
      </c>
      <c r="AG14" s="310">
        <v>0</v>
      </c>
      <c r="AH14" s="232">
        <f t="shared" si="17"/>
        <v>0</v>
      </c>
      <c r="AI14" s="310">
        <v>17647</v>
      </c>
      <c r="AJ14" s="232">
        <f t="shared" si="18"/>
        <v>8.8974825675491712E-2</v>
      </c>
      <c r="AK14" s="310">
        <v>3600</v>
      </c>
      <c r="AL14" s="232">
        <f t="shared" si="19"/>
        <v>1.8150924940883446E-2</v>
      </c>
    </row>
    <row r="15" spans="1:38" s="73" customFormat="1" ht="14.25" customHeight="1">
      <c r="B15" s="597"/>
      <c r="C15" s="601"/>
      <c r="D15" s="171">
        <f>D14+1</f>
        <v>46148</v>
      </c>
      <c r="E15" s="171" t="s">
        <v>112</v>
      </c>
      <c r="F15" s="323">
        <f t="shared" si="0"/>
        <v>188660</v>
      </c>
      <c r="G15" s="619"/>
      <c r="H15" s="621"/>
      <c r="I15" s="310">
        <v>50301</v>
      </c>
      <c r="J15" s="232">
        <f t="shared" si="2"/>
        <v>0.26662249549454042</v>
      </c>
      <c r="K15" s="310">
        <v>61649</v>
      </c>
      <c r="L15" s="232">
        <f t="shared" si="3"/>
        <v>0.32677303084914661</v>
      </c>
      <c r="M15" s="310">
        <f t="shared" si="4"/>
        <v>111950</v>
      </c>
      <c r="N15" s="232">
        <f t="shared" si="5"/>
        <v>0.59339552634368709</v>
      </c>
      <c r="O15" s="310">
        <v>10750</v>
      </c>
      <c r="P15" s="232">
        <f t="shared" si="6"/>
        <v>5.6980812042828372E-2</v>
      </c>
      <c r="Q15" s="310">
        <v>0</v>
      </c>
      <c r="R15" s="232">
        <f t="shared" si="7"/>
        <v>0</v>
      </c>
      <c r="S15" s="310">
        <f t="shared" si="8"/>
        <v>10750</v>
      </c>
      <c r="T15" s="232">
        <f t="shared" si="9"/>
        <v>5.6980812042828372E-2</v>
      </c>
      <c r="U15" s="310">
        <v>3404</v>
      </c>
      <c r="V15" s="232">
        <f t="shared" si="10"/>
        <v>1.8043040390119794E-2</v>
      </c>
      <c r="W15" s="310">
        <v>2480</v>
      </c>
      <c r="X15" s="232">
        <f t="shared" si="11"/>
        <v>1.3145340824764125E-2</v>
      </c>
      <c r="Y15" s="310">
        <v>3437</v>
      </c>
      <c r="Z15" s="232">
        <f t="shared" si="12"/>
        <v>1.8217958231739637E-2</v>
      </c>
      <c r="AA15" s="310">
        <v>12509</v>
      </c>
      <c r="AB15" s="232">
        <f t="shared" si="13"/>
        <v>6.6304463055231633E-2</v>
      </c>
      <c r="AC15" s="310">
        <f t="shared" si="14"/>
        <v>15946</v>
      </c>
      <c r="AD15" s="232">
        <f t="shared" si="15"/>
        <v>8.4522421286971267E-2</v>
      </c>
      <c r="AE15" s="310">
        <v>24611</v>
      </c>
      <c r="AF15" s="232">
        <f t="shared" si="16"/>
        <v>0.1304516060638185</v>
      </c>
      <c r="AG15" s="310">
        <v>0</v>
      </c>
      <c r="AH15" s="232">
        <f t="shared" si="17"/>
        <v>0</v>
      </c>
      <c r="AI15" s="310">
        <v>15589</v>
      </c>
      <c r="AJ15" s="232">
        <f t="shared" si="18"/>
        <v>8.2630128273083858E-2</v>
      </c>
      <c r="AK15" s="310">
        <v>3930</v>
      </c>
      <c r="AL15" s="232">
        <f t="shared" si="19"/>
        <v>2.0831124774727022E-2</v>
      </c>
    </row>
    <row r="16" spans="1:38" s="73" customFormat="1" ht="14.25" customHeight="1">
      <c r="B16" s="597"/>
      <c r="C16" s="601"/>
      <c r="D16" s="171">
        <f t="shared" ref="D16:D34" si="21">D15+1</f>
        <v>46149</v>
      </c>
      <c r="E16" s="171" t="s">
        <v>113</v>
      </c>
      <c r="F16" s="323">
        <f t="shared" si="0"/>
        <v>175320</v>
      </c>
      <c r="G16" s="619"/>
      <c r="H16" s="621"/>
      <c r="I16" s="310">
        <v>49517</v>
      </c>
      <c r="J16" s="232">
        <f t="shared" si="2"/>
        <v>0.28243782797170885</v>
      </c>
      <c r="K16" s="310">
        <v>55273</v>
      </c>
      <c r="L16" s="232">
        <f t="shared" si="3"/>
        <v>0.31526922199406798</v>
      </c>
      <c r="M16" s="310">
        <f t="shared" si="4"/>
        <v>104790</v>
      </c>
      <c r="N16" s="232">
        <f t="shared" si="5"/>
        <v>0.59770704996577684</v>
      </c>
      <c r="O16" s="310">
        <v>10999</v>
      </c>
      <c r="P16" s="232">
        <f t="shared" si="6"/>
        <v>6.2736710015970795E-2</v>
      </c>
      <c r="Q16" s="310">
        <v>0</v>
      </c>
      <c r="R16" s="232">
        <f t="shared" si="7"/>
        <v>0</v>
      </c>
      <c r="S16" s="310">
        <f t="shared" si="8"/>
        <v>10999</v>
      </c>
      <c r="T16" s="232">
        <f t="shared" si="9"/>
        <v>6.2736710015970795E-2</v>
      </c>
      <c r="U16" s="310">
        <v>3266</v>
      </c>
      <c r="V16" s="232">
        <f t="shared" si="10"/>
        <v>1.8628793064111339E-2</v>
      </c>
      <c r="W16" s="310">
        <v>2341</v>
      </c>
      <c r="X16" s="232">
        <f t="shared" si="11"/>
        <v>1.335272644307552E-2</v>
      </c>
      <c r="Y16" s="310">
        <v>3254</v>
      </c>
      <c r="Z16" s="232">
        <f t="shared" si="12"/>
        <v>1.8560346794433035E-2</v>
      </c>
      <c r="AA16" s="310">
        <v>10334</v>
      </c>
      <c r="AB16" s="232">
        <f t="shared" si="13"/>
        <v>5.8943645904631532E-2</v>
      </c>
      <c r="AC16" s="310">
        <f t="shared" si="14"/>
        <v>13588</v>
      </c>
      <c r="AD16" s="232">
        <f t="shared" si="15"/>
        <v>7.7503992699064564E-2</v>
      </c>
      <c r="AE16" s="310">
        <v>21569</v>
      </c>
      <c r="AF16" s="232">
        <f t="shared" si="16"/>
        <v>0.12302646589094228</v>
      </c>
      <c r="AG16" s="310">
        <v>0</v>
      </c>
      <c r="AH16" s="232">
        <f t="shared" si="17"/>
        <v>0</v>
      </c>
      <c r="AI16" s="310">
        <v>15086</v>
      </c>
      <c r="AJ16" s="232">
        <f t="shared" si="18"/>
        <v>8.6048368697239336E-2</v>
      </c>
      <c r="AK16" s="310">
        <v>3681</v>
      </c>
      <c r="AL16" s="232">
        <f t="shared" si="19"/>
        <v>2.0995893223819301E-2</v>
      </c>
    </row>
    <row r="17" spans="2:38" s="73" customFormat="1" ht="14.25" customHeight="1">
      <c r="B17" s="597"/>
      <c r="C17" s="601"/>
      <c r="D17" s="171">
        <f t="shared" si="21"/>
        <v>46150</v>
      </c>
      <c r="E17" s="171" t="s">
        <v>114</v>
      </c>
      <c r="F17" s="323">
        <f t="shared" si="0"/>
        <v>151315</v>
      </c>
      <c r="G17" s="619"/>
      <c r="H17" s="621"/>
      <c r="I17" s="310">
        <v>37424</v>
      </c>
      <c r="J17" s="232">
        <f t="shared" si="2"/>
        <v>0.2473251164788686</v>
      </c>
      <c r="K17" s="310">
        <v>51364</v>
      </c>
      <c r="L17" s="232">
        <f t="shared" si="3"/>
        <v>0.33945081452598885</v>
      </c>
      <c r="M17" s="310">
        <f t="shared" si="4"/>
        <v>88788</v>
      </c>
      <c r="N17" s="232">
        <f t="shared" si="5"/>
        <v>0.58677593100485737</v>
      </c>
      <c r="O17" s="310">
        <v>8469</v>
      </c>
      <c r="P17" s="232">
        <f t="shared" si="6"/>
        <v>5.5969335492185177E-2</v>
      </c>
      <c r="Q17" s="310">
        <v>0</v>
      </c>
      <c r="R17" s="232">
        <f t="shared" si="7"/>
        <v>0</v>
      </c>
      <c r="S17" s="310">
        <f t="shared" si="8"/>
        <v>8469</v>
      </c>
      <c r="T17" s="232">
        <f t="shared" si="9"/>
        <v>5.5969335492185177E-2</v>
      </c>
      <c r="U17" s="310">
        <v>2801</v>
      </c>
      <c r="V17" s="232">
        <f t="shared" si="10"/>
        <v>1.8511053101146615E-2</v>
      </c>
      <c r="W17" s="310">
        <v>1468</v>
      </c>
      <c r="X17" s="232">
        <f t="shared" si="11"/>
        <v>9.7016158345173981E-3</v>
      </c>
      <c r="Y17" s="310">
        <v>3057</v>
      </c>
      <c r="Z17" s="232">
        <f t="shared" si="12"/>
        <v>2.0202888015067904E-2</v>
      </c>
      <c r="AA17" s="310">
        <v>10274</v>
      </c>
      <c r="AB17" s="232">
        <f t="shared" si="13"/>
        <v>6.7898093381356772E-2</v>
      </c>
      <c r="AC17" s="310">
        <f t="shared" si="14"/>
        <v>13331</v>
      </c>
      <c r="AD17" s="232">
        <f t="shared" si="15"/>
        <v>8.810098139642468E-2</v>
      </c>
      <c r="AE17" s="310">
        <v>17380</v>
      </c>
      <c r="AF17" s="232">
        <f t="shared" si="16"/>
        <v>0.11485972970293758</v>
      </c>
      <c r="AG17" s="310">
        <v>0</v>
      </c>
      <c r="AH17" s="232">
        <f t="shared" si="17"/>
        <v>0</v>
      </c>
      <c r="AI17" s="310">
        <v>15523</v>
      </c>
      <c r="AJ17" s="232">
        <f t="shared" si="18"/>
        <v>0.10258731784687572</v>
      </c>
      <c r="AK17" s="310">
        <v>3555</v>
      </c>
      <c r="AL17" s="232">
        <f t="shared" si="19"/>
        <v>2.3494035621055415E-2</v>
      </c>
    </row>
    <row r="18" spans="2:38" s="73" customFormat="1" ht="14.25" customHeight="1">
      <c r="B18" s="597"/>
      <c r="C18" s="601"/>
      <c r="D18" s="171">
        <f t="shared" si="21"/>
        <v>46151</v>
      </c>
      <c r="E18" s="171" t="s">
        <v>115</v>
      </c>
      <c r="F18" s="323">
        <f t="shared" si="0"/>
        <v>161184</v>
      </c>
      <c r="G18" s="619"/>
      <c r="H18" s="621"/>
      <c r="I18" s="310">
        <v>36162</v>
      </c>
      <c r="J18" s="232">
        <f t="shared" si="2"/>
        <v>0.2243522930315664</v>
      </c>
      <c r="K18" s="310">
        <v>59339</v>
      </c>
      <c r="L18" s="232">
        <f t="shared" si="3"/>
        <v>0.36814448084177087</v>
      </c>
      <c r="M18" s="310">
        <f t="shared" si="4"/>
        <v>95501</v>
      </c>
      <c r="N18" s="232">
        <f t="shared" si="5"/>
        <v>0.59249677387333732</v>
      </c>
      <c r="O18" s="310">
        <v>8234</v>
      </c>
      <c r="P18" s="232">
        <f t="shared" si="6"/>
        <v>5.1084474885844749E-2</v>
      </c>
      <c r="Q18" s="310">
        <v>0</v>
      </c>
      <c r="R18" s="232">
        <f t="shared" si="7"/>
        <v>0</v>
      </c>
      <c r="S18" s="310">
        <f t="shared" si="8"/>
        <v>8234</v>
      </c>
      <c r="T18" s="232">
        <f t="shared" si="9"/>
        <v>5.1084474885844749E-2</v>
      </c>
      <c r="U18" s="310">
        <v>3051</v>
      </c>
      <c r="V18" s="232">
        <f t="shared" si="10"/>
        <v>1.8928677784395474E-2</v>
      </c>
      <c r="W18" s="310">
        <v>1521</v>
      </c>
      <c r="X18" s="232">
        <f t="shared" si="11"/>
        <v>9.4364204883859437E-3</v>
      </c>
      <c r="Y18" s="310">
        <v>3517</v>
      </c>
      <c r="Z18" s="232">
        <f t="shared" si="12"/>
        <v>2.181978360135001E-2</v>
      </c>
      <c r="AA18" s="310">
        <v>9935</v>
      </c>
      <c r="AB18" s="232">
        <f t="shared" si="13"/>
        <v>6.1637631526702402E-2</v>
      </c>
      <c r="AC18" s="310">
        <f t="shared" si="14"/>
        <v>13452</v>
      </c>
      <c r="AD18" s="232">
        <f t="shared" si="15"/>
        <v>8.3457415128052409E-2</v>
      </c>
      <c r="AE18" s="310">
        <v>19828</v>
      </c>
      <c r="AF18" s="232">
        <f t="shared" si="16"/>
        <v>0.12301469128449474</v>
      </c>
      <c r="AG18" s="310">
        <v>0</v>
      </c>
      <c r="AH18" s="232">
        <f t="shared" si="17"/>
        <v>0</v>
      </c>
      <c r="AI18" s="310">
        <v>16213</v>
      </c>
      <c r="AJ18" s="232">
        <f t="shared" si="18"/>
        <v>0.10058690688902125</v>
      </c>
      <c r="AK18" s="310">
        <v>3384</v>
      </c>
      <c r="AL18" s="232">
        <f t="shared" si="19"/>
        <v>2.0994639666468137E-2</v>
      </c>
    </row>
    <row r="19" spans="2:38" s="73" customFormat="1" ht="14.25" customHeight="1">
      <c r="B19" s="597"/>
      <c r="C19" s="601"/>
      <c r="D19" s="171">
        <f t="shared" si="21"/>
        <v>46152</v>
      </c>
      <c r="E19" s="171" t="s">
        <v>116</v>
      </c>
      <c r="F19" s="323">
        <f t="shared" si="0"/>
        <v>206176</v>
      </c>
      <c r="G19" s="619"/>
      <c r="H19" s="621"/>
      <c r="I19" s="310">
        <v>52910</v>
      </c>
      <c r="J19" s="232">
        <f t="shared" si="2"/>
        <v>0.25662540741890422</v>
      </c>
      <c r="K19" s="310">
        <v>67329</v>
      </c>
      <c r="L19" s="232">
        <f t="shared" si="3"/>
        <v>0.32656080242123237</v>
      </c>
      <c r="M19" s="310">
        <f t="shared" si="4"/>
        <v>120239</v>
      </c>
      <c r="N19" s="232">
        <f t="shared" si="5"/>
        <v>0.58318620984013658</v>
      </c>
      <c r="O19" s="310">
        <v>11202</v>
      </c>
      <c r="P19" s="232">
        <f t="shared" si="6"/>
        <v>5.4332221015055096E-2</v>
      </c>
      <c r="Q19" s="310">
        <v>0</v>
      </c>
      <c r="R19" s="232">
        <f t="shared" si="7"/>
        <v>0</v>
      </c>
      <c r="S19" s="310">
        <f t="shared" si="8"/>
        <v>11202</v>
      </c>
      <c r="T19" s="232">
        <f t="shared" si="9"/>
        <v>5.4332221015055096E-2</v>
      </c>
      <c r="U19" s="310">
        <v>3981</v>
      </c>
      <c r="V19" s="232">
        <f t="shared" si="10"/>
        <v>1.9308745925810958E-2</v>
      </c>
      <c r="W19" s="310">
        <v>1679</v>
      </c>
      <c r="X19" s="232">
        <f t="shared" si="11"/>
        <v>8.1435278596926897E-3</v>
      </c>
      <c r="Y19" s="310">
        <v>4027</v>
      </c>
      <c r="Z19" s="232">
        <f t="shared" si="12"/>
        <v>1.9531856278131306E-2</v>
      </c>
      <c r="AA19" s="310">
        <v>10888</v>
      </c>
      <c r="AB19" s="232">
        <f t="shared" si="13"/>
        <v>5.2809250349216207E-2</v>
      </c>
      <c r="AC19" s="310">
        <f t="shared" si="14"/>
        <v>14915</v>
      </c>
      <c r="AD19" s="232">
        <f t="shared" si="15"/>
        <v>7.234110662734751E-2</v>
      </c>
      <c r="AE19" s="310">
        <v>29764</v>
      </c>
      <c r="AF19" s="232">
        <f t="shared" si="16"/>
        <v>0.14436209840136582</v>
      </c>
      <c r="AG19" s="310">
        <v>0</v>
      </c>
      <c r="AH19" s="232">
        <f t="shared" si="17"/>
        <v>0</v>
      </c>
      <c r="AI19" s="310">
        <v>20976</v>
      </c>
      <c r="AJ19" s="232">
        <f t="shared" si="18"/>
        <v>0.10173832065807853</v>
      </c>
      <c r="AK19" s="310">
        <v>3420</v>
      </c>
      <c r="AL19" s="232">
        <f t="shared" si="19"/>
        <v>1.6587769672512805E-2</v>
      </c>
    </row>
    <row r="20" spans="2:38" s="73" customFormat="1" ht="14.25" customHeight="1">
      <c r="B20" s="598"/>
      <c r="C20" s="601"/>
      <c r="D20" s="171">
        <f t="shared" si="21"/>
        <v>46153</v>
      </c>
      <c r="E20" s="171" t="s">
        <v>117</v>
      </c>
      <c r="F20" s="323">
        <f t="shared" si="0"/>
        <v>202693</v>
      </c>
      <c r="G20" s="619"/>
      <c r="H20" s="621"/>
      <c r="I20" s="310">
        <v>51286</v>
      </c>
      <c r="J20" s="232">
        <f t="shared" si="2"/>
        <v>0.25302304470307313</v>
      </c>
      <c r="K20" s="310">
        <v>66042</v>
      </c>
      <c r="L20" s="232">
        <f t="shared" si="3"/>
        <v>0.32582279605117098</v>
      </c>
      <c r="M20" s="310">
        <f t="shared" si="4"/>
        <v>117328</v>
      </c>
      <c r="N20" s="232">
        <f t="shared" si="5"/>
        <v>0.57884584075424406</v>
      </c>
      <c r="O20" s="310">
        <v>10684</v>
      </c>
      <c r="P20" s="232">
        <f t="shared" si="6"/>
        <v>5.271025639760623E-2</v>
      </c>
      <c r="Q20" s="310">
        <v>0</v>
      </c>
      <c r="R20" s="232">
        <f t="shared" si="7"/>
        <v>0</v>
      </c>
      <c r="S20" s="310">
        <f t="shared" si="8"/>
        <v>10684</v>
      </c>
      <c r="T20" s="232">
        <f t="shared" si="9"/>
        <v>5.271025639760623E-2</v>
      </c>
      <c r="U20" s="310">
        <v>3704</v>
      </c>
      <c r="V20" s="232">
        <f t="shared" si="10"/>
        <v>1.8273941379327356E-2</v>
      </c>
      <c r="W20" s="310">
        <v>1900</v>
      </c>
      <c r="X20" s="232">
        <f t="shared" si="11"/>
        <v>9.3737820250329312E-3</v>
      </c>
      <c r="Y20" s="310">
        <v>4114</v>
      </c>
      <c r="Z20" s="232">
        <f t="shared" si="12"/>
        <v>2.0296704868939728E-2</v>
      </c>
      <c r="AA20" s="310">
        <v>16001</v>
      </c>
      <c r="AB20" s="232">
        <f t="shared" si="13"/>
        <v>7.8942045359237864E-2</v>
      </c>
      <c r="AC20" s="310">
        <f t="shared" si="14"/>
        <v>20115</v>
      </c>
      <c r="AD20" s="232">
        <f t="shared" si="15"/>
        <v>9.9238750228177589E-2</v>
      </c>
      <c r="AE20" s="310">
        <v>26926</v>
      </c>
      <c r="AF20" s="232">
        <f t="shared" si="16"/>
        <v>0.13284129200317721</v>
      </c>
      <c r="AG20" s="310">
        <v>0</v>
      </c>
      <c r="AH20" s="232">
        <f t="shared" si="17"/>
        <v>0</v>
      </c>
      <c r="AI20" s="310">
        <v>18031</v>
      </c>
      <c r="AJ20" s="232">
        <f t="shared" si="18"/>
        <v>8.8957191417562517E-2</v>
      </c>
      <c r="AK20" s="310">
        <v>4005</v>
      </c>
      <c r="AL20" s="232">
        <f t="shared" si="19"/>
        <v>1.9758945794872047E-2</v>
      </c>
    </row>
    <row r="21" spans="2:38" s="73" customFormat="1" ht="14.25" customHeight="1">
      <c r="B21" s="596">
        <f>D22+7</f>
        <v>46162</v>
      </c>
      <c r="C21" s="601"/>
      <c r="D21" s="171">
        <f t="shared" si="21"/>
        <v>46154</v>
      </c>
      <c r="E21" s="171" t="s">
        <v>118</v>
      </c>
      <c r="F21" s="323">
        <f t="shared" si="0"/>
        <v>218381</v>
      </c>
      <c r="G21" s="619">
        <f t="shared" ref="G21" si="22">SUM(F21:F27)</f>
        <v>1379544</v>
      </c>
      <c r="H21" s="621"/>
      <c r="I21" s="310">
        <v>55535</v>
      </c>
      <c r="J21" s="232">
        <f t="shared" si="2"/>
        <v>0.25430325898315331</v>
      </c>
      <c r="K21" s="310">
        <v>64095</v>
      </c>
      <c r="L21" s="232">
        <f t="shared" si="3"/>
        <v>0.29350080822049535</v>
      </c>
      <c r="M21" s="310">
        <f t="shared" si="4"/>
        <v>119630</v>
      </c>
      <c r="N21" s="232">
        <f t="shared" si="5"/>
        <v>0.54780406720364871</v>
      </c>
      <c r="O21" s="310">
        <v>8790</v>
      </c>
      <c r="P21" s="232">
        <f t="shared" si="6"/>
        <v>4.0250754415448231E-2</v>
      </c>
      <c r="Q21" s="310">
        <v>0</v>
      </c>
      <c r="R21" s="232">
        <f t="shared" si="7"/>
        <v>0</v>
      </c>
      <c r="S21" s="310">
        <f t="shared" si="8"/>
        <v>8790</v>
      </c>
      <c r="T21" s="232">
        <f t="shared" si="9"/>
        <v>4.0250754415448231E-2</v>
      </c>
      <c r="U21" s="310">
        <v>3000</v>
      </c>
      <c r="V21" s="232">
        <f t="shared" si="10"/>
        <v>1.3737458844862877E-2</v>
      </c>
      <c r="W21" s="310">
        <v>18842</v>
      </c>
      <c r="X21" s="232">
        <f t="shared" si="11"/>
        <v>8.628039985163545E-2</v>
      </c>
      <c r="Y21" s="310">
        <v>3857</v>
      </c>
      <c r="Z21" s="232">
        <f t="shared" si="12"/>
        <v>1.7661792921545374E-2</v>
      </c>
      <c r="AA21" s="310">
        <v>13335</v>
      </c>
      <c r="AB21" s="232">
        <f t="shared" si="13"/>
        <v>6.1063004565415489E-2</v>
      </c>
      <c r="AC21" s="310">
        <f t="shared" si="14"/>
        <v>17192</v>
      </c>
      <c r="AD21" s="232">
        <f t="shared" si="15"/>
        <v>7.872479748696086E-2</v>
      </c>
      <c r="AE21" s="310">
        <v>30752</v>
      </c>
      <c r="AF21" s="232">
        <f t="shared" si="16"/>
        <v>0.14081811146574108</v>
      </c>
      <c r="AG21" s="310">
        <v>0</v>
      </c>
      <c r="AH21" s="232">
        <f t="shared" si="17"/>
        <v>0</v>
      </c>
      <c r="AI21" s="310">
        <v>16488</v>
      </c>
      <c r="AJ21" s="232">
        <f t="shared" si="18"/>
        <v>7.5501073811366379E-2</v>
      </c>
      <c r="AK21" s="310">
        <v>3687</v>
      </c>
      <c r="AL21" s="232">
        <f t="shared" si="19"/>
        <v>1.6883336920336476E-2</v>
      </c>
    </row>
    <row r="22" spans="2:38" s="73" customFormat="1" ht="14.25" customHeight="1">
      <c r="B22" s="597"/>
      <c r="C22" s="601"/>
      <c r="D22" s="171">
        <f t="shared" si="21"/>
        <v>46155</v>
      </c>
      <c r="E22" s="171" t="s">
        <v>112</v>
      </c>
      <c r="F22" s="323">
        <f t="shared" si="0"/>
        <v>203270</v>
      </c>
      <c r="G22" s="619"/>
      <c r="H22" s="621"/>
      <c r="I22" s="310">
        <v>53711</v>
      </c>
      <c r="J22" s="232">
        <f t="shared" si="2"/>
        <v>0.26423476164707038</v>
      </c>
      <c r="K22" s="310">
        <v>62544</v>
      </c>
      <c r="L22" s="232">
        <f t="shared" si="3"/>
        <v>0.30768928026762432</v>
      </c>
      <c r="M22" s="310">
        <f t="shared" si="4"/>
        <v>116255</v>
      </c>
      <c r="N22" s="232">
        <f t="shared" si="5"/>
        <v>0.5719240419146947</v>
      </c>
      <c r="O22" s="310">
        <v>8839</v>
      </c>
      <c r="P22" s="232">
        <f t="shared" si="6"/>
        <v>4.3484036011216608E-2</v>
      </c>
      <c r="Q22" s="310">
        <v>0</v>
      </c>
      <c r="R22" s="232">
        <f t="shared" si="7"/>
        <v>0</v>
      </c>
      <c r="S22" s="310">
        <f t="shared" si="8"/>
        <v>8839</v>
      </c>
      <c r="T22" s="232">
        <f t="shared" si="9"/>
        <v>4.3484036011216608E-2</v>
      </c>
      <c r="U22" s="310">
        <v>2553</v>
      </c>
      <c r="V22" s="232">
        <f t="shared" si="10"/>
        <v>1.2559649726964136E-2</v>
      </c>
      <c r="W22" s="310">
        <v>11333</v>
      </c>
      <c r="X22" s="232">
        <f t="shared" si="11"/>
        <v>5.5753431396664534E-2</v>
      </c>
      <c r="Y22" s="310">
        <v>3441</v>
      </c>
      <c r="Z22" s="232">
        <f t="shared" si="12"/>
        <v>1.6928223545038618E-2</v>
      </c>
      <c r="AA22" s="310">
        <v>12298</v>
      </c>
      <c r="AB22" s="232">
        <f t="shared" si="13"/>
        <v>6.0500811728243224E-2</v>
      </c>
      <c r="AC22" s="310">
        <f t="shared" si="14"/>
        <v>15739</v>
      </c>
      <c r="AD22" s="232">
        <f t="shared" si="15"/>
        <v>7.7429035273281849E-2</v>
      </c>
      <c r="AE22" s="310">
        <v>28851</v>
      </c>
      <c r="AF22" s="232">
        <f t="shared" si="16"/>
        <v>0.14193437300142667</v>
      </c>
      <c r="AG22" s="310">
        <v>0</v>
      </c>
      <c r="AH22" s="232">
        <f t="shared" si="17"/>
        <v>0</v>
      </c>
      <c r="AI22" s="310">
        <v>16199</v>
      </c>
      <c r="AJ22" s="232">
        <f t="shared" si="18"/>
        <v>7.9692035224086188E-2</v>
      </c>
      <c r="AK22" s="310">
        <v>3501</v>
      </c>
      <c r="AL22" s="232">
        <f t="shared" si="19"/>
        <v>1.7223397451665273E-2</v>
      </c>
    </row>
    <row r="23" spans="2:38" s="73" customFormat="1" ht="14.25" customHeight="1">
      <c r="B23" s="597"/>
      <c r="C23" s="601"/>
      <c r="D23" s="171">
        <f t="shared" si="21"/>
        <v>46156</v>
      </c>
      <c r="E23" s="171" t="s">
        <v>113</v>
      </c>
      <c r="F23" s="323">
        <f t="shared" si="0"/>
        <v>186773</v>
      </c>
      <c r="G23" s="619"/>
      <c r="H23" s="621"/>
      <c r="I23" s="310">
        <v>53004</v>
      </c>
      <c r="J23" s="232">
        <f t="shared" si="2"/>
        <v>0.28378834199804043</v>
      </c>
      <c r="K23" s="310">
        <v>55495</v>
      </c>
      <c r="L23" s="232">
        <f t="shared" si="3"/>
        <v>0.29712538750247625</v>
      </c>
      <c r="M23" s="310">
        <f t="shared" si="4"/>
        <v>108499</v>
      </c>
      <c r="N23" s="232">
        <f t="shared" si="5"/>
        <v>0.58091372950051667</v>
      </c>
      <c r="O23" s="310">
        <v>8631</v>
      </c>
      <c r="P23" s="232">
        <f t="shared" si="6"/>
        <v>4.6211176133595329E-2</v>
      </c>
      <c r="Q23" s="310">
        <v>0</v>
      </c>
      <c r="R23" s="232">
        <f t="shared" si="7"/>
        <v>0</v>
      </c>
      <c r="S23" s="310">
        <f t="shared" si="8"/>
        <v>8631</v>
      </c>
      <c r="T23" s="232">
        <f t="shared" si="9"/>
        <v>4.6211176133595329E-2</v>
      </c>
      <c r="U23" s="310">
        <v>2592</v>
      </c>
      <c r="V23" s="232">
        <f t="shared" si="10"/>
        <v>1.387780889100673E-2</v>
      </c>
      <c r="W23" s="310">
        <v>10419</v>
      </c>
      <c r="X23" s="232">
        <f t="shared" si="11"/>
        <v>5.5784294303780527E-2</v>
      </c>
      <c r="Y23" s="310">
        <v>3143</v>
      </c>
      <c r="Z23" s="232">
        <f t="shared" si="12"/>
        <v>1.6827914098932931E-2</v>
      </c>
      <c r="AA23" s="310">
        <v>9286</v>
      </c>
      <c r="AB23" s="232">
        <f t="shared" si="13"/>
        <v>4.9718107006901428E-2</v>
      </c>
      <c r="AC23" s="310">
        <f t="shared" si="14"/>
        <v>12429</v>
      </c>
      <c r="AD23" s="232">
        <f t="shared" si="15"/>
        <v>6.6546021105834352E-2</v>
      </c>
      <c r="AE23" s="310">
        <v>26111</v>
      </c>
      <c r="AF23" s="232">
        <f t="shared" si="16"/>
        <v>0.13980072066090923</v>
      </c>
      <c r="AG23" s="310">
        <v>0</v>
      </c>
      <c r="AH23" s="232">
        <f t="shared" si="17"/>
        <v>0</v>
      </c>
      <c r="AI23" s="310">
        <v>14594</v>
      </c>
      <c r="AJ23" s="232">
        <f t="shared" si="18"/>
        <v>7.813763231302169E-2</v>
      </c>
      <c r="AK23" s="310">
        <v>3498</v>
      </c>
      <c r="AL23" s="232">
        <f t="shared" si="19"/>
        <v>1.872861709133547E-2</v>
      </c>
    </row>
    <row r="24" spans="2:38" s="73" customFormat="1" ht="14.25" customHeight="1">
      <c r="B24" s="597"/>
      <c r="C24" s="601"/>
      <c r="D24" s="171">
        <f t="shared" si="21"/>
        <v>46157</v>
      </c>
      <c r="E24" s="171" t="s">
        <v>114</v>
      </c>
      <c r="F24" s="323">
        <f t="shared" si="0"/>
        <v>156191</v>
      </c>
      <c r="G24" s="619"/>
      <c r="H24" s="621"/>
      <c r="I24" s="310">
        <v>40069</v>
      </c>
      <c r="J24" s="232">
        <f t="shared" si="2"/>
        <v>0.2565384689258664</v>
      </c>
      <c r="K24" s="310">
        <v>48929</v>
      </c>
      <c r="L24" s="232">
        <f t="shared" si="3"/>
        <v>0.31326388844427655</v>
      </c>
      <c r="M24" s="310">
        <f t="shared" si="4"/>
        <v>88998</v>
      </c>
      <c r="N24" s="232">
        <f t="shared" si="5"/>
        <v>0.56980235737014295</v>
      </c>
      <c r="O24" s="310">
        <v>6687</v>
      </c>
      <c r="P24" s="232">
        <f t="shared" si="6"/>
        <v>4.2812966176028068E-2</v>
      </c>
      <c r="Q24" s="310">
        <v>0</v>
      </c>
      <c r="R24" s="232">
        <f t="shared" si="7"/>
        <v>0</v>
      </c>
      <c r="S24" s="310">
        <f t="shared" si="8"/>
        <v>6687</v>
      </c>
      <c r="T24" s="232">
        <f t="shared" si="9"/>
        <v>4.2812966176028068E-2</v>
      </c>
      <c r="U24" s="310">
        <v>2100</v>
      </c>
      <c r="V24" s="232">
        <f t="shared" si="10"/>
        <v>1.3445076861022722E-2</v>
      </c>
      <c r="W24" s="310">
        <v>7866</v>
      </c>
      <c r="X24" s="232">
        <f t="shared" si="11"/>
        <v>5.0361416470859399E-2</v>
      </c>
      <c r="Y24" s="310">
        <v>3017</v>
      </c>
      <c r="Z24" s="232">
        <f t="shared" si="12"/>
        <v>1.9316093757002644E-2</v>
      </c>
      <c r="AA24" s="310">
        <v>9215</v>
      </c>
      <c r="AB24" s="232">
        <f t="shared" si="13"/>
        <v>5.899827774967828E-2</v>
      </c>
      <c r="AC24" s="310">
        <f t="shared" si="14"/>
        <v>12232</v>
      </c>
      <c r="AD24" s="232">
        <f t="shared" si="15"/>
        <v>7.8314371506680927E-2</v>
      </c>
      <c r="AE24" s="310">
        <v>20284</v>
      </c>
      <c r="AF24" s="232">
        <f t="shared" si="16"/>
        <v>0.12986663764237377</v>
      </c>
      <c r="AG24" s="310">
        <v>0</v>
      </c>
      <c r="AH24" s="232">
        <f t="shared" si="17"/>
        <v>0</v>
      </c>
      <c r="AI24" s="310">
        <v>14661</v>
      </c>
      <c r="AJ24" s="232">
        <f t="shared" si="18"/>
        <v>9.386584374259721E-2</v>
      </c>
      <c r="AK24" s="310">
        <v>3363</v>
      </c>
      <c r="AL24" s="232">
        <f t="shared" si="19"/>
        <v>2.1531330230294958E-2</v>
      </c>
    </row>
    <row r="25" spans="2:38" s="73" customFormat="1" ht="14.25" customHeight="1">
      <c r="B25" s="597"/>
      <c r="C25" s="601"/>
      <c r="D25" s="171">
        <f t="shared" si="21"/>
        <v>46158</v>
      </c>
      <c r="E25" s="171" t="s">
        <v>115</v>
      </c>
      <c r="F25" s="323">
        <f t="shared" si="0"/>
        <v>175227</v>
      </c>
      <c r="G25" s="619"/>
      <c r="H25" s="621"/>
      <c r="I25" s="310">
        <v>39610</v>
      </c>
      <c r="J25" s="232">
        <f t="shared" si="2"/>
        <v>0.2260496384689574</v>
      </c>
      <c r="K25" s="310">
        <v>59489</v>
      </c>
      <c r="L25" s="232">
        <f t="shared" si="3"/>
        <v>0.33949676705073989</v>
      </c>
      <c r="M25" s="310">
        <f t="shared" si="4"/>
        <v>99099</v>
      </c>
      <c r="N25" s="232">
        <f t="shared" si="5"/>
        <v>0.56554640551969726</v>
      </c>
      <c r="O25" s="310">
        <v>6728</v>
      </c>
      <c r="P25" s="232">
        <f t="shared" si="6"/>
        <v>3.8395909306214226E-2</v>
      </c>
      <c r="Q25" s="310">
        <v>0</v>
      </c>
      <c r="R25" s="232">
        <f t="shared" si="7"/>
        <v>0</v>
      </c>
      <c r="S25" s="310">
        <f t="shared" si="8"/>
        <v>6728</v>
      </c>
      <c r="T25" s="232">
        <f t="shared" si="9"/>
        <v>3.8395909306214226E-2</v>
      </c>
      <c r="U25" s="310">
        <v>2186</v>
      </c>
      <c r="V25" s="232">
        <f t="shared" si="10"/>
        <v>1.247524639467662E-2</v>
      </c>
      <c r="W25" s="310">
        <v>12659</v>
      </c>
      <c r="X25" s="232">
        <f t="shared" si="11"/>
        <v>7.2243432804305271E-2</v>
      </c>
      <c r="Y25" s="310">
        <v>3464</v>
      </c>
      <c r="Z25" s="232">
        <f t="shared" si="12"/>
        <v>1.9768642960274387E-2</v>
      </c>
      <c r="AA25" s="310">
        <v>11348</v>
      </c>
      <c r="AB25" s="232">
        <f t="shared" si="13"/>
        <v>6.4761709097342302E-2</v>
      </c>
      <c r="AC25" s="310">
        <f t="shared" si="14"/>
        <v>14812</v>
      </c>
      <c r="AD25" s="232">
        <f t="shared" si="15"/>
        <v>8.4530352057616692E-2</v>
      </c>
      <c r="AE25" s="310">
        <v>22091</v>
      </c>
      <c r="AF25" s="232">
        <f t="shared" si="16"/>
        <v>0.12607075393632261</v>
      </c>
      <c r="AG25" s="310">
        <v>0</v>
      </c>
      <c r="AH25" s="232">
        <f t="shared" si="17"/>
        <v>0</v>
      </c>
      <c r="AI25" s="310">
        <v>14475</v>
      </c>
      <c r="AJ25" s="232">
        <f t="shared" si="18"/>
        <v>8.260713246246297E-2</v>
      </c>
      <c r="AK25" s="310">
        <v>3177</v>
      </c>
      <c r="AL25" s="232">
        <f t="shared" si="19"/>
        <v>1.8130767518704308E-2</v>
      </c>
    </row>
    <row r="26" spans="2:38" s="73" customFormat="1" ht="14.25" customHeight="1">
      <c r="B26" s="597"/>
      <c r="C26" s="601"/>
      <c r="D26" s="171">
        <f t="shared" si="21"/>
        <v>46159</v>
      </c>
      <c r="E26" s="171" t="s">
        <v>116</v>
      </c>
      <c r="F26" s="323">
        <f t="shared" si="0"/>
        <v>223471</v>
      </c>
      <c r="G26" s="619"/>
      <c r="H26" s="621"/>
      <c r="I26" s="310">
        <v>56752</v>
      </c>
      <c r="J26" s="232">
        <f t="shared" si="2"/>
        <v>0.25395688926079896</v>
      </c>
      <c r="K26" s="310">
        <v>68188</v>
      </c>
      <c r="L26" s="232">
        <f t="shared" si="3"/>
        <v>0.30513131457773046</v>
      </c>
      <c r="M26" s="310">
        <f t="shared" si="4"/>
        <v>124940</v>
      </c>
      <c r="N26" s="232">
        <f t="shared" si="5"/>
        <v>0.55908820383852942</v>
      </c>
      <c r="O26" s="310">
        <v>9086</v>
      </c>
      <c r="P26" s="232">
        <f t="shared" si="6"/>
        <v>4.0658519449950997E-2</v>
      </c>
      <c r="Q26" s="310">
        <v>0</v>
      </c>
      <c r="R26" s="232">
        <f t="shared" si="7"/>
        <v>0</v>
      </c>
      <c r="S26" s="310">
        <f t="shared" si="8"/>
        <v>9086</v>
      </c>
      <c r="T26" s="232">
        <f t="shared" si="9"/>
        <v>4.0658519449950997E-2</v>
      </c>
      <c r="U26" s="310">
        <v>2974</v>
      </c>
      <c r="V26" s="232">
        <f t="shared" si="10"/>
        <v>1.3308214488680858E-2</v>
      </c>
      <c r="W26" s="310">
        <v>11859</v>
      </c>
      <c r="X26" s="232">
        <f t="shared" si="11"/>
        <v>5.3067288372987992E-2</v>
      </c>
      <c r="Y26" s="310">
        <v>4035</v>
      </c>
      <c r="Z26" s="232">
        <f t="shared" si="12"/>
        <v>1.8056034116283544E-2</v>
      </c>
      <c r="AA26" s="310">
        <v>12941</v>
      </c>
      <c r="AB26" s="232">
        <f t="shared" si="13"/>
        <v>5.7909079925359444E-2</v>
      </c>
      <c r="AC26" s="310">
        <f t="shared" si="14"/>
        <v>16976</v>
      </c>
      <c r="AD26" s="232">
        <f t="shared" si="15"/>
        <v>7.5965114041642981E-2</v>
      </c>
      <c r="AE26" s="310">
        <v>34098</v>
      </c>
      <c r="AF26" s="232">
        <f t="shared" si="16"/>
        <v>0.15258355670310689</v>
      </c>
      <c r="AG26" s="310">
        <v>0</v>
      </c>
      <c r="AH26" s="232">
        <f t="shared" si="17"/>
        <v>0</v>
      </c>
      <c r="AI26" s="310">
        <v>20160</v>
      </c>
      <c r="AJ26" s="232">
        <f t="shared" si="18"/>
        <v>9.0213047778011465E-2</v>
      </c>
      <c r="AK26" s="310">
        <v>3378</v>
      </c>
      <c r="AL26" s="232">
        <f t="shared" si="19"/>
        <v>1.5116055327089421E-2</v>
      </c>
    </row>
    <row r="27" spans="2:38" s="73" customFormat="1" ht="14.25" customHeight="1">
      <c r="B27" s="598"/>
      <c r="C27" s="601"/>
      <c r="D27" s="171">
        <f t="shared" si="21"/>
        <v>46160</v>
      </c>
      <c r="E27" s="171" t="s">
        <v>117</v>
      </c>
      <c r="F27" s="323">
        <f t="shared" si="0"/>
        <v>216231</v>
      </c>
      <c r="G27" s="619"/>
      <c r="H27" s="621"/>
      <c r="I27" s="310">
        <v>55872</v>
      </c>
      <c r="J27" s="232">
        <f t="shared" si="2"/>
        <v>0.25839033256101113</v>
      </c>
      <c r="K27" s="310">
        <v>67336</v>
      </c>
      <c r="L27" s="232">
        <f t="shared" si="3"/>
        <v>0.31140770749799984</v>
      </c>
      <c r="M27" s="310">
        <f t="shared" si="4"/>
        <v>123208</v>
      </c>
      <c r="N27" s="232">
        <f t="shared" si="5"/>
        <v>0.56979804005901091</v>
      </c>
      <c r="O27" s="310">
        <v>8951</v>
      </c>
      <c r="P27" s="232">
        <f t="shared" si="6"/>
        <v>4.1395544579639371E-2</v>
      </c>
      <c r="Q27" s="310">
        <v>0</v>
      </c>
      <c r="R27" s="232">
        <f t="shared" si="7"/>
        <v>0</v>
      </c>
      <c r="S27" s="310">
        <f t="shared" si="8"/>
        <v>8951</v>
      </c>
      <c r="T27" s="232">
        <f t="shared" si="9"/>
        <v>4.1395544579639371E-2</v>
      </c>
      <c r="U27" s="310">
        <v>2855</v>
      </c>
      <c r="V27" s="232">
        <f t="shared" si="10"/>
        <v>1.3203472212587464E-2</v>
      </c>
      <c r="W27" s="310">
        <v>10654</v>
      </c>
      <c r="X27" s="232">
        <f t="shared" si="11"/>
        <v>4.9271381069319387E-2</v>
      </c>
      <c r="Y27" s="310">
        <v>4134</v>
      </c>
      <c r="Z27" s="232">
        <f t="shared" si="12"/>
        <v>1.9118442776475158E-2</v>
      </c>
      <c r="AA27" s="310">
        <v>12859</v>
      </c>
      <c r="AB27" s="232">
        <f t="shared" si="13"/>
        <v>5.9468808820196922E-2</v>
      </c>
      <c r="AC27" s="310">
        <f t="shared" si="14"/>
        <v>16993</v>
      </c>
      <c r="AD27" s="232">
        <f t="shared" si="15"/>
        <v>7.8587251596672084E-2</v>
      </c>
      <c r="AE27" s="310">
        <v>30026</v>
      </c>
      <c r="AF27" s="232">
        <f t="shared" si="16"/>
        <v>0.1388607553958498</v>
      </c>
      <c r="AG27" s="310">
        <v>0</v>
      </c>
      <c r="AH27" s="232">
        <f t="shared" si="17"/>
        <v>0</v>
      </c>
      <c r="AI27" s="310">
        <v>19836</v>
      </c>
      <c r="AJ27" s="232">
        <f t="shared" si="18"/>
        <v>9.1735227603812586E-2</v>
      </c>
      <c r="AK27" s="310">
        <v>3708</v>
      </c>
      <c r="AL27" s="232">
        <f t="shared" si="19"/>
        <v>1.7148327483108343E-2</v>
      </c>
    </row>
    <row r="28" spans="2:38" s="73" customFormat="1" ht="14.25" customHeight="1">
      <c r="B28" s="596">
        <f>D29+7</f>
        <v>46169</v>
      </c>
      <c r="C28" s="601"/>
      <c r="D28" s="171">
        <f t="shared" si="21"/>
        <v>46161</v>
      </c>
      <c r="E28" s="171" t="s">
        <v>118</v>
      </c>
      <c r="F28" s="323">
        <f t="shared" si="0"/>
        <v>228237</v>
      </c>
      <c r="G28" s="619">
        <f t="shared" ref="G28" si="23">SUM(F28:F34)</f>
        <v>1429470</v>
      </c>
      <c r="H28" s="621"/>
      <c r="I28" s="310">
        <v>60388</v>
      </c>
      <c r="J28" s="232">
        <f t="shared" si="2"/>
        <v>0.26458462037268277</v>
      </c>
      <c r="K28" s="310">
        <v>65143</v>
      </c>
      <c r="L28" s="232">
        <f t="shared" si="3"/>
        <v>0.28541822754417556</v>
      </c>
      <c r="M28" s="310">
        <f t="shared" si="4"/>
        <v>125531</v>
      </c>
      <c r="N28" s="232">
        <f t="shared" si="5"/>
        <v>0.55000284791685838</v>
      </c>
      <c r="O28" s="310">
        <v>8733</v>
      </c>
      <c r="P28" s="232">
        <f t="shared" si="6"/>
        <v>3.8262858344615465E-2</v>
      </c>
      <c r="Q28" s="310">
        <v>0</v>
      </c>
      <c r="R28" s="232">
        <f t="shared" si="7"/>
        <v>0</v>
      </c>
      <c r="S28" s="310">
        <f t="shared" si="8"/>
        <v>8733</v>
      </c>
      <c r="T28" s="232">
        <f t="shared" si="9"/>
        <v>3.8262858344615465E-2</v>
      </c>
      <c r="U28" s="310">
        <v>2644</v>
      </c>
      <c r="V28" s="232">
        <f t="shared" si="10"/>
        <v>1.1584449497671281E-2</v>
      </c>
      <c r="W28" s="310">
        <v>17708</v>
      </c>
      <c r="X28" s="232">
        <f t="shared" si="11"/>
        <v>7.7586018042648655E-2</v>
      </c>
      <c r="Y28" s="310">
        <v>3924</v>
      </c>
      <c r="Z28" s="232">
        <f t="shared" si="12"/>
        <v>1.7192655003351778E-2</v>
      </c>
      <c r="AA28" s="310">
        <v>12432</v>
      </c>
      <c r="AB28" s="232">
        <f t="shared" si="13"/>
        <v>5.4469695973921844E-2</v>
      </c>
      <c r="AC28" s="310">
        <f t="shared" si="14"/>
        <v>16356</v>
      </c>
      <c r="AD28" s="232">
        <f t="shared" si="15"/>
        <v>7.1662350977273623E-2</v>
      </c>
      <c r="AE28" s="310">
        <v>28567</v>
      </c>
      <c r="AF28" s="232">
        <f t="shared" si="16"/>
        <v>0.12516375521935533</v>
      </c>
      <c r="AG28" s="310">
        <v>0</v>
      </c>
      <c r="AH28" s="232">
        <f t="shared" si="17"/>
        <v>0</v>
      </c>
      <c r="AI28" s="310">
        <v>25323</v>
      </c>
      <c r="AJ28" s="232">
        <f t="shared" si="18"/>
        <v>0.1109504593908963</v>
      </c>
      <c r="AK28" s="310">
        <v>3375</v>
      </c>
      <c r="AL28" s="232">
        <f t="shared" si="19"/>
        <v>1.4787260610681002E-2</v>
      </c>
    </row>
    <row r="29" spans="2:38" s="73" customFormat="1" ht="14.25" customHeight="1">
      <c r="B29" s="597"/>
      <c r="C29" s="601"/>
      <c r="D29" s="171">
        <f t="shared" si="21"/>
        <v>46162</v>
      </c>
      <c r="E29" s="171" t="s">
        <v>112</v>
      </c>
      <c r="F29" s="323">
        <f t="shared" si="0"/>
        <v>211240</v>
      </c>
      <c r="G29" s="619"/>
      <c r="H29" s="621"/>
      <c r="I29" s="310">
        <v>57556</v>
      </c>
      <c r="J29" s="232">
        <f t="shared" si="2"/>
        <v>0.27246733573186899</v>
      </c>
      <c r="K29" s="310">
        <v>61984</v>
      </c>
      <c r="L29" s="232">
        <f t="shared" si="3"/>
        <v>0.29342927475856845</v>
      </c>
      <c r="M29" s="310">
        <f t="shared" si="4"/>
        <v>119540</v>
      </c>
      <c r="N29" s="232">
        <f t="shared" si="5"/>
        <v>0.56589661049043738</v>
      </c>
      <c r="O29" s="310">
        <v>8713</v>
      </c>
      <c r="P29" s="232">
        <f t="shared" si="6"/>
        <v>4.1246922931263016E-2</v>
      </c>
      <c r="Q29" s="310">
        <v>0</v>
      </c>
      <c r="R29" s="232">
        <f t="shared" si="7"/>
        <v>0</v>
      </c>
      <c r="S29" s="310">
        <f t="shared" si="8"/>
        <v>8713</v>
      </c>
      <c r="T29" s="232">
        <f t="shared" si="9"/>
        <v>4.1246922931263016E-2</v>
      </c>
      <c r="U29" s="310">
        <v>2646</v>
      </c>
      <c r="V29" s="232">
        <f t="shared" si="10"/>
        <v>1.2526036735466768E-2</v>
      </c>
      <c r="W29" s="310">
        <v>13378</v>
      </c>
      <c r="X29" s="232">
        <f t="shared" si="11"/>
        <v>6.3330808558985041E-2</v>
      </c>
      <c r="Y29" s="310">
        <v>3306</v>
      </c>
      <c r="Z29" s="232">
        <f t="shared" si="12"/>
        <v>1.5650444991478888E-2</v>
      </c>
      <c r="AA29" s="310">
        <v>10856</v>
      </c>
      <c r="AB29" s="232">
        <f t="shared" si="13"/>
        <v>5.1391781859496305E-2</v>
      </c>
      <c r="AC29" s="310">
        <f t="shared" si="14"/>
        <v>14162</v>
      </c>
      <c r="AD29" s="232">
        <f t="shared" si="15"/>
        <v>6.704222685097519E-2</v>
      </c>
      <c r="AE29" s="310">
        <v>25686</v>
      </c>
      <c r="AF29" s="232">
        <f t="shared" si="16"/>
        <v>0.12159628858170801</v>
      </c>
      <c r="AG29" s="310">
        <v>0</v>
      </c>
      <c r="AH29" s="232">
        <f t="shared" si="17"/>
        <v>0</v>
      </c>
      <c r="AI29" s="310">
        <v>23392</v>
      </c>
      <c r="AJ29" s="232">
        <f t="shared" si="18"/>
        <v>0.11073660291611437</v>
      </c>
      <c r="AK29" s="310">
        <v>3723</v>
      </c>
      <c r="AL29" s="232">
        <f t="shared" si="19"/>
        <v>1.762450293505018E-2</v>
      </c>
    </row>
    <row r="30" spans="2:38" s="73" customFormat="1" ht="14.25" customHeight="1">
      <c r="B30" s="597"/>
      <c r="C30" s="601"/>
      <c r="D30" s="171">
        <f t="shared" si="21"/>
        <v>46163</v>
      </c>
      <c r="E30" s="171" t="s">
        <v>113</v>
      </c>
      <c r="F30" s="323">
        <f t="shared" si="0"/>
        <v>197064</v>
      </c>
      <c r="G30" s="619"/>
      <c r="H30" s="621"/>
      <c r="I30" s="310">
        <v>55599</v>
      </c>
      <c r="J30" s="232">
        <f t="shared" si="2"/>
        <v>0.2821367677505785</v>
      </c>
      <c r="K30" s="310">
        <v>54241</v>
      </c>
      <c r="L30" s="232">
        <f t="shared" si="3"/>
        <v>0.27524560548857224</v>
      </c>
      <c r="M30" s="310">
        <f t="shared" si="4"/>
        <v>109840</v>
      </c>
      <c r="N30" s="232">
        <f t="shared" si="5"/>
        <v>0.55738237323915074</v>
      </c>
      <c r="O30" s="310">
        <v>8646</v>
      </c>
      <c r="P30" s="232">
        <f t="shared" si="6"/>
        <v>4.3874071367677507E-2</v>
      </c>
      <c r="Q30" s="310">
        <v>0</v>
      </c>
      <c r="R30" s="232">
        <f t="shared" si="7"/>
        <v>0</v>
      </c>
      <c r="S30" s="310">
        <f t="shared" si="8"/>
        <v>8646</v>
      </c>
      <c r="T30" s="232">
        <f t="shared" si="9"/>
        <v>4.3874071367677507E-2</v>
      </c>
      <c r="U30" s="310">
        <v>2416</v>
      </c>
      <c r="V30" s="232">
        <f t="shared" si="10"/>
        <v>1.2259976454349855E-2</v>
      </c>
      <c r="W30" s="310">
        <v>14393</v>
      </c>
      <c r="X30" s="232">
        <f t="shared" si="11"/>
        <v>7.3037185888848291E-2</v>
      </c>
      <c r="Y30" s="310">
        <v>3140</v>
      </c>
      <c r="Z30" s="232">
        <f t="shared" si="12"/>
        <v>1.5933909795802378E-2</v>
      </c>
      <c r="AA30" s="310">
        <v>8164</v>
      </c>
      <c r="AB30" s="232">
        <f t="shared" si="13"/>
        <v>4.1428165469086183E-2</v>
      </c>
      <c r="AC30" s="310">
        <f t="shared" si="14"/>
        <v>11304</v>
      </c>
      <c r="AD30" s="232">
        <f t="shared" si="15"/>
        <v>5.7362075264888561E-2</v>
      </c>
      <c r="AE30" s="310">
        <v>23039</v>
      </c>
      <c r="AF30" s="232">
        <f t="shared" si="16"/>
        <v>0.11691125725652581</v>
      </c>
      <c r="AG30" s="310">
        <v>0</v>
      </c>
      <c r="AH30" s="232">
        <f t="shared" si="17"/>
        <v>0</v>
      </c>
      <c r="AI30" s="310">
        <v>23874</v>
      </c>
      <c r="AJ30" s="232">
        <f t="shared" si="18"/>
        <v>0.1211484593837535</v>
      </c>
      <c r="AK30" s="310">
        <v>3552</v>
      </c>
      <c r="AL30" s="232">
        <f t="shared" si="19"/>
        <v>1.8024601144805748E-2</v>
      </c>
    </row>
    <row r="31" spans="2:38" s="73" customFormat="1" ht="14.25" customHeight="1">
      <c r="B31" s="597"/>
      <c r="C31" s="601"/>
      <c r="D31" s="171">
        <f t="shared" si="21"/>
        <v>46164</v>
      </c>
      <c r="E31" s="171" t="s">
        <v>114</v>
      </c>
      <c r="F31" s="323">
        <f t="shared" si="0"/>
        <v>169031</v>
      </c>
      <c r="G31" s="619"/>
      <c r="H31" s="621"/>
      <c r="I31" s="310">
        <v>43614</v>
      </c>
      <c r="J31" s="232">
        <f t="shared" si="2"/>
        <v>0.25802367613041394</v>
      </c>
      <c r="K31" s="310">
        <v>49881</v>
      </c>
      <c r="L31" s="232">
        <f t="shared" si="3"/>
        <v>0.29509971543681335</v>
      </c>
      <c r="M31" s="310">
        <f t="shared" si="4"/>
        <v>93495</v>
      </c>
      <c r="N31" s="232">
        <f t="shared" si="5"/>
        <v>0.55312339156722734</v>
      </c>
      <c r="O31" s="310">
        <v>6843</v>
      </c>
      <c r="P31" s="232">
        <f t="shared" si="6"/>
        <v>4.0483698256532828E-2</v>
      </c>
      <c r="Q31" s="310">
        <v>0</v>
      </c>
      <c r="R31" s="232">
        <f t="shared" si="7"/>
        <v>0</v>
      </c>
      <c r="S31" s="310">
        <f t="shared" si="8"/>
        <v>6843</v>
      </c>
      <c r="T31" s="232">
        <f t="shared" si="9"/>
        <v>4.0483698256532828E-2</v>
      </c>
      <c r="U31" s="310">
        <v>2066</v>
      </c>
      <c r="V31" s="232">
        <f t="shared" si="10"/>
        <v>1.2222610053777118E-2</v>
      </c>
      <c r="W31" s="310">
        <v>9256</v>
      </c>
      <c r="X31" s="232">
        <f t="shared" si="11"/>
        <v>5.475918618478267E-2</v>
      </c>
      <c r="Y31" s="310">
        <v>2872</v>
      </c>
      <c r="Z31" s="232">
        <f t="shared" si="12"/>
        <v>1.6990966154137407E-2</v>
      </c>
      <c r="AA31" s="310">
        <v>8868</v>
      </c>
      <c r="AB31" s="232">
        <f t="shared" si="13"/>
        <v>5.2463749253095583E-2</v>
      </c>
      <c r="AC31" s="310">
        <f t="shared" si="14"/>
        <v>11740</v>
      </c>
      <c r="AD31" s="232">
        <f t="shared" si="15"/>
        <v>6.9454715407232998E-2</v>
      </c>
      <c r="AE31" s="310">
        <v>19498</v>
      </c>
      <c r="AF31" s="232">
        <f t="shared" si="16"/>
        <v>0.11535162189184232</v>
      </c>
      <c r="AG31" s="310">
        <v>0</v>
      </c>
      <c r="AH31" s="232">
        <f t="shared" si="17"/>
        <v>0</v>
      </c>
      <c r="AI31" s="310">
        <v>23025</v>
      </c>
      <c r="AJ31" s="232">
        <f t="shared" si="18"/>
        <v>0.13621761688684325</v>
      </c>
      <c r="AK31" s="310">
        <v>3108</v>
      </c>
      <c r="AL31" s="232">
        <f t="shared" si="19"/>
        <v>1.8387159751761511E-2</v>
      </c>
    </row>
    <row r="32" spans="2:38" s="73" customFormat="1" ht="14.25" customHeight="1">
      <c r="B32" s="597"/>
      <c r="C32" s="601"/>
      <c r="D32" s="171">
        <f t="shared" si="21"/>
        <v>46165</v>
      </c>
      <c r="E32" s="171" t="s">
        <v>115</v>
      </c>
      <c r="F32" s="323">
        <f t="shared" si="0"/>
        <v>181373</v>
      </c>
      <c r="G32" s="619"/>
      <c r="H32" s="621"/>
      <c r="I32" s="310">
        <v>42188</v>
      </c>
      <c r="J32" s="232">
        <f t="shared" si="2"/>
        <v>0.2326035297425747</v>
      </c>
      <c r="K32" s="310">
        <v>57208</v>
      </c>
      <c r="L32" s="232">
        <f t="shared" si="3"/>
        <v>0.31541629680272149</v>
      </c>
      <c r="M32" s="310">
        <f t="shared" si="4"/>
        <v>99396</v>
      </c>
      <c r="N32" s="232">
        <f t="shared" si="5"/>
        <v>0.54801982654529613</v>
      </c>
      <c r="O32" s="310">
        <v>6717</v>
      </c>
      <c r="P32" s="232">
        <f t="shared" si="6"/>
        <v>3.7034178185286676E-2</v>
      </c>
      <c r="Q32" s="310">
        <v>0</v>
      </c>
      <c r="R32" s="232">
        <f t="shared" si="7"/>
        <v>0</v>
      </c>
      <c r="S32" s="310">
        <f t="shared" si="8"/>
        <v>6717</v>
      </c>
      <c r="T32" s="232">
        <f t="shared" si="9"/>
        <v>3.7034178185286676E-2</v>
      </c>
      <c r="U32" s="310">
        <v>2177</v>
      </c>
      <c r="V32" s="232">
        <f t="shared" si="10"/>
        <v>1.2002889073897438E-2</v>
      </c>
      <c r="W32" s="310">
        <v>10807</v>
      </c>
      <c r="X32" s="232">
        <f t="shared" si="11"/>
        <v>5.9584392384754069E-2</v>
      </c>
      <c r="Y32" s="310">
        <v>3321</v>
      </c>
      <c r="Z32" s="232">
        <f t="shared" si="12"/>
        <v>1.8310332849983183E-2</v>
      </c>
      <c r="AA32" s="310">
        <v>10384</v>
      </c>
      <c r="AB32" s="232">
        <f t="shared" si="13"/>
        <v>5.7252181967547541E-2</v>
      </c>
      <c r="AC32" s="310">
        <f t="shared" si="14"/>
        <v>13705</v>
      </c>
      <c r="AD32" s="232">
        <f t="shared" si="15"/>
        <v>7.5562514817530721E-2</v>
      </c>
      <c r="AE32" s="310">
        <v>21248</v>
      </c>
      <c r="AF32" s="232">
        <f t="shared" si="16"/>
        <v>0.11715084384114505</v>
      </c>
      <c r="AG32" s="310">
        <v>0</v>
      </c>
      <c r="AH32" s="232">
        <f t="shared" si="17"/>
        <v>0</v>
      </c>
      <c r="AI32" s="310">
        <v>23957</v>
      </c>
      <c r="AJ32" s="232">
        <f t="shared" si="18"/>
        <v>0.13208691481091453</v>
      </c>
      <c r="AK32" s="310">
        <v>3366</v>
      </c>
      <c r="AL32" s="232">
        <f t="shared" si="19"/>
        <v>1.8558440341175368E-2</v>
      </c>
    </row>
    <row r="33" spans="2:38" s="73" customFormat="1" ht="14.25" customHeight="1">
      <c r="B33" s="597"/>
      <c r="C33" s="601"/>
      <c r="D33" s="171">
        <f t="shared" si="21"/>
        <v>46166</v>
      </c>
      <c r="E33" s="171" t="s">
        <v>116</v>
      </c>
      <c r="F33" s="323">
        <f t="shared" si="0"/>
        <v>221134</v>
      </c>
      <c r="G33" s="619"/>
      <c r="H33" s="621"/>
      <c r="I33" s="310">
        <v>57606</v>
      </c>
      <c r="J33" s="232">
        <f t="shared" si="2"/>
        <v>0.26050268163195167</v>
      </c>
      <c r="K33" s="310">
        <v>64220</v>
      </c>
      <c r="L33" s="232">
        <f t="shared" si="3"/>
        <v>0.29041214829017697</v>
      </c>
      <c r="M33" s="310">
        <f t="shared" si="4"/>
        <v>121826</v>
      </c>
      <c r="N33" s="232">
        <f t="shared" si="5"/>
        <v>0.5509148299221287</v>
      </c>
      <c r="O33" s="310">
        <v>8561</v>
      </c>
      <c r="P33" s="232">
        <f t="shared" si="6"/>
        <v>3.8714082863783951E-2</v>
      </c>
      <c r="Q33" s="310">
        <v>0</v>
      </c>
      <c r="R33" s="232">
        <f t="shared" si="7"/>
        <v>0</v>
      </c>
      <c r="S33" s="310">
        <f t="shared" si="8"/>
        <v>8561</v>
      </c>
      <c r="T33" s="232">
        <f t="shared" si="9"/>
        <v>3.8714082863783951E-2</v>
      </c>
      <c r="U33" s="310">
        <v>2849</v>
      </c>
      <c r="V33" s="232">
        <f t="shared" si="10"/>
        <v>1.2883590944856964E-2</v>
      </c>
      <c r="W33" s="310">
        <v>13745</v>
      </c>
      <c r="X33" s="232">
        <f t="shared" si="11"/>
        <v>6.2156882252389953E-2</v>
      </c>
      <c r="Y33" s="310">
        <v>3607</v>
      </c>
      <c r="Z33" s="232">
        <f t="shared" si="12"/>
        <v>1.6311376812249586E-2</v>
      </c>
      <c r="AA33" s="310">
        <v>12016</v>
      </c>
      <c r="AB33" s="232">
        <f t="shared" si="13"/>
        <v>5.4338093644577493E-2</v>
      </c>
      <c r="AC33" s="310">
        <f t="shared" si="14"/>
        <v>15623</v>
      </c>
      <c r="AD33" s="232">
        <f t="shared" si="15"/>
        <v>7.0649470456827082E-2</v>
      </c>
      <c r="AE33" s="310">
        <v>30163</v>
      </c>
      <c r="AF33" s="232">
        <f t="shared" si="16"/>
        <v>0.13640145793952987</v>
      </c>
      <c r="AG33" s="310">
        <v>0</v>
      </c>
      <c r="AH33" s="232">
        <f t="shared" si="17"/>
        <v>0</v>
      </c>
      <c r="AI33" s="310">
        <v>25103</v>
      </c>
      <c r="AJ33" s="232">
        <f t="shared" si="18"/>
        <v>0.1135194045239538</v>
      </c>
      <c r="AK33" s="310">
        <v>3264</v>
      </c>
      <c r="AL33" s="232">
        <f t="shared" si="19"/>
        <v>1.4760281096529706E-2</v>
      </c>
    </row>
    <row r="34" spans="2:38" s="73" customFormat="1" ht="14.25" customHeight="1">
      <c r="B34" s="598"/>
      <c r="C34" s="602"/>
      <c r="D34" s="171">
        <f t="shared" si="21"/>
        <v>46167</v>
      </c>
      <c r="E34" s="171" t="s">
        <v>117</v>
      </c>
      <c r="F34" s="323">
        <f t="shared" si="0"/>
        <v>221391</v>
      </c>
      <c r="G34" s="619"/>
      <c r="H34" s="622"/>
      <c r="I34" s="310">
        <v>58331</v>
      </c>
      <c r="J34" s="232">
        <f t="shared" si="2"/>
        <v>0.26347502834351894</v>
      </c>
      <c r="K34" s="310">
        <v>64829</v>
      </c>
      <c r="L34" s="232">
        <f t="shared" si="3"/>
        <v>0.29282581496086107</v>
      </c>
      <c r="M34" s="310">
        <f t="shared" si="4"/>
        <v>123160</v>
      </c>
      <c r="N34" s="232">
        <f t="shared" si="5"/>
        <v>0.55630084330438001</v>
      </c>
      <c r="O34" s="310">
        <v>8823</v>
      </c>
      <c r="P34" s="232">
        <f t="shared" si="6"/>
        <v>3.9852568532596173E-2</v>
      </c>
      <c r="Q34" s="310">
        <v>0</v>
      </c>
      <c r="R34" s="232">
        <f t="shared" si="7"/>
        <v>0</v>
      </c>
      <c r="S34" s="310">
        <f t="shared" si="8"/>
        <v>8823</v>
      </c>
      <c r="T34" s="232">
        <f t="shared" si="9"/>
        <v>3.9852568532596173E-2</v>
      </c>
      <c r="U34" s="310">
        <v>2750</v>
      </c>
      <c r="V34" s="232">
        <f t="shared" si="10"/>
        <v>1.2421462480407966E-2</v>
      </c>
      <c r="W34" s="310">
        <v>13080</v>
      </c>
      <c r="X34" s="232">
        <f t="shared" si="11"/>
        <v>5.9080992452267708E-2</v>
      </c>
      <c r="Y34" s="310">
        <v>3959</v>
      </c>
      <c r="Z34" s="232">
        <f t="shared" si="12"/>
        <v>1.7882389076340051E-2</v>
      </c>
      <c r="AA34" s="310">
        <v>11823</v>
      </c>
      <c r="AB34" s="232">
        <f t="shared" si="13"/>
        <v>5.3403254874859411E-2</v>
      </c>
      <c r="AC34" s="310">
        <f t="shared" si="14"/>
        <v>15782</v>
      </c>
      <c r="AD34" s="232">
        <f t="shared" si="15"/>
        <v>7.1285643951199462E-2</v>
      </c>
      <c r="AE34" s="310">
        <v>29823</v>
      </c>
      <c r="AF34" s="232">
        <f t="shared" si="16"/>
        <v>0.13470737292843882</v>
      </c>
      <c r="AG34" s="310">
        <v>0</v>
      </c>
      <c r="AH34" s="232">
        <f t="shared" si="17"/>
        <v>0</v>
      </c>
      <c r="AI34" s="310">
        <v>24421</v>
      </c>
      <c r="AJ34" s="232">
        <f t="shared" si="18"/>
        <v>0.11030710372147016</v>
      </c>
      <c r="AK34" s="310">
        <v>3552</v>
      </c>
      <c r="AL34" s="232">
        <f t="shared" si="19"/>
        <v>1.6044012629239671E-2</v>
      </c>
    </row>
  </sheetData>
  <mergeCells count="45">
    <mergeCell ref="B28:B34"/>
    <mergeCell ref="G28:G34"/>
    <mergeCell ref="C10:C34"/>
    <mergeCell ref="H10:H34"/>
    <mergeCell ref="AI5:AJ5"/>
    <mergeCell ref="K5:L5"/>
    <mergeCell ref="S5:T5"/>
    <mergeCell ref="H5:H6"/>
    <mergeCell ref="O4:T4"/>
    <mergeCell ref="I4:N4"/>
    <mergeCell ref="Y4:AD4"/>
    <mergeCell ref="O5:P5"/>
    <mergeCell ref="I5:J5"/>
    <mergeCell ref="Q5:R5"/>
    <mergeCell ref="AA5:AB5"/>
    <mergeCell ref="F5:F6"/>
    <mergeCell ref="M5:N5"/>
    <mergeCell ref="I3:AL3"/>
    <mergeCell ref="AI4:AJ4"/>
    <mergeCell ref="B14:B20"/>
    <mergeCell ref="G14:G20"/>
    <mergeCell ref="G5:G6"/>
    <mergeCell ref="B7:B13"/>
    <mergeCell ref="G7:G13"/>
    <mergeCell ref="H7:H9"/>
    <mergeCell ref="C7:C9"/>
    <mergeCell ref="B3:B6"/>
    <mergeCell ref="C3:C6"/>
    <mergeCell ref="D3:E6"/>
    <mergeCell ref="AK4:AL4"/>
    <mergeCell ref="F3:H4"/>
    <mergeCell ref="B21:B27"/>
    <mergeCell ref="G21:G2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161"/>
  <sheetViews>
    <sheetView zoomScale="85" zoomScaleNormal="85" workbookViewId="0">
      <pane xSplit="13" ySplit="1" topLeftCell="N119" activePane="bottomRight" state="frozen"/>
      <selection activeCell="E31" sqref="E31"/>
      <selection pane="topRight" activeCell="E31" sqref="E31"/>
      <selection pane="bottomLeft" activeCell="E31" sqref="E31"/>
      <selection pane="bottomRight" activeCell="B122" sqref="B122:M12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8" customWidth="1"/>
    <col min="15" max="15" width="7.140625" style="178" customWidth="1" collapsed="1"/>
    <col min="16" max="16" width="7.7109375" style="178" customWidth="1"/>
    <col min="17" max="18" width="8.7109375" style="178" customWidth="1"/>
    <col min="19" max="19" width="5.42578125" style="178" customWidth="1"/>
    <col min="20" max="20" width="10.7109375" style="178" customWidth="1"/>
    <col min="21" max="21" width="7.7109375" style="179" customWidth="1"/>
    <col min="22" max="23" width="8.7109375" style="179" customWidth="1"/>
    <col min="24" max="24" width="5.42578125" style="178" customWidth="1"/>
    <col min="25" max="25" width="10.7109375" style="179" customWidth="1"/>
    <col min="26" max="26" width="7.7109375" style="179" customWidth="1"/>
    <col min="27" max="28" width="8.7109375" style="179" customWidth="1"/>
    <col min="29" max="29" width="5.42578125" style="178" customWidth="1"/>
    <col min="30" max="30" width="10.7109375" style="179" customWidth="1"/>
    <col min="31" max="31" width="7.7109375" style="179" customWidth="1"/>
    <col min="32" max="33" width="8.7109375" style="179" customWidth="1"/>
    <col min="34" max="34" width="5.42578125" style="178" customWidth="1"/>
    <col min="35" max="35" width="10.7109375" style="179" customWidth="1"/>
    <col min="36" max="36" width="7.7109375" style="179" customWidth="1"/>
    <col min="37" max="38" width="8.7109375" style="179" customWidth="1"/>
    <col min="39" max="39" width="5.42578125" style="178" customWidth="1"/>
    <col min="40" max="40" width="10.7109375" style="179" customWidth="1"/>
    <col min="41" max="41" width="7.7109375" style="179" customWidth="1"/>
    <col min="42" max="43" width="8.7109375" style="179" customWidth="1"/>
    <col min="44" max="44" width="5.42578125" style="179" customWidth="1"/>
    <col min="45" max="45" width="10.7109375" style="179" customWidth="1"/>
    <col min="46" max="46" width="7.7109375" style="179" customWidth="1"/>
    <col min="47" max="48" width="8.7109375" style="179" customWidth="1"/>
    <col min="49" max="49" width="5.42578125" style="179" customWidth="1"/>
    <col min="50" max="50" width="10.7109375" style="179" customWidth="1"/>
    <col min="51" max="16384" width="8.85546875" style="78"/>
  </cols>
  <sheetData>
    <row r="1" spans="1:50" ht="24">
      <c r="A1" s="74"/>
      <c r="B1" s="355" t="s">
        <v>694</v>
      </c>
      <c r="C1" s="175">
        <f>AVERAGE(L7,L47,L87,L127)</f>
        <v>760.11672774834233</v>
      </c>
    </row>
    <row r="2" spans="1:50" ht="14.25" customHeight="1">
      <c r="B2" s="646" t="s">
        <v>619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7"/>
      <c r="N2" s="650" t="s">
        <v>369</v>
      </c>
      <c r="O2" s="650" t="s">
        <v>105</v>
      </c>
      <c r="P2" s="652">
        <v>46140</v>
      </c>
      <c r="Q2" s="653"/>
      <c r="R2" s="653"/>
      <c r="S2" s="653"/>
      <c r="T2" s="653"/>
      <c r="U2" s="654">
        <v>46141</v>
      </c>
      <c r="V2" s="655"/>
      <c r="W2" s="655"/>
      <c r="X2" s="655"/>
      <c r="Y2" s="655"/>
      <c r="Z2" s="652">
        <v>46142</v>
      </c>
      <c r="AA2" s="653"/>
      <c r="AB2" s="653"/>
      <c r="AC2" s="653"/>
      <c r="AD2" s="653"/>
      <c r="AE2" s="654">
        <v>46143</v>
      </c>
      <c r="AF2" s="655"/>
      <c r="AG2" s="655"/>
      <c r="AH2" s="655"/>
      <c r="AI2" s="655"/>
      <c r="AJ2" s="636">
        <v>46144</v>
      </c>
      <c r="AK2" s="637"/>
      <c r="AL2" s="637"/>
      <c r="AM2" s="637"/>
      <c r="AN2" s="638"/>
      <c r="AO2" s="654">
        <v>46145</v>
      </c>
      <c r="AP2" s="655"/>
      <c r="AQ2" s="655"/>
      <c r="AR2" s="655"/>
      <c r="AS2" s="655"/>
      <c r="AT2" s="636">
        <v>46146</v>
      </c>
      <c r="AU2" s="637"/>
      <c r="AV2" s="637"/>
      <c r="AW2" s="637"/>
      <c r="AX2" s="638"/>
    </row>
    <row r="3" spans="1:50" ht="14.25" customHeight="1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651"/>
      <c r="O3" s="651"/>
      <c r="P3" s="639">
        <v>46140</v>
      </c>
      <c r="Q3" s="639"/>
      <c r="R3" s="639"/>
      <c r="S3" s="639"/>
      <c r="T3" s="639"/>
      <c r="U3" s="640">
        <v>46141</v>
      </c>
      <c r="V3" s="640"/>
      <c r="W3" s="640"/>
      <c r="X3" s="640"/>
      <c r="Y3" s="640"/>
      <c r="Z3" s="639">
        <v>46142</v>
      </c>
      <c r="AA3" s="639"/>
      <c r="AB3" s="639"/>
      <c r="AC3" s="639"/>
      <c r="AD3" s="639"/>
      <c r="AE3" s="640">
        <v>46143</v>
      </c>
      <c r="AF3" s="640"/>
      <c r="AG3" s="640"/>
      <c r="AH3" s="640"/>
      <c r="AI3" s="640"/>
      <c r="AJ3" s="641">
        <v>46144</v>
      </c>
      <c r="AK3" s="642"/>
      <c r="AL3" s="642"/>
      <c r="AM3" s="642"/>
      <c r="AN3" s="643"/>
      <c r="AO3" s="640">
        <v>46145</v>
      </c>
      <c r="AP3" s="640"/>
      <c r="AQ3" s="640"/>
      <c r="AR3" s="640"/>
      <c r="AS3" s="640"/>
      <c r="AT3" s="641">
        <v>46146</v>
      </c>
      <c r="AU3" s="642"/>
      <c r="AV3" s="642"/>
      <c r="AW3" s="642"/>
      <c r="AX3" s="643"/>
    </row>
    <row r="4" spans="1:50" ht="14.25" customHeight="1">
      <c r="B4" s="631" t="s">
        <v>162</v>
      </c>
      <c r="C4" s="631" t="s">
        <v>157</v>
      </c>
      <c r="D4" s="631"/>
      <c r="E4" s="631" t="s">
        <v>158</v>
      </c>
      <c r="F4" s="631"/>
      <c r="G4" s="631"/>
      <c r="H4" s="631" t="s">
        <v>163</v>
      </c>
      <c r="I4" s="635" t="s">
        <v>370</v>
      </c>
      <c r="J4" s="635"/>
      <c r="K4" s="635"/>
      <c r="L4" s="635" t="s">
        <v>163</v>
      </c>
      <c r="M4" s="635" t="s">
        <v>165</v>
      </c>
      <c r="N4" s="644"/>
      <c r="O4" s="634" t="s">
        <v>164</v>
      </c>
      <c r="P4" s="634" t="s">
        <v>160</v>
      </c>
      <c r="Q4" s="634"/>
      <c r="R4" s="634"/>
      <c r="S4" s="634"/>
      <c r="T4" s="634" t="s">
        <v>163</v>
      </c>
      <c r="U4" s="634" t="s">
        <v>160</v>
      </c>
      <c r="V4" s="634"/>
      <c r="W4" s="634"/>
      <c r="X4" s="634"/>
      <c r="Y4" s="634" t="s">
        <v>163</v>
      </c>
      <c r="Z4" s="634" t="s">
        <v>160</v>
      </c>
      <c r="AA4" s="634"/>
      <c r="AB4" s="634"/>
      <c r="AC4" s="634"/>
      <c r="AD4" s="634" t="s">
        <v>163</v>
      </c>
      <c r="AE4" s="634" t="s">
        <v>160</v>
      </c>
      <c r="AF4" s="634"/>
      <c r="AG4" s="634"/>
      <c r="AH4" s="634"/>
      <c r="AI4" s="634" t="s">
        <v>163</v>
      </c>
      <c r="AJ4" s="634" t="s">
        <v>160</v>
      </c>
      <c r="AK4" s="634"/>
      <c r="AL4" s="634"/>
      <c r="AM4" s="634"/>
      <c r="AN4" s="634" t="s">
        <v>163</v>
      </c>
      <c r="AO4" s="634" t="s">
        <v>160</v>
      </c>
      <c r="AP4" s="634"/>
      <c r="AQ4" s="634"/>
      <c r="AR4" s="634"/>
      <c r="AS4" s="634" t="s">
        <v>163</v>
      </c>
      <c r="AT4" s="634" t="s">
        <v>160</v>
      </c>
      <c r="AU4" s="634"/>
      <c r="AV4" s="634"/>
      <c r="AW4" s="634"/>
      <c r="AX4" s="634" t="s">
        <v>163</v>
      </c>
    </row>
    <row r="5" spans="1:50" ht="14.25" customHeight="1">
      <c r="B5" s="631"/>
      <c r="C5" s="631"/>
      <c r="D5" s="631"/>
      <c r="E5" s="631" t="s">
        <v>371</v>
      </c>
      <c r="F5" s="631"/>
      <c r="G5" s="631"/>
      <c r="H5" s="631"/>
      <c r="I5" s="635" t="s">
        <v>371</v>
      </c>
      <c r="J5" s="635"/>
      <c r="K5" s="635"/>
      <c r="L5" s="635"/>
      <c r="M5" s="635"/>
      <c r="N5" s="644"/>
      <c r="O5" s="634"/>
      <c r="P5" s="634" t="s">
        <v>372</v>
      </c>
      <c r="Q5" s="634"/>
      <c r="R5" s="634"/>
      <c r="S5" s="634"/>
      <c r="T5" s="634"/>
      <c r="U5" s="634" t="s">
        <v>372</v>
      </c>
      <c r="V5" s="634"/>
      <c r="W5" s="634"/>
      <c r="X5" s="634"/>
      <c r="Y5" s="634"/>
      <c r="Z5" s="634" t="s">
        <v>372</v>
      </c>
      <c r="AA5" s="634"/>
      <c r="AB5" s="634"/>
      <c r="AC5" s="634"/>
      <c r="AD5" s="634"/>
      <c r="AE5" s="634" t="s">
        <v>372</v>
      </c>
      <c r="AF5" s="634"/>
      <c r="AG5" s="634"/>
      <c r="AH5" s="634"/>
      <c r="AI5" s="634"/>
      <c r="AJ5" s="634" t="s">
        <v>372</v>
      </c>
      <c r="AK5" s="634"/>
      <c r="AL5" s="634"/>
      <c r="AM5" s="634"/>
      <c r="AN5" s="634"/>
      <c r="AO5" s="634" t="s">
        <v>372</v>
      </c>
      <c r="AP5" s="634"/>
      <c r="AQ5" s="634"/>
      <c r="AR5" s="634"/>
      <c r="AS5" s="634"/>
      <c r="AT5" s="634" t="s">
        <v>372</v>
      </c>
      <c r="AU5" s="634"/>
      <c r="AV5" s="634"/>
      <c r="AW5" s="634"/>
      <c r="AX5" s="634"/>
    </row>
    <row r="6" spans="1:50" ht="14.25" customHeight="1">
      <c r="A6" s="177"/>
      <c r="B6" s="631"/>
      <c r="C6" s="631"/>
      <c r="D6" s="631"/>
      <c r="E6" s="180" t="s">
        <v>159</v>
      </c>
      <c r="F6" s="180" t="s">
        <v>373</v>
      </c>
      <c r="G6" s="180" t="s">
        <v>161</v>
      </c>
      <c r="H6" s="631"/>
      <c r="I6" s="181" t="s">
        <v>159</v>
      </c>
      <c r="J6" s="181" t="s">
        <v>373</v>
      </c>
      <c r="K6" s="181" t="s">
        <v>161</v>
      </c>
      <c r="L6" s="635"/>
      <c r="M6" s="635"/>
      <c r="N6" s="644"/>
      <c r="O6" s="634"/>
      <c r="P6" s="182" t="s">
        <v>159</v>
      </c>
      <c r="Q6" s="182" t="s">
        <v>373</v>
      </c>
      <c r="R6" s="182" t="s">
        <v>161</v>
      </c>
      <c r="S6" s="182" t="s">
        <v>165</v>
      </c>
      <c r="T6" s="634"/>
      <c r="U6" s="182" t="s">
        <v>159</v>
      </c>
      <c r="V6" s="182" t="s">
        <v>373</v>
      </c>
      <c r="W6" s="182" t="s">
        <v>161</v>
      </c>
      <c r="X6" s="182" t="s">
        <v>165</v>
      </c>
      <c r="Y6" s="634"/>
      <c r="Z6" s="182" t="s">
        <v>159</v>
      </c>
      <c r="AA6" s="182" t="s">
        <v>373</v>
      </c>
      <c r="AB6" s="182" t="s">
        <v>161</v>
      </c>
      <c r="AC6" s="182" t="s">
        <v>165</v>
      </c>
      <c r="AD6" s="634"/>
      <c r="AE6" s="182" t="s">
        <v>159</v>
      </c>
      <c r="AF6" s="182" t="s">
        <v>373</v>
      </c>
      <c r="AG6" s="182" t="s">
        <v>161</v>
      </c>
      <c r="AH6" s="182" t="s">
        <v>165</v>
      </c>
      <c r="AI6" s="634"/>
      <c r="AJ6" s="182" t="s">
        <v>159</v>
      </c>
      <c r="AK6" s="182" t="s">
        <v>373</v>
      </c>
      <c r="AL6" s="182" t="s">
        <v>161</v>
      </c>
      <c r="AM6" s="182" t="s">
        <v>165</v>
      </c>
      <c r="AN6" s="634"/>
      <c r="AO6" s="182" t="s">
        <v>159</v>
      </c>
      <c r="AP6" s="182" t="s">
        <v>373</v>
      </c>
      <c r="AQ6" s="182" t="s">
        <v>161</v>
      </c>
      <c r="AR6" s="182" t="s">
        <v>165</v>
      </c>
      <c r="AS6" s="634"/>
      <c r="AT6" s="182" t="s">
        <v>159</v>
      </c>
      <c r="AU6" s="182" t="s">
        <v>373</v>
      </c>
      <c r="AV6" s="182" t="s">
        <v>161</v>
      </c>
      <c r="AW6" s="182" t="s">
        <v>165</v>
      </c>
      <c r="AX6" s="634"/>
    </row>
    <row r="7" spans="1:50" ht="14.25" customHeight="1">
      <c r="B7" s="631" t="s">
        <v>374</v>
      </c>
      <c r="C7" s="180">
        <v>1</v>
      </c>
      <c r="D7" s="183" t="s">
        <v>399</v>
      </c>
      <c r="E7" s="184">
        <v>4</v>
      </c>
      <c r="F7" s="180">
        <v>3600</v>
      </c>
      <c r="G7" s="185">
        <f>F7/E7</f>
        <v>900</v>
      </c>
      <c r="H7" s="632">
        <f>AVERAGE(G7:G41)</f>
        <v>848.69463869463868</v>
      </c>
      <c r="I7" s="186">
        <f>AVERAGE(P7,U7,Z7,AE7,AJ7,AO7,AT7)</f>
        <v>4</v>
      </c>
      <c r="J7" s="186">
        <f>AVERAGE(Q7,V7,AA7,AF7,AK7,AP7,AU7)</f>
        <v>3183.5770589062586</v>
      </c>
      <c r="K7" s="187">
        <f>AVERAGE(R7,W7,AB7,AG7,AL7,AQ7,AV7)</f>
        <v>795.89426472656464</v>
      </c>
      <c r="L7" s="633">
        <f>IFERROR(AVERAGE(K7:K41),"-")</f>
        <v>754.59133104919283</v>
      </c>
      <c r="M7" s="186">
        <f>RANK(K7, K$7:$K$41)</f>
        <v>17</v>
      </c>
      <c r="N7" s="644"/>
      <c r="O7" s="634"/>
      <c r="P7" s="188">
        <v>4</v>
      </c>
      <c r="Q7" s="188">
        <v>3179.3643039924327</v>
      </c>
      <c r="R7" s="185">
        <f t="shared" ref="R7:R39" si="0">IFERROR(Q7/P7,"")</f>
        <v>794.84107599810818</v>
      </c>
      <c r="S7" s="182">
        <f>RANK(R7, R$7:R$41)</f>
        <v>17</v>
      </c>
      <c r="T7" s="630">
        <f>AVERAGE(R7:R41)</f>
        <v>754.59534297291793</v>
      </c>
      <c r="U7" s="188">
        <v>4</v>
      </c>
      <c r="V7" s="188">
        <v>3179.0043039924321</v>
      </c>
      <c r="W7" s="185">
        <f t="shared" ref="W7:W39" si="1">IFERROR(V7/U7,"")</f>
        <v>794.75107599810804</v>
      </c>
      <c r="X7" s="182">
        <f>RANK(W7, W$7:W$41)</f>
        <v>17</v>
      </c>
      <c r="Y7" s="630">
        <f>AVERAGE(W7:W41)</f>
        <v>754.62263193806371</v>
      </c>
      <c r="Z7" s="188">
        <v>4</v>
      </c>
      <c r="AA7" s="188">
        <v>3184.6141608717894</v>
      </c>
      <c r="AB7" s="185">
        <f>IFERROR(AA7/Z7,"")</f>
        <v>796.15354021794735</v>
      </c>
      <c r="AC7" s="182">
        <f>RANK(AB7, AB$7:AB$41)</f>
        <v>16</v>
      </c>
      <c r="AD7" s="630">
        <f>AVERAGE(AB7:AB41)</f>
        <v>754.70449809298657</v>
      </c>
      <c r="AE7" s="188">
        <v>4</v>
      </c>
      <c r="AF7" s="188">
        <v>3184.614160871789</v>
      </c>
      <c r="AG7" s="185">
        <f>IFERROR(AF7/AE7,"")</f>
        <v>796.15354021794724</v>
      </c>
      <c r="AH7" s="182">
        <f>RANK(AG7, AG$7:AG$41)</f>
        <v>16</v>
      </c>
      <c r="AI7" s="630">
        <f>AVERAGE(AG7:AG41)</f>
        <v>754.61017418311826</v>
      </c>
      <c r="AJ7" s="188">
        <v>4</v>
      </c>
      <c r="AK7" s="188">
        <v>3186.0541608717886</v>
      </c>
      <c r="AL7" s="185">
        <f>IFERROR(AK7/AJ7,"")</f>
        <v>796.51354021794714</v>
      </c>
      <c r="AM7" s="182">
        <f>RANK(AL7, AL$7:AL$41)</f>
        <v>15</v>
      </c>
      <c r="AN7" s="630">
        <f>AVERAGE(AL7:AL41)</f>
        <v>754.60773345452458</v>
      </c>
      <c r="AO7" s="188">
        <v>4</v>
      </c>
      <c r="AP7" s="188">
        <v>3186.4141608717882</v>
      </c>
      <c r="AQ7" s="185">
        <f>IFERROR(AP7/AO7,"")</f>
        <v>796.60354021794706</v>
      </c>
      <c r="AR7" s="182">
        <f>RANK(AQ7, AQ$7:AQ$41)</f>
        <v>15</v>
      </c>
      <c r="AS7" s="630">
        <f>AVERAGE(AQ7:AQ41)</f>
        <v>754.53169562409676</v>
      </c>
      <c r="AT7" s="188">
        <v>4</v>
      </c>
      <c r="AU7" s="188">
        <v>3184.9741608717877</v>
      </c>
      <c r="AV7" s="185">
        <f>IFERROR(AU7/AT7,"")</f>
        <v>796.24354021794693</v>
      </c>
      <c r="AW7" s="182">
        <f>RANK(AV7, AV$7:AV$41)</f>
        <v>16</v>
      </c>
      <c r="AX7" s="630">
        <f>AVERAGE(AV7:AV41)</f>
        <v>754.46724107864236</v>
      </c>
    </row>
    <row r="8" spans="1:50" ht="14.25" customHeight="1">
      <c r="B8" s="631"/>
      <c r="C8" s="180">
        <v>2</v>
      </c>
      <c r="D8" s="183" t="s">
        <v>397</v>
      </c>
      <c r="E8" s="184">
        <v>3</v>
      </c>
      <c r="F8" s="180">
        <v>3600</v>
      </c>
      <c r="G8" s="185">
        <f t="shared" ref="G8:G27" si="2">F8/E8</f>
        <v>1200</v>
      </c>
      <c r="H8" s="632"/>
      <c r="I8" s="186">
        <f t="shared" ref="I8:K37" si="3">AVERAGE(P8,U8,Z8,AE8,AJ8,AO8,AT8)</f>
        <v>3</v>
      </c>
      <c r="J8" s="186">
        <f t="shared" si="3"/>
        <v>3181.5653333603509</v>
      </c>
      <c r="K8" s="187">
        <f t="shared" si="3"/>
        <v>1060.5217777867836</v>
      </c>
      <c r="L8" s="633"/>
      <c r="M8" s="186">
        <f>RANK(K8, K$7:$K$41)</f>
        <v>6</v>
      </c>
      <c r="N8" s="644"/>
      <c r="O8" s="634"/>
      <c r="P8" s="188">
        <v>3</v>
      </c>
      <c r="Q8" s="188">
        <v>3182.6453333603504</v>
      </c>
      <c r="R8" s="185">
        <f t="shared" si="0"/>
        <v>1060.8817777867835</v>
      </c>
      <c r="S8" s="182">
        <f t="shared" ref="S8:S39" si="4">RANK(R8, R$7:R$41)</f>
        <v>5</v>
      </c>
      <c r="T8" s="630"/>
      <c r="U8" s="188">
        <v>3</v>
      </c>
      <c r="V8" s="188">
        <v>3181.9253333603497</v>
      </c>
      <c r="W8" s="185">
        <f t="shared" si="1"/>
        <v>1060.6417777867832</v>
      </c>
      <c r="X8" s="182">
        <f t="shared" ref="X8:X39" si="5">RANK(W8, W$7:W$41)</f>
        <v>6</v>
      </c>
      <c r="Y8" s="630"/>
      <c r="Z8" s="188">
        <v>3</v>
      </c>
      <c r="AA8" s="188">
        <v>3181.5653333603505</v>
      </c>
      <c r="AB8" s="185">
        <f t="shared" ref="AB8:AB39" si="6">IFERROR(AA8/Z8,"")</f>
        <v>1060.5217777867836</v>
      </c>
      <c r="AC8" s="182">
        <f t="shared" ref="AC8:AC39" si="7">RANK(AB8, AB$7:AB$41)</f>
        <v>6</v>
      </c>
      <c r="AD8" s="630"/>
      <c r="AE8" s="188">
        <v>3</v>
      </c>
      <c r="AF8" s="188">
        <v>3181.5653333603505</v>
      </c>
      <c r="AG8" s="185">
        <f t="shared" ref="AG8:AG39" si="8">IFERROR(AF8/AE8,"")</f>
        <v>1060.5217777867836</v>
      </c>
      <c r="AH8" s="182">
        <f t="shared" ref="AH8:AH39" si="9">RANK(AG8, AG$7:AG$41)</f>
        <v>6</v>
      </c>
      <c r="AI8" s="630"/>
      <c r="AJ8" s="188">
        <v>3</v>
      </c>
      <c r="AK8" s="188">
        <v>3181.5653333603505</v>
      </c>
      <c r="AL8" s="185">
        <f t="shared" ref="AL8:AL39" si="10">IFERROR(AK8/AJ8,"")</f>
        <v>1060.5217777867836</v>
      </c>
      <c r="AM8" s="182">
        <f t="shared" ref="AM8:AM39" si="11">RANK(AL8, AL$7:AL$41)</f>
        <v>6</v>
      </c>
      <c r="AN8" s="630"/>
      <c r="AO8" s="188">
        <v>3</v>
      </c>
      <c r="AP8" s="188">
        <v>3181.5653333603505</v>
      </c>
      <c r="AQ8" s="185">
        <f t="shared" ref="AQ8:AQ39" si="12">IFERROR(AP8/AO8,"")</f>
        <v>1060.5217777867836</v>
      </c>
      <c r="AR8" s="182">
        <f t="shared" ref="AR8:AR39" si="13">RANK(AQ8, AQ$7:AQ$41)</f>
        <v>6</v>
      </c>
      <c r="AS8" s="630"/>
      <c r="AT8" s="188">
        <v>3</v>
      </c>
      <c r="AU8" s="188">
        <v>3180.1253333603509</v>
      </c>
      <c r="AV8" s="185">
        <f t="shared" ref="AV8:AV39" si="14">IFERROR(AU8/AT8,"")</f>
        <v>1060.0417777867835</v>
      </c>
      <c r="AW8" s="182">
        <f t="shared" ref="AW8:AW39" si="15">RANK(AV8, AV$7:AV$41)</f>
        <v>6</v>
      </c>
      <c r="AX8" s="630"/>
    </row>
    <row r="9" spans="1:50" ht="14.25" customHeight="1">
      <c r="B9" s="631"/>
      <c r="C9" s="180">
        <v>3</v>
      </c>
      <c r="D9" s="183" t="s">
        <v>398</v>
      </c>
      <c r="E9" s="184">
        <v>5</v>
      </c>
      <c r="F9" s="180">
        <v>3600</v>
      </c>
      <c r="G9" s="185">
        <f t="shared" si="2"/>
        <v>720</v>
      </c>
      <c r="H9" s="632"/>
      <c r="I9" s="186">
        <f t="shared" si="3"/>
        <v>5</v>
      </c>
      <c r="J9" s="186">
        <f t="shared" si="3"/>
        <v>3185.2615419550525</v>
      </c>
      <c r="K9" s="187">
        <f t="shared" si="3"/>
        <v>637.05230839101046</v>
      </c>
      <c r="L9" s="633"/>
      <c r="M9" s="186">
        <f>RANK(K9, K$7:$K$41)</f>
        <v>24</v>
      </c>
      <c r="N9" s="644"/>
      <c r="O9" s="634"/>
      <c r="P9" s="188">
        <v>5</v>
      </c>
      <c r="Q9" s="188">
        <v>3183.6158276693386</v>
      </c>
      <c r="R9" s="185">
        <f t="shared" si="0"/>
        <v>636.7231655338677</v>
      </c>
      <c r="S9" s="182">
        <f t="shared" si="4"/>
        <v>24</v>
      </c>
      <c r="T9" s="630"/>
      <c r="U9" s="188">
        <v>5</v>
      </c>
      <c r="V9" s="188">
        <v>3184.6958276693381</v>
      </c>
      <c r="W9" s="185">
        <f t="shared" si="1"/>
        <v>636.93916553386759</v>
      </c>
      <c r="X9" s="182">
        <f t="shared" si="5"/>
        <v>24</v>
      </c>
      <c r="Y9" s="630"/>
      <c r="Z9" s="188">
        <v>5</v>
      </c>
      <c r="AA9" s="188">
        <v>3184.6958276693372</v>
      </c>
      <c r="AB9" s="185">
        <f t="shared" si="6"/>
        <v>636.93916553386748</v>
      </c>
      <c r="AC9" s="182">
        <f t="shared" si="7"/>
        <v>24</v>
      </c>
      <c r="AD9" s="630"/>
      <c r="AE9" s="188">
        <v>5</v>
      </c>
      <c r="AF9" s="188">
        <v>3186.1358276693372</v>
      </c>
      <c r="AG9" s="185">
        <f t="shared" si="8"/>
        <v>637.22716553386749</v>
      </c>
      <c r="AH9" s="182">
        <f t="shared" si="9"/>
        <v>24</v>
      </c>
      <c r="AI9" s="630"/>
      <c r="AJ9" s="188">
        <v>5</v>
      </c>
      <c r="AK9" s="188">
        <v>3185.0558276693378</v>
      </c>
      <c r="AL9" s="185">
        <f t="shared" si="10"/>
        <v>637.0111655338676</v>
      </c>
      <c r="AM9" s="182">
        <f t="shared" si="11"/>
        <v>24</v>
      </c>
      <c r="AN9" s="630"/>
      <c r="AO9" s="188">
        <v>5</v>
      </c>
      <c r="AP9" s="188">
        <v>3185.7758276693385</v>
      </c>
      <c r="AQ9" s="185">
        <f t="shared" si="12"/>
        <v>637.15516553386772</v>
      </c>
      <c r="AR9" s="182">
        <f t="shared" si="13"/>
        <v>24</v>
      </c>
      <c r="AS9" s="630"/>
      <c r="AT9" s="188">
        <v>5</v>
      </c>
      <c r="AU9" s="188">
        <v>3186.8558276693384</v>
      </c>
      <c r="AV9" s="185">
        <f t="shared" si="14"/>
        <v>637.37116553386772</v>
      </c>
      <c r="AW9" s="182">
        <f t="shared" si="15"/>
        <v>22</v>
      </c>
      <c r="AX9" s="630"/>
    </row>
    <row r="10" spans="1:50" ht="14.25" customHeight="1">
      <c r="B10" s="631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632"/>
      <c r="I10" s="186">
        <f t="shared" si="3"/>
        <v>5</v>
      </c>
      <c r="J10" s="186">
        <f t="shared" si="3"/>
        <v>2952.0174727125718</v>
      </c>
      <c r="K10" s="187">
        <f t="shared" si="3"/>
        <v>590.40349454251441</v>
      </c>
      <c r="L10" s="633"/>
      <c r="M10" s="186">
        <f>RANK(K10, K$7:$K$41)</f>
        <v>27</v>
      </c>
      <c r="N10" s="644"/>
      <c r="O10" s="634"/>
      <c r="P10" s="188">
        <v>5</v>
      </c>
      <c r="Q10" s="188">
        <v>2951.6874727125728</v>
      </c>
      <c r="R10" s="185">
        <f t="shared" si="0"/>
        <v>590.33749454251461</v>
      </c>
      <c r="S10" s="182">
        <f t="shared" si="4"/>
        <v>27</v>
      </c>
      <c r="T10" s="630"/>
      <c r="U10" s="188">
        <v>5</v>
      </c>
      <c r="V10" s="188">
        <v>2952.677472712573</v>
      </c>
      <c r="W10" s="185">
        <f t="shared" si="1"/>
        <v>590.53549454251458</v>
      </c>
      <c r="X10" s="182">
        <f t="shared" si="5"/>
        <v>27</v>
      </c>
      <c r="Y10" s="630"/>
      <c r="Z10" s="188">
        <v>5</v>
      </c>
      <c r="AA10" s="188">
        <v>2951.3574727125724</v>
      </c>
      <c r="AB10" s="185">
        <f t="shared" si="6"/>
        <v>590.27149454251446</v>
      </c>
      <c r="AC10" s="182">
        <f t="shared" si="7"/>
        <v>27</v>
      </c>
      <c r="AD10" s="630"/>
      <c r="AE10" s="188">
        <v>5</v>
      </c>
      <c r="AF10" s="188">
        <v>2952.0174727125718</v>
      </c>
      <c r="AG10" s="185">
        <f t="shared" si="8"/>
        <v>590.40349454251441</v>
      </c>
      <c r="AH10" s="182">
        <f t="shared" si="9"/>
        <v>27</v>
      </c>
      <c r="AI10" s="630"/>
      <c r="AJ10" s="188">
        <v>5</v>
      </c>
      <c r="AK10" s="188">
        <v>2952.6774727125717</v>
      </c>
      <c r="AL10" s="185">
        <f t="shared" si="10"/>
        <v>590.53549454251436</v>
      </c>
      <c r="AM10" s="182">
        <f t="shared" si="11"/>
        <v>27</v>
      </c>
      <c r="AN10" s="630"/>
      <c r="AO10" s="188">
        <v>5</v>
      </c>
      <c r="AP10" s="188">
        <v>2952.3474727125717</v>
      </c>
      <c r="AQ10" s="185">
        <f t="shared" si="12"/>
        <v>590.46949454251433</v>
      </c>
      <c r="AR10" s="182">
        <f t="shared" si="13"/>
        <v>27</v>
      </c>
      <c r="AS10" s="630"/>
      <c r="AT10" s="188">
        <v>5</v>
      </c>
      <c r="AU10" s="188">
        <v>2951.3574727125715</v>
      </c>
      <c r="AV10" s="185">
        <f t="shared" si="14"/>
        <v>590.27149454251435</v>
      </c>
      <c r="AW10" s="182">
        <f t="shared" si="15"/>
        <v>27</v>
      </c>
      <c r="AX10" s="630"/>
    </row>
    <row r="11" spans="1:50" ht="14.25" customHeight="1">
      <c r="B11" s="631"/>
      <c r="C11" s="180">
        <v>5</v>
      </c>
      <c r="D11" s="183" t="s">
        <v>394</v>
      </c>
      <c r="E11" s="184">
        <v>3</v>
      </c>
      <c r="F11" s="180">
        <v>3600</v>
      </c>
      <c r="G11" s="185">
        <f t="shared" si="2"/>
        <v>1200</v>
      </c>
      <c r="H11" s="632"/>
      <c r="I11" s="186">
        <f t="shared" si="3"/>
        <v>3</v>
      </c>
      <c r="J11" s="186">
        <f t="shared" si="3"/>
        <v>3183.2040007317141</v>
      </c>
      <c r="K11" s="187">
        <f t="shared" si="3"/>
        <v>1061.0680002439046</v>
      </c>
      <c r="L11" s="633"/>
      <c r="M11" s="186">
        <f>RANK(K11, K$7:$K$41)</f>
        <v>5</v>
      </c>
      <c r="N11" s="644"/>
      <c r="O11" s="634"/>
      <c r="P11" s="188">
        <v>3</v>
      </c>
      <c r="Q11" s="188">
        <v>3183.7182864459996</v>
      </c>
      <c r="R11" s="185">
        <f t="shared" si="0"/>
        <v>1061.2394288153332</v>
      </c>
      <c r="S11" s="182">
        <f t="shared" si="4"/>
        <v>4</v>
      </c>
      <c r="T11" s="630"/>
      <c r="U11" s="188">
        <v>3</v>
      </c>
      <c r="V11" s="188">
        <v>3182.9982864459998</v>
      </c>
      <c r="W11" s="185">
        <f t="shared" si="1"/>
        <v>1060.9994288153332</v>
      </c>
      <c r="X11" s="182">
        <f t="shared" si="5"/>
        <v>5</v>
      </c>
      <c r="Y11" s="630"/>
      <c r="Z11" s="188">
        <v>3</v>
      </c>
      <c r="AA11" s="188">
        <v>3184.4382864459994</v>
      </c>
      <c r="AB11" s="185">
        <f t="shared" si="6"/>
        <v>1061.4794288153332</v>
      </c>
      <c r="AC11" s="182">
        <f t="shared" si="7"/>
        <v>4</v>
      </c>
      <c r="AD11" s="630"/>
      <c r="AE11" s="188">
        <v>3</v>
      </c>
      <c r="AF11" s="188">
        <v>3183.3582864459995</v>
      </c>
      <c r="AG11" s="185">
        <f t="shared" si="8"/>
        <v>1061.1194288153331</v>
      </c>
      <c r="AH11" s="182">
        <f t="shared" si="9"/>
        <v>4</v>
      </c>
      <c r="AI11" s="630"/>
      <c r="AJ11" s="188">
        <v>3</v>
      </c>
      <c r="AK11" s="188">
        <v>3182.2782864459987</v>
      </c>
      <c r="AL11" s="185">
        <f t="shared" si="10"/>
        <v>1060.759428815333</v>
      </c>
      <c r="AM11" s="182">
        <f t="shared" si="11"/>
        <v>5</v>
      </c>
      <c r="AN11" s="630"/>
      <c r="AO11" s="188">
        <v>3</v>
      </c>
      <c r="AP11" s="188">
        <v>3182.2782864459991</v>
      </c>
      <c r="AQ11" s="185">
        <f t="shared" si="12"/>
        <v>1060.759428815333</v>
      </c>
      <c r="AR11" s="182">
        <f t="shared" si="13"/>
        <v>5</v>
      </c>
      <c r="AS11" s="630"/>
      <c r="AT11" s="188">
        <v>3</v>
      </c>
      <c r="AU11" s="188">
        <v>3183.3582864459991</v>
      </c>
      <c r="AV11" s="185">
        <f t="shared" si="14"/>
        <v>1061.1194288153331</v>
      </c>
      <c r="AW11" s="182">
        <f t="shared" si="15"/>
        <v>4</v>
      </c>
      <c r="AX11" s="630"/>
    </row>
    <row r="12" spans="1:50" ht="14.25" customHeight="1">
      <c r="B12" s="631"/>
      <c r="C12" s="180">
        <v>6</v>
      </c>
      <c r="D12" s="183" t="s">
        <v>341</v>
      </c>
      <c r="E12" s="184">
        <v>4</v>
      </c>
      <c r="F12" s="180">
        <v>3600</v>
      </c>
      <c r="G12" s="185">
        <f t="shared" si="2"/>
        <v>900</v>
      </c>
      <c r="H12" s="632"/>
      <c r="I12" s="186">
        <f t="shared" si="3"/>
        <v>4</v>
      </c>
      <c r="J12" s="186">
        <f t="shared" si="3"/>
        <v>3184.1485714285741</v>
      </c>
      <c r="K12" s="187">
        <f t="shared" si="3"/>
        <v>796.03714285714352</v>
      </c>
      <c r="L12" s="633"/>
      <c r="M12" s="186">
        <f>RANK(K12, K$7:$K$41)</f>
        <v>16</v>
      </c>
      <c r="N12" s="644"/>
      <c r="O12" s="634"/>
      <c r="P12" s="188">
        <v>4</v>
      </c>
      <c r="Q12" s="188">
        <v>3186.0000000000023</v>
      </c>
      <c r="R12" s="185">
        <f t="shared" si="0"/>
        <v>796.50000000000057</v>
      </c>
      <c r="S12" s="182">
        <f t="shared" si="4"/>
        <v>16</v>
      </c>
      <c r="T12" s="630"/>
      <c r="U12" s="188">
        <v>4</v>
      </c>
      <c r="V12" s="188">
        <v>3184.5600000000027</v>
      </c>
      <c r="W12" s="185">
        <f t="shared" si="1"/>
        <v>796.14000000000067</v>
      </c>
      <c r="X12" s="182">
        <f t="shared" si="5"/>
        <v>16</v>
      </c>
      <c r="Y12" s="630"/>
      <c r="Z12" s="188">
        <v>4</v>
      </c>
      <c r="AA12" s="188">
        <v>3183.4800000000032</v>
      </c>
      <c r="AB12" s="185">
        <f t="shared" si="6"/>
        <v>795.8700000000008</v>
      </c>
      <c r="AC12" s="182">
        <f t="shared" si="7"/>
        <v>17</v>
      </c>
      <c r="AD12" s="630"/>
      <c r="AE12" s="188">
        <v>4</v>
      </c>
      <c r="AF12" s="188">
        <v>3184.200000000003</v>
      </c>
      <c r="AG12" s="185">
        <f t="shared" si="8"/>
        <v>796.05000000000075</v>
      </c>
      <c r="AH12" s="182">
        <f t="shared" si="9"/>
        <v>17</v>
      </c>
      <c r="AI12" s="630"/>
      <c r="AJ12" s="188">
        <v>4</v>
      </c>
      <c r="AK12" s="188">
        <v>3183.4800000000032</v>
      </c>
      <c r="AL12" s="185">
        <f t="shared" si="10"/>
        <v>795.8700000000008</v>
      </c>
      <c r="AM12" s="182">
        <f t="shared" si="11"/>
        <v>17</v>
      </c>
      <c r="AN12" s="630"/>
      <c r="AO12" s="188">
        <v>4</v>
      </c>
      <c r="AP12" s="188">
        <v>3182.7600000000029</v>
      </c>
      <c r="AQ12" s="185">
        <f t="shared" si="12"/>
        <v>795.69000000000074</v>
      </c>
      <c r="AR12" s="182">
        <f t="shared" si="13"/>
        <v>17</v>
      </c>
      <c r="AS12" s="630"/>
      <c r="AT12" s="188">
        <v>4</v>
      </c>
      <c r="AU12" s="188">
        <v>3184.5600000000027</v>
      </c>
      <c r="AV12" s="185">
        <f t="shared" si="14"/>
        <v>796.14000000000067</v>
      </c>
      <c r="AW12" s="182">
        <f t="shared" si="15"/>
        <v>17</v>
      </c>
      <c r="AX12" s="630"/>
    </row>
    <row r="13" spans="1:50" ht="14.25" customHeight="1">
      <c r="B13" s="631"/>
      <c r="C13" s="180">
        <v>7</v>
      </c>
      <c r="D13" s="183" t="s">
        <v>396</v>
      </c>
      <c r="E13" s="184">
        <v>3</v>
      </c>
      <c r="F13" s="180">
        <v>3600</v>
      </c>
      <c r="G13" s="185">
        <f t="shared" si="2"/>
        <v>1200</v>
      </c>
      <c r="H13" s="632"/>
      <c r="I13" s="186">
        <f t="shared" si="3"/>
        <v>3</v>
      </c>
      <c r="J13" s="186">
        <f t="shared" si="3"/>
        <v>3183.4373359286051</v>
      </c>
      <c r="K13" s="187">
        <f t="shared" si="3"/>
        <v>1061.1457786428687</v>
      </c>
      <c r="L13" s="633"/>
      <c r="M13" s="186">
        <f>RANK(K13, K$7:$K$41)</f>
        <v>4</v>
      </c>
      <c r="N13" s="644"/>
      <c r="O13" s="634"/>
      <c r="P13" s="188">
        <v>3</v>
      </c>
      <c r="Q13" s="188">
        <v>3181.5859073571773</v>
      </c>
      <c r="R13" s="185">
        <f t="shared" si="0"/>
        <v>1060.5286357857258</v>
      </c>
      <c r="S13" s="182">
        <f t="shared" si="4"/>
        <v>6</v>
      </c>
      <c r="T13" s="630"/>
      <c r="U13" s="188">
        <v>3</v>
      </c>
      <c r="V13" s="188">
        <v>3183.3859073571771</v>
      </c>
      <c r="W13" s="185">
        <f t="shared" si="1"/>
        <v>1061.1286357857257</v>
      </c>
      <c r="X13" s="182">
        <f t="shared" si="5"/>
        <v>4</v>
      </c>
      <c r="Y13" s="630"/>
      <c r="Z13" s="188">
        <v>3</v>
      </c>
      <c r="AA13" s="188">
        <v>3182.6659073571773</v>
      </c>
      <c r="AB13" s="185">
        <f t="shared" si="6"/>
        <v>1060.8886357857257</v>
      </c>
      <c r="AC13" s="182">
        <f t="shared" si="7"/>
        <v>5</v>
      </c>
      <c r="AD13" s="630"/>
      <c r="AE13" s="188">
        <v>3</v>
      </c>
      <c r="AF13" s="188">
        <v>3182.3059073571767</v>
      </c>
      <c r="AG13" s="185">
        <f t="shared" si="8"/>
        <v>1060.7686357857256</v>
      </c>
      <c r="AH13" s="182">
        <f t="shared" si="9"/>
        <v>5</v>
      </c>
      <c r="AI13" s="630"/>
      <c r="AJ13" s="188">
        <v>3</v>
      </c>
      <c r="AK13" s="188">
        <v>3183.7459073571767</v>
      </c>
      <c r="AL13" s="185">
        <f t="shared" si="10"/>
        <v>1061.2486357857256</v>
      </c>
      <c r="AM13" s="182">
        <f t="shared" si="11"/>
        <v>4</v>
      </c>
      <c r="AN13" s="630"/>
      <c r="AO13" s="188">
        <v>3</v>
      </c>
      <c r="AP13" s="188">
        <v>3184.8259073571767</v>
      </c>
      <c r="AQ13" s="185">
        <f t="shared" si="12"/>
        <v>1061.6086357857255</v>
      </c>
      <c r="AR13" s="182">
        <f t="shared" si="13"/>
        <v>2</v>
      </c>
      <c r="AS13" s="630"/>
      <c r="AT13" s="188">
        <v>3</v>
      </c>
      <c r="AU13" s="188">
        <v>3185.5459073571765</v>
      </c>
      <c r="AV13" s="185">
        <f t="shared" si="14"/>
        <v>1061.8486357857255</v>
      </c>
      <c r="AW13" s="182">
        <f t="shared" si="15"/>
        <v>2</v>
      </c>
      <c r="AX13" s="630"/>
    </row>
    <row r="14" spans="1:50" ht="14.25" customHeight="1">
      <c r="B14" s="631"/>
      <c r="C14" s="180">
        <v>8</v>
      </c>
      <c r="D14" s="183" t="s">
        <v>395</v>
      </c>
      <c r="E14" s="184">
        <v>5</v>
      </c>
      <c r="F14" s="180">
        <v>3600</v>
      </c>
      <c r="G14" s="185">
        <f t="shared" si="2"/>
        <v>720</v>
      </c>
      <c r="H14" s="632"/>
      <c r="I14" s="186">
        <f t="shared" si="3"/>
        <v>5</v>
      </c>
      <c r="J14" s="186">
        <f t="shared" si="3"/>
        <v>3186.4962998570022</v>
      </c>
      <c r="K14" s="187">
        <f t="shared" si="3"/>
        <v>637.2992599714006</v>
      </c>
      <c r="L14" s="633"/>
      <c r="M14" s="186">
        <f>RANK(K14, K$7:$K$41)</f>
        <v>23</v>
      </c>
      <c r="N14" s="644"/>
      <c r="O14" s="634"/>
      <c r="P14" s="188">
        <v>5</v>
      </c>
      <c r="Q14" s="188">
        <v>3187.4220141427177</v>
      </c>
      <c r="R14" s="185">
        <f t="shared" si="0"/>
        <v>637.48440282854358</v>
      </c>
      <c r="S14" s="182">
        <f t="shared" si="4"/>
        <v>21</v>
      </c>
      <c r="T14" s="630"/>
      <c r="U14" s="188">
        <v>5</v>
      </c>
      <c r="V14" s="188">
        <v>3185.9820141427181</v>
      </c>
      <c r="W14" s="185">
        <f t="shared" si="1"/>
        <v>637.19640282854357</v>
      </c>
      <c r="X14" s="182">
        <f t="shared" si="5"/>
        <v>23</v>
      </c>
      <c r="Y14" s="630"/>
      <c r="Z14" s="188">
        <v>5</v>
      </c>
      <c r="AA14" s="188">
        <v>3187.7820141427169</v>
      </c>
      <c r="AB14" s="185">
        <f t="shared" si="6"/>
        <v>637.55640282854336</v>
      </c>
      <c r="AC14" s="182">
        <f t="shared" si="7"/>
        <v>22</v>
      </c>
      <c r="AD14" s="630"/>
      <c r="AE14" s="188">
        <v>5</v>
      </c>
      <c r="AF14" s="188">
        <v>3186.7020141427165</v>
      </c>
      <c r="AG14" s="185">
        <f t="shared" si="8"/>
        <v>637.34040282854335</v>
      </c>
      <c r="AH14" s="182">
        <f t="shared" si="9"/>
        <v>22</v>
      </c>
      <c r="AI14" s="630"/>
      <c r="AJ14" s="188">
        <v>5</v>
      </c>
      <c r="AK14" s="188">
        <v>3185.9820141427167</v>
      </c>
      <c r="AL14" s="185">
        <f t="shared" si="10"/>
        <v>637.19640282854334</v>
      </c>
      <c r="AM14" s="182">
        <f t="shared" si="11"/>
        <v>23</v>
      </c>
      <c r="AN14" s="630"/>
      <c r="AO14" s="188">
        <v>5</v>
      </c>
      <c r="AP14" s="188">
        <v>3185.9820141427167</v>
      </c>
      <c r="AQ14" s="185">
        <f t="shared" si="12"/>
        <v>637.19640282854334</v>
      </c>
      <c r="AR14" s="182">
        <f t="shared" si="13"/>
        <v>23</v>
      </c>
      <c r="AS14" s="630"/>
      <c r="AT14" s="188">
        <v>5</v>
      </c>
      <c r="AU14" s="188">
        <v>3185.6220141427161</v>
      </c>
      <c r="AV14" s="185">
        <f t="shared" si="14"/>
        <v>637.12440282854323</v>
      </c>
      <c r="AW14" s="182">
        <f t="shared" si="15"/>
        <v>23</v>
      </c>
      <c r="AX14" s="630"/>
    </row>
    <row r="15" spans="1:50" ht="14.25" customHeight="1">
      <c r="B15" s="631"/>
      <c r="C15" s="180">
        <v>9</v>
      </c>
      <c r="D15" s="183" t="s">
        <v>393</v>
      </c>
      <c r="E15" s="184">
        <v>5</v>
      </c>
      <c r="F15" s="180">
        <v>3600</v>
      </c>
      <c r="G15" s="185">
        <f t="shared" si="2"/>
        <v>720</v>
      </c>
      <c r="H15" s="632"/>
      <c r="I15" s="186">
        <f t="shared" si="3"/>
        <v>5</v>
      </c>
      <c r="J15" s="186">
        <f t="shared" si="3"/>
        <v>3187.0718373929449</v>
      </c>
      <c r="K15" s="187">
        <f t="shared" si="3"/>
        <v>637.41436747858904</v>
      </c>
      <c r="L15" s="633"/>
      <c r="M15" s="186">
        <f>RANK(K15, K$7:$K$41)</f>
        <v>22</v>
      </c>
      <c r="N15" s="644"/>
      <c r="O15" s="634"/>
      <c r="P15" s="188">
        <v>5</v>
      </c>
      <c r="Q15" s="188">
        <v>3187.7918373929433</v>
      </c>
      <c r="R15" s="185">
        <f t="shared" si="0"/>
        <v>637.55836747858871</v>
      </c>
      <c r="S15" s="182">
        <f t="shared" si="4"/>
        <v>20</v>
      </c>
      <c r="T15" s="630"/>
      <c r="U15" s="188">
        <v>5</v>
      </c>
      <c r="V15" s="188">
        <v>3188.511837392944</v>
      </c>
      <c r="W15" s="185">
        <f t="shared" si="1"/>
        <v>637.70236747858883</v>
      </c>
      <c r="X15" s="182">
        <f t="shared" si="5"/>
        <v>20</v>
      </c>
      <c r="Y15" s="630"/>
      <c r="Z15" s="188">
        <v>5</v>
      </c>
      <c r="AA15" s="188">
        <v>3187.431837392945</v>
      </c>
      <c r="AB15" s="185">
        <f t="shared" si="6"/>
        <v>637.48636747858905</v>
      </c>
      <c r="AC15" s="182">
        <f t="shared" si="7"/>
        <v>23</v>
      </c>
      <c r="AD15" s="630"/>
      <c r="AE15" s="188">
        <v>5</v>
      </c>
      <c r="AF15" s="188">
        <v>3187.7918373929451</v>
      </c>
      <c r="AG15" s="185">
        <f t="shared" si="8"/>
        <v>637.55836747858905</v>
      </c>
      <c r="AH15" s="182">
        <f t="shared" si="9"/>
        <v>21</v>
      </c>
      <c r="AI15" s="630"/>
      <c r="AJ15" s="188">
        <v>5</v>
      </c>
      <c r="AK15" s="188">
        <v>3187.0718373929458</v>
      </c>
      <c r="AL15" s="185">
        <f t="shared" si="10"/>
        <v>637.41436747858916</v>
      </c>
      <c r="AM15" s="182">
        <f t="shared" si="11"/>
        <v>22</v>
      </c>
      <c r="AN15" s="630"/>
      <c r="AO15" s="188">
        <v>5</v>
      </c>
      <c r="AP15" s="188">
        <v>3185.9918373929459</v>
      </c>
      <c r="AQ15" s="185">
        <f t="shared" si="12"/>
        <v>637.19836747858915</v>
      </c>
      <c r="AR15" s="182">
        <f t="shared" si="13"/>
        <v>22</v>
      </c>
      <c r="AS15" s="630"/>
      <c r="AT15" s="188">
        <v>5</v>
      </c>
      <c r="AU15" s="188">
        <v>3184.9118373929464</v>
      </c>
      <c r="AV15" s="185">
        <f t="shared" si="14"/>
        <v>636.98236747858925</v>
      </c>
      <c r="AW15" s="182">
        <f t="shared" si="15"/>
        <v>24</v>
      </c>
      <c r="AX15" s="630"/>
    </row>
    <row r="16" spans="1:50" ht="14.25" customHeight="1">
      <c r="B16" s="631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632"/>
      <c r="I16" s="186">
        <f t="shared" si="3"/>
        <v>3</v>
      </c>
      <c r="J16" s="186">
        <f t="shared" si="3"/>
        <v>2706.1844155844115</v>
      </c>
      <c r="K16" s="187">
        <f t="shared" si="3"/>
        <v>902.06147186147052</v>
      </c>
      <c r="L16" s="633"/>
      <c r="M16" s="186">
        <f>RANK(K16, K$7:$K$41)</f>
        <v>12</v>
      </c>
      <c r="N16" s="644"/>
      <c r="O16" s="634"/>
      <c r="P16" s="188">
        <v>3</v>
      </c>
      <c r="Q16" s="188">
        <v>2705.4987012986976</v>
      </c>
      <c r="R16" s="185">
        <f t="shared" si="0"/>
        <v>901.83290043289924</v>
      </c>
      <c r="S16" s="182">
        <f t="shared" si="4"/>
        <v>12</v>
      </c>
      <c r="T16" s="630"/>
      <c r="U16" s="188">
        <v>3</v>
      </c>
      <c r="V16" s="188">
        <v>2704.8987012986977</v>
      </c>
      <c r="W16" s="185">
        <f t="shared" si="1"/>
        <v>901.63290043289919</v>
      </c>
      <c r="X16" s="182">
        <f t="shared" si="5"/>
        <v>13</v>
      </c>
      <c r="Y16" s="630"/>
      <c r="Z16" s="188">
        <v>3</v>
      </c>
      <c r="AA16" s="188">
        <v>2706.098701298698</v>
      </c>
      <c r="AB16" s="185">
        <f t="shared" si="6"/>
        <v>902.03290043289928</v>
      </c>
      <c r="AC16" s="182">
        <f t="shared" si="7"/>
        <v>12</v>
      </c>
      <c r="AD16" s="630"/>
      <c r="AE16" s="188">
        <v>3</v>
      </c>
      <c r="AF16" s="188">
        <v>2706.6987012986974</v>
      </c>
      <c r="AG16" s="185">
        <f t="shared" si="8"/>
        <v>902.2329004328991</v>
      </c>
      <c r="AH16" s="182">
        <f t="shared" si="9"/>
        <v>11</v>
      </c>
      <c r="AI16" s="630"/>
      <c r="AJ16" s="188">
        <v>3</v>
      </c>
      <c r="AK16" s="188">
        <v>2707.2987012986969</v>
      </c>
      <c r="AL16" s="185">
        <f t="shared" si="10"/>
        <v>902.43290043289892</v>
      </c>
      <c r="AM16" s="182">
        <f t="shared" si="11"/>
        <v>11</v>
      </c>
      <c r="AN16" s="630"/>
      <c r="AO16" s="188">
        <v>3</v>
      </c>
      <c r="AP16" s="188">
        <v>2706.9987012986967</v>
      </c>
      <c r="AQ16" s="185">
        <f t="shared" si="12"/>
        <v>902.3329004328989</v>
      </c>
      <c r="AR16" s="182">
        <f t="shared" si="13"/>
        <v>11</v>
      </c>
      <c r="AS16" s="630"/>
      <c r="AT16" s="188">
        <v>3</v>
      </c>
      <c r="AU16" s="188">
        <v>2705.7987012986973</v>
      </c>
      <c r="AV16" s="185">
        <f t="shared" si="14"/>
        <v>901.93290043289915</v>
      </c>
      <c r="AW16" s="182">
        <f t="shared" si="15"/>
        <v>12</v>
      </c>
      <c r="AX16" s="630"/>
    </row>
    <row r="17" spans="2:50" ht="14.25" customHeight="1">
      <c r="B17" s="631"/>
      <c r="C17" s="180">
        <v>11</v>
      </c>
      <c r="D17" s="183" t="s">
        <v>449</v>
      </c>
      <c r="E17" s="184">
        <v>12</v>
      </c>
      <c r="F17" s="180">
        <v>3600</v>
      </c>
      <c r="G17" s="185">
        <f t="shared" si="2"/>
        <v>300</v>
      </c>
      <c r="H17" s="632"/>
      <c r="I17" s="186">
        <f t="shared" si="3"/>
        <v>12</v>
      </c>
      <c r="J17" s="186">
        <f t="shared" si="3"/>
        <v>3124.1633170877212</v>
      </c>
      <c r="K17" s="187">
        <f t="shared" si="3"/>
        <v>260.34694309064344</v>
      </c>
      <c r="L17" s="633"/>
      <c r="M17" s="186">
        <f>RANK(K17, K$7:$K$41)</f>
        <v>32</v>
      </c>
      <c r="N17" s="644"/>
      <c r="O17" s="634"/>
      <c r="P17" s="188">
        <v>12</v>
      </c>
      <c r="Q17" s="188">
        <v>3123.1347456591502</v>
      </c>
      <c r="R17" s="185">
        <f t="shared" si="0"/>
        <v>260.2612288049292</v>
      </c>
      <c r="S17" s="182">
        <f t="shared" si="4"/>
        <v>32</v>
      </c>
      <c r="T17" s="630"/>
      <c r="U17" s="188">
        <v>12</v>
      </c>
      <c r="V17" s="188">
        <v>3122.0547456591503</v>
      </c>
      <c r="W17" s="185">
        <f t="shared" si="1"/>
        <v>260.17122880492917</v>
      </c>
      <c r="X17" s="182">
        <f t="shared" si="5"/>
        <v>32</v>
      </c>
      <c r="Y17" s="630"/>
      <c r="Z17" s="188">
        <v>12</v>
      </c>
      <c r="AA17" s="188">
        <v>3123.4947456591494</v>
      </c>
      <c r="AB17" s="185">
        <f t="shared" si="6"/>
        <v>260.29122880492912</v>
      </c>
      <c r="AC17" s="182">
        <f t="shared" si="7"/>
        <v>32</v>
      </c>
      <c r="AD17" s="630"/>
      <c r="AE17" s="188">
        <v>12</v>
      </c>
      <c r="AF17" s="188">
        <v>3123.8547456591496</v>
      </c>
      <c r="AG17" s="185">
        <f t="shared" si="8"/>
        <v>260.32122880492915</v>
      </c>
      <c r="AH17" s="182">
        <f t="shared" si="9"/>
        <v>32</v>
      </c>
      <c r="AI17" s="630"/>
      <c r="AJ17" s="188">
        <v>12</v>
      </c>
      <c r="AK17" s="188">
        <v>3124.934745659149</v>
      </c>
      <c r="AL17" s="185">
        <f t="shared" si="10"/>
        <v>260.41122880492907</v>
      </c>
      <c r="AM17" s="182">
        <f t="shared" si="11"/>
        <v>32</v>
      </c>
      <c r="AN17" s="630"/>
      <c r="AO17" s="188">
        <v>12</v>
      </c>
      <c r="AP17" s="188">
        <v>3125.6547456591493</v>
      </c>
      <c r="AQ17" s="185">
        <f t="shared" si="12"/>
        <v>260.47122880492913</v>
      </c>
      <c r="AR17" s="182">
        <f t="shared" si="13"/>
        <v>31</v>
      </c>
      <c r="AS17" s="630"/>
      <c r="AT17" s="188">
        <v>12</v>
      </c>
      <c r="AU17" s="188">
        <v>3126.0147456591499</v>
      </c>
      <c r="AV17" s="185">
        <f t="shared" si="14"/>
        <v>260.50122880492916</v>
      </c>
      <c r="AW17" s="182">
        <f t="shared" si="15"/>
        <v>31</v>
      </c>
      <c r="AX17" s="630"/>
    </row>
    <row r="18" spans="2:50" ht="14.25" customHeight="1">
      <c r="B18" s="631"/>
      <c r="C18" s="180">
        <v>12</v>
      </c>
      <c r="D18" s="183" t="s">
        <v>471</v>
      </c>
      <c r="E18" s="184">
        <v>3</v>
      </c>
      <c r="F18" s="180">
        <v>3300</v>
      </c>
      <c r="G18" s="185">
        <f t="shared" si="2"/>
        <v>1100</v>
      </c>
      <c r="H18" s="632"/>
      <c r="I18" s="186">
        <f t="shared" si="3"/>
        <v>3</v>
      </c>
      <c r="J18" s="186">
        <f t="shared" si="3"/>
        <v>2980.769806867715</v>
      </c>
      <c r="K18" s="187">
        <f t="shared" si="3"/>
        <v>993.58993562257172</v>
      </c>
      <c r="L18" s="633"/>
      <c r="M18" s="186">
        <f>RANK(K18, K$7:$K$41)</f>
        <v>9</v>
      </c>
      <c r="N18" s="644"/>
      <c r="O18" s="634"/>
      <c r="P18" s="188">
        <v>3</v>
      </c>
      <c r="Q18" s="188">
        <v>2980.7226640105723</v>
      </c>
      <c r="R18" s="185">
        <f t="shared" si="0"/>
        <v>993.57422133685748</v>
      </c>
      <c r="S18" s="182">
        <f t="shared" si="4"/>
        <v>9</v>
      </c>
      <c r="T18" s="630"/>
      <c r="U18" s="188">
        <v>3</v>
      </c>
      <c r="V18" s="188">
        <v>2979.7326640105721</v>
      </c>
      <c r="W18" s="185">
        <f t="shared" si="1"/>
        <v>993.24422133685732</v>
      </c>
      <c r="X18" s="182">
        <f t="shared" si="5"/>
        <v>9</v>
      </c>
      <c r="Y18" s="630"/>
      <c r="Z18" s="188">
        <v>3</v>
      </c>
      <c r="AA18" s="188">
        <v>2981.0526640105718</v>
      </c>
      <c r="AB18" s="185">
        <f t="shared" si="6"/>
        <v>993.68422133685726</v>
      </c>
      <c r="AC18" s="182">
        <f t="shared" si="7"/>
        <v>9</v>
      </c>
      <c r="AD18" s="630"/>
      <c r="AE18" s="188">
        <v>3</v>
      </c>
      <c r="AF18" s="188">
        <v>2980.7226640105719</v>
      </c>
      <c r="AG18" s="185">
        <f t="shared" si="8"/>
        <v>993.57422133685725</v>
      </c>
      <c r="AH18" s="182">
        <f t="shared" si="9"/>
        <v>9</v>
      </c>
      <c r="AI18" s="630"/>
      <c r="AJ18" s="188">
        <v>3</v>
      </c>
      <c r="AK18" s="188">
        <v>2981.0526640105713</v>
      </c>
      <c r="AL18" s="185">
        <f t="shared" si="10"/>
        <v>993.68422133685715</v>
      </c>
      <c r="AM18" s="182">
        <f t="shared" si="11"/>
        <v>9</v>
      </c>
      <c r="AN18" s="630"/>
      <c r="AO18" s="188">
        <v>3</v>
      </c>
      <c r="AP18" s="188">
        <v>2981.3826640105722</v>
      </c>
      <c r="AQ18" s="185">
        <f t="shared" si="12"/>
        <v>993.79422133685739</v>
      </c>
      <c r="AR18" s="182">
        <f t="shared" si="13"/>
        <v>9</v>
      </c>
      <c r="AS18" s="630"/>
      <c r="AT18" s="188">
        <v>3</v>
      </c>
      <c r="AU18" s="188">
        <v>2980.7226640105719</v>
      </c>
      <c r="AV18" s="185">
        <f t="shared" si="14"/>
        <v>993.57422133685725</v>
      </c>
      <c r="AW18" s="182">
        <f t="shared" si="15"/>
        <v>9</v>
      </c>
      <c r="AX18" s="630"/>
    </row>
    <row r="19" spans="2:50" ht="14.25" customHeight="1">
      <c r="B19" s="631"/>
      <c r="C19" s="180">
        <v>13</v>
      </c>
      <c r="D19" s="183" t="s">
        <v>582</v>
      </c>
      <c r="E19" s="184">
        <v>5</v>
      </c>
      <c r="F19" s="180">
        <v>3600</v>
      </c>
      <c r="G19" s="185">
        <f t="shared" si="2"/>
        <v>720</v>
      </c>
      <c r="H19" s="632"/>
      <c r="I19" s="186">
        <f t="shared" si="3"/>
        <v>5</v>
      </c>
      <c r="J19" s="186">
        <f t="shared" si="3"/>
        <v>3187.6903391034843</v>
      </c>
      <c r="K19" s="187">
        <f t="shared" si="3"/>
        <v>637.53806782069682</v>
      </c>
      <c r="L19" s="633"/>
      <c r="M19" s="186">
        <f>RANK(K19, K$7:$K$41)</f>
        <v>21</v>
      </c>
      <c r="N19" s="644"/>
      <c r="O19" s="634"/>
      <c r="P19" s="188">
        <v>5</v>
      </c>
      <c r="Q19" s="188">
        <v>3187.1760533891988</v>
      </c>
      <c r="R19" s="185">
        <f t="shared" si="0"/>
        <v>637.43521067783979</v>
      </c>
      <c r="S19" s="182">
        <f t="shared" si="4"/>
        <v>23</v>
      </c>
      <c r="T19" s="630"/>
      <c r="U19" s="188">
        <v>5</v>
      </c>
      <c r="V19" s="188">
        <v>3187.1760533891988</v>
      </c>
      <c r="W19" s="185">
        <f t="shared" si="1"/>
        <v>637.43521067783979</v>
      </c>
      <c r="X19" s="182">
        <f t="shared" si="5"/>
        <v>22</v>
      </c>
      <c r="Y19" s="630"/>
      <c r="Z19" s="188">
        <v>5</v>
      </c>
      <c r="AA19" s="188">
        <v>3187.8960533891986</v>
      </c>
      <c r="AB19" s="185">
        <f t="shared" si="6"/>
        <v>637.57921067783968</v>
      </c>
      <c r="AC19" s="182">
        <f t="shared" si="7"/>
        <v>21</v>
      </c>
      <c r="AD19" s="630"/>
      <c r="AE19" s="188">
        <v>5</v>
      </c>
      <c r="AF19" s="188">
        <v>3186.4560533891981</v>
      </c>
      <c r="AG19" s="185">
        <f t="shared" si="8"/>
        <v>637.29121067783967</v>
      </c>
      <c r="AH19" s="182">
        <f t="shared" si="9"/>
        <v>23</v>
      </c>
      <c r="AI19" s="630"/>
      <c r="AJ19" s="188">
        <v>5</v>
      </c>
      <c r="AK19" s="188">
        <v>3187.8960533891982</v>
      </c>
      <c r="AL19" s="185">
        <f t="shared" si="10"/>
        <v>637.57921067783968</v>
      </c>
      <c r="AM19" s="182">
        <f t="shared" si="11"/>
        <v>21</v>
      </c>
      <c r="AN19" s="630"/>
      <c r="AO19" s="188">
        <v>5</v>
      </c>
      <c r="AP19" s="188">
        <v>3189.3360533891978</v>
      </c>
      <c r="AQ19" s="185">
        <f t="shared" si="12"/>
        <v>637.86721067783958</v>
      </c>
      <c r="AR19" s="182">
        <f t="shared" si="13"/>
        <v>20</v>
      </c>
      <c r="AS19" s="630"/>
      <c r="AT19" s="188">
        <v>5</v>
      </c>
      <c r="AU19" s="188">
        <v>3187.8960533891977</v>
      </c>
      <c r="AV19" s="185">
        <f t="shared" si="14"/>
        <v>637.57921067783957</v>
      </c>
      <c r="AW19" s="182">
        <f t="shared" si="15"/>
        <v>21</v>
      </c>
      <c r="AX19" s="630"/>
    </row>
    <row r="20" spans="2:50" ht="14.25" customHeight="1">
      <c r="B20" s="631"/>
      <c r="C20" s="180">
        <v>14</v>
      </c>
      <c r="D20" s="183" t="s">
        <v>604</v>
      </c>
      <c r="E20" s="184">
        <v>3</v>
      </c>
      <c r="F20" s="180">
        <v>3600</v>
      </c>
      <c r="G20" s="185">
        <f t="shared" si="2"/>
        <v>1200</v>
      </c>
      <c r="H20" s="632"/>
      <c r="I20" s="186">
        <f t="shared" si="3"/>
        <v>3</v>
      </c>
      <c r="J20" s="186">
        <f t="shared" si="3"/>
        <v>3185.0187331314569</v>
      </c>
      <c r="K20" s="187">
        <f t="shared" si="3"/>
        <v>1061.6729110438189</v>
      </c>
      <c r="L20" s="633"/>
      <c r="M20" s="186">
        <f>RANK(K20, K$7:$K$41)</f>
        <v>3</v>
      </c>
      <c r="N20" s="644"/>
      <c r="O20" s="634"/>
      <c r="P20" s="188">
        <v>3</v>
      </c>
      <c r="Q20" s="188">
        <v>3187.2301617028852</v>
      </c>
      <c r="R20" s="185">
        <f t="shared" si="0"/>
        <v>1062.4100539009617</v>
      </c>
      <c r="S20" s="182">
        <f t="shared" si="4"/>
        <v>2</v>
      </c>
      <c r="T20" s="630"/>
      <c r="U20" s="188">
        <v>3</v>
      </c>
      <c r="V20" s="188">
        <v>3188.3101617028847</v>
      </c>
      <c r="W20" s="185">
        <f t="shared" si="1"/>
        <v>1062.7700539009616</v>
      </c>
      <c r="X20" s="182">
        <f t="shared" si="5"/>
        <v>2</v>
      </c>
      <c r="Y20" s="630"/>
      <c r="Z20" s="188">
        <v>3</v>
      </c>
      <c r="AA20" s="188">
        <v>3186.8701617028851</v>
      </c>
      <c r="AB20" s="185">
        <f t="shared" si="6"/>
        <v>1062.2900539009618</v>
      </c>
      <c r="AC20" s="182">
        <f t="shared" si="7"/>
        <v>3</v>
      </c>
      <c r="AD20" s="630"/>
      <c r="AE20" s="188">
        <v>3</v>
      </c>
      <c r="AF20" s="188">
        <v>3185.0701617028853</v>
      </c>
      <c r="AG20" s="185">
        <f t="shared" si="8"/>
        <v>1061.6900539009619</v>
      </c>
      <c r="AH20" s="182">
        <f t="shared" si="9"/>
        <v>3</v>
      </c>
      <c r="AI20" s="630"/>
      <c r="AJ20" s="188">
        <v>3</v>
      </c>
      <c r="AK20" s="188">
        <v>3183.9901617028854</v>
      </c>
      <c r="AL20" s="185">
        <f t="shared" si="10"/>
        <v>1061.3300539009617</v>
      </c>
      <c r="AM20" s="182">
        <f t="shared" si="11"/>
        <v>3</v>
      </c>
      <c r="AN20" s="630"/>
      <c r="AO20" s="188">
        <v>3</v>
      </c>
      <c r="AP20" s="188">
        <v>3182.5501617028854</v>
      </c>
      <c r="AQ20" s="185">
        <f t="shared" si="12"/>
        <v>1060.8500539009617</v>
      </c>
      <c r="AR20" s="182">
        <f t="shared" si="13"/>
        <v>4</v>
      </c>
      <c r="AS20" s="630"/>
      <c r="AT20" s="188">
        <v>3</v>
      </c>
      <c r="AU20" s="188">
        <v>3181.1101617028853</v>
      </c>
      <c r="AV20" s="185">
        <f t="shared" si="14"/>
        <v>1060.3700539009617</v>
      </c>
      <c r="AW20" s="182">
        <f t="shared" si="15"/>
        <v>5</v>
      </c>
      <c r="AX20" s="630"/>
    </row>
    <row r="21" spans="2:50" ht="14.25" customHeight="1">
      <c r="B21" s="631"/>
      <c r="C21" s="180">
        <v>15</v>
      </c>
      <c r="D21" s="183" t="s">
        <v>583</v>
      </c>
      <c r="E21" s="184">
        <v>5</v>
      </c>
      <c r="F21" s="180">
        <v>3600</v>
      </c>
      <c r="G21" s="185">
        <f t="shared" si="2"/>
        <v>720</v>
      </c>
      <c r="H21" s="632"/>
      <c r="I21" s="186">
        <f t="shared" si="3"/>
        <v>5</v>
      </c>
      <c r="J21" s="186">
        <f t="shared" si="3"/>
        <v>3182.1718280980981</v>
      </c>
      <c r="K21" s="187">
        <f t="shared" si="3"/>
        <v>636.43436561961971</v>
      </c>
      <c r="L21" s="633"/>
      <c r="M21" s="186">
        <f>RANK(K21, K$7:$K$41)</f>
        <v>26</v>
      </c>
      <c r="N21" s="644"/>
      <c r="O21" s="634"/>
      <c r="P21" s="188">
        <v>5</v>
      </c>
      <c r="Q21" s="188">
        <v>3181.2975423838125</v>
      </c>
      <c r="R21" s="185">
        <f t="shared" si="0"/>
        <v>636.25950847676245</v>
      </c>
      <c r="S21" s="182">
        <f t="shared" si="4"/>
        <v>26</v>
      </c>
      <c r="T21" s="630"/>
      <c r="U21" s="188">
        <v>5</v>
      </c>
      <c r="V21" s="188">
        <v>3181.6575423838121</v>
      </c>
      <c r="W21" s="185">
        <f t="shared" si="1"/>
        <v>636.33150847676245</v>
      </c>
      <c r="X21" s="182">
        <f t="shared" si="5"/>
        <v>26</v>
      </c>
      <c r="Y21" s="630"/>
      <c r="Z21" s="188">
        <v>5</v>
      </c>
      <c r="AA21" s="188">
        <v>3181.6575423838131</v>
      </c>
      <c r="AB21" s="185">
        <f t="shared" si="6"/>
        <v>636.33150847676256</v>
      </c>
      <c r="AC21" s="182">
        <f t="shared" si="7"/>
        <v>26</v>
      </c>
      <c r="AD21" s="630"/>
      <c r="AE21" s="188">
        <v>5</v>
      </c>
      <c r="AF21" s="188">
        <v>3183.4575423838128</v>
      </c>
      <c r="AG21" s="185">
        <f t="shared" si="8"/>
        <v>636.69150847676258</v>
      </c>
      <c r="AH21" s="182">
        <f t="shared" si="9"/>
        <v>25</v>
      </c>
      <c r="AI21" s="630"/>
      <c r="AJ21" s="188">
        <v>5</v>
      </c>
      <c r="AK21" s="188">
        <v>3182.3775423838129</v>
      </c>
      <c r="AL21" s="185">
        <f t="shared" si="10"/>
        <v>636.47550847676257</v>
      </c>
      <c r="AM21" s="182">
        <f t="shared" si="11"/>
        <v>26</v>
      </c>
      <c r="AN21" s="630"/>
      <c r="AO21" s="188">
        <v>5</v>
      </c>
      <c r="AP21" s="188">
        <v>3182.0175423838136</v>
      </c>
      <c r="AQ21" s="185">
        <f t="shared" si="12"/>
        <v>636.40350847676268</v>
      </c>
      <c r="AR21" s="182">
        <f t="shared" si="13"/>
        <v>26</v>
      </c>
      <c r="AS21" s="630"/>
      <c r="AT21" s="188">
        <v>5</v>
      </c>
      <c r="AU21" s="188">
        <v>3182.737542383813</v>
      </c>
      <c r="AV21" s="185">
        <f t="shared" si="14"/>
        <v>636.54750847676257</v>
      </c>
      <c r="AW21" s="182">
        <f t="shared" si="15"/>
        <v>26</v>
      </c>
      <c r="AX21" s="630"/>
    </row>
    <row r="22" spans="2:50" ht="14.25" customHeight="1">
      <c r="B22" s="631"/>
      <c r="C22" s="180">
        <v>16</v>
      </c>
      <c r="D22" s="183" t="s">
        <v>406</v>
      </c>
      <c r="E22" s="184">
        <v>5</v>
      </c>
      <c r="F22" s="180">
        <v>3600</v>
      </c>
      <c r="G22" s="185">
        <f t="shared" si="2"/>
        <v>720</v>
      </c>
      <c r="H22" s="632"/>
      <c r="I22" s="186">
        <f t="shared" si="3"/>
        <v>5</v>
      </c>
      <c r="J22" s="186">
        <f t="shared" si="3"/>
        <v>3192.7364688000262</v>
      </c>
      <c r="K22" s="187">
        <f t="shared" si="3"/>
        <v>638.54729376000523</v>
      </c>
      <c r="L22" s="633"/>
      <c r="M22" s="186">
        <f>RANK(K22, K$7:$K$41)</f>
        <v>19</v>
      </c>
      <c r="N22" s="644"/>
      <c r="O22" s="634"/>
      <c r="P22" s="188">
        <v>5</v>
      </c>
      <c r="Q22" s="188">
        <v>3192.0678973714544</v>
      </c>
      <c r="R22" s="185">
        <f t="shared" si="0"/>
        <v>638.41357947429083</v>
      </c>
      <c r="S22" s="182">
        <f t="shared" si="4"/>
        <v>19</v>
      </c>
      <c r="T22" s="630"/>
      <c r="U22" s="188">
        <v>5</v>
      </c>
      <c r="V22" s="188">
        <v>3193.8678973714541</v>
      </c>
      <c r="W22" s="185">
        <f t="shared" si="1"/>
        <v>638.77357947429084</v>
      </c>
      <c r="X22" s="182">
        <f t="shared" si="5"/>
        <v>19</v>
      </c>
      <c r="Y22" s="630"/>
      <c r="Z22" s="188">
        <v>5</v>
      </c>
      <c r="AA22" s="188">
        <v>3193.1478973714543</v>
      </c>
      <c r="AB22" s="185">
        <f t="shared" si="6"/>
        <v>638.62957947429084</v>
      </c>
      <c r="AC22" s="182">
        <f t="shared" si="7"/>
        <v>19</v>
      </c>
      <c r="AD22" s="630"/>
      <c r="AE22" s="188">
        <v>5</v>
      </c>
      <c r="AF22" s="188">
        <v>3192.7878973714542</v>
      </c>
      <c r="AG22" s="185">
        <f t="shared" si="8"/>
        <v>638.55757947429083</v>
      </c>
      <c r="AH22" s="182">
        <f t="shared" si="9"/>
        <v>19</v>
      </c>
      <c r="AI22" s="630"/>
      <c r="AJ22" s="188">
        <v>5</v>
      </c>
      <c r="AK22" s="188">
        <v>3192.4278973714545</v>
      </c>
      <c r="AL22" s="185">
        <f t="shared" si="10"/>
        <v>638.48557947429094</v>
      </c>
      <c r="AM22" s="182">
        <f t="shared" si="11"/>
        <v>19</v>
      </c>
      <c r="AN22" s="630"/>
      <c r="AO22" s="188">
        <v>5</v>
      </c>
      <c r="AP22" s="188">
        <v>3192.7878973714551</v>
      </c>
      <c r="AQ22" s="185">
        <f t="shared" si="12"/>
        <v>638.55757947429106</v>
      </c>
      <c r="AR22" s="182">
        <f t="shared" si="13"/>
        <v>19</v>
      </c>
      <c r="AS22" s="630"/>
      <c r="AT22" s="188">
        <v>5</v>
      </c>
      <c r="AU22" s="188">
        <v>3192.0678973714557</v>
      </c>
      <c r="AV22" s="185">
        <f t="shared" si="14"/>
        <v>638.41357947429117</v>
      </c>
      <c r="AW22" s="182">
        <f t="shared" si="15"/>
        <v>19</v>
      </c>
      <c r="AX22" s="630"/>
    </row>
    <row r="23" spans="2:50" ht="14.25" customHeight="1">
      <c r="B23" s="631"/>
      <c r="C23" s="180">
        <v>17</v>
      </c>
      <c r="D23" s="183" t="s">
        <v>405</v>
      </c>
      <c r="E23" s="184">
        <v>3</v>
      </c>
      <c r="F23" s="180">
        <v>3600</v>
      </c>
      <c r="G23" s="185">
        <f t="shared" si="2"/>
        <v>1200</v>
      </c>
      <c r="H23" s="632"/>
      <c r="I23" s="186">
        <f t="shared" si="3"/>
        <v>3</v>
      </c>
      <c r="J23" s="186">
        <f t="shared" si="3"/>
        <v>3185.6387703594528</v>
      </c>
      <c r="K23" s="187">
        <f t="shared" si="3"/>
        <v>1061.8795901198175</v>
      </c>
      <c r="L23" s="633"/>
      <c r="M23" s="186">
        <f>RANK(K23, K$7:$K$41)</f>
        <v>2</v>
      </c>
      <c r="N23" s="644"/>
      <c r="O23" s="634"/>
      <c r="P23" s="188">
        <v>3</v>
      </c>
      <c r="Q23" s="188">
        <v>3184.7644846451667</v>
      </c>
      <c r="R23" s="185">
        <f t="shared" si="0"/>
        <v>1061.5881615483888</v>
      </c>
      <c r="S23" s="182">
        <f t="shared" si="4"/>
        <v>3</v>
      </c>
      <c r="T23" s="630"/>
      <c r="U23" s="188">
        <v>3</v>
      </c>
      <c r="V23" s="188">
        <v>3186.2044846451663</v>
      </c>
      <c r="W23" s="185">
        <f t="shared" si="1"/>
        <v>1062.0681615483888</v>
      </c>
      <c r="X23" s="182">
        <f t="shared" si="5"/>
        <v>3</v>
      </c>
      <c r="Y23" s="630"/>
      <c r="Z23" s="188">
        <v>3</v>
      </c>
      <c r="AA23" s="188">
        <v>3188.0044846451665</v>
      </c>
      <c r="AB23" s="185">
        <f t="shared" si="6"/>
        <v>1062.6681615483888</v>
      </c>
      <c r="AC23" s="182">
        <f t="shared" si="7"/>
        <v>2</v>
      </c>
      <c r="AD23" s="630"/>
      <c r="AE23" s="188">
        <v>3</v>
      </c>
      <c r="AF23" s="188">
        <v>3186.9244846451666</v>
      </c>
      <c r="AG23" s="185">
        <f t="shared" si="8"/>
        <v>1062.3081615483889</v>
      </c>
      <c r="AH23" s="182">
        <f t="shared" si="9"/>
        <v>2</v>
      </c>
      <c r="AI23" s="630"/>
      <c r="AJ23" s="188">
        <v>3</v>
      </c>
      <c r="AK23" s="188">
        <v>3185.4844846451679</v>
      </c>
      <c r="AL23" s="185">
        <f t="shared" si="10"/>
        <v>1061.8281615483893</v>
      </c>
      <c r="AM23" s="182">
        <f t="shared" si="11"/>
        <v>2</v>
      </c>
      <c r="AN23" s="630"/>
      <c r="AO23" s="188">
        <v>3</v>
      </c>
      <c r="AP23" s="188">
        <v>3184.0444846451674</v>
      </c>
      <c r="AQ23" s="185">
        <f t="shared" si="12"/>
        <v>1061.348161548389</v>
      </c>
      <c r="AR23" s="182">
        <f t="shared" si="13"/>
        <v>3</v>
      </c>
      <c r="AS23" s="630"/>
      <c r="AT23" s="188">
        <v>3</v>
      </c>
      <c r="AU23" s="188">
        <v>3184.0444846451674</v>
      </c>
      <c r="AV23" s="185">
        <f t="shared" si="14"/>
        <v>1061.348161548389</v>
      </c>
      <c r="AW23" s="182">
        <f t="shared" si="15"/>
        <v>3</v>
      </c>
      <c r="AX23" s="630"/>
    </row>
    <row r="24" spans="2:50" ht="14.25" customHeight="1">
      <c r="B24" s="631"/>
      <c r="C24" s="180">
        <v>18</v>
      </c>
      <c r="D24" s="183" t="s">
        <v>407</v>
      </c>
      <c r="E24" s="184">
        <v>4</v>
      </c>
      <c r="F24" s="180">
        <v>3600</v>
      </c>
      <c r="G24" s="185">
        <f t="shared" si="2"/>
        <v>900</v>
      </c>
      <c r="H24" s="632"/>
      <c r="I24" s="186">
        <f t="shared" si="3"/>
        <v>4</v>
      </c>
      <c r="J24" s="186">
        <f t="shared" si="3"/>
        <v>3187.2850657573281</v>
      </c>
      <c r="K24" s="187">
        <f t="shared" si="3"/>
        <v>796.82126643933202</v>
      </c>
      <c r="L24" s="633"/>
      <c r="M24" s="186">
        <f>RANK(K24, K$7:$K$41)</f>
        <v>15</v>
      </c>
      <c r="N24" s="644"/>
      <c r="O24" s="634"/>
      <c r="P24" s="188">
        <v>4</v>
      </c>
      <c r="Q24" s="188">
        <v>3189.4964943287569</v>
      </c>
      <c r="R24" s="185">
        <f t="shared" si="0"/>
        <v>797.37412358218921</v>
      </c>
      <c r="S24" s="182">
        <f t="shared" si="4"/>
        <v>15</v>
      </c>
      <c r="T24" s="630"/>
      <c r="U24" s="188">
        <v>4</v>
      </c>
      <c r="V24" s="188">
        <v>3189.1364943287563</v>
      </c>
      <c r="W24" s="185">
        <f t="shared" si="1"/>
        <v>797.28412358218907</v>
      </c>
      <c r="X24" s="182">
        <f t="shared" si="5"/>
        <v>14</v>
      </c>
      <c r="Y24" s="630"/>
      <c r="Z24" s="188">
        <v>4</v>
      </c>
      <c r="AA24" s="188">
        <v>3187.6964943287567</v>
      </c>
      <c r="AB24" s="185">
        <f t="shared" si="6"/>
        <v>796.92412358218917</v>
      </c>
      <c r="AC24" s="182">
        <f t="shared" si="7"/>
        <v>15</v>
      </c>
      <c r="AD24" s="630"/>
      <c r="AE24" s="188">
        <v>4</v>
      </c>
      <c r="AF24" s="188">
        <v>3186.2564943287571</v>
      </c>
      <c r="AG24" s="185">
        <f t="shared" si="8"/>
        <v>796.56412358218927</v>
      </c>
      <c r="AH24" s="182">
        <f t="shared" si="9"/>
        <v>15</v>
      </c>
      <c r="AI24" s="630"/>
      <c r="AJ24" s="188">
        <v>4</v>
      </c>
      <c r="AK24" s="188">
        <v>3185.8964943287574</v>
      </c>
      <c r="AL24" s="185">
        <f t="shared" si="10"/>
        <v>796.47412358218935</v>
      </c>
      <c r="AM24" s="182">
        <f t="shared" si="11"/>
        <v>16</v>
      </c>
      <c r="AN24" s="630"/>
      <c r="AO24" s="188">
        <v>4</v>
      </c>
      <c r="AP24" s="188">
        <v>3185.5364943287577</v>
      </c>
      <c r="AQ24" s="185">
        <f t="shared" si="12"/>
        <v>796.38412358218943</v>
      </c>
      <c r="AR24" s="182">
        <f t="shared" si="13"/>
        <v>16</v>
      </c>
      <c r="AS24" s="630"/>
      <c r="AT24" s="188">
        <v>4</v>
      </c>
      <c r="AU24" s="188">
        <v>3186.9764943287573</v>
      </c>
      <c r="AV24" s="185">
        <f t="shared" si="14"/>
        <v>796.74412358218933</v>
      </c>
      <c r="AW24" s="182">
        <f t="shared" si="15"/>
        <v>14</v>
      </c>
      <c r="AX24" s="630"/>
    </row>
    <row r="25" spans="2:50" ht="14.25" customHeight="1">
      <c r="B25" s="631"/>
      <c r="C25" s="180">
        <v>19</v>
      </c>
      <c r="D25" s="183" t="s">
        <v>346</v>
      </c>
      <c r="E25" s="184">
        <v>5</v>
      </c>
      <c r="F25" s="180">
        <v>3300</v>
      </c>
      <c r="G25" s="185">
        <f t="shared" si="2"/>
        <v>660</v>
      </c>
      <c r="H25" s="632"/>
      <c r="I25" s="186">
        <f t="shared" si="3"/>
        <v>5</v>
      </c>
      <c r="J25" s="186">
        <f t="shared" si="3"/>
        <v>2950.4936493289656</v>
      </c>
      <c r="K25" s="187">
        <f t="shared" si="3"/>
        <v>590.09872986579319</v>
      </c>
      <c r="L25" s="633"/>
      <c r="M25" s="186">
        <f>RANK(K25, K$7:$K$41)</f>
        <v>28</v>
      </c>
      <c r="N25" s="644"/>
      <c r="O25" s="634"/>
      <c r="P25" s="188">
        <v>5</v>
      </c>
      <c r="Q25" s="188">
        <v>2949.8824517308876</v>
      </c>
      <c r="R25" s="185">
        <f t="shared" si="0"/>
        <v>589.97649034617757</v>
      </c>
      <c r="S25" s="182">
        <f t="shared" si="4"/>
        <v>28</v>
      </c>
      <c r="T25" s="630"/>
      <c r="U25" s="188">
        <v>5</v>
      </c>
      <c r="V25" s="188">
        <v>2950.8705155953121</v>
      </c>
      <c r="W25" s="185">
        <f t="shared" si="1"/>
        <v>590.17410311906247</v>
      </c>
      <c r="X25" s="182">
        <f t="shared" si="5"/>
        <v>28</v>
      </c>
      <c r="Y25" s="630"/>
      <c r="Z25" s="188">
        <v>5</v>
      </c>
      <c r="AA25" s="188">
        <v>2949.8805155953132</v>
      </c>
      <c r="AB25" s="185">
        <f t="shared" si="6"/>
        <v>589.9761031190626</v>
      </c>
      <c r="AC25" s="182">
        <f t="shared" si="7"/>
        <v>28</v>
      </c>
      <c r="AD25" s="630"/>
      <c r="AE25" s="188">
        <v>5</v>
      </c>
      <c r="AF25" s="188">
        <v>2949.8805155953128</v>
      </c>
      <c r="AG25" s="185">
        <f t="shared" si="8"/>
        <v>589.9761031190626</v>
      </c>
      <c r="AH25" s="182">
        <f t="shared" si="9"/>
        <v>28</v>
      </c>
      <c r="AI25" s="630"/>
      <c r="AJ25" s="188">
        <v>5</v>
      </c>
      <c r="AK25" s="188">
        <v>2951.2005155953129</v>
      </c>
      <c r="AL25" s="185">
        <f t="shared" si="10"/>
        <v>590.24010311906261</v>
      </c>
      <c r="AM25" s="182">
        <f t="shared" si="11"/>
        <v>28</v>
      </c>
      <c r="AN25" s="630"/>
      <c r="AO25" s="188">
        <v>5</v>
      </c>
      <c r="AP25" s="188">
        <v>2951.2005155953129</v>
      </c>
      <c r="AQ25" s="185">
        <f t="shared" si="12"/>
        <v>590.24010311906261</v>
      </c>
      <c r="AR25" s="182">
        <f t="shared" si="13"/>
        <v>28</v>
      </c>
      <c r="AS25" s="630"/>
      <c r="AT25" s="188">
        <v>5</v>
      </c>
      <c r="AU25" s="188">
        <v>2950.5405155953131</v>
      </c>
      <c r="AV25" s="185">
        <f t="shared" si="14"/>
        <v>590.10810311906266</v>
      </c>
      <c r="AW25" s="182">
        <f t="shared" si="15"/>
        <v>28</v>
      </c>
      <c r="AX25" s="630"/>
    </row>
    <row r="26" spans="2:50" ht="14.25" customHeight="1">
      <c r="B26" s="631"/>
      <c r="C26" s="180">
        <v>20</v>
      </c>
      <c r="D26" s="183" t="s">
        <v>401</v>
      </c>
      <c r="E26" s="184">
        <v>3</v>
      </c>
      <c r="F26" s="180">
        <v>3600</v>
      </c>
      <c r="G26" s="185">
        <f t="shared" si="2"/>
        <v>1200</v>
      </c>
      <c r="H26" s="632"/>
      <c r="I26" s="186">
        <f t="shared" si="3"/>
        <v>3</v>
      </c>
      <c r="J26" s="186">
        <f t="shared" si="3"/>
        <v>3177.3381430926124</v>
      </c>
      <c r="K26" s="187">
        <f t="shared" si="3"/>
        <v>1059.1127143642041</v>
      </c>
      <c r="L26" s="633"/>
      <c r="M26" s="186">
        <f>RANK(K26, K$7:$K$41)</f>
        <v>8</v>
      </c>
      <c r="N26" s="644"/>
      <c r="O26" s="634"/>
      <c r="P26" s="188">
        <v>3</v>
      </c>
      <c r="Q26" s="188">
        <v>3177.890718512258</v>
      </c>
      <c r="R26" s="185">
        <f t="shared" si="0"/>
        <v>1059.2969061707527</v>
      </c>
      <c r="S26" s="182">
        <f t="shared" si="4"/>
        <v>8</v>
      </c>
      <c r="T26" s="630"/>
      <c r="U26" s="188">
        <v>3</v>
      </c>
      <c r="V26" s="188">
        <v>3179.3307185122585</v>
      </c>
      <c r="W26" s="185">
        <f t="shared" si="1"/>
        <v>1059.7769061707529</v>
      </c>
      <c r="X26" s="182">
        <f t="shared" si="5"/>
        <v>7</v>
      </c>
      <c r="Y26" s="630"/>
      <c r="Z26" s="188">
        <v>3</v>
      </c>
      <c r="AA26" s="188">
        <v>3179.7826905747329</v>
      </c>
      <c r="AB26" s="185">
        <f t="shared" si="6"/>
        <v>1059.927563524911</v>
      </c>
      <c r="AC26" s="182">
        <f t="shared" si="7"/>
        <v>7</v>
      </c>
      <c r="AD26" s="630"/>
      <c r="AE26" s="188">
        <v>3</v>
      </c>
      <c r="AF26" s="188">
        <v>3177.8907185122589</v>
      </c>
      <c r="AG26" s="185">
        <f t="shared" si="8"/>
        <v>1059.2969061707529</v>
      </c>
      <c r="AH26" s="182">
        <f t="shared" si="9"/>
        <v>8</v>
      </c>
      <c r="AI26" s="630"/>
      <c r="AJ26" s="188">
        <v>3</v>
      </c>
      <c r="AK26" s="188">
        <v>3177.1707185122586</v>
      </c>
      <c r="AL26" s="185">
        <f t="shared" si="10"/>
        <v>1059.0569061707529</v>
      </c>
      <c r="AM26" s="182">
        <f t="shared" si="11"/>
        <v>8</v>
      </c>
      <c r="AN26" s="630"/>
      <c r="AO26" s="188">
        <v>3</v>
      </c>
      <c r="AP26" s="188">
        <v>3175.3707185122585</v>
      </c>
      <c r="AQ26" s="185">
        <f t="shared" si="12"/>
        <v>1058.4569061707527</v>
      </c>
      <c r="AR26" s="182">
        <f t="shared" si="13"/>
        <v>8</v>
      </c>
      <c r="AS26" s="630"/>
      <c r="AT26" s="188">
        <v>3</v>
      </c>
      <c r="AU26" s="188">
        <v>3173.9307185122584</v>
      </c>
      <c r="AV26" s="185">
        <f t="shared" si="14"/>
        <v>1057.9769061707527</v>
      </c>
      <c r="AW26" s="182">
        <f t="shared" si="15"/>
        <v>8</v>
      </c>
      <c r="AX26" s="630"/>
    </row>
    <row r="27" spans="2:50" ht="14.25" customHeight="1">
      <c r="B27" s="631"/>
      <c r="C27" s="180">
        <v>21</v>
      </c>
      <c r="D27" s="183" t="s">
        <v>559</v>
      </c>
      <c r="E27" s="184">
        <v>4</v>
      </c>
      <c r="F27" s="180">
        <v>3600</v>
      </c>
      <c r="G27" s="185">
        <f t="shared" si="2"/>
        <v>900</v>
      </c>
      <c r="H27" s="632"/>
      <c r="I27" s="186">
        <f t="shared" si="3"/>
        <v>4</v>
      </c>
      <c r="J27" s="186">
        <f t="shared" si="3"/>
        <v>3188.4685714285711</v>
      </c>
      <c r="K27" s="187">
        <f t="shared" si="3"/>
        <v>797.11714285714277</v>
      </c>
      <c r="L27" s="633"/>
      <c r="M27" s="186">
        <f>RANK(K27, K$7:$K$41)</f>
        <v>14</v>
      </c>
      <c r="N27" s="644"/>
      <c r="O27" s="634"/>
      <c r="P27" s="188">
        <v>4</v>
      </c>
      <c r="Q27" s="188">
        <v>3190.3199999999993</v>
      </c>
      <c r="R27" s="185">
        <f t="shared" si="0"/>
        <v>797.57999999999981</v>
      </c>
      <c r="S27" s="182">
        <f t="shared" si="4"/>
        <v>14</v>
      </c>
      <c r="T27" s="630"/>
      <c r="U27" s="188">
        <v>4</v>
      </c>
      <c r="V27" s="188">
        <v>3188.5199999999995</v>
      </c>
      <c r="W27" s="185">
        <f t="shared" si="1"/>
        <v>797.12999999999988</v>
      </c>
      <c r="X27" s="182">
        <f t="shared" si="5"/>
        <v>15</v>
      </c>
      <c r="Y27" s="630"/>
      <c r="Z27" s="188">
        <v>4</v>
      </c>
      <c r="AA27" s="188">
        <v>3188.8799999999992</v>
      </c>
      <c r="AB27" s="185">
        <f t="shared" si="6"/>
        <v>797.2199999999998</v>
      </c>
      <c r="AC27" s="182">
        <f t="shared" si="7"/>
        <v>14</v>
      </c>
      <c r="AD27" s="630"/>
      <c r="AE27" s="188">
        <v>4</v>
      </c>
      <c r="AF27" s="188">
        <v>3187.7999999999993</v>
      </c>
      <c r="AG27" s="185">
        <f t="shared" si="8"/>
        <v>796.94999999999982</v>
      </c>
      <c r="AH27" s="182">
        <f t="shared" si="9"/>
        <v>14</v>
      </c>
      <c r="AI27" s="630"/>
      <c r="AJ27" s="188">
        <v>4</v>
      </c>
      <c r="AK27" s="188">
        <v>3189.24</v>
      </c>
      <c r="AL27" s="185">
        <f t="shared" si="10"/>
        <v>797.31</v>
      </c>
      <c r="AM27" s="182">
        <f t="shared" si="11"/>
        <v>14</v>
      </c>
      <c r="AN27" s="630"/>
      <c r="AO27" s="188">
        <v>4</v>
      </c>
      <c r="AP27" s="188">
        <v>3187.7999999999993</v>
      </c>
      <c r="AQ27" s="185">
        <f t="shared" si="12"/>
        <v>796.94999999999982</v>
      </c>
      <c r="AR27" s="182">
        <f t="shared" si="13"/>
        <v>14</v>
      </c>
      <c r="AS27" s="630"/>
      <c r="AT27" s="188">
        <v>4</v>
      </c>
      <c r="AU27" s="188">
        <v>3186.7199999999993</v>
      </c>
      <c r="AV27" s="185">
        <f t="shared" si="14"/>
        <v>796.67999999999984</v>
      </c>
      <c r="AW27" s="182">
        <f t="shared" si="15"/>
        <v>15</v>
      </c>
      <c r="AX27" s="630"/>
    </row>
    <row r="28" spans="2:50" ht="14.25" customHeight="1">
      <c r="B28" s="631"/>
      <c r="C28" s="180">
        <v>22</v>
      </c>
      <c r="D28" s="183" t="s">
        <v>404</v>
      </c>
      <c r="E28" s="184">
        <v>3</v>
      </c>
      <c r="F28" s="180">
        <v>3600</v>
      </c>
      <c r="G28" s="185">
        <f>F28/E28</f>
        <v>1200</v>
      </c>
      <c r="H28" s="632"/>
      <c r="I28" s="186">
        <f t="shared" si="3"/>
        <v>3</v>
      </c>
      <c r="J28" s="186">
        <f t="shared" si="3"/>
        <v>3178.1460304205311</v>
      </c>
      <c r="K28" s="187">
        <f t="shared" si="3"/>
        <v>1059.3820101401768</v>
      </c>
      <c r="L28" s="633"/>
      <c r="M28" s="186">
        <f>RANK(K28, K$7:$K$41)</f>
        <v>7</v>
      </c>
      <c r="N28" s="644"/>
      <c r="O28" s="634"/>
      <c r="P28" s="188">
        <v>3</v>
      </c>
      <c r="Q28" s="188">
        <v>3180.2031732776732</v>
      </c>
      <c r="R28" s="185">
        <f t="shared" si="0"/>
        <v>1060.0677244258911</v>
      </c>
      <c r="S28" s="182">
        <f t="shared" si="4"/>
        <v>7</v>
      </c>
      <c r="T28" s="630"/>
      <c r="U28" s="188">
        <v>3</v>
      </c>
      <c r="V28" s="188">
        <v>3178.4031732776734</v>
      </c>
      <c r="W28" s="185">
        <f t="shared" si="1"/>
        <v>1059.4677244258912</v>
      </c>
      <c r="X28" s="182">
        <f t="shared" si="5"/>
        <v>8</v>
      </c>
      <c r="Y28" s="630"/>
      <c r="Z28" s="188">
        <v>3</v>
      </c>
      <c r="AA28" s="188">
        <v>3178.0431732776733</v>
      </c>
      <c r="AB28" s="185">
        <f t="shared" si="6"/>
        <v>1059.3477244258911</v>
      </c>
      <c r="AC28" s="182">
        <f t="shared" si="7"/>
        <v>8</v>
      </c>
      <c r="AD28" s="630"/>
      <c r="AE28" s="188">
        <v>3</v>
      </c>
      <c r="AF28" s="188">
        <v>3178.4031732776739</v>
      </c>
      <c r="AG28" s="185">
        <f t="shared" si="8"/>
        <v>1059.4677244258912</v>
      </c>
      <c r="AH28" s="182">
        <f t="shared" si="9"/>
        <v>7</v>
      </c>
      <c r="AI28" s="630"/>
      <c r="AJ28" s="188">
        <v>3</v>
      </c>
      <c r="AK28" s="188">
        <v>3178.7631732776731</v>
      </c>
      <c r="AL28" s="185">
        <f t="shared" si="10"/>
        <v>1059.5877244258911</v>
      </c>
      <c r="AM28" s="182">
        <f t="shared" si="11"/>
        <v>7</v>
      </c>
      <c r="AN28" s="630"/>
      <c r="AO28" s="188">
        <v>3</v>
      </c>
      <c r="AP28" s="188">
        <v>3177.323173277673</v>
      </c>
      <c r="AQ28" s="185">
        <f t="shared" si="12"/>
        <v>1059.1077244258911</v>
      </c>
      <c r="AR28" s="182">
        <f t="shared" si="13"/>
        <v>7</v>
      </c>
      <c r="AS28" s="630"/>
      <c r="AT28" s="188">
        <v>3</v>
      </c>
      <c r="AU28" s="188">
        <v>3175.8831732776734</v>
      </c>
      <c r="AV28" s="185">
        <f t="shared" si="14"/>
        <v>1058.6277244258911</v>
      </c>
      <c r="AW28" s="182">
        <f t="shared" si="15"/>
        <v>7</v>
      </c>
      <c r="AX28" s="630"/>
    </row>
    <row r="29" spans="2:50" ht="14.25" customHeight="1">
      <c r="B29" s="631"/>
      <c r="C29" s="180">
        <v>23</v>
      </c>
      <c r="D29" s="183" t="s">
        <v>403</v>
      </c>
      <c r="E29" s="184">
        <v>5</v>
      </c>
      <c r="F29" s="180">
        <v>3600</v>
      </c>
      <c r="G29" s="185">
        <f t="shared" ref="G29:G39" si="16">F29/E29</f>
        <v>720</v>
      </c>
      <c r="H29" s="632"/>
      <c r="I29" s="186">
        <f t="shared" si="3"/>
        <v>5</v>
      </c>
      <c r="J29" s="186">
        <f t="shared" si="3"/>
        <v>3188.3889204036495</v>
      </c>
      <c r="K29" s="187">
        <f t="shared" si="3"/>
        <v>637.67778408072991</v>
      </c>
      <c r="L29" s="633"/>
      <c r="M29" s="186">
        <f>RANK(K29, K$7:$K$41)</f>
        <v>20</v>
      </c>
      <c r="N29" s="644"/>
      <c r="O29" s="634"/>
      <c r="P29" s="188">
        <v>5</v>
      </c>
      <c r="Q29" s="188">
        <v>3187.2574918322207</v>
      </c>
      <c r="R29" s="185">
        <f t="shared" si="0"/>
        <v>637.45149836644418</v>
      </c>
      <c r="S29" s="182">
        <f t="shared" si="4"/>
        <v>22</v>
      </c>
      <c r="T29" s="630"/>
      <c r="U29" s="188">
        <v>5</v>
      </c>
      <c r="V29" s="188">
        <v>3187.6174918322204</v>
      </c>
      <c r="W29" s="185">
        <f t="shared" si="1"/>
        <v>637.52349836644407</v>
      </c>
      <c r="X29" s="182">
        <f t="shared" si="5"/>
        <v>21</v>
      </c>
      <c r="Y29" s="630"/>
      <c r="Z29" s="188">
        <v>5</v>
      </c>
      <c r="AA29" s="188">
        <v>3189.0574918322204</v>
      </c>
      <c r="AB29" s="185">
        <f t="shared" si="6"/>
        <v>637.81149836644408</v>
      </c>
      <c r="AC29" s="182">
        <f t="shared" si="7"/>
        <v>20</v>
      </c>
      <c r="AD29" s="630"/>
      <c r="AE29" s="188">
        <v>5</v>
      </c>
      <c r="AF29" s="188">
        <v>3189.0574918322209</v>
      </c>
      <c r="AG29" s="185">
        <f t="shared" si="8"/>
        <v>637.8114983664442</v>
      </c>
      <c r="AH29" s="182">
        <f t="shared" si="9"/>
        <v>20</v>
      </c>
      <c r="AI29" s="630"/>
      <c r="AJ29" s="188">
        <v>5</v>
      </c>
      <c r="AK29" s="188">
        <v>3188.6974918322212</v>
      </c>
      <c r="AL29" s="185">
        <f t="shared" si="10"/>
        <v>637.7394983664442</v>
      </c>
      <c r="AM29" s="182">
        <f t="shared" si="11"/>
        <v>20</v>
      </c>
      <c r="AN29" s="630"/>
      <c r="AO29" s="188">
        <v>5</v>
      </c>
      <c r="AP29" s="188">
        <v>3188.6974918322212</v>
      </c>
      <c r="AQ29" s="185">
        <f t="shared" si="12"/>
        <v>637.7394983664442</v>
      </c>
      <c r="AR29" s="182">
        <f t="shared" si="13"/>
        <v>21</v>
      </c>
      <c r="AS29" s="630"/>
      <c r="AT29" s="188">
        <v>5</v>
      </c>
      <c r="AU29" s="188">
        <v>3188.3374918322211</v>
      </c>
      <c r="AV29" s="185">
        <f t="shared" si="14"/>
        <v>637.66749836644419</v>
      </c>
      <c r="AW29" s="182">
        <f t="shared" si="15"/>
        <v>20</v>
      </c>
      <c r="AX29" s="630"/>
    </row>
    <row r="30" spans="2:50" ht="14.25" customHeight="1">
      <c r="B30" s="631"/>
      <c r="C30" s="180">
        <v>24</v>
      </c>
      <c r="D30" s="183" t="s">
        <v>400</v>
      </c>
      <c r="E30" s="184">
        <v>5</v>
      </c>
      <c r="F30" s="180">
        <v>3600</v>
      </c>
      <c r="G30" s="185">
        <f t="shared" si="16"/>
        <v>720</v>
      </c>
      <c r="H30" s="632"/>
      <c r="I30" s="186">
        <f t="shared" si="3"/>
        <v>5</v>
      </c>
      <c r="J30" s="186">
        <f t="shared" si="3"/>
        <v>3182.8603510659545</v>
      </c>
      <c r="K30" s="187">
        <f t="shared" si="3"/>
        <v>636.57207021319095</v>
      </c>
      <c r="L30" s="633"/>
      <c r="M30" s="186">
        <f>RANK(K30, K$7:$K$41)</f>
        <v>25</v>
      </c>
      <c r="N30" s="644"/>
      <c r="O30" s="634"/>
      <c r="P30" s="188">
        <v>5</v>
      </c>
      <c r="Q30" s="188">
        <v>3183.2717796373845</v>
      </c>
      <c r="R30" s="185">
        <f t="shared" si="0"/>
        <v>636.6543559274769</v>
      </c>
      <c r="S30" s="182">
        <f t="shared" si="4"/>
        <v>25</v>
      </c>
      <c r="T30" s="630"/>
      <c r="U30" s="188">
        <v>5</v>
      </c>
      <c r="V30" s="188">
        <v>3181.831779637384</v>
      </c>
      <c r="W30" s="185">
        <f t="shared" si="1"/>
        <v>636.36635592747677</v>
      </c>
      <c r="X30" s="182">
        <f t="shared" si="5"/>
        <v>25</v>
      </c>
      <c r="Y30" s="630"/>
      <c r="Z30" s="188">
        <v>5</v>
      </c>
      <c r="AA30" s="188">
        <v>3181.8317796373831</v>
      </c>
      <c r="AB30" s="185">
        <f t="shared" si="6"/>
        <v>636.36635592747666</v>
      </c>
      <c r="AC30" s="182">
        <f t="shared" si="7"/>
        <v>25</v>
      </c>
      <c r="AD30" s="630"/>
      <c r="AE30" s="188">
        <v>5</v>
      </c>
      <c r="AF30" s="188">
        <v>3181.4717796373834</v>
      </c>
      <c r="AG30" s="185">
        <f t="shared" si="8"/>
        <v>636.29435592747666</v>
      </c>
      <c r="AH30" s="182">
        <f t="shared" si="9"/>
        <v>26</v>
      </c>
      <c r="AI30" s="630"/>
      <c r="AJ30" s="188">
        <v>5</v>
      </c>
      <c r="AK30" s="188">
        <v>3182.911779637383</v>
      </c>
      <c r="AL30" s="185">
        <f t="shared" si="10"/>
        <v>636.58235592747656</v>
      </c>
      <c r="AM30" s="182">
        <f t="shared" si="11"/>
        <v>25</v>
      </c>
      <c r="AN30" s="630"/>
      <c r="AO30" s="188">
        <v>5</v>
      </c>
      <c r="AP30" s="188">
        <v>3184.3517796373826</v>
      </c>
      <c r="AQ30" s="185">
        <f t="shared" si="12"/>
        <v>636.87035592747657</v>
      </c>
      <c r="AR30" s="182">
        <f t="shared" si="13"/>
        <v>25</v>
      </c>
      <c r="AS30" s="630"/>
      <c r="AT30" s="188">
        <v>5</v>
      </c>
      <c r="AU30" s="188">
        <v>3184.3517796373826</v>
      </c>
      <c r="AV30" s="185">
        <f t="shared" si="14"/>
        <v>636.87035592747657</v>
      </c>
      <c r="AW30" s="182">
        <f t="shared" si="15"/>
        <v>25</v>
      </c>
      <c r="AX30" s="630"/>
    </row>
    <row r="31" spans="2:50" ht="14.25" customHeight="1">
      <c r="B31" s="631"/>
      <c r="C31" s="180">
        <v>25</v>
      </c>
      <c r="D31" s="183" t="s">
        <v>402</v>
      </c>
      <c r="E31" s="184">
        <v>3</v>
      </c>
      <c r="F31" s="180">
        <v>3000</v>
      </c>
      <c r="G31" s="185">
        <f t="shared" si="16"/>
        <v>1000</v>
      </c>
      <c r="H31" s="632"/>
      <c r="I31" s="186">
        <f t="shared" si="3"/>
        <v>3</v>
      </c>
      <c r="J31" s="186">
        <f t="shared" si="3"/>
        <v>2706.8387160066495</v>
      </c>
      <c r="K31" s="187">
        <f t="shared" si="3"/>
        <v>902.27957200221647</v>
      </c>
      <c r="L31" s="633"/>
      <c r="M31" s="186">
        <f>RANK(K31, K$7:$K$41)</f>
        <v>11</v>
      </c>
      <c r="N31" s="644"/>
      <c r="O31" s="634"/>
      <c r="P31" s="188">
        <v>3</v>
      </c>
      <c r="Q31" s="188">
        <v>2708.6387160066492</v>
      </c>
      <c r="R31" s="185">
        <f t="shared" si="0"/>
        <v>902.87957200221638</v>
      </c>
      <c r="S31" s="182">
        <f t="shared" si="4"/>
        <v>11</v>
      </c>
      <c r="T31" s="630"/>
      <c r="U31" s="188">
        <v>3</v>
      </c>
      <c r="V31" s="188">
        <v>2708.0387160066493</v>
      </c>
      <c r="W31" s="185">
        <f t="shared" si="1"/>
        <v>902.67957200221645</v>
      </c>
      <c r="X31" s="182">
        <f t="shared" si="5"/>
        <v>11</v>
      </c>
      <c r="Y31" s="630"/>
      <c r="Z31" s="188">
        <v>3</v>
      </c>
      <c r="AA31" s="188">
        <v>2706.83871600665</v>
      </c>
      <c r="AB31" s="185">
        <f t="shared" si="6"/>
        <v>902.2795720022167</v>
      </c>
      <c r="AC31" s="182">
        <f t="shared" si="7"/>
        <v>11</v>
      </c>
      <c r="AD31" s="630"/>
      <c r="AE31" s="188">
        <v>3</v>
      </c>
      <c r="AF31" s="188">
        <v>2705.6387160066502</v>
      </c>
      <c r="AG31" s="185">
        <f t="shared" si="8"/>
        <v>901.87957200221672</v>
      </c>
      <c r="AH31" s="182">
        <f t="shared" si="9"/>
        <v>12</v>
      </c>
      <c r="AI31" s="630"/>
      <c r="AJ31" s="188">
        <v>3</v>
      </c>
      <c r="AK31" s="188">
        <v>2706.5387160066493</v>
      </c>
      <c r="AL31" s="185">
        <f t="shared" si="10"/>
        <v>902.17957200221645</v>
      </c>
      <c r="AM31" s="182">
        <f t="shared" si="11"/>
        <v>12</v>
      </c>
      <c r="AN31" s="630"/>
      <c r="AO31" s="188">
        <v>3</v>
      </c>
      <c r="AP31" s="188">
        <v>2705.6387160066492</v>
      </c>
      <c r="AQ31" s="185">
        <f t="shared" si="12"/>
        <v>901.87957200221638</v>
      </c>
      <c r="AR31" s="182">
        <f t="shared" si="13"/>
        <v>13</v>
      </c>
      <c r="AS31" s="630"/>
      <c r="AT31" s="188">
        <v>3</v>
      </c>
      <c r="AU31" s="188">
        <v>2706.5387160066484</v>
      </c>
      <c r="AV31" s="185">
        <f t="shared" si="14"/>
        <v>902.1795720022161</v>
      </c>
      <c r="AW31" s="182">
        <f t="shared" si="15"/>
        <v>11</v>
      </c>
      <c r="AX31" s="630"/>
    </row>
    <row r="32" spans="2:50" ht="14.25" customHeight="1">
      <c r="B32" s="631"/>
      <c r="C32" s="180">
        <v>26</v>
      </c>
      <c r="D32" s="183" t="s">
        <v>442</v>
      </c>
      <c r="E32" s="184">
        <v>3</v>
      </c>
      <c r="F32" s="180">
        <v>3600</v>
      </c>
      <c r="G32" s="185">
        <f t="shared" si="16"/>
        <v>1200</v>
      </c>
      <c r="H32" s="632"/>
      <c r="I32" s="186">
        <f t="shared" si="3"/>
        <v>3</v>
      </c>
      <c r="J32" s="186">
        <f t="shared" si="3"/>
        <v>3197.8218985103836</v>
      </c>
      <c r="K32" s="187">
        <f t="shared" si="3"/>
        <v>1065.9406328367945</v>
      </c>
      <c r="L32" s="633"/>
      <c r="M32" s="186">
        <f>RANK(K32, K$7:$K$41)</f>
        <v>1</v>
      </c>
      <c r="N32" s="644"/>
      <c r="O32" s="634"/>
      <c r="P32" s="188">
        <v>3</v>
      </c>
      <c r="Q32" s="188">
        <v>3197.92475565324</v>
      </c>
      <c r="R32" s="185">
        <f t="shared" si="0"/>
        <v>1065.97491855108</v>
      </c>
      <c r="S32" s="182">
        <f t="shared" si="4"/>
        <v>1</v>
      </c>
      <c r="T32" s="630"/>
      <c r="U32" s="188">
        <v>3</v>
      </c>
      <c r="V32" s="188">
        <v>3198.6447556532403</v>
      </c>
      <c r="W32" s="185">
        <f t="shared" si="1"/>
        <v>1066.21491855108</v>
      </c>
      <c r="X32" s="182">
        <f t="shared" si="5"/>
        <v>1</v>
      </c>
      <c r="Y32" s="630"/>
      <c r="Z32" s="188">
        <v>3</v>
      </c>
      <c r="AA32" s="188">
        <v>3200.0847556532399</v>
      </c>
      <c r="AB32" s="185">
        <f t="shared" si="6"/>
        <v>1066.69491855108</v>
      </c>
      <c r="AC32" s="182">
        <f t="shared" si="7"/>
        <v>1</v>
      </c>
      <c r="AD32" s="630"/>
      <c r="AE32" s="188">
        <v>3</v>
      </c>
      <c r="AF32" s="188">
        <v>3198.2847556532406</v>
      </c>
      <c r="AG32" s="185">
        <f t="shared" si="8"/>
        <v>1066.0949185510801</v>
      </c>
      <c r="AH32" s="182">
        <f t="shared" si="9"/>
        <v>1</v>
      </c>
      <c r="AI32" s="630"/>
      <c r="AJ32" s="188">
        <v>3</v>
      </c>
      <c r="AK32" s="188">
        <v>3196.8447556532406</v>
      </c>
      <c r="AL32" s="185">
        <f t="shared" si="10"/>
        <v>1065.6149185510801</v>
      </c>
      <c r="AM32" s="182">
        <f t="shared" si="11"/>
        <v>1</v>
      </c>
      <c r="AN32" s="630"/>
      <c r="AO32" s="188">
        <v>3</v>
      </c>
      <c r="AP32" s="188">
        <v>3196.1247556532408</v>
      </c>
      <c r="AQ32" s="185">
        <f t="shared" si="12"/>
        <v>1065.3749185510803</v>
      </c>
      <c r="AR32" s="182">
        <f t="shared" si="13"/>
        <v>1</v>
      </c>
      <c r="AS32" s="630"/>
      <c r="AT32" s="188">
        <v>3</v>
      </c>
      <c r="AU32" s="188">
        <v>3196.8447556532401</v>
      </c>
      <c r="AV32" s="185">
        <f t="shared" si="14"/>
        <v>1065.6149185510801</v>
      </c>
      <c r="AW32" s="182">
        <f t="shared" si="15"/>
        <v>1</v>
      </c>
      <c r="AX32" s="630"/>
    </row>
    <row r="33" spans="1:50" ht="14.25" customHeight="1">
      <c r="B33" s="631"/>
      <c r="C33" s="180">
        <v>27</v>
      </c>
      <c r="D33" s="183" t="s">
        <v>450</v>
      </c>
      <c r="E33" s="184">
        <v>4</v>
      </c>
      <c r="F33" s="180">
        <v>3000</v>
      </c>
      <c r="G33" s="185">
        <f t="shared" si="16"/>
        <v>750</v>
      </c>
      <c r="H33" s="632"/>
      <c r="I33" s="186">
        <f t="shared" si="3"/>
        <v>4</v>
      </c>
      <c r="J33" s="186">
        <f t="shared" si="3"/>
        <v>2687.1991257927575</v>
      </c>
      <c r="K33" s="187">
        <f t="shared" si="3"/>
        <v>671.79978144818938</v>
      </c>
      <c r="L33" s="633"/>
      <c r="M33" s="186">
        <f>RANK(K33, K$7:$K$41)</f>
        <v>18</v>
      </c>
      <c r="N33" s="644"/>
      <c r="O33" s="634"/>
      <c r="P33" s="188">
        <v>4</v>
      </c>
      <c r="Q33" s="188">
        <v>2686.8248078299384</v>
      </c>
      <c r="R33" s="185">
        <f t="shared" si="0"/>
        <v>671.70620195748461</v>
      </c>
      <c r="S33" s="182">
        <f t="shared" si="4"/>
        <v>18</v>
      </c>
      <c r="T33" s="630"/>
      <c r="U33" s="188">
        <v>4</v>
      </c>
      <c r="V33" s="188">
        <v>2686.8248078299384</v>
      </c>
      <c r="W33" s="185">
        <f t="shared" si="1"/>
        <v>671.70620195748461</v>
      </c>
      <c r="X33" s="182">
        <f t="shared" si="5"/>
        <v>18</v>
      </c>
      <c r="Y33" s="630"/>
      <c r="Z33" s="188">
        <v>4</v>
      </c>
      <c r="AA33" s="188">
        <v>2686.8248078299384</v>
      </c>
      <c r="AB33" s="185">
        <f t="shared" si="6"/>
        <v>671.70620195748461</v>
      </c>
      <c r="AC33" s="182">
        <f t="shared" si="7"/>
        <v>18</v>
      </c>
      <c r="AD33" s="630"/>
      <c r="AE33" s="188">
        <v>4</v>
      </c>
      <c r="AF33" s="188">
        <v>2686.6476913985784</v>
      </c>
      <c r="AG33" s="185">
        <f t="shared" si="8"/>
        <v>671.66192284964461</v>
      </c>
      <c r="AH33" s="182">
        <f t="shared" si="9"/>
        <v>18</v>
      </c>
      <c r="AI33" s="630"/>
      <c r="AJ33" s="188">
        <v>4</v>
      </c>
      <c r="AK33" s="188">
        <v>2688.2572552203023</v>
      </c>
      <c r="AL33" s="185">
        <f t="shared" si="10"/>
        <v>672.06431380507559</v>
      </c>
      <c r="AM33" s="182">
        <f t="shared" si="11"/>
        <v>18</v>
      </c>
      <c r="AN33" s="630"/>
      <c r="AO33" s="188">
        <v>4</v>
      </c>
      <c r="AP33" s="188">
        <v>2687.0572552203025</v>
      </c>
      <c r="AQ33" s="185">
        <f t="shared" si="12"/>
        <v>671.76431380507563</v>
      </c>
      <c r="AR33" s="182">
        <f t="shared" si="13"/>
        <v>18</v>
      </c>
      <c r="AS33" s="630"/>
      <c r="AT33" s="188">
        <v>4</v>
      </c>
      <c r="AU33" s="188">
        <v>2687.9572552203022</v>
      </c>
      <c r="AV33" s="185">
        <f t="shared" si="14"/>
        <v>671.98931380507554</v>
      </c>
      <c r="AW33" s="182">
        <f t="shared" si="15"/>
        <v>18</v>
      </c>
      <c r="AX33" s="630"/>
    </row>
    <row r="34" spans="1:50" ht="14.25" customHeight="1">
      <c r="B34" s="631"/>
      <c r="C34" s="180">
        <v>28</v>
      </c>
      <c r="D34" s="183" t="s">
        <v>541</v>
      </c>
      <c r="E34" s="184">
        <v>5</v>
      </c>
      <c r="F34" s="180">
        <v>3000</v>
      </c>
      <c r="G34" s="185">
        <f t="shared" si="16"/>
        <v>600</v>
      </c>
      <c r="H34" s="632"/>
      <c r="I34" s="186">
        <f t="shared" si="3"/>
        <v>5</v>
      </c>
      <c r="J34" s="186">
        <f t="shared" si="3"/>
        <v>2688.3235860555101</v>
      </c>
      <c r="K34" s="187">
        <f t="shared" si="3"/>
        <v>537.6647172111019</v>
      </c>
      <c r="L34" s="633"/>
      <c r="M34" s="186">
        <f>RANK(K34, K$7:$K$41)</f>
        <v>29</v>
      </c>
      <c r="N34" s="644"/>
      <c r="O34" s="634"/>
      <c r="P34" s="188">
        <v>5</v>
      </c>
      <c r="Q34" s="188">
        <v>2687.2950146269395</v>
      </c>
      <c r="R34" s="185">
        <f t="shared" si="0"/>
        <v>537.45900292538795</v>
      </c>
      <c r="S34" s="182">
        <f t="shared" si="4"/>
        <v>29</v>
      </c>
      <c r="T34" s="630"/>
      <c r="U34" s="188">
        <v>5</v>
      </c>
      <c r="V34" s="188">
        <v>2688.7950146269391</v>
      </c>
      <c r="W34" s="185">
        <f t="shared" si="1"/>
        <v>537.75900292538779</v>
      </c>
      <c r="X34" s="182">
        <f t="shared" si="5"/>
        <v>29</v>
      </c>
      <c r="Y34" s="630"/>
      <c r="Z34" s="188">
        <v>5</v>
      </c>
      <c r="AA34" s="188">
        <v>2689.6950146269382</v>
      </c>
      <c r="AB34" s="185">
        <f t="shared" si="6"/>
        <v>537.93900292538763</v>
      </c>
      <c r="AC34" s="182">
        <f t="shared" si="7"/>
        <v>29</v>
      </c>
      <c r="AD34" s="630"/>
      <c r="AE34" s="188">
        <v>5</v>
      </c>
      <c r="AF34" s="188">
        <v>2688.7950146269382</v>
      </c>
      <c r="AG34" s="185">
        <f t="shared" si="8"/>
        <v>537.75900292538768</v>
      </c>
      <c r="AH34" s="182">
        <f t="shared" si="9"/>
        <v>29</v>
      </c>
      <c r="AI34" s="630"/>
      <c r="AJ34" s="188">
        <v>5</v>
      </c>
      <c r="AK34" s="188">
        <v>2688.4950146269384</v>
      </c>
      <c r="AL34" s="185">
        <f t="shared" si="10"/>
        <v>537.69900292538773</v>
      </c>
      <c r="AM34" s="182">
        <f t="shared" si="11"/>
        <v>29</v>
      </c>
      <c r="AN34" s="630"/>
      <c r="AO34" s="188">
        <v>5</v>
      </c>
      <c r="AP34" s="188">
        <v>2687.8950146269385</v>
      </c>
      <c r="AQ34" s="185">
        <f t="shared" si="12"/>
        <v>537.57900292538773</v>
      </c>
      <c r="AR34" s="182">
        <f t="shared" si="13"/>
        <v>29</v>
      </c>
      <c r="AS34" s="630"/>
      <c r="AT34" s="188">
        <v>5</v>
      </c>
      <c r="AU34" s="188">
        <v>2687.2950146269391</v>
      </c>
      <c r="AV34" s="185">
        <f t="shared" si="14"/>
        <v>537.45900292538784</v>
      </c>
      <c r="AW34" s="182">
        <f t="shared" si="15"/>
        <v>29</v>
      </c>
      <c r="AX34" s="630"/>
    </row>
    <row r="35" spans="1:50" ht="14.25" customHeight="1">
      <c r="B35" s="631"/>
      <c r="C35" s="180">
        <v>29</v>
      </c>
      <c r="D35" s="183" t="s">
        <v>560</v>
      </c>
      <c r="E35" s="184">
        <v>3</v>
      </c>
      <c r="F35" s="180">
        <v>3300</v>
      </c>
      <c r="G35" s="185">
        <f t="shared" si="16"/>
        <v>1100</v>
      </c>
      <c r="H35" s="632"/>
      <c r="I35" s="186">
        <f t="shared" si="3"/>
        <v>3</v>
      </c>
      <c r="J35" s="186">
        <f t="shared" si="3"/>
        <v>2979.098487021558</v>
      </c>
      <c r="K35" s="187">
        <f t="shared" si="3"/>
        <v>993.03282900718602</v>
      </c>
      <c r="L35" s="633"/>
      <c r="M35" s="186">
        <f>RANK(K35, K$7:$K$41)</f>
        <v>10</v>
      </c>
      <c r="N35" s="644"/>
      <c r="O35" s="634"/>
      <c r="P35" s="188">
        <v>3</v>
      </c>
      <c r="Q35" s="188">
        <v>2978.5455790602532</v>
      </c>
      <c r="R35" s="185">
        <f t="shared" si="0"/>
        <v>992.8485263534177</v>
      </c>
      <c r="S35" s="182">
        <f t="shared" si="4"/>
        <v>10</v>
      </c>
      <c r="T35" s="630"/>
      <c r="U35" s="188">
        <v>3</v>
      </c>
      <c r="V35" s="188">
        <v>2979.535579060253</v>
      </c>
      <c r="W35" s="185">
        <f t="shared" si="1"/>
        <v>993.17852635341762</v>
      </c>
      <c r="X35" s="182">
        <f t="shared" si="5"/>
        <v>10</v>
      </c>
      <c r="Y35" s="630"/>
      <c r="Z35" s="188">
        <v>3</v>
      </c>
      <c r="AA35" s="188">
        <v>2980.1955790602533</v>
      </c>
      <c r="AB35" s="185">
        <f t="shared" si="6"/>
        <v>993.39852635341776</v>
      </c>
      <c r="AC35" s="182">
        <f t="shared" si="7"/>
        <v>10</v>
      </c>
      <c r="AD35" s="630"/>
      <c r="AE35" s="188">
        <v>3</v>
      </c>
      <c r="AF35" s="188">
        <v>2979.8655790602538</v>
      </c>
      <c r="AG35" s="185">
        <f t="shared" si="8"/>
        <v>993.28852635341798</v>
      </c>
      <c r="AH35" s="182">
        <f t="shared" si="9"/>
        <v>10</v>
      </c>
      <c r="AI35" s="630"/>
      <c r="AJ35" s="188">
        <v>3</v>
      </c>
      <c r="AK35" s="188">
        <v>2979.2055790602544</v>
      </c>
      <c r="AL35" s="185">
        <f t="shared" si="10"/>
        <v>993.06852635341818</v>
      </c>
      <c r="AM35" s="182">
        <f t="shared" si="11"/>
        <v>10</v>
      </c>
      <c r="AN35" s="630"/>
      <c r="AO35" s="188">
        <v>3</v>
      </c>
      <c r="AP35" s="188">
        <v>2978.5007569248205</v>
      </c>
      <c r="AQ35" s="185">
        <f t="shared" si="12"/>
        <v>992.83358564160687</v>
      </c>
      <c r="AR35" s="182">
        <f t="shared" si="13"/>
        <v>10</v>
      </c>
      <c r="AS35" s="630"/>
      <c r="AT35" s="188">
        <v>3</v>
      </c>
      <c r="AU35" s="188">
        <v>2977.8407569248207</v>
      </c>
      <c r="AV35" s="185">
        <f t="shared" si="14"/>
        <v>992.61358564160685</v>
      </c>
      <c r="AW35" s="182">
        <f t="shared" si="15"/>
        <v>10</v>
      </c>
      <c r="AX35" s="630"/>
    </row>
    <row r="36" spans="1:50" ht="14.25" customHeight="1">
      <c r="B36" s="631"/>
      <c r="C36" s="180">
        <v>30</v>
      </c>
      <c r="D36" s="183" t="s">
        <v>500</v>
      </c>
      <c r="E36" s="184">
        <v>12</v>
      </c>
      <c r="F36" s="180">
        <v>3600</v>
      </c>
      <c r="G36" s="185">
        <f t="shared" si="16"/>
        <v>300</v>
      </c>
      <c r="H36" s="632"/>
      <c r="I36" s="186">
        <f t="shared" si="3"/>
        <v>12</v>
      </c>
      <c r="J36" s="186">
        <f t="shared" si="3"/>
        <v>3262.7936581121253</v>
      </c>
      <c r="K36" s="187">
        <f t="shared" si="3"/>
        <v>271.89947150934375</v>
      </c>
      <c r="L36" s="633"/>
      <c r="M36" s="186">
        <f>RANK(K36, K$7:$K$41)</f>
        <v>30</v>
      </c>
      <c r="N36" s="644"/>
      <c r="O36" s="634"/>
      <c r="P36" s="188">
        <v>12</v>
      </c>
      <c r="Q36" s="188">
        <v>3261.7413902918724</v>
      </c>
      <c r="R36" s="185">
        <f t="shared" si="0"/>
        <v>271.81178252432272</v>
      </c>
      <c r="S36" s="182">
        <f t="shared" si="4"/>
        <v>30</v>
      </c>
      <c r="T36" s="630"/>
      <c r="U36" s="188">
        <v>12</v>
      </c>
      <c r="V36" s="188">
        <v>3261.741390291872</v>
      </c>
      <c r="W36" s="185">
        <f t="shared" si="1"/>
        <v>271.81178252432267</v>
      </c>
      <c r="X36" s="182">
        <f t="shared" si="5"/>
        <v>30</v>
      </c>
      <c r="Y36" s="630"/>
      <c r="Z36" s="188">
        <v>12</v>
      </c>
      <c r="AA36" s="188">
        <v>3260.6613902918721</v>
      </c>
      <c r="AB36" s="185">
        <f t="shared" si="6"/>
        <v>271.72178252432269</v>
      </c>
      <c r="AC36" s="182">
        <f t="shared" si="7"/>
        <v>30</v>
      </c>
      <c r="AD36" s="630"/>
      <c r="AE36" s="188">
        <v>12</v>
      </c>
      <c r="AF36" s="188">
        <v>3262.9528589773149</v>
      </c>
      <c r="AG36" s="185">
        <f t="shared" si="8"/>
        <v>271.91273824810958</v>
      </c>
      <c r="AH36" s="182">
        <f t="shared" si="9"/>
        <v>30</v>
      </c>
      <c r="AI36" s="630"/>
      <c r="AJ36" s="188">
        <v>12</v>
      </c>
      <c r="AK36" s="188">
        <v>3264.0328589773153</v>
      </c>
      <c r="AL36" s="185">
        <f t="shared" si="10"/>
        <v>272.00273824810961</v>
      </c>
      <c r="AM36" s="182">
        <f t="shared" si="11"/>
        <v>30</v>
      </c>
      <c r="AN36" s="630"/>
      <c r="AO36" s="188">
        <v>12</v>
      </c>
      <c r="AP36" s="188">
        <v>3264.7528589773146</v>
      </c>
      <c r="AQ36" s="185">
        <f t="shared" si="12"/>
        <v>272.06273824810955</v>
      </c>
      <c r="AR36" s="182">
        <f t="shared" si="13"/>
        <v>30</v>
      </c>
      <c r="AS36" s="630"/>
      <c r="AT36" s="188">
        <v>12</v>
      </c>
      <c r="AU36" s="188">
        <v>3263.6728589773152</v>
      </c>
      <c r="AV36" s="185">
        <f t="shared" si="14"/>
        <v>271.97273824810958</v>
      </c>
      <c r="AW36" s="182">
        <f t="shared" si="15"/>
        <v>30</v>
      </c>
      <c r="AX36" s="630"/>
    </row>
    <row r="37" spans="1:50" ht="14.25" customHeight="1">
      <c r="B37" s="631"/>
      <c r="C37" s="180">
        <v>31</v>
      </c>
      <c r="D37" s="183" t="s">
        <v>515</v>
      </c>
      <c r="E37" s="180">
        <v>13</v>
      </c>
      <c r="F37" s="180">
        <v>3600</v>
      </c>
      <c r="G37" s="185">
        <f t="shared" si="16"/>
        <v>276.92307692307691</v>
      </c>
      <c r="H37" s="632"/>
      <c r="I37" s="186">
        <f t="shared" si="3"/>
        <v>13</v>
      </c>
      <c r="J37" s="186">
        <f t="shared" si="3"/>
        <v>3262.7767640778516</v>
      </c>
      <c r="K37" s="187">
        <f t="shared" si="3"/>
        <v>250.98282800598855</v>
      </c>
      <c r="L37" s="633"/>
      <c r="M37" s="186">
        <f>RANK(K37, K$7:$K$41)</f>
        <v>33</v>
      </c>
      <c r="N37" s="644"/>
      <c r="O37" s="634"/>
      <c r="P37" s="188">
        <v>13</v>
      </c>
      <c r="Q37" s="188">
        <v>3261.1340256417689</v>
      </c>
      <c r="R37" s="185">
        <f t="shared" si="0"/>
        <v>250.85646351090529</v>
      </c>
      <c r="S37" s="182">
        <f t="shared" si="4"/>
        <v>33</v>
      </c>
      <c r="T37" s="630"/>
      <c r="U37" s="188">
        <v>13</v>
      </c>
      <c r="V37" s="188">
        <v>3260.0540256417689</v>
      </c>
      <c r="W37" s="185">
        <f t="shared" si="1"/>
        <v>250.77338658782838</v>
      </c>
      <c r="X37" s="182">
        <f t="shared" si="5"/>
        <v>33</v>
      </c>
      <c r="Y37" s="630"/>
      <c r="Z37" s="188">
        <v>13</v>
      </c>
      <c r="AA37" s="188">
        <v>3261.8540256417682</v>
      </c>
      <c r="AB37" s="185">
        <f t="shared" si="6"/>
        <v>250.91184812628987</v>
      </c>
      <c r="AC37" s="182">
        <f t="shared" si="7"/>
        <v>33</v>
      </c>
      <c r="AD37" s="630"/>
      <c r="AE37" s="188">
        <v>13</v>
      </c>
      <c r="AF37" s="188">
        <v>3263.3788179049134</v>
      </c>
      <c r="AG37" s="185">
        <f t="shared" si="8"/>
        <v>251.02913983883948</v>
      </c>
      <c r="AH37" s="182">
        <f t="shared" si="9"/>
        <v>33</v>
      </c>
      <c r="AI37" s="630"/>
      <c r="AJ37" s="188">
        <v>13</v>
      </c>
      <c r="AK37" s="188">
        <v>3264.0988179049136</v>
      </c>
      <c r="AL37" s="185">
        <f t="shared" si="10"/>
        <v>251.08452445422412</v>
      </c>
      <c r="AM37" s="182">
        <f t="shared" si="11"/>
        <v>33</v>
      </c>
      <c r="AN37" s="630"/>
      <c r="AO37" s="188">
        <v>13</v>
      </c>
      <c r="AP37" s="188">
        <v>3264.4588179049142</v>
      </c>
      <c r="AQ37" s="185">
        <f t="shared" si="12"/>
        <v>251.11221676191647</v>
      </c>
      <c r="AR37" s="182">
        <f t="shared" si="13"/>
        <v>33</v>
      </c>
      <c r="AS37" s="630"/>
      <c r="AT37" s="188">
        <v>13</v>
      </c>
      <c r="AU37" s="188">
        <v>3264.4588179049142</v>
      </c>
      <c r="AV37" s="185">
        <f t="shared" si="14"/>
        <v>251.11221676191647</v>
      </c>
      <c r="AW37" s="182">
        <f t="shared" si="15"/>
        <v>33</v>
      </c>
      <c r="AX37" s="630"/>
    </row>
    <row r="38" spans="1:50" ht="14.25" customHeight="1">
      <c r="B38" s="631"/>
      <c r="C38" s="180">
        <v>32</v>
      </c>
      <c r="D38" s="183" t="s">
        <v>347</v>
      </c>
      <c r="E38" s="180">
        <v>3</v>
      </c>
      <c r="F38" s="180">
        <v>3000</v>
      </c>
      <c r="G38" s="185">
        <f t="shared" si="16"/>
        <v>1000</v>
      </c>
      <c r="H38" s="632"/>
      <c r="I38" s="186">
        <f t="shared" ref="I38:K39" si="17">AVERAGE(P38,U38,Z38,AE38,AJ38,AO38,AT38)</f>
        <v>3</v>
      </c>
      <c r="J38" s="186">
        <f t="shared" si="17"/>
        <v>2705.158031442244</v>
      </c>
      <c r="K38" s="187">
        <f t="shared" si="17"/>
        <v>901.7193438140813</v>
      </c>
      <c r="L38" s="633"/>
      <c r="M38" s="186">
        <f>RANK(K38, K$7:$K$41)</f>
        <v>13</v>
      </c>
      <c r="N38" s="644"/>
      <c r="O38" s="634"/>
      <c r="P38" s="188">
        <v>3</v>
      </c>
      <c r="Q38" s="188">
        <v>2703.9151742993877</v>
      </c>
      <c r="R38" s="185">
        <f t="shared" si="0"/>
        <v>901.30505809979593</v>
      </c>
      <c r="S38" s="182">
        <f t="shared" si="4"/>
        <v>13</v>
      </c>
      <c r="T38" s="630"/>
      <c r="U38" s="188">
        <v>3</v>
      </c>
      <c r="V38" s="188">
        <v>2705.115174299387</v>
      </c>
      <c r="W38" s="185">
        <f t="shared" si="1"/>
        <v>901.70505809979568</v>
      </c>
      <c r="X38" s="182">
        <f t="shared" si="5"/>
        <v>12</v>
      </c>
      <c r="Y38" s="630"/>
      <c r="Z38" s="188">
        <v>3</v>
      </c>
      <c r="AA38" s="188">
        <v>2705.7151742993869</v>
      </c>
      <c r="AB38" s="185">
        <f t="shared" si="6"/>
        <v>901.90505809979561</v>
      </c>
      <c r="AC38" s="182">
        <f t="shared" si="7"/>
        <v>13</v>
      </c>
      <c r="AD38" s="630"/>
      <c r="AE38" s="188">
        <v>3</v>
      </c>
      <c r="AF38" s="188">
        <v>2705.4151742993863</v>
      </c>
      <c r="AG38" s="185">
        <f t="shared" si="8"/>
        <v>901.80505809979547</v>
      </c>
      <c r="AH38" s="182">
        <f t="shared" si="9"/>
        <v>13</v>
      </c>
      <c r="AI38" s="630"/>
      <c r="AJ38" s="188">
        <v>3</v>
      </c>
      <c r="AK38" s="188">
        <v>2704.5151742993867</v>
      </c>
      <c r="AL38" s="185">
        <f t="shared" si="10"/>
        <v>901.50505809979552</v>
      </c>
      <c r="AM38" s="182">
        <f t="shared" si="11"/>
        <v>13</v>
      </c>
      <c r="AN38" s="630"/>
      <c r="AO38" s="188">
        <v>3</v>
      </c>
      <c r="AP38" s="188">
        <v>2705.7151742993865</v>
      </c>
      <c r="AQ38" s="185">
        <f t="shared" si="12"/>
        <v>901.9050580997955</v>
      </c>
      <c r="AR38" s="182">
        <f t="shared" si="13"/>
        <v>12</v>
      </c>
      <c r="AS38" s="630"/>
      <c r="AT38" s="188">
        <v>3</v>
      </c>
      <c r="AU38" s="188">
        <v>2705.7151742993865</v>
      </c>
      <c r="AV38" s="185">
        <f t="shared" si="14"/>
        <v>901.9050580997955</v>
      </c>
      <c r="AW38" s="182">
        <f t="shared" si="15"/>
        <v>13</v>
      </c>
      <c r="AX38" s="630"/>
    </row>
    <row r="39" spans="1:50" ht="14.25" customHeight="1">
      <c r="B39" s="631"/>
      <c r="C39" s="180">
        <v>33</v>
      </c>
      <c r="D39" s="183" t="s">
        <v>446</v>
      </c>
      <c r="E39" s="180">
        <v>12</v>
      </c>
      <c r="F39" s="180">
        <v>3600</v>
      </c>
      <c r="G39" s="185">
        <f t="shared" si="16"/>
        <v>300</v>
      </c>
      <c r="H39" s="632"/>
      <c r="I39" s="186">
        <f t="shared" si="17"/>
        <v>12</v>
      </c>
      <c r="J39" s="186">
        <f t="shared" si="17"/>
        <v>3126.0726869816181</v>
      </c>
      <c r="K39" s="187">
        <f t="shared" si="17"/>
        <v>260.50605724846821</v>
      </c>
      <c r="L39" s="633"/>
      <c r="M39" s="186">
        <f>RANK(K39, K$7:$K$41)</f>
        <v>31</v>
      </c>
      <c r="N39" s="644"/>
      <c r="O39" s="634"/>
      <c r="P39" s="188">
        <v>12</v>
      </c>
      <c r="Q39" s="188">
        <v>3126.4137592842353</v>
      </c>
      <c r="R39" s="185">
        <f t="shared" si="0"/>
        <v>260.53447994035292</v>
      </c>
      <c r="S39" s="182">
        <f t="shared" si="4"/>
        <v>31</v>
      </c>
      <c r="T39" s="630"/>
      <c r="U39" s="188">
        <v>12</v>
      </c>
      <c r="V39" s="188">
        <v>3126.4137592842349</v>
      </c>
      <c r="W39" s="185">
        <f t="shared" si="1"/>
        <v>260.53447994035292</v>
      </c>
      <c r="X39" s="182">
        <f t="shared" si="5"/>
        <v>31</v>
      </c>
      <c r="Y39" s="630"/>
      <c r="Z39" s="188">
        <v>12</v>
      </c>
      <c r="AA39" s="188">
        <v>3125.3337592842354</v>
      </c>
      <c r="AB39" s="185">
        <f t="shared" si="6"/>
        <v>260.44447994035295</v>
      </c>
      <c r="AC39" s="182">
        <f t="shared" si="7"/>
        <v>31</v>
      </c>
      <c r="AD39" s="630"/>
      <c r="AE39" s="188">
        <v>12</v>
      </c>
      <c r="AF39" s="188">
        <v>3126.4137592842349</v>
      </c>
      <c r="AG39" s="185">
        <f t="shared" si="8"/>
        <v>260.53447994035292</v>
      </c>
      <c r="AH39" s="182">
        <f t="shared" si="9"/>
        <v>31</v>
      </c>
      <c r="AI39" s="630"/>
      <c r="AJ39" s="188">
        <v>12</v>
      </c>
      <c r="AK39" s="188">
        <v>3126.5779239114627</v>
      </c>
      <c r="AL39" s="185">
        <f t="shared" si="10"/>
        <v>260.54816032595522</v>
      </c>
      <c r="AM39" s="182">
        <f t="shared" si="11"/>
        <v>31</v>
      </c>
      <c r="AN39" s="630"/>
      <c r="AO39" s="188">
        <v>12</v>
      </c>
      <c r="AP39" s="188">
        <v>3125.4979239114627</v>
      </c>
      <c r="AQ39" s="185">
        <f t="shared" si="12"/>
        <v>260.45816032595525</v>
      </c>
      <c r="AR39" s="182">
        <f t="shared" si="13"/>
        <v>32</v>
      </c>
      <c r="AS39" s="630"/>
      <c r="AT39" s="188">
        <v>12</v>
      </c>
      <c r="AU39" s="188">
        <v>3125.8579239114629</v>
      </c>
      <c r="AV39" s="185">
        <f t="shared" si="14"/>
        <v>260.48816032595522</v>
      </c>
      <c r="AW39" s="182">
        <f t="shared" si="15"/>
        <v>32</v>
      </c>
      <c r="AX39" s="630"/>
    </row>
    <row r="40" spans="1:50" ht="14.25" customHeight="1">
      <c r="B40" s="631"/>
      <c r="C40" s="180">
        <v>34</v>
      </c>
      <c r="D40" s="183"/>
      <c r="E40" s="180"/>
      <c r="F40" s="180"/>
      <c r="G40" s="185"/>
      <c r="H40" s="632"/>
      <c r="I40" s="186"/>
      <c r="J40" s="186"/>
      <c r="K40" s="187"/>
      <c r="L40" s="633"/>
      <c r="M40" s="186"/>
      <c r="N40" s="644"/>
      <c r="O40" s="634"/>
      <c r="P40" s="188"/>
      <c r="Q40" s="188"/>
      <c r="R40" s="185"/>
      <c r="S40" s="182"/>
      <c r="T40" s="630"/>
      <c r="U40" s="188"/>
      <c r="V40" s="188"/>
      <c r="W40" s="185"/>
      <c r="X40" s="182"/>
      <c r="Y40" s="630"/>
      <c r="Z40" s="188"/>
      <c r="AA40" s="188"/>
      <c r="AB40" s="185"/>
      <c r="AC40" s="182"/>
      <c r="AD40" s="630"/>
      <c r="AE40" s="188"/>
      <c r="AF40" s="188"/>
      <c r="AG40" s="185"/>
      <c r="AH40" s="182"/>
      <c r="AI40" s="630"/>
      <c r="AJ40" s="188"/>
      <c r="AK40" s="188"/>
      <c r="AL40" s="185"/>
      <c r="AM40" s="182"/>
      <c r="AN40" s="630"/>
      <c r="AO40" s="188"/>
      <c r="AP40" s="188"/>
      <c r="AQ40" s="185"/>
      <c r="AR40" s="182"/>
      <c r="AS40" s="630"/>
      <c r="AT40" s="188"/>
      <c r="AU40" s="188"/>
      <c r="AV40" s="185"/>
      <c r="AW40" s="182"/>
      <c r="AX40" s="630"/>
    </row>
    <row r="41" spans="1:50" ht="14.25" customHeight="1">
      <c r="B41" s="631"/>
      <c r="C41" s="180">
        <v>35</v>
      </c>
      <c r="D41" s="183"/>
      <c r="E41" s="180"/>
      <c r="F41" s="180"/>
      <c r="G41" s="185"/>
      <c r="H41" s="632"/>
      <c r="I41" s="186"/>
      <c r="J41" s="186"/>
      <c r="K41" s="187"/>
      <c r="L41" s="633"/>
      <c r="M41" s="186"/>
      <c r="N41" s="644"/>
      <c r="O41" s="634"/>
      <c r="P41" s="188"/>
      <c r="Q41" s="188"/>
      <c r="R41" s="185"/>
      <c r="S41" s="182"/>
      <c r="T41" s="630"/>
      <c r="U41" s="188"/>
      <c r="V41" s="188"/>
      <c r="W41" s="185"/>
      <c r="X41" s="182"/>
      <c r="Y41" s="630"/>
      <c r="Z41" s="188"/>
      <c r="AA41" s="188"/>
      <c r="AB41" s="185"/>
      <c r="AC41" s="182"/>
      <c r="AD41" s="630"/>
      <c r="AE41" s="188"/>
      <c r="AF41" s="188"/>
      <c r="AG41" s="185"/>
      <c r="AH41" s="182"/>
      <c r="AI41" s="630"/>
      <c r="AJ41" s="188"/>
      <c r="AK41" s="188"/>
      <c r="AL41" s="185"/>
      <c r="AM41" s="182"/>
      <c r="AN41" s="630"/>
      <c r="AO41" s="188"/>
      <c r="AP41" s="188"/>
      <c r="AQ41" s="185"/>
      <c r="AR41" s="182"/>
      <c r="AS41" s="630"/>
      <c r="AT41" s="188"/>
      <c r="AU41" s="188"/>
      <c r="AV41" s="185"/>
      <c r="AW41" s="182"/>
      <c r="AX41" s="630"/>
    </row>
    <row r="42" spans="1:50" ht="14.25" customHeight="1">
      <c r="B42" s="646" t="s">
        <v>695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7"/>
      <c r="N42" s="650" t="s">
        <v>369</v>
      </c>
      <c r="O42" s="650" t="s">
        <v>105</v>
      </c>
      <c r="P42" s="652">
        <v>46147</v>
      </c>
      <c r="Q42" s="653"/>
      <c r="R42" s="653"/>
      <c r="S42" s="653"/>
      <c r="T42" s="653"/>
      <c r="U42" s="654">
        <v>46148</v>
      </c>
      <c r="V42" s="655"/>
      <c r="W42" s="655"/>
      <c r="X42" s="655"/>
      <c r="Y42" s="655"/>
      <c r="Z42" s="652">
        <v>46149</v>
      </c>
      <c r="AA42" s="653"/>
      <c r="AB42" s="653"/>
      <c r="AC42" s="653"/>
      <c r="AD42" s="653"/>
      <c r="AE42" s="654">
        <v>46150</v>
      </c>
      <c r="AF42" s="655"/>
      <c r="AG42" s="655"/>
      <c r="AH42" s="655"/>
      <c r="AI42" s="655"/>
      <c r="AJ42" s="636">
        <v>46151</v>
      </c>
      <c r="AK42" s="637"/>
      <c r="AL42" s="637"/>
      <c r="AM42" s="637"/>
      <c r="AN42" s="638"/>
      <c r="AO42" s="654">
        <v>46152</v>
      </c>
      <c r="AP42" s="655"/>
      <c r="AQ42" s="655"/>
      <c r="AR42" s="655"/>
      <c r="AS42" s="655"/>
      <c r="AT42" s="636">
        <v>46153</v>
      </c>
      <c r="AU42" s="637"/>
      <c r="AV42" s="637"/>
      <c r="AW42" s="637"/>
      <c r="AX42" s="638"/>
    </row>
    <row r="43" spans="1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51"/>
      <c r="O43" s="651"/>
      <c r="P43" s="639">
        <v>46147</v>
      </c>
      <c r="Q43" s="639"/>
      <c r="R43" s="639"/>
      <c r="S43" s="639"/>
      <c r="T43" s="639"/>
      <c r="U43" s="640">
        <v>46148</v>
      </c>
      <c r="V43" s="640"/>
      <c r="W43" s="640"/>
      <c r="X43" s="640"/>
      <c r="Y43" s="640"/>
      <c r="Z43" s="639">
        <v>46149</v>
      </c>
      <c r="AA43" s="639"/>
      <c r="AB43" s="639"/>
      <c r="AC43" s="639"/>
      <c r="AD43" s="639"/>
      <c r="AE43" s="640">
        <v>46150</v>
      </c>
      <c r="AF43" s="640"/>
      <c r="AG43" s="640"/>
      <c r="AH43" s="640"/>
      <c r="AI43" s="640"/>
      <c r="AJ43" s="641">
        <v>46151</v>
      </c>
      <c r="AK43" s="642"/>
      <c r="AL43" s="642"/>
      <c r="AM43" s="642"/>
      <c r="AN43" s="643"/>
      <c r="AO43" s="640">
        <v>46152</v>
      </c>
      <c r="AP43" s="640"/>
      <c r="AQ43" s="640"/>
      <c r="AR43" s="640"/>
      <c r="AS43" s="640"/>
      <c r="AT43" s="641">
        <v>46153</v>
      </c>
      <c r="AU43" s="642"/>
      <c r="AV43" s="642"/>
      <c r="AW43" s="642"/>
      <c r="AX43" s="643"/>
    </row>
    <row r="44" spans="1:50" ht="14.25" customHeight="1">
      <c r="B44" s="631" t="s">
        <v>162</v>
      </c>
      <c r="C44" s="631" t="s">
        <v>157</v>
      </c>
      <c r="D44" s="631"/>
      <c r="E44" s="631" t="s">
        <v>158</v>
      </c>
      <c r="F44" s="631"/>
      <c r="G44" s="631"/>
      <c r="H44" s="631" t="s">
        <v>163</v>
      </c>
      <c r="I44" s="635" t="s">
        <v>370</v>
      </c>
      <c r="J44" s="635"/>
      <c r="K44" s="635"/>
      <c r="L44" s="635" t="s">
        <v>163</v>
      </c>
      <c r="M44" s="635" t="s">
        <v>165</v>
      </c>
      <c r="N44" s="644"/>
      <c r="O44" s="634" t="s">
        <v>164</v>
      </c>
      <c r="P44" s="634" t="s">
        <v>160</v>
      </c>
      <c r="Q44" s="634"/>
      <c r="R44" s="634"/>
      <c r="S44" s="634"/>
      <c r="T44" s="634" t="s">
        <v>163</v>
      </c>
      <c r="U44" s="634" t="s">
        <v>160</v>
      </c>
      <c r="V44" s="634"/>
      <c r="W44" s="634"/>
      <c r="X44" s="634"/>
      <c r="Y44" s="634" t="s">
        <v>163</v>
      </c>
      <c r="Z44" s="634" t="s">
        <v>160</v>
      </c>
      <c r="AA44" s="634"/>
      <c r="AB44" s="634"/>
      <c r="AC44" s="634"/>
      <c r="AD44" s="634" t="s">
        <v>163</v>
      </c>
      <c r="AE44" s="634" t="s">
        <v>160</v>
      </c>
      <c r="AF44" s="634"/>
      <c r="AG44" s="634"/>
      <c r="AH44" s="634"/>
      <c r="AI44" s="634" t="s">
        <v>163</v>
      </c>
      <c r="AJ44" s="634" t="s">
        <v>160</v>
      </c>
      <c r="AK44" s="634"/>
      <c r="AL44" s="634"/>
      <c r="AM44" s="634"/>
      <c r="AN44" s="634" t="s">
        <v>163</v>
      </c>
      <c r="AO44" s="634" t="s">
        <v>160</v>
      </c>
      <c r="AP44" s="634"/>
      <c r="AQ44" s="634"/>
      <c r="AR44" s="634"/>
      <c r="AS44" s="634" t="s">
        <v>163</v>
      </c>
      <c r="AT44" s="634" t="s">
        <v>160</v>
      </c>
      <c r="AU44" s="634"/>
      <c r="AV44" s="634"/>
      <c r="AW44" s="634"/>
      <c r="AX44" s="634" t="s">
        <v>163</v>
      </c>
    </row>
    <row r="45" spans="1:50" ht="14.25" customHeight="1">
      <c r="B45" s="631"/>
      <c r="C45" s="631"/>
      <c r="D45" s="631"/>
      <c r="E45" s="631" t="s">
        <v>371</v>
      </c>
      <c r="F45" s="631"/>
      <c r="G45" s="631"/>
      <c r="H45" s="631"/>
      <c r="I45" s="635" t="s">
        <v>371</v>
      </c>
      <c r="J45" s="635"/>
      <c r="K45" s="635"/>
      <c r="L45" s="635"/>
      <c r="M45" s="635"/>
      <c r="N45" s="644"/>
      <c r="O45" s="634"/>
      <c r="P45" s="634" t="s">
        <v>372</v>
      </c>
      <c r="Q45" s="634"/>
      <c r="R45" s="634"/>
      <c r="S45" s="634"/>
      <c r="T45" s="634"/>
      <c r="U45" s="634" t="s">
        <v>372</v>
      </c>
      <c r="V45" s="634"/>
      <c r="W45" s="634"/>
      <c r="X45" s="634"/>
      <c r="Y45" s="634"/>
      <c r="Z45" s="634" t="s">
        <v>372</v>
      </c>
      <c r="AA45" s="634"/>
      <c r="AB45" s="634"/>
      <c r="AC45" s="634"/>
      <c r="AD45" s="634"/>
      <c r="AE45" s="634" t="s">
        <v>372</v>
      </c>
      <c r="AF45" s="634"/>
      <c r="AG45" s="634"/>
      <c r="AH45" s="634"/>
      <c r="AI45" s="634"/>
      <c r="AJ45" s="634" t="s">
        <v>372</v>
      </c>
      <c r="AK45" s="634"/>
      <c r="AL45" s="634"/>
      <c r="AM45" s="634"/>
      <c r="AN45" s="634"/>
      <c r="AO45" s="634" t="s">
        <v>372</v>
      </c>
      <c r="AP45" s="634"/>
      <c r="AQ45" s="634"/>
      <c r="AR45" s="634"/>
      <c r="AS45" s="634"/>
      <c r="AT45" s="634" t="s">
        <v>372</v>
      </c>
      <c r="AU45" s="634"/>
      <c r="AV45" s="634"/>
      <c r="AW45" s="634"/>
      <c r="AX45" s="634"/>
    </row>
    <row r="46" spans="1:50" ht="14.25" customHeight="1">
      <c r="A46" s="177"/>
      <c r="B46" s="631"/>
      <c r="C46" s="631"/>
      <c r="D46" s="631"/>
      <c r="E46" s="180" t="s">
        <v>159</v>
      </c>
      <c r="F46" s="180" t="s">
        <v>373</v>
      </c>
      <c r="G46" s="180" t="s">
        <v>161</v>
      </c>
      <c r="H46" s="631"/>
      <c r="I46" s="181" t="s">
        <v>159</v>
      </c>
      <c r="J46" s="181" t="s">
        <v>373</v>
      </c>
      <c r="K46" s="181" t="s">
        <v>161</v>
      </c>
      <c r="L46" s="635"/>
      <c r="M46" s="635"/>
      <c r="N46" s="644"/>
      <c r="O46" s="634"/>
      <c r="P46" s="182" t="s">
        <v>159</v>
      </c>
      <c r="Q46" s="182" t="s">
        <v>373</v>
      </c>
      <c r="R46" s="182" t="s">
        <v>161</v>
      </c>
      <c r="S46" s="182" t="s">
        <v>165</v>
      </c>
      <c r="T46" s="634"/>
      <c r="U46" s="182" t="s">
        <v>159</v>
      </c>
      <c r="V46" s="182" t="s">
        <v>373</v>
      </c>
      <c r="W46" s="182" t="s">
        <v>161</v>
      </c>
      <c r="X46" s="182" t="s">
        <v>165</v>
      </c>
      <c r="Y46" s="634"/>
      <c r="Z46" s="182" t="s">
        <v>159</v>
      </c>
      <c r="AA46" s="182" t="s">
        <v>373</v>
      </c>
      <c r="AB46" s="182" t="s">
        <v>161</v>
      </c>
      <c r="AC46" s="182" t="s">
        <v>165</v>
      </c>
      <c r="AD46" s="634"/>
      <c r="AE46" s="182" t="s">
        <v>159</v>
      </c>
      <c r="AF46" s="182" t="s">
        <v>373</v>
      </c>
      <c r="AG46" s="182" t="s">
        <v>161</v>
      </c>
      <c r="AH46" s="182" t="s">
        <v>165</v>
      </c>
      <c r="AI46" s="634"/>
      <c r="AJ46" s="182" t="s">
        <v>159</v>
      </c>
      <c r="AK46" s="182" t="s">
        <v>373</v>
      </c>
      <c r="AL46" s="182" t="s">
        <v>161</v>
      </c>
      <c r="AM46" s="182" t="s">
        <v>165</v>
      </c>
      <c r="AN46" s="634"/>
      <c r="AO46" s="182" t="s">
        <v>159</v>
      </c>
      <c r="AP46" s="182" t="s">
        <v>373</v>
      </c>
      <c r="AQ46" s="182" t="s">
        <v>161</v>
      </c>
      <c r="AR46" s="182" t="s">
        <v>165</v>
      </c>
      <c r="AS46" s="634"/>
      <c r="AT46" s="182" t="s">
        <v>159</v>
      </c>
      <c r="AU46" s="182" t="s">
        <v>373</v>
      </c>
      <c r="AV46" s="182" t="s">
        <v>161</v>
      </c>
      <c r="AW46" s="182" t="s">
        <v>165</v>
      </c>
      <c r="AX46" s="634"/>
    </row>
    <row r="47" spans="1:50" ht="14.25" customHeight="1">
      <c r="B47" s="631" t="s">
        <v>374</v>
      </c>
      <c r="C47" s="180">
        <v>1</v>
      </c>
      <c r="D47" s="183" t="s">
        <v>399</v>
      </c>
      <c r="E47" s="184">
        <v>4</v>
      </c>
      <c r="F47" s="180">
        <v>3600</v>
      </c>
      <c r="G47" s="185">
        <f>F47/E47</f>
        <v>900</v>
      </c>
      <c r="H47" s="632">
        <f>AVERAGE(G47:G81)</f>
        <v>848.69463869463868</v>
      </c>
      <c r="I47" s="186">
        <f>AVERAGE(P47,U47,Z47,AE47,AJ47,AO47,AT47)</f>
        <v>4</v>
      </c>
      <c r="J47" s="186">
        <f>AVERAGE(Q47,V47,AA47,AF47,AK47,AP47,AU47)</f>
        <v>3185.3855894432168</v>
      </c>
      <c r="K47" s="187">
        <f>AVERAGE(R47,W47,AB47,AG47,AL47,AQ47,AV47)</f>
        <v>796.34639736080419</v>
      </c>
      <c r="L47" s="633">
        <f>IFERROR(AVERAGE(K47:K81),"-")</f>
        <v>754.59198984643274</v>
      </c>
      <c r="M47" s="186">
        <f>RANK(K47, K$47:$K$82)</f>
        <v>15</v>
      </c>
      <c r="N47" s="644"/>
      <c r="O47" s="634"/>
      <c r="P47" s="188">
        <v>4</v>
      </c>
      <c r="Q47" s="188">
        <v>3185.3341608717874</v>
      </c>
      <c r="R47" s="185">
        <f t="shared" ref="R47:R79" si="18">IFERROR(Q47/P47,"")</f>
        <v>796.33354021794685</v>
      </c>
      <c r="S47" s="182">
        <f>RANK(R47, R$47:R$82)</f>
        <v>16</v>
      </c>
      <c r="T47" s="630">
        <f>AVERAGE(R47:R81)</f>
        <v>754.48646984527977</v>
      </c>
      <c r="U47" s="188">
        <v>4</v>
      </c>
      <c r="V47" s="188">
        <v>3186.4141608717873</v>
      </c>
      <c r="W47" s="185">
        <f t="shared" ref="W47:W79" si="19">IFERROR(V47/U47,"")</f>
        <v>796.60354021794683</v>
      </c>
      <c r="X47" s="182">
        <f>RANK(W47, W$47:W$82)</f>
        <v>16</v>
      </c>
      <c r="Y47" s="630">
        <f>AVERAGE(W47:W81)</f>
        <v>754.53664432229641</v>
      </c>
      <c r="Z47" s="188">
        <v>4</v>
      </c>
      <c r="AA47" s="188">
        <v>3186.0541608717876</v>
      </c>
      <c r="AB47" s="185">
        <f>IFERROR(AA47/Z47,"")</f>
        <v>796.51354021794691</v>
      </c>
      <c r="AC47" s="182">
        <f>RANK(AB47, AB$47:AB$82)</f>
        <v>16</v>
      </c>
      <c r="AD47" s="630">
        <f>AVERAGE(AB47:AB81)</f>
        <v>754.60169389620251</v>
      </c>
      <c r="AE47" s="188">
        <v>4</v>
      </c>
      <c r="AF47" s="188">
        <v>3186.0541608717881</v>
      </c>
      <c r="AG47" s="185">
        <f>IFERROR(AF47/AE47,"")</f>
        <v>796.51354021794702</v>
      </c>
      <c r="AH47" s="182">
        <f>RANK(AG47, AG$47:AG$82)</f>
        <v>15</v>
      </c>
      <c r="AI47" s="630">
        <f>AVERAGE(AG47:AG81)</f>
        <v>754.66740231612744</v>
      </c>
      <c r="AJ47" s="188">
        <v>4</v>
      </c>
      <c r="AK47" s="188">
        <v>3185.6941608717884</v>
      </c>
      <c r="AL47" s="185">
        <f>IFERROR(AK47/AJ47,"")</f>
        <v>796.42354021794711</v>
      </c>
      <c r="AM47" s="182">
        <f>RANK(AL47, AL$47:AL$82)</f>
        <v>15</v>
      </c>
      <c r="AN47" s="630">
        <f>AVERAGE(AL47:AL81)</f>
        <v>754.58073424160727</v>
      </c>
      <c r="AO47" s="188">
        <v>4</v>
      </c>
      <c r="AP47" s="188">
        <v>3184.2541608717884</v>
      </c>
      <c r="AQ47" s="185">
        <f>IFERROR(AP47/AO47,"")</f>
        <v>796.06354021794709</v>
      </c>
      <c r="AR47" s="182">
        <f>RANK(AQ47, AQ$47:AQ$82)</f>
        <v>15</v>
      </c>
      <c r="AS47" s="630">
        <f>AVERAGE(AQ47:AQ81)</f>
        <v>754.5376167009382</v>
      </c>
      <c r="AT47" s="188">
        <v>4</v>
      </c>
      <c r="AU47" s="188">
        <v>3183.8941608717892</v>
      </c>
      <c r="AV47" s="185">
        <f>IFERROR(AU47/AT47,"")</f>
        <v>795.97354021794729</v>
      </c>
      <c r="AW47" s="182">
        <f>RANK(AV47, AV$47:AV$82)</f>
        <v>15</v>
      </c>
      <c r="AX47" s="630">
        <f>AVERAGE(AV47:AV81)</f>
        <v>754.73336760257723</v>
      </c>
    </row>
    <row r="48" spans="1:50" ht="14.25" customHeight="1">
      <c r="B48" s="631"/>
      <c r="C48" s="180">
        <v>2</v>
      </c>
      <c r="D48" s="183" t="s">
        <v>397</v>
      </c>
      <c r="E48" s="184">
        <v>3</v>
      </c>
      <c r="F48" s="180">
        <v>3600</v>
      </c>
      <c r="G48" s="185">
        <f t="shared" ref="G48:G67" si="20">F48/E48</f>
        <v>1200</v>
      </c>
      <c r="H48" s="632"/>
      <c r="I48" s="186">
        <f t="shared" ref="I48:K77" si="21">AVERAGE(P48,U48,Z48,AE48,AJ48,AO48,AT48)</f>
        <v>3</v>
      </c>
      <c r="J48" s="186">
        <f t="shared" si="21"/>
        <v>3181.7196190746367</v>
      </c>
      <c r="K48" s="187">
        <f t="shared" si="21"/>
        <v>1060.5732063582122</v>
      </c>
      <c r="L48" s="633"/>
      <c r="M48" s="186">
        <f>RANK(K48, K$47:$K$82)</f>
        <v>5</v>
      </c>
      <c r="N48" s="644"/>
      <c r="O48" s="634"/>
      <c r="P48" s="188">
        <v>3</v>
      </c>
      <c r="Q48" s="188">
        <v>3181.2053333603508</v>
      </c>
      <c r="R48" s="185">
        <f t="shared" si="18"/>
        <v>1060.4017777867837</v>
      </c>
      <c r="S48" s="182">
        <f t="shared" ref="S48:S79" si="22">RANK(R48, R$47:R$82)</f>
        <v>5</v>
      </c>
      <c r="T48" s="630"/>
      <c r="U48" s="188">
        <v>3</v>
      </c>
      <c r="V48" s="188">
        <v>3182.2853333603516</v>
      </c>
      <c r="W48" s="185">
        <f t="shared" si="19"/>
        <v>1060.7617777867838</v>
      </c>
      <c r="X48" s="182">
        <f t="shared" ref="X48:X79" si="23">RANK(W48, W$47:W$82)</f>
        <v>5</v>
      </c>
      <c r="Y48" s="630"/>
      <c r="Z48" s="188">
        <v>3</v>
      </c>
      <c r="AA48" s="188">
        <v>3182.2853333603516</v>
      </c>
      <c r="AB48" s="185">
        <f t="shared" ref="AB48:AB79" si="24">IFERROR(AA48/Z48,"")</f>
        <v>1060.7617777867838</v>
      </c>
      <c r="AC48" s="182">
        <f t="shared" ref="AC48:AC79" si="25">RANK(AB48, AB$47:AB$82)</f>
        <v>4</v>
      </c>
      <c r="AD48" s="630"/>
      <c r="AE48" s="188">
        <v>3</v>
      </c>
      <c r="AF48" s="188">
        <v>3181.9253333603524</v>
      </c>
      <c r="AG48" s="185">
        <f t="shared" ref="AG48:AG79" si="26">IFERROR(AF48/AE48,"")</f>
        <v>1060.6417777867841</v>
      </c>
      <c r="AH48" s="182">
        <f t="shared" ref="AH48:AH79" si="27">RANK(AG48, AG$47:AG$82)</f>
        <v>5</v>
      </c>
      <c r="AI48" s="630"/>
      <c r="AJ48" s="188">
        <v>3</v>
      </c>
      <c r="AK48" s="188">
        <v>3180.1253333603518</v>
      </c>
      <c r="AL48" s="185">
        <f t="shared" ref="AL48:AL79" si="28">IFERROR(AK48/AJ48,"")</f>
        <v>1060.041777786784</v>
      </c>
      <c r="AM48" s="182">
        <f t="shared" ref="AM48:AM79" si="29">RANK(AL48, AL$47:AL$82)</f>
        <v>6</v>
      </c>
      <c r="AN48" s="630"/>
      <c r="AO48" s="188">
        <v>3</v>
      </c>
      <c r="AP48" s="188">
        <v>3181.5653333603514</v>
      </c>
      <c r="AQ48" s="185">
        <f t="shared" ref="AQ48:AQ79" si="30">IFERROR(AP48/AO48,"")</f>
        <v>1060.5217777867838</v>
      </c>
      <c r="AR48" s="182">
        <f t="shared" ref="AR48:AR79" si="31">RANK(AQ48, AQ$47:AQ$82)</f>
        <v>7</v>
      </c>
      <c r="AS48" s="630"/>
      <c r="AT48" s="188">
        <v>3</v>
      </c>
      <c r="AU48" s="188">
        <v>3182.6453333603513</v>
      </c>
      <c r="AV48" s="185">
        <f t="shared" ref="AV48:AV79" si="32">IFERROR(AU48/AT48,"")</f>
        <v>1060.8817777867837</v>
      </c>
      <c r="AW48" s="182">
        <f t="shared" ref="AW48:AW79" si="33">RANK(AV48, AV$47:AV$82)</f>
        <v>5</v>
      </c>
      <c r="AX48" s="630"/>
    </row>
    <row r="49" spans="2:50" ht="14.25" customHeight="1">
      <c r="B49" s="631"/>
      <c r="C49" s="180">
        <v>3</v>
      </c>
      <c r="D49" s="183" t="s">
        <v>398</v>
      </c>
      <c r="E49" s="184">
        <v>5</v>
      </c>
      <c r="F49" s="180">
        <v>3600</v>
      </c>
      <c r="G49" s="185">
        <f t="shared" si="20"/>
        <v>720</v>
      </c>
      <c r="H49" s="632"/>
      <c r="I49" s="186">
        <f t="shared" si="21"/>
        <v>5</v>
      </c>
      <c r="J49" s="186">
        <f t="shared" si="21"/>
        <v>3187.3186848121954</v>
      </c>
      <c r="K49" s="187">
        <f t="shared" si="21"/>
        <v>637.46373696243916</v>
      </c>
      <c r="L49" s="633"/>
      <c r="M49" s="186">
        <f>RANK(K49, K$47:$K$82)</f>
        <v>20</v>
      </c>
      <c r="N49" s="644"/>
      <c r="O49" s="634"/>
      <c r="P49" s="188">
        <v>5</v>
      </c>
      <c r="Q49" s="188">
        <v>3187.2158276693381</v>
      </c>
      <c r="R49" s="185">
        <f t="shared" si="18"/>
        <v>637.44316553386761</v>
      </c>
      <c r="S49" s="182">
        <f t="shared" si="22"/>
        <v>22</v>
      </c>
      <c r="T49" s="630"/>
      <c r="U49" s="188">
        <v>5</v>
      </c>
      <c r="V49" s="188">
        <v>3186.8558276693384</v>
      </c>
      <c r="W49" s="185">
        <f t="shared" si="19"/>
        <v>637.37116553386772</v>
      </c>
      <c r="X49" s="182">
        <f t="shared" si="23"/>
        <v>23</v>
      </c>
      <c r="Y49" s="630"/>
      <c r="Z49" s="188">
        <v>5</v>
      </c>
      <c r="AA49" s="188">
        <v>3186.1358276693386</v>
      </c>
      <c r="AB49" s="185">
        <f t="shared" si="24"/>
        <v>637.22716553386772</v>
      </c>
      <c r="AC49" s="182">
        <f t="shared" si="25"/>
        <v>23</v>
      </c>
      <c r="AD49" s="630"/>
      <c r="AE49" s="188">
        <v>5</v>
      </c>
      <c r="AF49" s="188">
        <v>3187.5758276693387</v>
      </c>
      <c r="AG49" s="185">
        <f t="shared" si="26"/>
        <v>637.51516553386773</v>
      </c>
      <c r="AH49" s="182">
        <f t="shared" si="27"/>
        <v>20</v>
      </c>
      <c r="AI49" s="630"/>
      <c r="AJ49" s="188">
        <v>5</v>
      </c>
      <c r="AK49" s="188">
        <v>3189.0158276693383</v>
      </c>
      <c r="AL49" s="185">
        <f t="shared" si="28"/>
        <v>637.80316553386763</v>
      </c>
      <c r="AM49" s="182">
        <f t="shared" si="29"/>
        <v>19</v>
      </c>
      <c r="AN49" s="630"/>
      <c r="AO49" s="188">
        <v>5</v>
      </c>
      <c r="AP49" s="188">
        <v>3187.2158276693381</v>
      </c>
      <c r="AQ49" s="185">
        <f t="shared" si="30"/>
        <v>637.44316553386761</v>
      </c>
      <c r="AR49" s="182">
        <f t="shared" si="31"/>
        <v>20</v>
      </c>
      <c r="AS49" s="630"/>
      <c r="AT49" s="188">
        <v>5</v>
      </c>
      <c r="AU49" s="188">
        <v>3187.2158276693381</v>
      </c>
      <c r="AV49" s="185">
        <f t="shared" si="32"/>
        <v>637.44316553386761</v>
      </c>
      <c r="AW49" s="182">
        <f t="shared" si="33"/>
        <v>20</v>
      </c>
      <c r="AX49" s="630"/>
    </row>
    <row r="50" spans="2:50" ht="14.25" customHeight="1">
      <c r="B50" s="631"/>
      <c r="C50" s="180">
        <v>4</v>
      </c>
      <c r="D50" s="183" t="s">
        <v>229</v>
      </c>
      <c r="E50" s="184">
        <v>5</v>
      </c>
      <c r="F50" s="180">
        <v>3300</v>
      </c>
      <c r="G50" s="185">
        <f t="shared" si="20"/>
        <v>660</v>
      </c>
      <c r="H50" s="632"/>
      <c r="I50" s="186">
        <f t="shared" si="21"/>
        <v>5</v>
      </c>
      <c r="J50" s="186">
        <f t="shared" si="21"/>
        <v>2960.0337873981962</v>
      </c>
      <c r="K50" s="187">
        <f t="shared" si="21"/>
        <v>592.00675747963919</v>
      </c>
      <c r="L50" s="633"/>
      <c r="M50" s="186">
        <f>RANK(K50, K$47:$K$82)</f>
        <v>27</v>
      </c>
      <c r="N50" s="644"/>
      <c r="O50" s="634"/>
      <c r="P50" s="188">
        <v>5</v>
      </c>
      <c r="Q50" s="188">
        <v>2949.5702599682204</v>
      </c>
      <c r="R50" s="185">
        <f t="shared" si="18"/>
        <v>589.91405199364408</v>
      </c>
      <c r="S50" s="182">
        <f t="shared" si="22"/>
        <v>27</v>
      </c>
      <c r="T50" s="630"/>
      <c r="U50" s="188">
        <v>5</v>
      </c>
      <c r="V50" s="188">
        <v>2956.4267217299584</v>
      </c>
      <c r="W50" s="185">
        <f t="shared" si="19"/>
        <v>591.28534434599169</v>
      </c>
      <c r="X50" s="182">
        <f t="shared" si="23"/>
        <v>27</v>
      </c>
      <c r="Y50" s="630"/>
      <c r="Z50" s="188">
        <v>5</v>
      </c>
      <c r="AA50" s="188">
        <v>2957.7467217299582</v>
      </c>
      <c r="AB50" s="185">
        <f t="shared" si="24"/>
        <v>591.54934434599159</v>
      </c>
      <c r="AC50" s="182">
        <f t="shared" si="25"/>
        <v>27</v>
      </c>
      <c r="AD50" s="630"/>
      <c r="AE50" s="188">
        <v>5</v>
      </c>
      <c r="AF50" s="188">
        <v>2964.5393663371519</v>
      </c>
      <c r="AG50" s="185">
        <f t="shared" si="26"/>
        <v>592.90787326743043</v>
      </c>
      <c r="AH50" s="182">
        <f t="shared" si="27"/>
        <v>27</v>
      </c>
      <c r="AI50" s="630"/>
      <c r="AJ50" s="188">
        <v>5</v>
      </c>
      <c r="AK50" s="188">
        <v>2963.7644806740277</v>
      </c>
      <c r="AL50" s="185">
        <f t="shared" si="28"/>
        <v>592.7528961348055</v>
      </c>
      <c r="AM50" s="182">
        <f t="shared" si="29"/>
        <v>28</v>
      </c>
      <c r="AN50" s="630"/>
      <c r="AO50" s="188">
        <v>5</v>
      </c>
      <c r="AP50" s="188">
        <v>2963.7644806740273</v>
      </c>
      <c r="AQ50" s="185">
        <f t="shared" si="30"/>
        <v>592.7528961348055</v>
      </c>
      <c r="AR50" s="182">
        <f t="shared" si="31"/>
        <v>27</v>
      </c>
      <c r="AS50" s="630"/>
      <c r="AT50" s="188">
        <v>5</v>
      </c>
      <c r="AU50" s="188">
        <v>2964.4244806740276</v>
      </c>
      <c r="AV50" s="185">
        <f t="shared" si="32"/>
        <v>592.88489613480556</v>
      </c>
      <c r="AW50" s="182">
        <f t="shared" si="33"/>
        <v>27</v>
      </c>
      <c r="AX50" s="630"/>
    </row>
    <row r="51" spans="2:50" ht="14.25" customHeight="1">
      <c r="B51" s="631"/>
      <c r="C51" s="180">
        <v>5</v>
      </c>
      <c r="D51" s="183" t="s">
        <v>394</v>
      </c>
      <c r="E51" s="184">
        <v>3</v>
      </c>
      <c r="F51" s="180">
        <v>3600</v>
      </c>
      <c r="G51" s="185">
        <f t="shared" si="20"/>
        <v>1200</v>
      </c>
      <c r="H51" s="632"/>
      <c r="I51" s="186">
        <f t="shared" si="21"/>
        <v>3</v>
      </c>
      <c r="J51" s="186">
        <f t="shared" si="21"/>
        <v>3182.2268578745707</v>
      </c>
      <c r="K51" s="187">
        <f t="shared" si="21"/>
        <v>1060.7422859581902</v>
      </c>
      <c r="L51" s="633"/>
      <c r="M51" s="186">
        <f>RANK(K51, K$47:$K$82)</f>
        <v>4</v>
      </c>
      <c r="N51" s="644"/>
      <c r="O51" s="634"/>
      <c r="P51" s="188">
        <v>3</v>
      </c>
      <c r="Q51" s="188">
        <v>3183.7182864459987</v>
      </c>
      <c r="R51" s="185">
        <f t="shared" si="18"/>
        <v>1061.239428815333</v>
      </c>
      <c r="S51" s="182">
        <f t="shared" si="22"/>
        <v>4</v>
      </c>
      <c r="T51" s="630"/>
      <c r="U51" s="188">
        <v>3</v>
      </c>
      <c r="V51" s="188">
        <v>3182.9982864459994</v>
      </c>
      <c r="W51" s="185">
        <f t="shared" si="19"/>
        <v>1060.9994288153332</v>
      </c>
      <c r="X51" s="182">
        <f t="shared" si="23"/>
        <v>4</v>
      </c>
      <c r="Y51" s="630"/>
      <c r="Z51" s="188">
        <v>3</v>
      </c>
      <c r="AA51" s="188">
        <v>3181.9182864459995</v>
      </c>
      <c r="AB51" s="185">
        <f t="shared" si="24"/>
        <v>1060.6394288153331</v>
      </c>
      <c r="AC51" s="182">
        <f t="shared" si="25"/>
        <v>5</v>
      </c>
      <c r="AD51" s="630"/>
      <c r="AE51" s="188">
        <v>3</v>
      </c>
      <c r="AF51" s="188">
        <v>3180.8382864459991</v>
      </c>
      <c r="AG51" s="185">
        <f t="shared" si="26"/>
        <v>1060.2794288153329</v>
      </c>
      <c r="AH51" s="182">
        <f t="shared" si="27"/>
        <v>6</v>
      </c>
      <c r="AI51" s="630"/>
      <c r="AJ51" s="188">
        <v>3</v>
      </c>
      <c r="AK51" s="188">
        <v>3181.1982864459992</v>
      </c>
      <c r="AL51" s="185">
        <f t="shared" si="28"/>
        <v>1060.3994288153331</v>
      </c>
      <c r="AM51" s="182">
        <f t="shared" si="29"/>
        <v>4</v>
      </c>
      <c r="AN51" s="630"/>
      <c r="AO51" s="188">
        <v>3</v>
      </c>
      <c r="AP51" s="188">
        <v>3182.2782864459991</v>
      </c>
      <c r="AQ51" s="185">
        <f t="shared" si="30"/>
        <v>1060.759428815333</v>
      </c>
      <c r="AR51" s="182">
        <f t="shared" si="31"/>
        <v>5</v>
      </c>
      <c r="AS51" s="630"/>
      <c r="AT51" s="188">
        <v>3</v>
      </c>
      <c r="AU51" s="188">
        <v>3182.6382864459988</v>
      </c>
      <c r="AV51" s="185">
        <f t="shared" si="32"/>
        <v>1060.8794288153329</v>
      </c>
      <c r="AW51" s="182">
        <f t="shared" si="33"/>
        <v>6</v>
      </c>
      <c r="AX51" s="630"/>
    </row>
    <row r="52" spans="2:50" ht="14.25" customHeight="1">
      <c r="B52" s="631"/>
      <c r="C52" s="180">
        <v>6</v>
      </c>
      <c r="D52" s="183" t="s">
        <v>341</v>
      </c>
      <c r="E52" s="184">
        <v>4</v>
      </c>
      <c r="F52" s="180">
        <v>3600</v>
      </c>
      <c r="G52" s="185">
        <f t="shared" si="20"/>
        <v>900</v>
      </c>
      <c r="H52" s="632"/>
      <c r="I52" s="186">
        <f t="shared" si="21"/>
        <v>4</v>
      </c>
      <c r="J52" s="186">
        <f t="shared" si="21"/>
        <v>3181.9885714285747</v>
      </c>
      <c r="K52" s="187">
        <f t="shared" si="21"/>
        <v>795.49714285714367</v>
      </c>
      <c r="L52" s="633"/>
      <c r="M52" s="186">
        <f>RANK(K52, K$47:$K$82)</f>
        <v>17</v>
      </c>
      <c r="N52" s="644"/>
      <c r="O52" s="634"/>
      <c r="P52" s="188">
        <v>4</v>
      </c>
      <c r="Q52" s="188">
        <v>3184.9200000000028</v>
      </c>
      <c r="R52" s="185">
        <f t="shared" si="18"/>
        <v>796.2300000000007</v>
      </c>
      <c r="S52" s="182">
        <f t="shared" si="22"/>
        <v>17</v>
      </c>
      <c r="T52" s="630"/>
      <c r="U52" s="188">
        <v>4</v>
      </c>
      <c r="V52" s="188">
        <v>3183.4800000000032</v>
      </c>
      <c r="W52" s="185">
        <f t="shared" si="19"/>
        <v>795.8700000000008</v>
      </c>
      <c r="X52" s="182">
        <f t="shared" si="23"/>
        <v>17</v>
      </c>
      <c r="Y52" s="630"/>
      <c r="Z52" s="188">
        <v>4</v>
      </c>
      <c r="AA52" s="188">
        <v>3182.7600000000034</v>
      </c>
      <c r="AB52" s="185">
        <f t="shared" si="24"/>
        <v>795.69000000000085</v>
      </c>
      <c r="AC52" s="182">
        <f t="shared" si="25"/>
        <v>17</v>
      </c>
      <c r="AD52" s="630"/>
      <c r="AE52" s="188">
        <v>4</v>
      </c>
      <c r="AF52" s="188">
        <v>3181.3200000000038</v>
      </c>
      <c r="AG52" s="185">
        <f t="shared" si="26"/>
        <v>795.33000000000095</v>
      </c>
      <c r="AH52" s="182">
        <f t="shared" si="27"/>
        <v>17</v>
      </c>
      <c r="AI52" s="630"/>
      <c r="AJ52" s="188">
        <v>4</v>
      </c>
      <c r="AK52" s="188">
        <v>3179.5200000000041</v>
      </c>
      <c r="AL52" s="185">
        <f t="shared" si="28"/>
        <v>794.88000000000102</v>
      </c>
      <c r="AM52" s="182">
        <f t="shared" si="29"/>
        <v>17</v>
      </c>
      <c r="AN52" s="630"/>
      <c r="AO52" s="188">
        <v>4</v>
      </c>
      <c r="AP52" s="188">
        <v>3180.9600000000037</v>
      </c>
      <c r="AQ52" s="185">
        <f t="shared" si="30"/>
        <v>795.24000000000092</v>
      </c>
      <c r="AR52" s="182">
        <f t="shared" si="31"/>
        <v>17</v>
      </c>
      <c r="AS52" s="630"/>
      <c r="AT52" s="188">
        <v>4</v>
      </c>
      <c r="AU52" s="188">
        <v>3180.9600000000037</v>
      </c>
      <c r="AV52" s="185">
        <f t="shared" si="32"/>
        <v>795.24000000000092</v>
      </c>
      <c r="AW52" s="182">
        <f t="shared" si="33"/>
        <v>17</v>
      </c>
      <c r="AX52" s="630"/>
    </row>
    <row r="53" spans="2:50" ht="14.25" customHeight="1">
      <c r="B53" s="631"/>
      <c r="C53" s="180">
        <v>7</v>
      </c>
      <c r="D53" s="183" t="s">
        <v>396</v>
      </c>
      <c r="E53" s="184">
        <v>3</v>
      </c>
      <c r="F53" s="180">
        <v>3600</v>
      </c>
      <c r="G53" s="185">
        <f t="shared" si="20"/>
        <v>1200</v>
      </c>
      <c r="H53" s="632"/>
      <c r="I53" s="186">
        <f t="shared" si="21"/>
        <v>3</v>
      </c>
      <c r="J53" s="186">
        <f t="shared" si="21"/>
        <v>3185.0316216428901</v>
      </c>
      <c r="K53" s="187">
        <f t="shared" si="21"/>
        <v>1061.6772072142969</v>
      </c>
      <c r="L53" s="633"/>
      <c r="M53" s="186">
        <f>RANK(K53, K$47:$K$82)</f>
        <v>2</v>
      </c>
      <c r="N53" s="644"/>
      <c r="O53" s="634"/>
      <c r="P53" s="188">
        <v>3</v>
      </c>
      <c r="Q53" s="188">
        <v>3185.1859073571763</v>
      </c>
      <c r="R53" s="185">
        <f t="shared" si="18"/>
        <v>1061.7286357857254</v>
      </c>
      <c r="S53" s="182">
        <f t="shared" si="22"/>
        <v>2</v>
      </c>
      <c r="T53" s="630"/>
      <c r="U53" s="188">
        <v>3</v>
      </c>
      <c r="V53" s="188">
        <v>3184.8259073571762</v>
      </c>
      <c r="W53" s="185">
        <f t="shared" si="19"/>
        <v>1061.6086357857255</v>
      </c>
      <c r="X53" s="182">
        <f t="shared" si="23"/>
        <v>3</v>
      </c>
      <c r="Y53" s="630"/>
      <c r="Z53" s="188">
        <v>3</v>
      </c>
      <c r="AA53" s="188">
        <v>3185.1859073571759</v>
      </c>
      <c r="AB53" s="185">
        <f t="shared" si="24"/>
        <v>1061.7286357857254</v>
      </c>
      <c r="AC53" s="182">
        <f t="shared" si="25"/>
        <v>2</v>
      </c>
      <c r="AD53" s="630"/>
      <c r="AE53" s="188">
        <v>3</v>
      </c>
      <c r="AF53" s="188">
        <v>3185.1859073571759</v>
      </c>
      <c r="AG53" s="185">
        <f t="shared" si="26"/>
        <v>1061.7286357857254</v>
      </c>
      <c r="AH53" s="182">
        <f t="shared" si="27"/>
        <v>2</v>
      </c>
      <c r="AI53" s="630"/>
      <c r="AJ53" s="188">
        <v>3</v>
      </c>
      <c r="AK53" s="188">
        <v>3185.9059073571761</v>
      </c>
      <c r="AL53" s="185">
        <f t="shared" si="28"/>
        <v>1061.9686357857254</v>
      </c>
      <c r="AM53" s="182">
        <f t="shared" si="29"/>
        <v>2</v>
      </c>
      <c r="AN53" s="630"/>
      <c r="AO53" s="188">
        <v>3</v>
      </c>
      <c r="AP53" s="188">
        <v>3184.4659073571761</v>
      </c>
      <c r="AQ53" s="185">
        <f t="shared" si="30"/>
        <v>1061.4886357857254</v>
      </c>
      <c r="AR53" s="182">
        <f t="shared" si="31"/>
        <v>3</v>
      </c>
      <c r="AS53" s="630"/>
      <c r="AT53" s="188">
        <v>3</v>
      </c>
      <c r="AU53" s="188">
        <v>3184.4659073571761</v>
      </c>
      <c r="AV53" s="185">
        <f t="shared" si="32"/>
        <v>1061.4886357857254</v>
      </c>
      <c r="AW53" s="182">
        <f t="shared" si="33"/>
        <v>3</v>
      </c>
      <c r="AX53" s="630"/>
    </row>
    <row r="54" spans="2:50" ht="14.25" customHeight="1">
      <c r="B54" s="631"/>
      <c r="C54" s="180">
        <v>8</v>
      </c>
      <c r="D54" s="183" t="s">
        <v>395</v>
      </c>
      <c r="E54" s="184">
        <v>5</v>
      </c>
      <c r="F54" s="180">
        <v>3600</v>
      </c>
      <c r="G54" s="185">
        <f t="shared" si="20"/>
        <v>720</v>
      </c>
      <c r="H54" s="632"/>
      <c r="I54" s="186">
        <f t="shared" si="21"/>
        <v>5</v>
      </c>
      <c r="J54" s="186">
        <f t="shared" si="21"/>
        <v>3185.6734427141441</v>
      </c>
      <c r="K54" s="187">
        <f t="shared" si="21"/>
        <v>637.1346885428286</v>
      </c>
      <c r="L54" s="633"/>
      <c r="M54" s="186">
        <f>RANK(K54, K$47:$K$82)</f>
        <v>24</v>
      </c>
      <c r="N54" s="644"/>
      <c r="O54" s="634"/>
      <c r="P54" s="188">
        <v>5</v>
      </c>
      <c r="Q54" s="188">
        <v>3187.0620141427162</v>
      </c>
      <c r="R54" s="185">
        <f t="shared" si="18"/>
        <v>637.41240282854324</v>
      </c>
      <c r="S54" s="182">
        <f t="shared" si="22"/>
        <v>23</v>
      </c>
      <c r="T54" s="630"/>
      <c r="U54" s="188">
        <v>5</v>
      </c>
      <c r="V54" s="188">
        <v>3185.2620141427155</v>
      </c>
      <c r="W54" s="185">
        <f t="shared" si="19"/>
        <v>637.05240282854311</v>
      </c>
      <c r="X54" s="182">
        <f t="shared" si="23"/>
        <v>25</v>
      </c>
      <c r="Y54" s="630"/>
      <c r="Z54" s="188">
        <v>5</v>
      </c>
      <c r="AA54" s="188">
        <v>3185.6220141427152</v>
      </c>
      <c r="AB54" s="185">
        <f t="shared" si="24"/>
        <v>637.124402828543</v>
      </c>
      <c r="AC54" s="182">
        <f t="shared" si="25"/>
        <v>25</v>
      </c>
      <c r="AD54" s="630"/>
      <c r="AE54" s="188">
        <v>5</v>
      </c>
      <c r="AF54" s="188">
        <v>3184.902014142715</v>
      </c>
      <c r="AG54" s="185">
        <f t="shared" si="26"/>
        <v>636.98040282854299</v>
      </c>
      <c r="AH54" s="182">
        <f t="shared" si="27"/>
        <v>25</v>
      </c>
      <c r="AI54" s="630"/>
      <c r="AJ54" s="188">
        <v>5</v>
      </c>
      <c r="AK54" s="188">
        <v>3185.9820141427149</v>
      </c>
      <c r="AL54" s="185">
        <f t="shared" si="28"/>
        <v>637.196402828543</v>
      </c>
      <c r="AM54" s="182">
        <f t="shared" si="29"/>
        <v>22</v>
      </c>
      <c r="AN54" s="630"/>
      <c r="AO54" s="188">
        <v>5</v>
      </c>
      <c r="AP54" s="188">
        <v>3184.9020141427145</v>
      </c>
      <c r="AQ54" s="185">
        <f t="shared" si="30"/>
        <v>636.98040282854288</v>
      </c>
      <c r="AR54" s="182">
        <f t="shared" si="31"/>
        <v>24</v>
      </c>
      <c r="AS54" s="630"/>
      <c r="AT54" s="188">
        <v>5</v>
      </c>
      <c r="AU54" s="188">
        <v>3185.982014142714</v>
      </c>
      <c r="AV54" s="185">
        <f t="shared" si="32"/>
        <v>637.19640282854277</v>
      </c>
      <c r="AW54" s="182">
        <f t="shared" si="33"/>
        <v>23</v>
      </c>
      <c r="AX54" s="630"/>
    </row>
    <row r="55" spans="2:50" ht="14.25" customHeight="1">
      <c r="B55" s="631"/>
      <c r="C55" s="180">
        <v>9</v>
      </c>
      <c r="D55" s="183" t="s">
        <v>393</v>
      </c>
      <c r="E55" s="184">
        <v>5</v>
      </c>
      <c r="F55" s="180">
        <v>3600</v>
      </c>
      <c r="G55" s="185">
        <f t="shared" si="20"/>
        <v>720</v>
      </c>
      <c r="H55" s="632"/>
      <c r="I55" s="186">
        <f t="shared" si="21"/>
        <v>5</v>
      </c>
      <c r="J55" s="186">
        <f t="shared" si="21"/>
        <v>3187.0204088215182</v>
      </c>
      <c r="K55" s="187">
        <f t="shared" si="21"/>
        <v>637.40408176430367</v>
      </c>
      <c r="L55" s="633"/>
      <c r="M55" s="186">
        <f>RANK(K55, K$47:$K$82)</f>
        <v>21</v>
      </c>
      <c r="N55" s="644"/>
      <c r="O55" s="634"/>
      <c r="P55" s="188">
        <v>5</v>
      </c>
      <c r="Q55" s="188">
        <v>3186.7118373929461</v>
      </c>
      <c r="R55" s="185">
        <f t="shared" si="18"/>
        <v>637.34236747858927</v>
      </c>
      <c r="S55" s="182">
        <f t="shared" si="22"/>
        <v>24</v>
      </c>
      <c r="T55" s="630"/>
      <c r="U55" s="188">
        <v>5</v>
      </c>
      <c r="V55" s="188">
        <v>3188.5118373929467</v>
      </c>
      <c r="W55" s="185">
        <f t="shared" si="19"/>
        <v>637.70236747858939</v>
      </c>
      <c r="X55" s="182">
        <f t="shared" si="23"/>
        <v>20</v>
      </c>
      <c r="Y55" s="630"/>
      <c r="Z55" s="188">
        <v>5</v>
      </c>
      <c r="AA55" s="188">
        <v>3187.0718373929471</v>
      </c>
      <c r="AB55" s="185">
        <f t="shared" si="24"/>
        <v>637.41436747858938</v>
      </c>
      <c r="AC55" s="182">
        <f t="shared" si="25"/>
        <v>20</v>
      </c>
      <c r="AD55" s="630"/>
      <c r="AE55" s="188">
        <v>5</v>
      </c>
      <c r="AF55" s="188">
        <v>3187.0718373929467</v>
      </c>
      <c r="AG55" s="185">
        <f t="shared" si="26"/>
        <v>637.41436747858938</v>
      </c>
      <c r="AH55" s="182">
        <f t="shared" si="27"/>
        <v>21</v>
      </c>
      <c r="AI55" s="630"/>
      <c r="AJ55" s="188">
        <v>5</v>
      </c>
      <c r="AK55" s="188">
        <v>3186.711837392947</v>
      </c>
      <c r="AL55" s="185">
        <f t="shared" si="28"/>
        <v>637.34236747858938</v>
      </c>
      <c r="AM55" s="182">
        <f t="shared" si="29"/>
        <v>21</v>
      </c>
      <c r="AN55" s="630"/>
      <c r="AO55" s="188">
        <v>5</v>
      </c>
      <c r="AP55" s="188">
        <v>3186.711837392947</v>
      </c>
      <c r="AQ55" s="185">
        <f t="shared" si="30"/>
        <v>637.34236747858938</v>
      </c>
      <c r="AR55" s="182">
        <f t="shared" si="31"/>
        <v>21</v>
      </c>
      <c r="AS55" s="630"/>
      <c r="AT55" s="188">
        <v>5</v>
      </c>
      <c r="AU55" s="188">
        <v>3186.3518373929473</v>
      </c>
      <c r="AV55" s="185">
        <f t="shared" si="32"/>
        <v>637.27036747858949</v>
      </c>
      <c r="AW55" s="182">
        <f t="shared" si="33"/>
        <v>21</v>
      </c>
      <c r="AX55" s="630"/>
    </row>
    <row r="56" spans="2:50" ht="14.25" customHeight="1">
      <c r="B56" s="631"/>
      <c r="C56" s="180">
        <v>10</v>
      </c>
      <c r="D56" s="183" t="s">
        <v>228</v>
      </c>
      <c r="E56" s="184">
        <v>3</v>
      </c>
      <c r="F56" s="180">
        <v>3000</v>
      </c>
      <c r="G56" s="185">
        <f t="shared" si="20"/>
        <v>1000</v>
      </c>
      <c r="H56" s="632"/>
      <c r="I56" s="186">
        <f t="shared" si="21"/>
        <v>3</v>
      </c>
      <c r="J56" s="186">
        <f t="shared" si="21"/>
        <v>2705.5247631046536</v>
      </c>
      <c r="K56" s="187">
        <f t="shared" si="21"/>
        <v>901.84158770155113</v>
      </c>
      <c r="L56" s="633"/>
      <c r="M56" s="186">
        <f>RANK(K56, K$47:$K$82)</f>
        <v>13</v>
      </c>
      <c r="N56" s="644"/>
      <c r="O56" s="634"/>
      <c r="P56" s="188">
        <v>3</v>
      </c>
      <c r="Q56" s="188">
        <v>2705.1987012986983</v>
      </c>
      <c r="R56" s="185">
        <f t="shared" si="18"/>
        <v>901.73290043289944</v>
      </c>
      <c r="S56" s="182">
        <f t="shared" si="22"/>
        <v>13</v>
      </c>
      <c r="T56" s="630"/>
      <c r="U56" s="188">
        <v>3</v>
      </c>
      <c r="V56" s="188">
        <v>2706.098701298698</v>
      </c>
      <c r="W56" s="185">
        <f t="shared" si="19"/>
        <v>902.03290043289928</v>
      </c>
      <c r="X56" s="182">
        <f t="shared" si="23"/>
        <v>11</v>
      </c>
      <c r="Y56" s="630"/>
      <c r="Z56" s="188">
        <v>3</v>
      </c>
      <c r="AA56" s="188">
        <v>2706.3987012986981</v>
      </c>
      <c r="AB56" s="185">
        <f t="shared" si="24"/>
        <v>902.13290043289942</v>
      </c>
      <c r="AC56" s="182">
        <f t="shared" si="25"/>
        <v>12</v>
      </c>
      <c r="AD56" s="630"/>
      <c r="AE56" s="188">
        <v>3</v>
      </c>
      <c r="AF56" s="188">
        <v>2705.7987012986987</v>
      </c>
      <c r="AG56" s="185">
        <f t="shared" si="26"/>
        <v>901.9329004328996</v>
      </c>
      <c r="AH56" s="182">
        <f t="shared" si="27"/>
        <v>12</v>
      </c>
      <c r="AI56" s="630"/>
      <c r="AJ56" s="188">
        <v>3</v>
      </c>
      <c r="AK56" s="188">
        <v>2705.1987012986992</v>
      </c>
      <c r="AL56" s="185">
        <f t="shared" si="28"/>
        <v>901.73290043289978</v>
      </c>
      <c r="AM56" s="182">
        <f t="shared" si="29"/>
        <v>12</v>
      </c>
      <c r="AN56" s="630"/>
      <c r="AO56" s="188">
        <v>3</v>
      </c>
      <c r="AP56" s="188">
        <v>2705.3920703794302</v>
      </c>
      <c r="AQ56" s="185">
        <f t="shared" si="30"/>
        <v>901.79735679314342</v>
      </c>
      <c r="AR56" s="182">
        <f t="shared" si="31"/>
        <v>12</v>
      </c>
      <c r="AS56" s="630"/>
      <c r="AT56" s="188">
        <v>3</v>
      </c>
      <c r="AU56" s="188">
        <v>2704.5877648596515</v>
      </c>
      <c r="AV56" s="185">
        <f t="shared" si="32"/>
        <v>901.52925495321722</v>
      </c>
      <c r="AW56" s="182">
        <f t="shared" si="33"/>
        <v>13</v>
      </c>
      <c r="AX56" s="630"/>
    </row>
    <row r="57" spans="2:50" ht="14.25" customHeight="1">
      <c r="B57" s="631"/>
      <c r="C57" s="180">
        <v>11</v>
      </c>
      <c r="D57" s="183" t="s">
        <v>449</v>
      </c>
      <c r="E57" s="184">
        <v>12</v>
      </c>
      <c r="F57" s="180">
        <v>3600</v>
      </c>
      <c r="G57" s="185">
        <f t="shared" si="20"/>
        <v>300</v>
      </c>
      <c r="H57" s="632"/>
      <c r="I57" s="186">
        <f t="shared" si="21"/>
        <v>12</v>
      </c>
      <c r="J57" s="186">
        <f t="shared" si="21"/>
        <v>3119.7434433320341</v>
      </c>
      <c r="K57" s="187">
        <f t="shared" si="21"/>
        <v>259.97862027766951</v>
      </c>
      <c r="L57" s="633"/>
      <c r="M57" s="186">
        <f>RANK(K57, K$47:$K$82)</f>
        <v>32</v>
      </c>
      <c r="N57" s="644"/>
      <c r="O57" s="634"/>
      <c r="P57" s="188">
        <v>12</v>
      </c>
      <c r="Q57" s="188">
        <v>3122.0500905834065</v>
      </c>
      <c r="R57" s="185">
        <f t="shared" si="18"/>
        <v>260.17084088195054</v>
      </c>
      <c r="S57" s="182">
        <f t="shared" si="22"/>
        <v>32</v>
      </c>
      <c r="T57" s="630"/>
      <c r="U57" s="188">
        <v>12</v>
      </c>
      <c r="V57" s="188">
        <v>3120.9700905834065</v>
      </c>
      <c r="W57" s="185">
        <f t="shared" si="19"/>
        <v>260.08084088195056</v>
      </c>
      <c r="X57" s="182">
        <f t="shared" si="23"/>
        <v>32</v>
      </c>
      <c r="Y57" s="630"/>
      <c r="Z57" s="188">
        <v>12</v>
      </c>
      <c r="AA57" s="188">
        <v>3120.970090583407</v>
      </c>
      <c r="AB57" s="185">
        <f t="shared" si="24"/>
        <v>260.08084088195056</v>
      </c>
      <c r="AC57" s="182">
        <f t="shared" si="25"/>
        <v>32</v>
      </c>
      <c r="AD57" s="630"/>
      <c r="AE57" s="188">
        <v>12</v>
      </c>
      <c r="AF57" s="188">
        <v>3119.5300905834065</v>
      </c>
      <c r="AG57" s="185">
        <f t="shared" si="26"/>
        <v>259.96084088195056</v>
      </c>
      <c r="AH57" s="182">
        <f t="shared" si="27"/>
        <v>32</v>
      </c>
      <c r="AI57" s="630"/>
      <c r="AJ57" s="188">
        <v>12</v>
      </c>
      <c r="AK57" s="188">
        <v>3120.1966670650145</v>
      </c>
      <c r="AL57" s="185">
        <f t="shared" si="28"/>
        <v>260.01638892208456</v>
      </c>
      <c r="AM57" s="182">
        <f t="shared" si="29"/>
        <v>32</v>
      </c>
      <c r="AN57" s="630"/>
      <c r="AO57" s="188">
        <v>12</v>
      </c>
      <c r="AP57" s="188">
        <v>3117.603536962798</v>
      </c>
      <c r="AQ57" s="185">
        <f t="shared" si="30"/>
        <v>259.80029474689985</v>
      </c>
      <c r="AR57" s="182">
        <f t="shared" si="31"/>
        <v>32</v>
      </c>
      <c r="AS57" s="630"/>
      <c r="AT57" s="188">
        <v>12</v>
      </c>
      <c r="AU57" s="188">
        <v>3116.8835369627982</v>
      </c>
      <c r="AV57" s="185">
        <f t="shared" si="32"/>
        <v>259.74029474689985</v>
      </c>
      <c r="AW57" s="182">
        <f t="shared" si="33"/>
        <v>32</v>
      </c>
      <c r="AX57" s="630"/>
    </row>
    <row r="58" spans="2:50" ht="14.25" customHeight="1">
      <c r="B58" s="631"/>
      <c r="C58" s="180">
        <v>12</v>
      </c>
      <c r="D58" s="183" t="s">
        <v>471</v>
      </c>
      <c r="E58" s="184">
        <v>3</v>
      </c>
      <c r="F58" s="180">
        <v>3300</v>
      </c>
      <c r="G58" s="185">
        <f t="shared" si="20"/>
        <v>1100</v>
      </c>
      <c r="H58" s="632"/>
      <c r="I58" s="186">
        <f t="shared" si="21"/>
        <v>3</v>
      </c>
      <c r="J58" s="186">
        <f t="shared" si="21"/>
        <v>2979.6528243491834</v>
      </c>
      <c r="K58" s="187">
        <f t="shared" si="21"/>
        <v>993.21760811639433</v>
      </c>
      <c r="L58" s="633"/>
      <c r="M58" s="186">
        <f>RANK(K58, K$47:$K$82)</f>
        <v>10</v>
      </c>
      <c r="N58" s="644"/>
      <c r="O58" s="634"/>
      <c r="P58" s="188">
        <v>3</v>
      </c>
      <c r="Q58" s="188">
        <v>2980.2185386348983</v>
      </c>
      <c r="R58" s="185">
        <f t="shared" si="18"/>
        <v>993.40617954496611</v>
      </c>
      <c r="S58" s="182">
        <f t="shared" si="22"/>
        <v>9</v>
      </c>
      <c r="T58" s="630"/>
      <c r="U58" s="188">
        <v>3</v>
      </c>
      <c r="V58" s="188">
        <v>2978.8985386348977</v>
      </c>
      <c r="W58" s="185">
        <f t="shared" si="19"/>
        <v>992.96617954496594</v>
      </c>
      <c r="X58" s="182">
        <f t="shared" si="23"/>
        <v>10</v>
      </c>
      <c r="Y58" s="630"/>
      <c r="Z58" s="188">
        <v>3</v>
      </c>
      <c r="AA58" s="188">
        <v>2978.5685386348978</v>
      </c>
      <c r="AB58" s="185">
        <f t="shared" si="24"/>
        <v>992.85617954496593</v>
      </c>
      <c r="AC58" s="182">
        <f t="shared" si="25"/>
        <v>10</v>
      </c>
      <c r="AD58" s="630"/>
      <c r="AE58" s="188">
        <v>3</v>
      </c>
      <c r="AF58" s="188">
        <v>2979.2285386348972</v>
      </c>
      <c r="AG58" s="185">
        <f t="shared" si="26"/>
        <v>993.07617954496573</v>
      </c>
      <c r="AH58" s="182">
        <f t="shared" si="27"/>
        <v>10</v>
      </c>
      <c r="AI58" s="630"/>
      <c r="AJ58" s="188">
        <v>3</v>
      </c>
      <c r="AK58" s="188">
        <v>2979.888538634897</v>
      </c>
      <c r="AL58" s="185">
        <f t="shared" si="28"/>
        <v>993.29617954496564</v>
      </c>
      <c r="AM58" s="182">
        <f t="shared" si="29"/>
        <v>10</v>
      </c>
      <c r="AN58" s="630"/>
      <c r="AO58" s="188">
        <v>3</v>
      </c>
      <c r="AP58" s="188">
        <v>2979.8885386348966</v>
      </c>
      <c r="AQ58" s="185">
        <f t="shared" si="30"/>
        <v>993.29617954496553</v>
      </c>
      <c r="AR58" s="182">
        <f t="shared" si="31"/>
        <v>9</v>
      </c>
      <c r="AS58" s="630"/>
      <c r="AT58" s="188">
        <v>3</v>
      </c>
      <c r="AU58" s="188">
        <v>2980.8785386348973</v>
      </c>
      <c r="AV58" s="185">
        <f t="shared" si="32"/>
        <v>993.62617954496579</v>
      </c>
      <c r="AW58" s="182">
        <f t="shared" si="33"/>
        <v>9</v>
      </c>
      <c r="AX58" s="630"/>
    </row>
    <row r="59" spans="2:50" ht="14.25" customHeight="1">
      <c r="B59" s="631"/>
      <c r="C59" s="180">
        <v>13</v>
      </c>
      <c r="D59" s="183" t="s">
        <v>582</v>
      </c>
      <c r="E59" s="184">
        <v>5</v>
      </c>
      <c r="F59" s="180">
        <v>3600</v>
      </c>
      <c r="G59" s="185">
        <f t="shared" si="20"/>
        <v>720</v>
      </c>
      <c r="H59" s="632"/>
      <c r="I59" s="186">
        <f t="shared" si="21"/>
        <v>5</v>
      </c>
      <c r="J59" s="186">
        <f t="shared" si="21"/>
        <v>3185.5817676749116</v>
      </c>
      <c r="K59" s="187">
        <f t="shared" si="21"/>
        <v>637.11635353498241</v>
      </c>
      <c r="L59" s="633"/>
      <c r="M59" s="186">
        <f>RANK(K59, K$47:$K$82)</f>
        <v>25</v>
      </c>
      <c r="N59" s="644"/>
      <c r="O59" s="634"/>
      <c r="P59" s="188">
        <v>5</v>
      </c>
      <c r="Q59" s="188">
        <v>3187.8960533891977</v>
      </c>
      <c r="R59" s="185">
        <f t="shared" si="18"/>
        <v>637.57921067783957</v>
      </c>
      <c r="S59" s="182">
        <f t="shared" si="22"/>
        <v>20</v>
      </c>
      <c r="T59" s="630"/>
      <c r="U59" s="188">
        <v>5</v>
      </c>
      <c r="V59" s="188">
        <v>3187.8960533891973</v>
      </c>
      <c r="W59" s="185">
        <f t="shared" si="19"/>
        <v>637.57921067783946</v>
      </c>
      <c r="X59" s="182">
        <f t="shared" si="23"/>
        <v>21</v>
      </c>
      <c r="Y59" s="630"/>
      <c r="Z59" s="188">
        <v>5</v>
      </c>
      <c r="AA59" s="188">
        <v>3186.4560533891972</v>
      </c>
      <c r="AB59" s="185">
        <f t="shared" si="24"/>
        <v>637.29121067783944</v>
      </c>
      <c r="AC59" s="182">
        <f t="shared" si="25"/>
        <v>22</v>
      </c>
      <c r="AD59" s="630"/>
      <c r="AE59" s="188">
        <v>5</v>
      </c>
      <c r="AF59" s="188">
        <v>3185.7360533891974</v>
      </c>
      <c r="AG59" s="185">
        <f t="shared" si="26"/>
        <v>637.14721067783944</v>
      </c>
      <c r="AH59" s="182">
        <f t="shared" si="27"/>
        <v>22</v>
      </c>
      <c r="AI59" s="630"/>
      <c r="AJ59" s="188">
        <v>5</v>
      </c>
      <c r="AK59" s="188">
        <v>3184.6560533891975</v>
      </c>
      <c r="AL59" s="185">
        <f t="shared" si="28"/>
        <v>636.93121067783954</v>
      </c>
      <c r="AM59" s="182">
        <f t="shared" si="29"/>
        <v>25</v>
      </c>
      <c r="AN59" s="630"/>
      <c r="AO59" s="188">
        <v>5</v>
      </c>
      <c r="AP59" s="188">
        <v>3183.576053389198</v>
      </c>
      <c r="AQ59" s="185">
        <f t="shared" si="30"/>
        <v>636.71521067783965</v>
      </c>
      <c r="AR59" s="182">
        <f t="shared" si="31"/>
        <v>25</v>
      </c>
      <c r="AS59" s="630"/>
      <c r="AT59" s="188">
        <v>5</v>
      </c>
      <c r="AU59" s="188">
        <v>3182.8560533891987</v>
      </c>
      <c r="AV59" s="185">
        <f t="shared" si="32"/>
        <v>636.57121067783976</v>
      </c>
      <c r="AW59" s="182">
        <f t="shared" si="33"/>
        <v>25</v>
      </c>
      <c r="AX59" s="630"/>
    </row>
    <row r="60" spans="2:50" ht="14.25" customHeight="1">
      <c r="B60" s="631"/>
      <c r="C60" s="180">
        <v>14</v>
      </c>
      <c r="D60" s="183" t="s">
        <v>604</v>
      </c>
      <c r="E60" s="184">
        <v>3</v>
      </c>
      <c r="F60" s="180">
        <v>3600</v>
      </c>
      <c r="G60" s="185">
        <f t="shared" si="20"/>
        <v>1200</v>
      </c>
      <c r="H60" s="632"/>
      <c r="I60" s="186">
        <f t="shared" si="21"/>
        <v>3</v>
      </c>
      <c r="J60" s="186">
        <f t="shared" si="21"/>
        <v>3177.3440686679014</v>
      </c>
      <c r="K60" s="187">
        <f t="shared" si="21"/>
        <v>1059.1146895559671</v>
      </c>
      <c r="L60" s="633"/>
      <c r="M60" s="186">
        <f>RANK(K60, K$47:$K$82)</f>
        <v>8</v>
      </c>
      <c r="N60" s="644"/>
      <c r="O60" s="634"/>
      <c r="P60" s="188">
        <v>3</v>
      </c>
      <c r="Q60" s="188">
        <v>3179.3101617028851</v>
      </c>
      <c r="R60" s="185">
        <f t="shared" si="18"/>
        <v>1059.7700539009618</v>
      </c>
      <c r="S60" s="182">
        <f t="shared" si="22"/>
        <v>6</v>
      </c>
      <c r="T60" s="630"/>
      <c r="U60" s="188">
        <v>3</v>
      </c>
      <c r="V60" s="188">
        <v>3178.9501617028859</v>
      </c>
      <c r="W60" s="185">
        <f t="shared" si="19"/>
        <v>1059.6500539009619</v>
      </c>
      <c r="X60" s="182">
        <f t="shared" si="23"/>
        <v>6</v>
      </c>
      <c r="Y60" s="630"/>
      <c r="Z60" s="188">
        <v>3</v>
      </c>
      <c r="AA60" s="188">
        <v>3178.2301617028852</v>
      </c>
      <c r="AB60" s="185">
        <f t="shared" si="24"/>
        <v>1059.4100539009617</v>
      </c>
      <c r="AC60" s="182">
        <f t="shared" si="25"/>
        <v>7</v>
      </c>
      <c r="AD60" s="630"/>
      <c r="AE60" s="188">
        <v>3</v>
      </c>
      <c r="AF60" s="188">
        <v>3176.7901617028851</v>
      </c>
      <c r="AG60" s="185">
        <f t="shared" si="26"/>
        <v>1058.9300539009616</v>
      </c>
      <c r="AH60" s="182">
        <f t="shared" si="27"/>
        <v>7</v>
      </c>
      <c r="AI60" s="630"/>
      <c r="AJ60" s="188">
        <v>3</v>
      </c>
      <c r="AK60" s="188">
        <v>3174.990161702885</v>
      </c>
      <c r="AL60" s="185">
        <f t="shared" si="28"/>
        <v>1058.3300539009617</v>
      </c>
      <c r="AM60" s="182">
        <f t="shared" si="29"/>
        <v>7</v>
      </c>
      <c r="AN60" s="630"/>
      <c r="AO60" s="188">
        <v>3</v>
      </c>
      <c r="AP60" s="188">
        <v>3175.3501617028851</v>
      </c>
      <c r="AQ60" s="185">
        <f t="shared" si="30"/>
        <v>1058.4500539009616</v>
      </c>
      <c r="AR60" s="182">
        <f t="shared" si="31"/>
        <v>8</v>
      </c>
      <c r="AS60" s="630"/>
      <c r="AT60" s="188">
        <v>3</v>
      </c>
      <c r="AU60" s="188">
        <v>3177.7875104579944</v>
      </c>
      <c r="AV60" s="185">
        <f t="shared" si="32"/>
        <v>1059.2625034859982</v>
      </c>
      <c r="AW60" s="182">
        <f t="shared" si="33"/>
        <v>8</v>
      </c>
      <c r="AX60" s="630"/>
    </row>
    <row r="61" spans="2:50" ht="14.25" customHeight="1">
      <c r="B61" s="631"/>
      <c r="C61" s="180">
        <v>15</v>
      </c>
      <c r="D61" s="183" t="s">
        <v>583</v>
      </c>
      <c r="E61" s="184">
        <v>5</v>
      </c>
      <c r="F61" s="180">
        <v>3600</v>
      </c>
      <c r="G61" s="185">
        <f t="shared" si="20"/>
        <v>720</v>
      </c>
      <c r="H61" s="632"/>
      <c r="I61" s="186">
        <f t="shared" si="21"/>
        <v>5</v>
      </c>
      <c r="J61" s="186">
        <f t="shared" si="21"/>
        <v>3181.7089709552429</v>
      </c>
      <c r="K61" s="187">
        <f t="shared" si="21"/>
        <v>636.34179419104851</v>
      </c>
      <c r="L61" s="633"/>
      <c r="M61" s="186">
        <f>RANK(K61, K$47:$K$82)</f>
        <v>26</v>
      </c>
      <c r="N61" s="644"/>
      <c r="O61" s="634"/>
      <c r="P61" s="188">
        <v>5</v>
      </c>
      <c r="Q61" s="188">
        <v>3182.0175423838132</v>
      </c>
      <c r="R61" s="185">
        <f t="shared" si="18"/>
        <v>636.40350847676268</v>
      </c>
      <c r="S61" s="182">
        <f t="shared" si="22"/>
        <v>26</v>
      </c>
      <c r="T61" s="630"/>
      <c r="U61" s="188">
        <v>5</v>
      </c>
      <c r="V61" s="188">
        <v>3182.0175423838136</v>
      </c>
      <c r="W61" s="185">
        <f t="shared" si="19"/>
        <v>636.40350847676268</v>
      </c>
      <c r="X61" s="182">
        <f t="shared" si="23"/>
        <v>26</v>
      </c>
      <c r="Y61" s="630"/>
      <c r="Z61" s="188">
        <v>5</v>
      </c>
      <c r="AA61" s="188">
        <v>3180.9375423838137</v>
      </c>
      <c r="AB61" s="185">
        <f t="shared" si="24"/>
        <v>636.18750847676279</v>
      </c>
      <c r="AC61" s="182">
        <f t="shared" si="25"/>
        <v>26</v>
      </c>
      <c r="AD61" s="630"/>
      <c r="AE61" s="188">
        <v>5</v>
      </c>
      <c r="AF61" s="188">
        <v>3182.3775423838138</v>
      </c>
      <c r="AG61" s="185">
        <f t="shared" si="26"/>
        <v>636.4755084767628</v>
      </c>
      <c r="AH61" s="182">
        <f t="shared" si="27"/>
        <v>26</v>
      </c>
      <c r="AI61" s="630"/>
      <c r="AJ61" s="188">
        <v>5</v>
      </c>
      <c r="AK61" s="188">
        <v>3182.3775423838138</v>
      </c>
      <c r="AL61" s="185">
        <f t="shared" si="28"/>
        <v>636.4755084767628</v>
      </c>
      <c r="AM61" s="182">
        <f t="shared" si="29"/>
        <v>26</v>
      </c>
      <c r="AN61" s="630"/>
      <c r="AO61" s="188">
        <v>5</v>
      </c>
      <c r="AP61" s="188">
        <v>3181.6575423838144</v>
      </c>
      <c r="AQ61" s="185">
        <f t="shared" si="30"/>
        <v>636.33150847676291</v>
      </c>
      <c r="AR61" s="182">
        <f t="shared" si="31"/>
        <v>26</v>
      </c>
      <c r="AS61" s="630"/>
      <c r="AT61" s="188">
        <v>5</v>
      </c>
      <c r="AU61" s="188">
        <v>3180.5775423838154</v>
      </c>
      <c r="AV61" s="185">
        <f t="shared" si="32"/>
        <v>636.11550847676313</v>
      </c>
      <c r="AW61" s="182">
        <f t="shared" si="33"/>
        <v>26</v>
      </c>
      <c r="AX61" s="630"/>
    </row>
    <row r="62" spans="2:50" ht="14.25" customHeight="1">
      <c r="B62" s="631"/>
      <c r="C62" s="180">
        <v>16</v>
      </c>
      <c r="D62" s="183" t="s">
        <v>406</v>
      </c>
      <c r="E62" s="184">
        <v>5</v>
      </c>
      <c r="F62" s="180">
        <v>3600</v>
      </c>
      <c r="G62" s="185">
        <f t="shared" si="20"/>
        <v>720</v>
      </c>
      <c r="H62" s="632"/>
      <c r="I62" s="186">
        <f t="shared" si="21"/>
        <v>5</v>
      </c>
      <c r="J62" s="186">
        <f t="shared" si="21"/>
        <v>3190.2164688000275</v>
      </c>
      <c r="K62" s="187">
        <f t="shared" si="21"/>
        <v>638.04329376000555</v>
      </c>
      <c r="L62" s="633"/>
      <c r="M62" s="186">
        <f>RANK(K62, K$47:$K$82)</f>
        <v>19</v>
      </c>
      <c r="N62" s="644"/>
      <c r="O62" s="634"/>
      <c r="P62" s="188">
        <v>5</v>
      </c>
      <c r="Q62" s="188">
        <v>3191.7078973714551</v>
      </c>
      <c r="R62" s="185">
        <f t="shared" si="18"/>
        <v>638.34157947429105</v>
      </c>
      <c r="S62" s="182">
        <f t="shared" si="22"/>
        <v>19</v>
      </c>
      <c r="T62" s="630"/>
      <c r="U62" s="188">
        <v>5</v>
      </c>
      <c r="V62" s="188">
        <v>3190.6278973714561</v>
      </c>
      <c r="W62" s="185">
        <f t="shared" si="19"/>
        <v>638.12557947429127</v>
      </c>
      <c r="X62" s="182">
        <f t="shared" si="23"/>
        <v>19</v>
      </c>
      <c r="Y62" s="630"/>
      <c r="Z62" s="188">
        <v>5</v>
      </c>
      <c r="AA62" s="188">
        <v>3192.0678973714566</v>
      </c>
      <c r="AB62" s="185">
        <f t="shared" si="24"/>
        <v>638.41357947429128</v>
      </c>
      <c r="AC62" s="182">
        <f t="shared" si="25"/>
        <v>19</v>
      </c>
      <c r="AD62" s="630"/>
      <c r="AE62" s="188">
        <v>5</v>
      </c>
      <c r="AF62" s="188">
        <v>3190.2678973714565</v>
      </c>
      <c r="AG62" s="185">
        <f t="shared" si="26"/>
        <v>638.05357947429127</v>
      </c>
      <c r="AH62" s="182">
        <f t="shared" si="27"/>
        <v>19</v>
      </c>
      <c r="AI62" s="630"/>
      <c r="AJ62" s="188">
        <v>5</v>
      </c>
      <c r="AK62" s="188">
        <v>3188.4678973714567</v>
      </c>
      <c r="AL62" s="185">
        <f t="shared" si="28"/>
        <v>637.69357947429137</v>
      </c>
      <c r="AM62" s="182">
        <f t="shared" si="29"/>
        <v>20</v>
      </c>
      <c r="AN62" s="630"/>
      <c r="AO62" s="188">
        <v>5</v>
      </c>
      <c r="AP62" s="188">
        <v>3189.187897371457</v>
      </c>
      <c r="AQ62" s="185">
        <f t="shared" si="30"/>
        <v>637.83757947429137</v>
      </c>
      <c r="AR62" s="182">
        <f t="shared" si="31"/>
        <v>19</v>
      </c>
      <c r="AS62" s="630"/>
      <c r="AT62" s="188">
        <v>5</v>
      </c>
      <c r="AU62" s="188">
        <v>3189.187897371457</v>
      </c>
      <c r="AV62" s="185">
        <f t="shared" si="32"/>
        <v>637.83757947429137</v>
      </c>
      <c r="AW62" s="182">
        <f t="shared" si="33"/>
        <v>19</v>
      </c>
      <c r="AX62" s="630"/>
    </row>
    <row r="63" spans="2:50" ht="14.25" customHeight="1">
      <c r="B63" s="631"/>
      <c r="C63" s="180">
        <v>17</v>
      </c>
      <c r="D63" s="183" t="s">
        <v>405</v>
      </c>
      <c r="E63" s="184">
        <v>3</v>
      </c>
      <c r="F63" s="180">
        <v>3600</v>
      </c>
      <c r="G63" s="185">
        <f t="shared" si="20"/>
        <v>1200</v>
      </c>
      <c r="H63" s="632"/>
      <c r="I63" s="186">
        <f t="shared" si="21"/>
        <v>3</v>
      </c>
      <c r="J63" s="186">
        <f t="shared" si="21"/>
        <v>3184.0959132165954</v>
      </c>
      <c r="K63" s="187">
        <f t="shared" si="21"/>
        <v>1061.365304405532</v>
      </c>
      <c r="L63" s="633"/>
      <c r="M63" s="186">
        <f>RANK(K63, K$47:$K$82)</f>
        <v>3</v>
      </c>
      <c r="N63" s="644"/>
      <c r="O63" s="634"/>
      <c r="P63" s="188">
        <v>3</v>
      </c>
      <c r="Q63" s="188">
        <v>3184.0444846451674</v>
      </c>
      <c r="R63" s="185">
        <f t="shared" si="18"/>
        <v>1061.348161548389</v>
      </c>
      <c r="S63" s="182">
        <f t="shared" si="22"/>
        <v>3</v>
      </c>
      <c r="T63" s="630"/>
      <c r="U63" s="188">
        <v>3</v>
      </c>
      <c r="V63" s="188">
        <v>3185.484484645167</v>
      </c>
      <c r="W63" s="185">
        <f t="shared" si="19"/>
        <v>1061.8281615483891</v>
      </c>
      <c r="X63" s="182">
        <f t="shared" si="23"/>
        <v>2</v>
      </c>
      <c r="Y63" s="630"/>
      <c r="Z63" s="188">
        <v>3</v>
      </c>
      <c r="AA63" s="188">
        <v>3184.4044846451666</v>
      </c>
      <c r="AB63" s="185">
        <f t="shared" si="24"/>
        <v>1061.4681615483889</v>
      </c>
      <c r="AC63" s="182">
        <f t="shared" si="25"/>
        <v>3</v>
      </c>
      <c r="AD63" s="630"/>
      <c r="AE63" s="188">
        <v>3</v>
      </c>
      <c r="AF63" s="188">
        <v>3184.4044846451666</v>
      </c>
      <c r="AG63" s="185">
        <f t="shared" si="26"/>
        <v>1061.4681615483889</v>
      </c>
      <c r="AH63" s="182">
        <f t="shared" si="27"/>
        <v>3</v>
      </c>
      <c r="AI63" s="630"/>
      <c r="AJ63" s="188">
        <v>3</v>
      </c>
      <c r="AK63" s="188">
        <v>3183.3244846451676</v>
      </c>
      <c r="AL63" s="185">
        <f t="shared" si="28"/>
        <v>1061.1081615483893</v>
      </c>
      <c r="AM63" s="182">
        <f t="shared" si="29"/>
        <v>3</v>
      </c>
      <c r="AN63" s="630"/>
      <c r="AO63" s="188">
        <v>3</v>
      </c>
      <c r="AP63" s="188">
        <v>3184.0444846451678</v>
      </c>
      <c r="AQ63" s="185">
        <f t="shared" si="30"/>
        <v>1061.3481615483893</v>
      </c>
      <c r="AR63" s="182">
        <f t="shared" si="31"/>
        <v>4</v>
      </c>
      <c r="AS63" s="630"/>
      <c r="AT63" s="188">
        <v>3</v>
      </c>
      <c r="AU63" s="188">
        <v>3182.9644846451683</v>
      </c>
      <c r="AV63" s="185">
        <f t="shared" si="32"/>
        <v>1060.9881615483894</v>
      </c>
      <c r="AW63" s="182">
        <f t="shared" si="33"/>
        <v>4</v>
      </c>
      <c r="AX63" s="630"/>
    </row>
    <row r="64" spans="2:50" ht="14.25" customHeight="1">
      <c r="B64" s="631"/>
      <c r="C64" s="180">
        <v>18</v>
      </c>
      <c r="D64" s="183" t="s">
        <v>407</v>
      </c>
      <c r="E64" s="184">
        <v>4</v>
      </c>
      <c r="F64" s="180">
        <v>3600</v>
      </c>
      <c r="G64" s="185">
        <f t="shared" si="20"/>
        <v>900</v>
      </c>
      <c r="H64" s="632"/>
      <c r="I64" s="186">
        <f t="shared" si="21"/>
        <v>4</v>
      </c>
      <c r="J64" s="186">
        <f t="shared" si="21"/>
        <v>3185.2793514716154</v>
      </c>
      <c r="K64" s="187">
        <f t="shared" si="21"/>
        <v>796.31983786790386</v>
      </c>
      <c r="L64" s="633"/>
      <c r="M64" s="186">
        <f>RANK(K64, K$47:$K$82)</f>
        <v>16</v>
      </c>
      <c r="N64" s="644"/>
      <c r="O64" s="634"/>
      <c r="P64" s="188">
        <v>4</v>
      </c>
      <c r="Q64" s="188">
        <v>3186.9764943287578</v>
      </c>
      <c r="R64" s="185">
        <f t="shared" si="18"/>
        <v>796.74412358218945</v>
      </c>
      <c r="S64" s="182">
        <f t="shared" si="22"/>
        <v>15</v>
      </c>
      <c r="T64" s="630"/>
      <c r="U64" s="188">
        <v>4</v>
      </c>
      <c r="V64" s="188">
        <v>3186.9764943287582</v>
      </c>
      <c r="W64" s="185">
        <f t="shared" si="19"/>
        <v>796.74412358218956</v>
      </c>
      <c r="X64" s="182">
        <f t="shared" si="23"/>
        <v>15</v>
      </c>
      <c r="Y64" s="630"/>
      <c r="Z64" s="188">
        <v>4</v>
      </c>
      <c r="AA64" s="188">
        <v>3186.256494328758</v>
      </c>
      <c r="AB64" s="185">
        <f t="shared" si="24"/>
        <v>796.5641235821895</v>
      </c>
      <c r="AC64" s="182">
        <f t="shared" si="25"/>
        <v>15</v>
      </c>
      <c r="AD64" s="630"/>
      <c r="AE64" s="188">
        <v>4</v>
      </c>
      <c r="AF64" s="188">
        <v>3185.176494328759</v>
      </c>
      <c r="AG64" s="185">
        <f t="shared" si="26"/>
        <v>796.29412358218974</v>
      </c>
      <c r="AH64" s="182">
        <f t="shared" si="27"/>
        <v>16</v>
      </c>
      <c r="AI64" s="630"/>
      <c r="AJ64" s="188">
        <v>4</v>
      </c>
      <c r="AK64" s="188">
        <v>3185.1764943287581</v>
      </c>
      <c r="AL64" s="185">
        <f t="shared" si="28"/>
        <v>796.29412358218951</v>
      </c>
      <c r="AM64" s="182">
        <f t="shared" si="29"/>
        <v>16</v>
      </c>
      <c r="AN64" s="630"/>
      <c r="AO64" s="188">
        <v>4</v>
      </c>
      <c r="AP64" s="188">
        <v>3183.7364943287589</v>
      </c>
      <c r="AQ64" s="185">
        <f t="shared" si="30"/>
        <v>795.93412358218973</v>
      </c>
      <c r="AR64" s="182">
        <f t="shared" si="31"/>
        <v>16</v>
      </c>
      <c r="AS64" s="630"/>
      <c r="AT64" s="188">
        <v>4</v>
      </c>
      <c r="AU64" s="188">
        <v>3182.6564943287585</v>
      </c>
      <c r="AV64" s="185">
        <f t="shared" si="32"/>
        <v>795.66412358218963</v>
      </c>
      <c r="AW64" s="182">
        <f t="shared" si="33"/>
        <v>16</v>
      </c>
      <c r="AX64" s="630"/>
    </row>
    <row r="65" spans="2:50" ht="14.25" customHeight="1">
      <c r="B65" s="631"/>
      <c r="C65" s="180">
        <v>19</v>
      </c>
      <c r="D65" s="183" t="s">
        <v>346</v>
      </c>
      <c r="E65" s="184">
        <v>5</v>
      </c>
      <c r="F65" s="180">
        <v>3300</v>
      </c>
      <c r="G65" s="185">
        <f t="shared" si="20"/>
        <v>660</v>
      </c>
      <c r="H65" s="632"/>
      <c r="I65" s="186">
        <f t="shared" si="21"/>
        <v>5</v>
      </c>
      <c r="J65" s="186">
        <f t="shared" si="21"/>
        <v>2959.7150515859435</v>
      </c>
      <c r="K65" s="187">
        <f t="shared" si="21"/>
        <v>591.94301031718874</v>
      </c>
      <c r="L65" s="633"/>
      <c r="M65" s="186">
        <f>RANK(K65, K$47:$K$82)</f>
        <v>28</v>
      </c>
      <c r="N65" s="644"/>
      <c r="O65" s="634"/>
      <c r="P65" s="188">
        <v>5</v>
      </c>
      <c r="Q65" s="188">
        <v>2949.5505155953133</v>
      </c>
      <c r="R65" s="185">
        <f t="shared" si="18"/>
        <v>589.91010311906268</v>
      </c>
      <c r="S65" s="182">
        <f t="shared" si="22"/>
        <v>28</v>
      </c>
      <c r="T65" s="630"/>
      <c r="U65" s="188">
        <v>5</v>
      </c>
      <c r="V65" s="188">
        <v>2956.2393890508674</v>
      </c>
      <c r="W65" s="185">
        <f t="shared" si="19"/>
        <v>591.24787781017346</v>
      </c>
      <c r="X65" s="182">
        <f t="shared" si="23"/>
        <v>28</v>
      </c>
      <c r="Y65" s="630"/>
      <c r="Z65" s="188">
        <v>5</v>
      </c>
      <c r="AA65" s="188">
        <v>2956.8095460290037</v>
      </c>
      <c r="AB65" s="185">
        <f t="shared" si="24"/>
        <v>591.36190920580077</v>
      </c>
      <c r="AC65" s="182">
        <f t="shared" si="25"/>
        <v>28</v>
      </c>
      <c r="AD65" s="630"/>
      <c r="AE65" s="188">
        <v>5</v>
      </c>
      <c r="AF65" s="188">
        <v>2963.8633770291053</v>
      </c>
      <c r="AG65" s="185">
        <f t="shared" si="26"/>
        <v>592.77267540582102</v>
      </c>
      <c r="AH65" s="182">
        <f t="shared" si="27"/>
        <v>28</v>
      </c>
      <c r="AI65" s="630"/>
      <c r="AJ65" s="188">
        <v>5</v>
      </c>
      <c r="AK65" s="188">
        <v>2964.6175111324383</v>
      </c>
      <c r="AL65" s="185">
        <f t="shared" si="28"/>
        <v>592.9235022264877</v>
      </c>
      <c r="AM65" s="182">
        <f t="shared" si="29"/>
        <v>27</v>
      </c>
      <c r="AN65" s="630"/>
      <c r="AO65" s="188">
        <v>5</v>
      </c>
      <c r="AP65" s="188">
        <v>2963.627511132438</v>
      </c>
      <c r="AQ65" s="185">
        <f t="shared" si="30"/>
        <v>592.72550222648761</v>
      </c>
      <c r="AR65" s="182">
        <f t="shared" si="31"/>
        <v>28</v>
      </c>
      <c r="AS65" s="630"/>
      <c r="AT65" s="188">
        <v>5</v>
      </c>
      <c r="AU65" s="188">
        <v>2963.2975111324386</v>
      </c>
      <c r="AV65" s="185">
        <f t="shared" si="32"/>
        <v>592.65950222648769</v>
      </c>
      <c r="AW65" s="182">
        <f t="shared" si="33"/>
        <v>28</v>
      </c>
      <c r="AX65" s="630"/>
    </row>
    <row r="66" spans="2:50" ht="14.25" customHeight="1">
      <c r="B66" s="631"/>
      <c r="C66" s="180">
        <v>20</v>
      </c>
      <c r="D66" s="183" t="s">
        <v>401</v>
      </c>
      <c r="E66" s="184">
        <v>3</v>
      </c>
      <c r="F66" s="180">
        <v>3600</v>
      </c>
      <c r="G66" s="185">
        <f t="shared" si="20"/>
        <v>1200</v>
      </c>
      <c r="H66" s="632"/>
      <c r="I66" s="186">
        <f t="shared" si="21"/>
        <v>3</v>
      </c>
      <c r="J66" s="186">
        <f t="shared" si="21"/>
        <v>3179.2564621266074</v>
      </c>
      <c r="K66" s="187">
        <f t="shared" si="21"/>
        <v>1059.7521540422026</v>
      </c>
      <c r="L66" s="633"/>
      <c r="M66" s="186">
        <f>RANK(K66, K$47:$K$82)</f>
        <v>6</v>
      </c>
      <c r="N66" s="644"/>
      <c r="O66" s="634"/>
      <c r="P66" s="188">
        <v>3</v>
      </c>
      <c r="Q66" s="188">
        <v>3174.2907185122576</v>
      </c>
      <c r="R66" s="185">
        <f t="shared" si="18"/>
        <v>1058.0969061707526</v>
      </c>
      <c r="S66" s="182">
        <f t="shared" si="22"/>
        <v>8</v>
      </c>
      <c r="T66" s="630"/>
      <c r="U66" s="188">
        <v>3</v>
      </c>
      <c r="V66" s="188">
        <v>3173.5707185122578</v>
      </c>
      <c r="W66" s="185">
        <f t="shared" si="19"/>
        <v>1057.8569061707526</v>
      </c>
      <c r="X66" s="182">
        <f t="shared" si="23"/>
        <v>8</v>
      </c>
      <c r="Y66" s="630"/>
      <c r="Z66" s="188">
        <v>3</v>
      </c>
      <c r="AA66" s="188">
        <v>3181.2470289230387</v>
      </c>
      <c r="AB66" s="185">
        <f t="shared" si="24"/>
        <v>1060.4156763076796</v>
      </c>
      <c r="AC66" s="182">
        <f t="shared" si="25"/>
        <v>6</v>
      </c>
      <c r="AD66" s="630"/>
      <c r="AE66" s="188">
        <v>3</v>
      </c>
      <c r="AF66" s="188">
        <v>3182.3216922346746</v>
      </c>
      <c r="AG66" s="185">
        <f t="shared" si="26"/>
        <v>1060.7738974115582</v>
      </c>
      <c r="AH66" s="182">
        <f t="shared" si="27"/>
        <v>4</v>
      </c>
      <c r="AI66" s="630"/>
      <c r="AJ66" s="188">
        <v>3</v>
      </c>
      <c r="AK66" s="188">
        <v>3180.8816922346746</v>
      </c>
      <c r="AL66" s="185">
        <f t="shared" si="28"/>
        <v>1060.2938974115582</v>
      </c>
      <c r="AM66" s="182">
        <f t="shared" si="29"/>
        <v>5</v>
      </c>
      <c r="AN66" s="630"/>
      <c r="AO66" s="188">
        <v>3</v>
      </c>
      <c r="AP66" s="188">
        <v>3181.6016922346744</v>
      </c>
      <c r="AQ66" s="185">
        <f t="shared" si="30"/>
        <v>1060.5338974115582</v>
      </c>
      <c r="AR66" s="182">
        <f t="shared" si="31"/>
        <v>6</v>
      </c>
      <c r="AS66" s="630"/>
      <c r="AT66" s="188">
        <v>3</v>
      </c>
      <c r="AU66" s="188">
        <v>3180.881692234675</v>
      </c>
      <c r="AV66" s="185">
        <f t="shared" si="32"/>
        <v>1060.2938974115584</v>
      </c>
      <c r="AW66" s="182">
        <f t="shared" si="33"/>
        <v>7</v>
      </c>
      <c r="AX66" s="630"/>
    </row>
    <row r="67" spans="2:50" ht="14.25" customHeight="1">
      <c r="B67" s="631"/>
      <c r="C67" s="180">
        <v>21</v>
      </c>
      <c r="D67" s="183" t="s">
        <v>559</v>
      </c>
      <c r="E67" s="184">
        <v>4</v>
      </c>
      <c r="F67" s="180">
        <v>3600</v>
      </c>
      <c r="G67" s="185">
        <f t="shared" si="20"/>
        <v>900</v>
      </c>
      <c r="H67" s="632"/>
      <c r="I67" s="186">
        <f t="shared" si="21"/>
        <v>4</v>
      </c>
      <c r="J67" s="186">
        <f t="shared" si="21"/>
        <v>3189.2914285714278</v>
      </c>
      <c r="K67" s="187">
        <f t="shared" si="21"/>
        <v>797.32285714285695</v>
      </c>
      <c r="L67" s="633"/>
      <c r="M67" s="186">
        <f>RANK(K67, K$47:$K$82)</f>
        <v>14</v>
      </c>
      <c r="N67" s="644"/>
      <c r="O67" s="634"/>
      <c r="P67" s="188">
        <v>4</v>
      </c>
      <c r="Q67" s="188">
        <v>3187.4399999999991</v>
      </c>
      <c r="R67" s="185">
        <f t="shared" si="18"/>
        <v>796.85999999999979</v>
      </c>
      <c r="S67" s="182">
        <f t="shared" si="22"/>
        <v>14</v>
      </c>
      <c r="T67" s="630"/>
      <c r="U67" s="188">
        <v>4</v>
      </c>
      <c r="V67" s="188">
        <v>3188.8799999999983</v>
      </c>
      <c r="W67" s="185">
        <f t="shared" si="19"/>
        <v>797.21999999999957</v>
      </c>
      <c r="X67" s="182">
        <f t="shared" si="23"/>
        <v>14</v>
      </c>
      <c r="Y67" s="630"/>
      <c r="Z67" s="188">
        <v>4</v>
      </c>
      <c r="AA67" s="188">
        <v>3188.5199999999995</v>
      </c>
      <c r="AB67" s="185">
        <f t="shared" si="24"/>
        <v>797.12999999999988</v>
      </c>
      <c r="AC67" s="182">
        <f t="shared" si="25"/>
        <v>14</v>
      </c>
      <c r="AD67" s="630"/>
      <c r="AE67" s="188">
        <v>4</v>
      </c>
      <c r="AF67" s="188">
        <v>3189.9599999999991</v>
      </c>
      <c r="AG67" s="185">
        <f t="shared" si="26"/>
        <v>797.48999999999978</v>
      </c>
      <c r="AH67" s="182">
        <f t="shared" si="27"/>
        <v>14</v>
      </c>
      <c r="AI67" s="630"/>
      <c r="AJ67" s="188">
        <v>4</v>
      </c>
      <c r="AK67" s="188">
        <v>3190.3199999999997</v>
      </c>
      <c r="AL67" s="185">
        <f t="shared" si="28"/>
        <v>797.57999999999993</v>
      </c>
      <c r="AM67" s="182">
        <f t="shared" si="29"/>
        <v>14</v>
      </c>
      <c r="AN67" s="630"/>
      <c r="AO67" s="188">
        <v>4</v>
      </c>
      <c r="AP67" s="188">
        <v>3190.6799999999994</v>
      </c>
      <c r="AQ67" s="185">
        <f t="shared" si="30"/>
        <v>797.66999999999985</v>
      </c>
      <c r="AR67" s="182">
        <f t="shared" si="31"/>
        <v>14</v>
      </c>
      <c r="AS67" s="630"/>
      <c r="AT67" s="188">
        <v>4</v>
      </c>
      <c r="AU67" s="188">
        <v>3189.24</v>
      </c>
      <c r="AV67" s="185">
        <f t="shared" si="32"/>
        <v>797.31</v>
      </c>
      <c r="AW67" s="182">
        <f t="shared" si="33"/>
        <v>14</v>
      </c>
      <c r="AX67" s="630"/>
    </row>
    <row r="68" spans="2:50" ht="14.25" customHeight="1">
      <c r="B68" s="631"/>
      <c r="C68" s="180">
        <v>22</v>
      </c>
      <c r="D68" s="183" t="s">
        <v>404</v>
      </c>
      <c r="E68" s="184">
        <v>3</v>
      </c>
      <c r="F68" s="180">
        <v>3600</v>
      </c>
      <c r="G68" s="185">
        <f>F68/E68</f>
        <v>1200</v>
      </c>
      <c r="H68" s="632"/>
      <c r="I68" s="186">
        <f t="shared" si="21"/>
        <v>3</v>
      </c>
      <c r="J68" s="186">
        <f t="shared" si="21"/>
        <v>3178.4224805796716</v>
      </c>
      <c r="K68" s="187">
        <f t="shared" si="21"/>
        <v>1059.474160193224</v>
      </c>
      <c r="L68" s="633"/>
      <c r="M68" s="186">
        <f>RANK(K68, K$47:$K$82)</f>
        <v>7</v>
      </c>
      <c r="N68" s="644"/>
      <c r="O68" s="634"/>
      <c r="P68" s="188">
        <v>3</v>
      </c>
      <c r="Q68" s="188">
        <v>3177.323173277673</v>
      </c>
      <c r="R68" s="185">
        <f t="shared" si="18"/>
        <v>1059.1077244258911</v>
      </c>
      <c r="S68" s="182">
        <f t="shared" si="22"/>
        <v>7</v>
      </c>
      <c r="T68" s="630"/>
      <c r="U68" s="188">
        <v>3</v>
      </c>
      <c r="V68" s="188">
        <v>3175.883173277673</v>
      </c>
      <c r="W68" s="185">
        <f t="shared" si="19"/>
        <v>1058.6277244258911</v>
      </c>
      <c r="X68" s="182">
        <f t="shared" si="23"/>
        <v>7</v>
      </c>
      <c r="Y68" s="630"/>
      <c r="Z68" s="188">
        <v>3</v>
      </c>
      <c r="AA68" s="188">
        <v>3175.5231732776733</v>
      </c>
      <c r="AB68" s="185">
        <f t="shared" si="24"/>
        <v>1058.5077244258912</v>
      </c>
      <c r="AC68" s="182">
        <f t="shared" si="25"/>
        <v>8</v>
      </c>
      <c r="AD68" s="630"/>
      <c r="AE68" s="188">
        <v>3</v>
      </c>
      <c r="AF68" s="188">
        <v>3174.8031732776731</v>
      </c>
      <c r="AG68" s="185">
        <f t="shared" si="26"/>
        <v>1058.2677244258909</v>
      </c>
      <c r="AH68" s="182">
        <f t="shared" si="27"/>
        <v>8</v>
      </c>
      <c r="AI68" s="630"/>
      <c r="AJ68" s="188">
        <v>3</v>
      </c>
      <c r="AK68" s="188">
        <v>3173.7231732776731</v>
      </c>
      <c r="AL68" s="185">
        <f t="shared" si="28"/>
        <v>1057.907724425891</v>
      </c>
      <c r="AM68" s="182">
        <f t="shared" si="29"/>
        <v>8</v>
      </c>
      <c r="AN68" s="630"/>
      <c r="AO68" s="188">
        <v>3</v>
      </c>
      <c r="AP68" s="188">
        <v>3184.7454378678117</v>
      </c>
      <c r="AQ68" s="185">
        <f t="shared" si="30"/>
        <v>1061.5818126226038</v>
      </c>
      <c r="AR68" s="182">
        <f t="shared" si="31"/>
        <v>2</v>
      </c>
      <c r="AS68" s="630"/>
      <c r="AT68" s="188">
        <v>3</v>
      </c>
      <c r="AU68" s="188">
        <v>3186.9560598015241</v>
      </c>
      <c r="AV68" s="185">
        <f t="shared" si="32"/>
        <v>1062.318686600508</v>
      </c>
      <c r="AW68" s="182">
        <f t="shared" si="33"/>
        <v>2</v>
      </c>
      <c r="AX68" s="630"/>
    </row>
    <row r="69" spans="2:50" ht="14.25" customHeight="1">
      <c r="B69" s="631"/>
      <c r="C69" s="180">
        <v>23</v>
      </c>
      <c r="D69" s="183" t="s">
        <v>403</v>
      </c>
      <c r="E69" s="184">
        <v>5</v>
      </c>
      <c r="F69" s="180">
        <v>3600</v>
      </c>
      <c r="G69" s="185">
        <f t="shared" ref="G69:G79" si="34">F69/E69</f>
        <v>720</v>
      </c>
      <c r="H69" s="632"/>
      <c r="I69" s="186">
        <f t="shared" si="21"/>
        <v>5</v>
      </c>
      <c r="J69" s="186">
        <f t="shared" si="21"/>
        <v>3186.0746346893638</v>
      </c>
      <c r="K69" s="187">
        <f t="shared" si="21"/>
        <v>637.21492693787275</v>
      </c>
      <c r="L69" s="633"/>
      <c r="M69" s="186">
        <f>RANK(K69, K$47:$K$82)</f>
        <v>22</v>
      </c>
      <c r="N69" s="644"/>
      <c r="O69" s="634"/>
      <c r="P69" s="188">
        <v>5</v>
      </c>
      <c r="Q69" s="188">
        <v>3187.6174918322213</v>
      </c>
      <c r="R69" s="185">
        <f t="shared" si="18"/>
        <v>637.5234983664443</v>
      </c>
      <c r="S69" s="182">
        <f t="shared" si="22"/>
        <v>21</v>
      </c>
      <c r="T69" s="630"/>
      <c r="U69" s="188">
        <v>5</v>
      </c>
      <c r="V69" s="188">
        <v>3186.1774918322217</v>
      </c>
      <c r="W69" s="185">
        <f t="shared" si="19"/>
        <v>637.23549836644429</v>
      </c>
      <c r="X69" s="182">
        <f t="shared" si="23"/>
        <v>24</v>
      </c>
      <c r="Y69" s="630"/>
      <c r="Z69" s="188">
        <v>5</v>
      </c>
      <c r="AA69" s="188">
        <v>3186.5374918322213</v>
      </c>
      <c r="AB69" s="185">
        <f t="shared" si="24"/>
        <v>637.30749836644429</v>
      </c>
      <c r="AC69" s="182">
        <f t="shared" si="25"/>
        <v>21</v>
      </c>
      <c r="AD69" s="630"/>
      <c r="AE69" s="188">
        <v>5</v>
      </c>
      <c r="AF69" s="188">
        <v>3185.0974918322213</v>
      </c>
      <c r="AG69" s="185">
        <f t="shared" si="26"/>
        <v>637.01949836644428</v>
      </c>
      <c r="AH69" s="182">
        <f t="shared" si="27"/>
        <v>24</v>
      </c>
      <c r="AI69" s="630"/>
      <c r="AJ69" s="188">
        <v>5</v>
      </c>
      <c r="AK69" s="188">
        <v>3185.457491832221</v>
      </c>
      <c r="AL69" s="185">
        <f t="shared" si="28"/>
        <v>637.09149836644417</v>
      </c>
      <c r="AM69" s="182">
        <f t="shared" si="29"/>
        <v>24</v>
      </c>
      <c r="AN69" s="630"/>
      <c r="AO69" s="188">
        <v>5</v>
      </c>
      <c r="AP69" s="188">
        <v>3185.4574918322205</v>
      </c>
      <c r="AQ69" s="185">
        <f t="shared" si="30"/>
        <v>637.09149836644406</v>
      </c>
      <c r="AR69" s="182">
        <f t="shared" si="31"/>
        <v>23</v>
      </c>
      <c r="AS69" s="630"/>
      <c r="AT69" s="188">
        <v>5</v>
      </c>
      <c r="AU69" s="188">
        <v>3186.1774918322208</v>
      </c>
      <c r="AV69" s="185">
        <f t="shared" si="32"/>
        <v>637.23549836644418</v>
      </c>
      <c r="AW69" s="182">
        <f t="shared" si="33"/>
        <v>22</v>
      </c>
      <c r="AX69" s="630"/>
    </row>
    <row r="70" spans="2:50" ht="14.25" customHeight="1">
      <c r="B70" s="631"/>
      <c r="C70" s="180">
        <v>24</v>
      </c>
      <c r="D70" s="183" t="s">
        <v>400</v>
      </c>
      <c r="E70" s="184">
        <v>5</v>
      </c>
      <c r="F70" s="180">
        <v>3600</v>
      </c>
      <c r="G70" s="185">
        <f t="shared" si="34"/>
        <v>720</v>
      </c>
      <c r="H70" s="632"/>
      <c r="I70" s="186">
        <f t="shared" si="21"/>
        <v>5</v>
      </c>
      <c r="J70" s="186">
        <f t="shared" si="21"/>
        <v>3185.7917796373831</v>
      </c>
      <c r="K70" s="187">
        <f t="shared" si="21"/>
        <v>637.15835592747669</v>
      </c>
      <c r="L70" s="633"/>
      <c r="M70" s="186">
        <f>RANK(K70, K$47:$K$82)</f>
        <v>23</v>
      </c>
      <c r="N70" s="644"/>
      <c r="O70" s="634"/>
      <c r="P70" s="188">
        <v>5</v>
      </c>
      <c r="Q70" s="188">
        <v>3185.0717796373829</v>
      </c>
      <c r="R70" s="185">
        <f t="shared" si="18"/>
        <v>637.01435592747657</v>
      </c>
      <c r="S70" s="182">
        <f t="shared" si="22"/>
        <v>25</v>
      </c>
      <c r="T70" s="630"/>
      <c r="U70" s="188">
        <v>5</v>
      </c>
      <c r="V70" s="188">
        <v>3186.8717796373821</v>
      </c>
      <c r="W70" s="185">
        <f t="shared" si="19"/>
        <v>637.37435592747647</v>
      </c>
      <c r="X70" s="182">
        <f t="shared" si="23"/>
        <v>22</v>
      </c>
      <c r="Y70" s="630"/>
      <c r="Z70" s="188">
        <v>5</v>
      </c>
      <c r="AA70" s="188">
        <v>3185.7917796373827</v>
      </c>
      <c r="AB70" s="185">
        <f t="shared" si="24"/>
        <v>637.15835592747658</v>
      </c>
      <c r="AC70" s="182">
        <f t="shared" si="25"/>
        <v>24</v>
      </c>
      <c r="AD70" s="630"/>
      <c r="AE70" s="188">
        <v>5</v>
      </c>
      <c r="AF70" s="188">
        <v>3185.431779637383</v>
      </c>
      <c r="AG70" s="185">
        <f t="shared" si="26"/>
        <v>637.08635592747657</v>
      </c>
      <c r="AH70" s="182">
        <f t="shared" si="27"/>
        <v>23</v>
      </c>
      <c r="AI70" s="630"/>
      <c r="AJ70" s="188">
        <v>5</v>
      </c>
      <c r="AK70" s="188">
        <v>3185.7917796373831</v>
      </c>
      <c r="AL70" s="185">
        <f t="shared" si="28"/>
        <v>637.15835592747658</v>
      </c>
      <c r="AM70" s="182">
        <f t="shared" si="29"/>
        <v>23</v>
      </c>
      <c r="AN70" s="630"/>
      <c r="AO70" s="188">
        <v>5</v>
      </c>
      <c r="AP70" s="188">
        <v>3185.7917796373831</v>
      </c>
      <c r="AQ70" s="185">
        <f t="shared" si="30"/>
        <v>637.15835592747658</v>
      </c>
      <c r="AR70" s="182">
        <f t="shared" si="31"/>
        <v>22</v>
      </c>
      <c r="AS70" s="630"/>
      <c r="AT70" s="188">
        <v>5</v>
      </c>
      <c r="AU70" s="188">
        <v>3185.7917796373831</v>
      </c>
      <c r="AV70" s="185">
        <f t="shared" si="32"/>
        <v>637.15835592747658</v>
      </c>
      <c r="AW70" s="182">
        <f t="shared" si="33"/>
        <v>24</v>
      </c>
      <c r="AX70" s="630"/>
    </row>
    <row r="71" spans="2:50" ht="14.25" customHeight="1">
      <c r="B71" s="631"/>
      <c r="C71" s="180">
        <v>25</v>
      </c>
      <c r="D71" s="183" t="s">
        <v>402</v>
      </c>
      <c r="E71" s="184">
        <v>3</v>
      </c>
      <c r="F71" s="180">
        <v>3000</v>
      </c>
      <c r="G71" s="185">
        <f t="shared" si="34"/>
        <v>1000</v>
      </c>
      <c r="H71" s="632"/>
      <c r="I71" s="186">
        <f t="shared" si="21"/>
        <v>3</v>
      </c>
      <c r="J71" s="186">
        <f t="shared" si="21"/>
        <v>2705.5958588637918</v>
      </c>
      <c r="K71" s="187">
        <f t="shared" si="21"/>
        <v>901.86528628793053</v>
      </c>
      <c r="L71" s="633"/>
      <c r="M71" s="186">
        <f>RANK(K71, K$47:$K$82)</f>
        <v>12</v>
      </c>
      <c r="N71" s="644"/>
      <c r="O71" s="634"/>
      <c r="P71" s="188">
        <v>3</v>
      </c>
      <c r="Q71" s="188">
        <v>2706.8387160066486</v>
      </c>
      <c r="R71" s="185">
        <f t="shared" si="18"/>
        <v>902.27957200221624</v>
      </c>
      <c r="S71" s="182">
        <f t="shared" si="22"/>
        <v>12</v>
      </c>
      <c r="T71" s="630"/>
      <c r="U71" s="188">
        <v>3</v>
      </c>
      <c r="V71" s="188">
        <v>2705.6387160066488</v>
      </c>
      <c r="W71" s="185">
        <f t="shared" si="19"/>
        <v>901.87957200221626</v>
      </c>
      <c r="X71" s="182">
        <f t="shared" si="23"/>
        <v>13</v>
      </c>
      <c r="Y71" s="630"/>
      <c r="Z71" s="188">
        <v>3</v>
      </c>
      <c r="AA71" s="188">
        <v>2706.2387160066482</v>
      </c>
      <c r="AB71" s="185">
        <f t="shared" si="24"/>
        <v>902.07957200221608</v>
      </c>
      <c r="AC71" s="182">
        <f t="shared" si="25"/>
        <v>13</v>
      </c>
      <c r="AD71" s="630"/>
      <c r="AE71" s="188">
        <v>3</v>
      </c>
      <c r="AF71" s="188">
        <v>2705.3387160066486</v>
      </c>
      <c r="AG71" s="185">
        <f t="shared" si="26"/>
        <v>901.77957200221624</v>
      </c>
      <c r="AH71" s="182">
        <f t="shared" si="27"/>
        <v>13</v>
      </c>
      <c r="AI71" s="630"/>
      <c r="AJ71" s="188">
        <v>3</v>
      </c>
      <c r="AK71" s="188">
        <v>2704.7387160066492</v>
      </c>
      <c r="AL71" s="185">
        <f t="shared" si="28"/>
        <v>901.57957200221642</v>
      </c>
      <c r="AM71" s="182">
        <f t="shared" si="29"/>
        <v>13</v>
      </c>
      <c r="AN71" s="630"/>
      <c r="AO71" s="188">
        <v>3</v>
      </c>
      <c r="AP71" s="188">
        <v>2704.7387160066492</v>
      </c>
      <c r="AQ71" s="185">
        <f t="shared" si="30"/>
        <v>901.57957200221642</v>
      </c>
      <c r="AR71" s="182">
        <f t="shared" si="31"/>
        <v>13</v>
      </c>
      <c r="AS71" s="630"/>
      <c r="AT71" s="188">
        <v>3</v>
      </c>
      <c r="AU71" s="188">
        <v>2705.6387160066492</v>
      </c>
      <c r="AV71" s="185">
        <f t="shared" si="32"/>
        <v>901.87957200221638</v>
      </c>
      <c r="AW71" s="182">
        <f t="shared" si="33"/>
        <v>12</v>
      </c>
      <c r="AX71" s="630"/>
    </row>
    <row r="72" spans="2:50" ht="14.25" customHeight="1">
      <c r="B72" s="631"/>
      <c r="C72" s="180">
        <v>26</v>
      </c>
      <c r="D72" s="183" t="s">
        <v>442</v>
      </c>
      <c r="E72" s="184">
        <v>3</v>
      </c>
      <c r="F72" s="180">
        <v>3600</v>
      </c>
      <c r="G72" s="185">
        <f t="shared" si="34"/>
        <v>1200</v>
      </c>
      <c r="H72" s="632"/>
      <c r="I72" s="186">
        <f t="shared" si="21"/>
        <v>3</v>
      </c>
      <c r="J72" s="186">
        <f t="shared" si="21"/>
        <v>3195.1266541956898</v>
      </c>
      <c r="K72" s="187">
        <f t="shared" si="21"/>
        <v>1065.0422180652299</v>
      </c>
      <c r="L72" s="633"/>
      <c r="M72" s="186">
        <f>RANK(K72, K$47:$K$82)</f>
        <v>1</v>
      </c>
      <c r="N72" s="644"/>
      <c r="O72" s="634"/>
      <c r="P72" s="188">
        <v>3</v>
      </c>
      <c r="Q72" s="188">
        <v>3196.1247556532403</v>
      </c>
      <c r="R72" s="185">
        <f t="shared" si="18"/>
        <v>1065.3749185510801</v>
      </c>
      <c r="S72" s="182">
        <f t="shared" si="22"/>
        <v>1</v>
      </c>
      <c r="T72" s="630"/>
      <c r="U72" s="188">
        <v>3</v>
      </c>
      <c r="V72" s="188">
        <v>3196.4847556532404</v>
      </c>
      <c r="W72" s="185">
        <f t="shared" si="19"/>
        <v>1065.4949185510802</v>
      </c>
      <c r="X72" s="182">
        <f t="shared" si="23"/>
        <v>1</v>
      </c>
      <c r="Y72" s="630"/>
      <c r="Z72" s="188">
        <v>3</v>
      </c>
      <c r="AA72" s="188">
        <v>3197.5647556532408</v>
      </c>
      <c r="AB72" s="185">
        <f t="shared" si="24"/>
        <v>1065.8549185510803</v>
      </c>
      <c r="AC72" s="182">
        <f t="shared" si="25"/>
        <v>1</v>
      </c>
      <c r="AD72" s="630"/>
      <c r="AE72" s="188">
        <v>3</v>
      </c>
      <c r="AF72" s="188">
        <v>3199.3647556532414</v>
      </c>
      <c r="AG72" s="185">
        <f t="shared" si="26"/>
        <v>1066.4549185510805</v>
      </c>
      <c r="AH72" s="182">
        <f t="shared" si="27"/>
        <v>1</v>
      </c>
      <c r="AI72" s="630"/>
      <c r="AJ72" s="188">
        <v>3</v>
      </c>
      <c r="AK72" s="188">
        <v>3200.0847556532417</v>
      </c>
      <c r="AL72" s="185">
        <f t="shared" si="28"/>
        <v>1066.6949185510805</v>
      </c>
      <c r="AM72" s="182">
        <f t="shared" si="29"/>
        <v>1</v>
      </c>
      <c r="AN72" s="630"/>
      <c r="AO72" s="188">
        <v>3</v>
      </c>
      <c r="AP72" s="188">
        <v>3189.1004503814238</v>
      </c>
      <c r="AQ72" s="185">
        <f t="shared" si="30"/>
        <v>1063.0334834604746</v>
      </c>
      <c r="AR72" s="182">
        <f t="shared" si="31"/>
        <v>1</v>
      </c>
      <c r="AS72" s="630"/>
      <c r="AT72" s="188">
        <v>3</v>
      </c>
      <c r="AU72" s="188">
        <v>3187.1623507222021</v>
      </c>
      <c r="AV72" s="185">
        <f t="shared" si="32"/>
        <v>1062.3874502407341</v>
      </c>
      <c r="AW72" s="182">
        <f t="shared" si="33"/>
        <v>1</v>
      </c>
      <c r="AX72" s="630"/>
    </row>
    <row r="73" spans="2:50" ht="14.25" customHeight="1">
      <c r="B73" s="631"/>
      <c r="C73" s="180">
        <v>27</v>
      </c>
      <c r="D73" s="183" t="s">
        <v>450</v>
      </c>
      <c r="E73" s="184">
        <v>4</v>
      </c>
      <c r="F73" s="180">
        <v>3000</v>
      </c>
      <c r="G73" s="185">
        <f t="shared" si="34"/>
        <v>750</v>
      </c>
      <c r="H73" s="632"/>
      <c r="I73" s="186">
        <f t="shared" si="21"/>
        <v>4</v>
      </c>
      <c r="J73" s="186">
        <f t="shared" si="21"/>
        <v>2690.4453150377076</v>
      </c>
      <c r="K73" s="187">
        <f t="shared" si="21"/>
        <v>672.6113287594269</v>
      </c>
      <c r="L73" s="633"/>
      <c r="M73" s="186">
        <f>RANK(K73, K$47:$K$82)</f>
        <v>18</v>
      </c>
      <c r="N73" s="644"/>
      <c r="O73" s="634"/>
      <c r="P73" s="188">
        <v>4</v>
      </c>
      <c r="Q73" s="188">
        <v>2688.8572552203022</v>
      </c>
      <c r="R73" s="185">
        <f t="shared" si="18"/>
        <v>672.21431380507556</v>
      </c>
      <c r="S73" s="182">
        <f t="shared" si="22"/>
        <v>18</v>
      </c>
      <c r="T73" s="630"/>
      <c r="U73" s="188">
        <v>4</v>
      </c>
      <c r="V73" s="188">
        <v>2688.5572552203021</v>
      </c>
      <c r="W73" s="185">
        <f t="shared" si="19"/>
        <v>672.13931380507552</v>
      </c>
      <c r="X73" s="182">
        <f t="shared" si="23"/>
        <v>18</v>
      </c>
      <c r="Y73" s="630"/>
      <c r="Z73" s="188">
        <v>4</v>
      </c>
      <c r="AA73" s="188">
        <v>2689.4572552203017</v>
      </c>
      <c r="AB73" s="185">
        <f t="shared" si="24"/>
        <v>672.36431380507543</v>
      </c>
      <c r="AC73" s="182">
        <f t="shared" si="25"/>
        <v>18</v>
      </c>
      <c r="AD73" s="630"/>
      <c r="AE73" s="188">
        <v>4</v>
      </c>
      <c r="AF73" s="188">
        <v>2688.1098724378417</v>
      </c>
      <c r="AG73" s="185">
        <f t="shared" si="26"/>
        <v>672.02746810946041</v>
      </c>
      <c r="AH73" s="182">
        <f t="shared" si="27"/>
        <v>18</v>
      </c>
      <c r="AI73" s="630"/>
      <c r="AJ73" s="188">
        <v>4</v>
      </c>
      <c r="AK73" s="188">
        <v>2688.7098724378416</v>
      </c>
      <c r="AL73" s="185">
        <f t="shared" si="28"/>
        <v>672.17746810946039</v>
      </c>
      <c r="AM73" s="182">
        <f t="shared" si="29"/>
        <v>18</v>
      </c>
      <c r="AN73" s="630"/>
      <c r="AO73" s="188">
        <v>4</v>
      </c>
      <c r="AP73" s="188">
        <v>2688.3668506014806</v>
      </c>
      <c r="AQ73" s="185">
        <f t="shared" si="30"/>
        <v>672.09171265037014</v>
      </c>
      <c r="AR73" s="182">
        <f t="shared" si="31"/>
        <v>18</v>
      </c>
      <c r="AS73" s="630"/>
      <c r="AT73" s="188">
        <v>4</v>
      </c>
      <c r="AU73" s="188">
        <v>2701.0588441258838</v>
      </c>
      <c r="AV73" s="185">
        <f t="shared" si="32"/>
        <v>675.26471103147094</v>
      </c>
      <c r="AW73" s="182">
        <f t="shared" si="33"/>
        <v>18</v>
      </c>
      <c r="AX73" s="630"/>
    </row>
    <row r="74" spans="2:50" ht="14.25" customHeight="1">
      <c r="B74" s="631"/>
      <c r="C74" s="180">
        <v>28</v>
      </c>
      <c r="D74" s="183" t="s">
        <v>541</v>
      </c>
      <c r="E74" s="184">
        <v>5</v>
      </c>
      <c r="F74" s="180">
        <v>3000</v>
      </c>
      <c r="G74" s="185">
        <f t="shared" si="34"/>
        <v>600</v>
      </c>
      <c r="H74" s="632"/>
      <c r="I74" s="186">
        <f t="shared" si="21"/>
        <v>5</v>
      </c>
      <c r="J74" s="186">
        <f t="shared" si="21"/>
        <v>2689.2965354013172</v>
      </c>
      <c r="K74" s="187">
        <f t="shared" si="21"/>
        <v>537.85930708026342</v>
      </c>
      <c r="L74" s="633"/>
      <c r="M74" s="186">
        <f>RANK(K74, K$47:$K$82)</f>
        <v>29</v>
      </c>
      <c r="N74" s="644"/>
      <c r="O74" s="634"/>
      <c r="P74" s="188">
        <v>5</v>
      </c>
      <c r="Q74" s="188">
        <v>2687.5950146269397</v>
      </c>
      <c r="R74" s="185">
        <f t="shared" si="18"/>
        <v>537.51900292538789</v>
      </c>
      <c r="S74" s="182">
        <f t="shared" si="22"/>
        <v>29</v>
      </c>
      <c r="T74" s="630"/>
      <c r="U74" s="188">
        <v>5</v>
      </c>
      <c r="V74" s="188">
        <v>2686.6950146269396</v>
      </c>
      <c r="W74" s="185">
        <f t="shared" si="19"/>
        <v>537.33900292538794</v>
      </c>
      <c r="X74" s="182">
        <f t="shared" si="23"/>
        <v>29</v>
      </c>
      <c r="Y74" s="630"/>
      <c r="Z74" s="188">
        <v>5</v>
      </c>
      <c r="AA74" s="188">
        <v>2687.6345751628978</v>
      </c>
      <c r="AB74" s="185">
        <f t="shared" si="24"/>
        <v>537.52691503257961</v>
      </c>
      <c r="AC74" s="182">
        <f t="shared" si="25"/>
        <v>29</v>
      </c>
      <c r="AD74" s="630"/>
      <c r="AE74" s="188">
        <v>5</v>
      </c>
      <c r="AF74" s="188">
        <v>2687.8290666531975</v>
      </c>
      <c r="AG74" s="185">
        <f t="shared" si="26"/>
        <v>537.56581333063946</v>
      </c>
      <c r="AH74" s="182">
        <f t="shared" si="27"/>
        <v>29</v>
      </c>
      <c r="AI74" s="630"/>
      <c r="AJ74" s="188">
        <v>5</v>
      </c>
      <c r="AK74" s="188">
        <v>2686.6290666531972</v>
      </c>
      <c r="AL74" s="185">
        <f t="shared" si="28"/>
        <v>537.32581333063945</v>
      </c>
      <c r="AM74" s="182">
        <f t="shared" si="29"/>
        <v>29</v>
      </c>
      <c r="AN74" s="630"/>
      <c r="AO74" s="188">
        <v>5</v>
      </c>
      <c r="AP74" s="188">
        <v>2687.8290666531975</v>
      </c>
      <c r="AQ74" s="185">
        <f t="shared" si="30"/>
        <v>537.56581333063946</v>
      </c>
      <c r="AR74" s="182">
        <f t="shared" si="31"/>
        <v>29</v>
      </c>
      <c r="AS74" s="630"/>
      <c r="AT74" s="188">
        <v>5</v>
      </c>
      <c r="AU74" s="188">
        <v>2700.8639434328516</v>
      </c>
      <c r="AV74" s="185">
        <f t="shared" si="32"/>
        <v>540.17278868657036</v>
      </c>
      <c r="AW74" s="182">
        <f t="shared" si="33"/>
        <v>29</v>
      </c>
      <c r="AX74" s="630"/>
    </row>
    <row r="75" spans="2:50" ht="14.25" customHeight="1">
      <c r="B75" s="631"/>
      <c r="C75" s="180">
        <v>29</v>
      </c>
      <c r="D75" s="183" t="s">
        <v>560</v>
      </c>
      <c r="E75" s="184">
        <v>3</v>
      </c>
      <c r="F75" s="180">
        <v>3300</v>
      </c>
      <c r="G75" s="185">
        <f t="shared" si="34"/>
        <v>1100</v>
      </c>
      <c r="H75" s="632"/>
      <c r="I75" s="186">
        <f t="shared" si="21"/>
        <v>3</v>
      </c>
      <c r="J75" s="186">
        <f t="shared" si="21"/>
        <v>2979.9814293884947</v>
      </c>
      <c r="K75" s="187">
        <f t="shared" si="21"/>
        <v>993.32714312949827</v>
      </c>
      <c r="L75" s="633"/>
      <c r="M75" s="186">
        <f>RANK(K75, K$47:$K$82)</f>
        <v>9</v>
      </c>
      <c r="N75" s="644"/>
      <c r="O75" s="634"/>
      <c r="P75" s="188">
        <v>3</v>
      </c>
      <c r="Q75" s="188">
        <v>2978.8091204815846</v>
      </c>
      <c r="R75" s="185">
        <f t="shared" si="18"/>
        <v>992.93637349386154</v>
      </c>
      <c r="S75" s="182">
        <f t="shared" si="22"/>
        <v>10</v>
      </c>
      <c r="T75" s="630"/>
      <c r="U75" s="188">
        <v>3</v>
      </c>
      <c r="V75" s="188">
        <v>2979.1529618065729</v>
      </c>
      <c r="W75" s="185">
        <f t="shared" si="19"/>
        <v>993.05098726885763</v>
      </c>
      <c r="X75" s="182">
        <f t="shared" si="23"/>
        <v>9</v>
      </c>
      <c r="Y75" s="630"/>
      <c r="Z75" s="188">
        <v>3</v>
      </c>
      <c r="AA75" s="188">
        <v>2979.8129618065732</v>
      </c>
      <c r="AB75" s="185">
        <f t="shared" si="24"/>
        <v>993.27098726885777</v>
      </c>
      <c r="AC75" s="182">
        <f t="shared" si="25"/>
        <v>9</v>
      </c>
      <c r="AD75" s="630"/>
      <c r="AE75" s="188">
        <v>3</v>
      </c>
      <c r="AF75" s="188">
        <v>2981.1329618065729</v>
      </c>
      <c r="AG75" s="185">
        <f t="shared" si="26"/>
        <v>993.71098726885759</v>
      </c>
      <c r="AH75" s="182">
        <f t="shared" si="27"/>
        <v>9</v>
      </c>
      <c r="AI75" s="630"/>
      <c r="AJ75" s="188">
        <v>3</v>
      </c>
      <c r="AK75" s="188">
        <v>2981.3503902514831</v>
      </c>
      <c r="AL75" s="185">
        <f t="shared" si="28"/>
        <v>993.78346341716099</v>
      </c>
      <c r="AM75" s="182">
        <f t="shared" si="29"/>
        <v>9</v>
      </c>
      <c r="AN75" s="630"/>
      <c r="AO75" s="188">
        <v>3</v>
      </c>
      <c r="AP75" s="188">
        <v>2979.3108047833389</v>
      </c>
      <c r="AQ75" s="185">
        <f t="shared" si="30"/>
        <v>993.10360159444633</v>
      </c>
      <c r="AR75" s="182">
        <f t="shared" si="31"/>
        <v>10</v>
      </c>
      <c r="AS75" s="630"/>
      <c r="AT75" s="188">
        <v>3</v>
      </c>
      <c r="AU75" s="188">
        <v>2980.3008047833391</v>
      </c>
      <c r="AV75" s="185">
        <f t="shared" si="32"/>
        <v>993.43360159444637</v>
      </c>
      <c r="AW75" s="182">
        <f t="shared" si="33"/>
        <v>10</v>
      </c>
      <c r="AX75" s="630"/>
    </row>
    <row r="76" spans="2:50" ht="14.25" customHeight="1">
      <c r="B76" s="631"/>
      <c r="C76" s="180">
        <v>30</v>
      </c>
      <c r="D76" s="183" t="s">
        <v>500</v>
      </c>
      <c r="E76" s="184">
        <v>12</v>
      </c>
      <c r="F76" s="180">
        <v>3600</v>
      </c>
      <c r="G76" s="185">
        <f t="shared" si="34"/>
        <v>300</v>
      </c>
      <c r="H76" s="632"/>
      <c r="I76" s="186">
        <f t="shared" si="21"/>
        <v>12</v>
      </c>
      <c r="J76" s="186">
        <f t="shared" si="21"/>
        <v>3265.3700018344566</v>
      </c>
      <c r="K76" s="187">
        <f t="shared" si="21"/>
        <v>272.11416681953807</v>
      </c>
      <c r="L76" s="633"/>
      <c r="M76" s="186">
        <f>RANK(K76, K$47:$K$82)</f>
        <v>30</v>
      </c>
      <c r="N76" s="644"/>
      <c r="O76" s="634"/>
      <c r="P76" s="188">
        <v>12</v>
      </c>
      <c r="Q76" s="188">
        <v>3265.1128589773148</v>
      </c>
      <c r="R76" s="185">
        <f t="shared" si="18"/>
        <v>272.09273824810958</v>
      </c>
      <c r="S76" s="182">
        <f t="shared" si="22"/>
        <v>30</v>
      </c>
      <c r="T76" s="630"/>
      <c r="U76" s="188">
        <v>12</v>
      </c>
      <c r="V76" s="188">
        <v>3266.5528589773144</v>
      </c>
      <c r="W76" s="185">
        <f t="shared" si="19"/>
        <v>272.21273824810953</v>
      </c>
      <c r="X76" s="182">
        <f t="shared" si="23"/>
        <v>30</v>
      </c>
      <c r="Y76" s="630"/>
      <c r="Z76" s="188">
        <v>12</v>
      </c>
      <c r="AA76" s="188">
        <v>3265.1128589773139</v>
      </c>
      <c r="AB76" s="185">
        <f t="shared" si="24"/>
        <v>272.09273824810947</v>
      </c>
      <c r="AC76" s="182">
        <f t="shared" si="25"/>
        <v>30</v>
      </c>
      <c r="AD76" s="630"/>
      <c r="AE76" s="188">
        <v>12</v>
      </c>
      <c r="AF76" s="188">
        <v>3265.4728589773131</v>
      </c>
      <c r="AG76" s="185">
        <f t="shared" si="26"/>
        <v>272.12273824810944</v>
      </c>
      <c r="AH76" s="182">
        <f t="shared" si="27"/>
        <v>30</v>
      </c>
      <c r="AI76" s="630"/>
      <c r="AJ76" s="188">
        <v>12</v>
      </c>
      <c r="AK76" s="188">
        <v>3265.112858977313</v>
      </c>
      <c r="AL76" s="185">
        <f t="shared" si="28"/>
        <v>272.09273824810941</v>
      </c>
      <c r="AM76" s="182">
        <f t="shared" si="29"/>
        <v>30</v>
      </c>
      <c r="AN76" s="630"/>
      <c r="AO76" s="188">
        <v>12</v>
      </c>
      <c r="AP76" s="188">
        <v>3265.1128589773125</v>
      </c>
      <c r="AQ76" s="185">
        <f t="shared" si="30"/>
        <v>272.09273824810936</v>
      </c>
      <c r="AR76" s="182">
        <f t="shared" si="31"/>
        <v>30</v>
      </c>
      <c r="AS76" s="630"/>
      <c r="AT76" s="188">
        <v>12</v>
      </c>
      <c r="AU76" s="188">
        <v>3265.1128589773125</v>
      </c>
      <c r="AV76" s="185">
        <f t="shared" si="32"/>
        <v>272.09273824810936</v>
      </c>
      <c r="AW76" s="182">
        <f t="shared" si="33"/>
        <v>30</v>
      </c>
      <c r="AX76" s="630"/>
    </row>
    <row r="77" spans="2:50" ht="14.25" customHeight="1">
      <c r="B77" s="631"/>
      <c r="C77" s="180">
        <v>31</v>
      </c>
      <c r="D77" s="183" t="s">
        <v>515</v>
      </c>
      <c r="E77" s="180">
        <v>13</v>
      </c>
      <c r="F77" s="180">
        <v>3600</v>
      </c>
      <c r="G77" s="185">
        <f t="shared" si="34"/>
        <v>276.92307692307691</v>
      </c>
      <c r="H77" s="632"/>
      <c r="I77" s="186">
        <f t="shared" si="21"/>
        <v>13</v>
      </c>
      <c r="J77" s="186">
        <f t="shared" si="21"/>
        <v>3265.2302464763443</v>
      </c>
      <c r="K77" s="187">
        <f t="shared" si="21"/>
        <v>251.17155742125721</v>
      </c>
      <c r="L77" s="633"/>
      <c r="M77" s="186">
        <f>RANK(K77, K$47:$K$82)</f>
        <v>33</v>
      </c>
      <c r="N77" s="644"/>
      <c r="O77" s="634"/>
      <c r="P77" s="188">
        <v>13</v>
      </c>
      <c r="Q77" s="188">
        <v>3263.7388179049144</v>
      </c>
      <c r="R77" s="185">
        <f t="shared" si="18"/>
        <v>251.05683214653189</v>
      </c>
      <c r="S77" s="182">
        <f t="shared" si="22"/>
        <v>33</v>
      </c>
      <c r="T77" s="630"/>
      <c r="U77" s="188">
        <v>13</v>
      </c>
      <c r="V77" s="188">
        <v>3264.8188179049148</v>
      </c>
      <c r="W77" s="185">
        <f t="shared" si="19"/>
        <v>251.13990906960882</v>
      </c>
      <c r="X77" s="182">
        <f t="shared" si="23"/>
        <v>33</v>
      </c>
      <c r="Y77" s="630"/>
      <c r="Z77" s="188">
        <v>13</v>
      </c>
      <c r="AA77" s="188">
        <v>3266.2588179049148</v>
      </c>
      <c r="AB77" s="185">
        <f t="shared" si="24"/>
        <v>251.25067830037807</v>
      </c>
      <c r="AC77" s="182">
        <f t="shared" si="25"/>
        <v>33</v>
      </c>
      <c r="AD77" s="630"/>
      <c r="AE77" s="188">
        <v>13</v>
      </c>
      <c r="AF77" s="188">
        <v>3266.618817904915</v>
      </c>
      <c r="AG77" s="185">
        <f t="shared" si="26"/>
        <v>251.27837060807039</v>
      </c>
      <c r="AH77" s="182">
        <f t="shared" si="27"/>
        <v>33</v>
      </c>
      <c r="AI77" s="630"/>
      <c r="AJ77" s="188">
        <v>13</v>
      </c>
      <c r="AK77" s="188">
        <v>3265.8988179049156</v>
      </c>
      <c r="AL77" s="185">
        <f t="shared" si="28"/>
        <v>251.22298599268581</v>
      </c>
      <c r="AM77" s="182">
        <f t="shared" si="29"/>
        <v>33</v>
      </c>
      <c r="AN77" s="630"/>
      <c r="AO77" s="188">
        <v>13</v>
      </c>
      <c r="AP77" s="188">
        <v>3264.458817904916</v>
      </c>
      <c r="AQ77" s="185">
        <f t="shared" si="30"/>
        <v>251.11221676191661</v>
      </c>
      <c r="AR77" s="182">
        <f t="shared" si="31"/>
        <v>33</v>
      </c>
      <c r="AS77" s="630"/>
      <c r="AT77" s="188">
        <v>13</v>
      </c>
      <c r="AU77" s="188">
        <v>3264.8188179049162</v>
      </c>
      <c r="AV77" s="185">
        <f t="shared" si="32"/>
        <v>251.13990906960893</v>
      </c>
      <c r="AW77" s="182">
        <f t="shared" si="33"/>
        <v>33</v>
      </c>
      <c r="AX77" s="630"/>
    </row>
    <row r="78" spans="2:50" ht="14.25" customHeight="1">
      <c r="B78" s="631"/>
      <c r="C78" s="180">
        <v>32</v>
      </c>
      <c r="D78" s="183" t="s">
        <v>347</v>
      </c>
      <c r="E78" s="180">
        <v>3</v>
      </c>
      <c r="F78" s="180">
        <v>3000</v>
      </c>
      <c r="G78" s="185">
        <f t="shared" si="34"/>
        <v>1000</v>
      </c>
      <c r="H78" s="632"/>
      <c r="I78" s="186">
        <f t="shared" ref="I78:K79" si="35">AVERAGE(P78,U78,Z78,AE78,AJ78,AO78,AT78)</f>
        <v>3</v>
      </c>
      <c r="J78" s="186">
        <f t="shared" si="35"/>
        <v>2707.1357470838957</v>
      </c>
      <c r="K78" s="187">
        <f t="shared" si="35"/>
        <v>902.37858236129864</v>
      </c>
      <c r="L78" s="633"/>
      <c r="M78" s="186">
        <f>RANK(K78, K$47:$K$82)</f>
        <v>11</v>
      </c>
      <c r="N78" s="644"/>
      <c r="O78" s="634"/>
      <c r="P78" s="188">
        <v>3</v>
      </c>
      <c r="Q78" s="188">
        <v>2706.9151742993863</v>
      </c>
      <c r="R78" s="185">
        <f t="shared" si="18"/>
        <v>902.30505809979547</v>
      </c>
      <c r="S78" s="182">
        <f t="shared" si="22"/>
        <v>11</v>
      </c>
      <c r="T78" s="630"/>
      <c r="U78" s="188">
        <v>3</v>
      </c>
      <c r="V78" s="188">
        <v>2706.0151742993858</v>
      </c>
      <c r="W78" s="185">
        <f t="shared" si="19"/>
        <v>902.00505809979529</v>
      </c>
      <c r="X78" s="182">
        <f t="shared" si="23"/>
        <v>12</v>
      </c>
      <c r="Y78" s="630"/>
      <c r="Z78" s="188">
        <v>3</v>
      </c>
      <c r="AA78" s="188">
        <v>2706.9151742993859</v>
      </c>
      <c r="AB78" s="185">
        <f t="shared" si="24"/>
        <v>902.30505809979525</v>
      </c>
      <c r="AC78" s="182">
        <f t="shared" si="25"/>
        <v>11</v>
      </c>
      <c r="AD78" s="630"/>
      <c r="AE78" s="188">
        <v>3</v>
      </c>
      <c r="AF78" s="188">
        <v>2708.4151742993854</v>
      </c>
      <c r="AG78" s="185">
        <f t="shared" si="26"/>
        <v>902.80505809979513</v>
      </c>
      <c r="AH78" s="182">
        <f t="shared" si="27"/>
        <v>11</v>
      </c>
      <c r="AI78" s="630"/>
      <c r="AJ78" s="188">
        <v>3</v>
      </c>
      <c r="AK78" s="188">
        <v>2707.5151742993858</v>
      </c>
      <c r="AL78" s="185">
        <f t="shared" si="28"/>
        <v>902.50505809979529</v>
      </c>
      <c r="AM78" s="182">
        <f t="shared" si="29"/>
        <v>11</v>
      </c>
      <c r="AN78" s="630"/>
      <c r="AO78" s="188">
        <v>3</v>
      </c>
      <c r="AP78" s="188">
        <v>2707.0942316668934</v>
      </c>
      <c r="AQ78" s="185">
        <f t="shared" si="30"/>
        <v>902.36474388896443</v>
      </c>
      <c r="AR78" s="182">
        <f t="shared" si="31"/>
        <v>11</v>
      </c>
      <c r="AS78" s="630"/>
      <c r="AT78" s="188">
        <v>3</v>
      </c>
      <c r="AU78" s="188">
        <v>2707.0801264234478</v>
      </c>
      <c r="AV78" s="185">
        <f t="shared" si="32"/>
        <v>902.36004214114928</v>
      </c>
      <c r="AW78" s="182">
        <f t="shared" si="33"/>
        <v>11</v>
      </c>
      <c r="AX78" s="630"/>
    </row>
    <row r="79" spans="2:50" ht="14.25" customHeight="1">
      <c r="B79" s="631"/>
      <c r="C79" s="180">
        <v>33</v>
      </c>
      <c r="D79" s="183" t="s">
        <v>446</v>
      </c>
      <c r="E79" s="180">
        <v>12</v>
      </c>
      <c r="F79" s="180">
        <v>3600</v>
      </c>
      <c r="G79" s="185">
        <f t="shared" si="34"/>
        <v>300</v>
      </c>
      <c r="H79" s="632"/>
      <c r="I79" s="186">
        <f t="shared" si="35"/>
        <v>12</v>
      </c>
      <c r="J79" s="186">
        <f t="shared" si="35"/>
        <v>3121.3921984572107</v>
      </c>
      <c r="K79" s="187">
        <f t="shared" si="35"/>
        <v>260.11601653810089</v>
      </c>
      <c r="L79" s="633"/>
      <c r="M79" s="186">
        <f>RANK(K79, K$47:$K$82)</f>
        <v>31</v>
      </c>
      <c r="N79" s="644"/>
      <c r="O79" s="634"/>
      <c r="P79" s="188">
        <v>12</v>
      </c>
      <c r="Q79" s="188">
        <v>3122.6421438224497</v>
      </c>
      <c r="R79" s="185">
        <f t="shared" si="18"/>
        <v>260.22017865187081</v>
      </c>
      <c r="S79" s="182">
        <f t="shared" si="22"/>
        <v>31</v>
      </c>
      <c r="T79" s="630"/>
      <c r="U79" s="188">
        <v>12</v>
      </c>
      <c r="V79" s="188">
        <v>3122.6421438224497</v>
      </c>
      <c r="W79" s="185">
        <f t="shared" si="19"/>
        <v>260.22017865187081</v>
      </c>
      <c r="X79" s="182">
        <f t="shared" si="23"/>
        <v>31</v>
      </c>
      <c r="Y79" s="630"/>
      <c r="Z79" s="188">
        <v>12</v>
      </c>
      <c r="AA79" s="188">
        <v>3122.1159806432142</v>
      </c>
      <c r="AB79" s="185">
        <f t="shared" si="24"/>
        <v>260.17633172026785</v>
      </c>
      <c r="AC79" s="182">
        <f t="shared" si="25"/>
        <v>31</v>
      </c>
      <c r="AD79" s="630"/>
      <c r="AE79" s="188">
        <v>12</v>
      </c>
      <c r="AF79" s="188">
        <v>3122.6333813078418</v>
      </c>
      <c r="AG79" s="185">
        <f t="shared" si="26"/>
        <v>260.21944844232013</v>
      </c>
      <c r="AH79" s="182">
        <f t="shared" si="27"/>
        <v>31</v>
      </c>
      <c r="AI79" s="630"/>
      <c r="AJ79" s="188">
        <v>12</v>
      </c>
      <c r="AK79" s="188">
        <v>3121.6909526646314</v>
      </c>
      <c r="AL79" s="185">
        <f t="shared" si="28"/>
        <v>260.14091272205263</v>
      </c>
      <c r="AM79" s="182">
        <f t="shared" si="29"/>
        <v>31</v>
      </c>
      <c r="AN79" s="630"/>
      <c r="AO79" s="188">
        <v>12</v>
      </c>
      <c r="AP79" s="188">
        <v>3119.2046317465611</v>
      </c>
      <c r="AQ79" s="185">
        <f t="shared" si="30"/>
        <v>259.93371931221344</v>
      </c>
      <c r="AR79" s="182">
        <f t="shared" si="31"/>
        <v>31</v>
      </c>
      <c r="AS79" s="630"/>
      <c r="AT79" s="188">
        <v>12</v>
      </c>
      <c r="AU79" s="188">
        <v>3118.8161551933272</v>
      </c>
      <c r="AV79" s="185">
        <f t="shared" si="32"/>
        <v>259.90134626611058</v>
      </c>
      <c r="AW79" s="182">
        <f t="shared" si="33"/>
        <v>31</v>
      </c>
      <c r="AX79" s="630"/>
    </row>
    <row r="80" spans="2:50" ht="14.25" customHeight="1">
      <c r="B80" s="631"/>
      <c r="C80" s="180">
        <v>34</v>
      </c>
      <c r="D80" s="183"/>
      <c r="E80" s="180"/>
      <c r="F80" s="180"/>
      <c r="G80" s="185"/>
      <c r="H80" s="632"/>
      <c r="I80" s="186"/>
      <c r="J80" s="186"/>
      <c r="K80" s="187"/>
      <c r="L80" s="633"/>
      <c r="M80" s="186"/>
      <c r="N80" s="644"/>
      <c r="O80" s="634"/>
      <c r="P80" s="188"/>
      <c r="Q80" s="188"/>
      <c r="R80" s="185"/>
      <c r="S80" s="182"/>
      <c r="T80" s="630"/>
      <c r="U80" s="188"/>
      <c r="V80" s="188"/>
      <c r="W80" s="185"/>
      <c r="X80" s="182"/>
      <c r="Y80" s="630"/>
      <c r="Z80" s="188"/>
      <c r="AA80" s="188"/>
      <c r="AB80" s="185"/>
      <c r="AC80" s="182"/>
      <c r="AD80" s="630"/>
      <c r="AE80" s="188"/>
      <c r="AF80" s="188"/>
      <c r="AG80" s="185"/>
      <c r="AH80" s="182"/>
      <c r="AI80" s="630"/>
      <c r="AJ80" s="188"/>
      <c r="AK80" s="188"/>
      <c r="AL80" s="185"/>
      <c r="AM80" s="182"/>
      <c r="AN80" s="630"/>
      <c r="AO80" s="188"/>
      <c r="AP80" s="188"/>
      <c r="AQ80" s="185"/>
      <c r="AR80" s="182"/>
      <c r="AS80" s="630"/>
      <c r="AT80" s="188"/>
      <c r="AU80" s="188"/>
      <c r="AV80" s="185"/>
      <c r="AW80" s="182"/>
      <c r="AX80" s="630"/>
    </row>
    <row r="81" spans="1:50" ht="14.25" customHeight="1">
      <c r="B81" s="631"/>
      <c r="C81" s="180">
        <v>35</v>
      </c>
      <c r="D81" s="183"/>
      <c r="E81" s="180"/>
      <c r="F81" s="180"/>
      <c r="G81" s="185"/>
      <c r="H81" s="632"/>
      <c r="I81" s="186"/>
      <c r="J81" s="186"/>
      <c r="K81" s="187"/>
      <c r="L81" s="633"/>
      <c r="M81" s="186"/>
      <c r="N81" s="644"/>
      <c r="O81" s="634"/>
      <c r="P81" s="188"/>
      <c r="Q81" s="188"/>
      <c r="R81" s="185"/>
      <c r="S81" s="182"/>
      <c r="T81" s="630"/>
      <c r="U81" s="188"/>
      <c r="V81" s="188"/>
      <c r="W81" s="185"/>
      <c r="X81" s="182"/>
      <c r="Y81" s="630"/>
      <c r="Z81" s="188"/>
      <c r="AA81" s="188"/>
      <c r="AB81" s="185"/>
      <c r="AC81" s="182"/>
      <c r="AD81" s="630"/>
      <c r="AE81" s="188"/>
      <c r="AF81" s="188"/>
      <c r="AG81" s="185"/>
      <c r="AH81" s="182"/>
      <c r="AI81" s="630"/>
      <c r="AJ81" s="188"/>
      <c r="AK81" s="188"/>
      <c r="AL81" s="185"/>
      <c r="AM81" s="182"/>
      <c r="AN81" s="630"/>
      <c r="AO81" s="188"/>
      <c r="AP81" s="188"/>
      <c r="AQ81" s="185"/>
      <c r="AR81" s="182"/>
      <c r="AS81" s="630"/>
      <c r="AT81" s="188"/>
      <c r="AU81" s="188"/>
      <c r="AV81" s="185"/>
      <c r="AW81" s="182"/>
      <c r="AX81" s="630"/>
    </row>
    <row r="82" spans="1:50" ht="14.25" customHeight="1">
      <c r="B82" s="645" t="s">
        <v>743</v>
      </c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7"/>
      <c r="N82" s="650" t="s">
        <v>369</v>
      </c>
      <c r="O82" s="650" t="s">
        <v>105</v>
      </c>
      <c r="P82" s="652">
        <v>46154</v>
      </c>
      <c r="Q82" s="653"/>
      <c r="R82" s="653"/>
      <c r="S82" s="653"/>
      <c r="T82" s="653"/>
      <c r="U82" s="654">
        <v>46155</v>
      </c>
      <c r="V82" s="655"/>
      <c r="W82" s="655"/>
      <c r="X82" s="655"/>
      <c r="Y82" s="655"/>
      <c r="Z82" s="652">
        <v>46156</v>
      </c>
      <c r="AA82" s="653"/>
      <c r="AB82" s="653"/>
      <c r="AC82" s="653"/>
      <c r="AD82" s="653"/>
      <c r="AE82" s="654">
        <v>46157</v>
      </c>
      <c r="AF82" s="655"/>
      <c r="AG82" s="655"/>
      <c r="AH82" s="655"/>
      <c r="AI82" s="655"/>
      <c r="AJ82" s="636">
        <v>46158</v>
      </c>
      <c r="AK82" s="637"/>
      <c r="AL82" s="637"/>
      <c r="AM82" s="637"/>
      <c r="AN82" s="638"/>
      <c r="AO82" s="654">
        <v>46159</v>
      </c>
      <c r="AP82" s="655"/>
      <c r="AQ82" s="655"/>
      <c r="AR82" s="655"/>
      <c r="AS82" s="655"/>
      <c r="AT82" s="636">
        <v>46160</v>
      </c>
      <c r="AU82" s="637"/>
      <c r="AV82" s="637"/>
      <c r="AW82" s="637"/>
      <c r="AX82" s="638"/>
    </row>
    <row r="83" spans="1:50" ht="14.25" customHeight="1"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9"/>
      <c r="N83" s="651"/>
      <c r="O83" s="651"/>
      <c r="P83" s="639">
        <v>46154</v>
      </c>
      <c r="Q83" s="639"/>
      <c r="R83" s="639"/>
      <c r="S83" s="639"/>
      <c r="T83" s="639"/>
      <c r="U83" s="640">
        <v>46155</v>
      </c>
      <c r="V83" s="640"/>
      <c r="W83" s="640"/>
      <c r="X83" s="640"/>
      <c r="Y83" s="640"/>
      <c r="Z83" s="639">
        <v>46156</v>
      </c>
      <c r="AA83" s="639"/>
      <c r="AB83" s="639"/>
      <c r="AC83" s="639"/>
      <c r="AD83" s="639"/>
      <c r="AE83" s="640">
        <v>46157</v>
      </c>
      <c r="AF83" s="640"/>
      <c r="AG83" s="640"/>
      <c r="AH83" s="640"/>
      <c r="AI83" s="640"/>
      <c r="AJ83" s="641">
        <v>46158</v>
      </c>
      <c r="AK83" s="642"/>
      <c r="AL83" s="642"/>
      <c r="AM83" s="642"/>
      <c r="AN83" s="643"/>
      <c r="AO83" s="640">
        <v>46159</v>
      </c>
      <c r="AP83" s="640"/>
      <c r="AQ83" s="640"/>
      <c r="AR83" s="640"/>
      <c r="AS83" s="640"/>
      <c r="AT83" s="641">
        <v>46160</v>
      </c>
      <c r="AU83" s="642"/>
      <c r="AV83" s="642"/>
      <c r="AW83" s="642"/>
      <c r="AX83" s="643"/>
    </row>
    <row r="84" spans="1:50" ht="14.25" customHeight="1">
      <c r="B84" s="631" t="s">
        <v>162</v>
      </c>
      <c r="C84" s="631" t="s">
        <v>157</v>
      </c>
      <c r="D84" s="631"/>
      <c r="E84" s="631" t="s">
        <v>158</v>
      </c>
      <c r="F84" s="631"/>
      <c r="G84" s="631"/>
      <c r="H84" s="631" t="s">
        <v>163</v>
      </c>
      <c r="I84" s="635" t="s">
        <v>370</v>
      </c>
      <c r="J84" s="635"/>
      <c r="K84" s="635"/>
      <c r="L84" s="635" t="s">
        <v>163</v>
      </c>
      <c r="M84" s="635" t="s">
        <v>165</v>
      </c>
      <c r="N84" s="644"/>
      <c r="O84" s="634" t="s">
        <v>164</v>
      </c>
      <c r="P84" s="634" t="s">
        <v>160</v>
      </c>
      <c r="Q84" s="634"/>
      <c r="R84" s="634"/>
      <c r="S84" s="634"/>
      <c r="T84" s="634" t="s">
        <v>163</v>
      </c>
      <c r="U84" s="634" t="s">
        <v>160</v>
      </c>
      <c r="V84" s="634"/>
      <c r="W84" s="634"/>
      <c r="X84" s="634"/>
      <c r="Y84" s="634" t="s">
        <v>163</v>
      </c>
      <c r="Z84" s="634" t="s">
        <v>160</v>
      </c>
      <c r="AA84" s="634"/>
      <c r="AB84" s="634"/>
      <c r="AC84" s="634"/>
      <c r="AD84" s="634" t="s">
        <v>163</v>
      </c>
      <c r="AE84" s="634" t="s">
        <v>160</v>
      </c>
      <c r="AF84" s="634"/>
      <c r="AG84" s="634"/>
      <c r="AH84" s="634"/>
      <c r="AI84" s="634" t="s">
        <v>163</v>
      </c>
      <c r="AJ84" s="634" t="s">
        <v>160</v>
      </c>
      <c r="AK84" s="634"/>
      <c r="AL84" s="634"/>
      <c r="AM84" s="634"/>
      <c r="AN84" s="634" t="s">
        <v>163</v>
      </c>
      <c r="AO84" s="634" t="s">
        <v>160</v>
      </c>
      <c r="AP84" s="634"/>
      <c r="AQ84" s="634"/>
      <c r="AR84" s="634"/>
      <c r="AS84" s="634" t="s">
        <v>163</v>
      </c>
      <c r="AT84" s="634" t="s">
        <v>160</v>
      </c>
      <c r="AU84" s="634"/>
      <c r="AV84" s="634"/>
      <c r="AW84" s="634"/>
      <c r="AX84" s="634" t="s">
        <v>163</v>
      </c>
    </row>
    <row r="85" spans="1:50" ht="14.25" customHeight="1">
      <c r="B85" s="631"/>
      <c r="C85" s="631"/>
      <c r="D85" s="631"/>
      <c r="E85" s="631" t="s">
        <v>371</v>
      </c>
      <c r="F85" s="631"/>
      <c r="G85" s="631"/>
      <c r="H85" s="631"/>
      <c r="I85" s="635" t="s">
        <v>371</v>
      </c>
      <c r="J85" s="635"/>
      <c r="K85" s="635"/>
      <c r="L85" s="635"/>
      <c r="M85" s="635"/>
      <c r="N85" s="644"/>
      <c r="O85" s="634"/>
      <c r="P85" s="634" t="s">
        <v>372</v>
      </c>
      <c r="Q85" s="634"/>
      <c r="R85" s="634"/>
      <c r="S85" s="634"/>
      <c r="T85" s="634"/>
      <c r="U85" s="634" t="s">
        <v>372</v>
      </c>
      <c r="V85" s="634"/>
      <c r="W85" s="634"/>
      <c r="X85" s="634"/>
      <c r="Y85" s="634"/>
      <c r="Z85" s="634" t="s">
        <v>372</v>
      </c>
      <c r="AA85" s="634"/>
      <c r="AB85" s="634"/>
      <c r="AC85" s="634"/>
      <c r="AD85" s="634"/>
      <c r="AE85" s="634" t="s">
        <v>372</v>
      </c>
      <c r="AF85" s="634"/>
      <c r="AG85" s="634"/>
      <c r="AH85" s="634"/>
      <c r="AI85" s="634"/>
      <c r="AJ85" s="634" t="s">
        <v>372</v>
      </c>
      <c r="AK85" s="634"/>
      <c r="AL85" s="634"/>
      <c r="AM85" s="634"/>
      <c r="AN85" s="634"/>
      <c r="AO85" s="634" t="s">
        <v>372</v>
      </c>
      <c r="AP85" s="634"/>
      <c r="AQ85" s="634"/>
      <c r="AR85" s="634"/>
      <c r="AS85" s="634"/>
      <c r="AT85" s="634" t="s">
        <v>372</v>
      </c>
      <c r="AU85" s="634"/>
      <c r="AV85" s="634"/>
      <c r="AW85" s="634"/>
      <c r="AX85" s="634"/>
    </row>
    <row r="86" spans="1:50" ht="14.25" customHeight="1">
      <c r="A86" s="177"/>
      <c r="B86" s="631"/>
      <c r="C86" s="631"/>
      <c r="D86" s="631"/>
      <c r="E86" s="180" t="s">
        <v>159</v>
      </c>
      <c r="F86" s="180" t="s">
        <v>373</v>
      </c>
      <c r="G86" s="180" t="s">
        <v>161</v>
      </c>
      <c r="H86" s="631"/>
      <c r="I86" s="181" t="s">
        <v>159</v>
      </c>
      <c r="J86" s="181" t="s">
        <v>373</v>
      </c>
      <c r="K86" s="181" t="s">
        <v>161</v>
      </c>
      <c r="L86" s="635"/>
      <c r="M86" s="635"/>
      <c r="N86" s="644"/>
      <c r="O86" s="634"/>
      <c r="P86" s="182" t="s">
        <v>159</v>
      </c>
      <c r="Q86" s="182" t="s">
        <v>373</v>
      </c>
      <c r="R86" s="182" t="s">
        <v>161</v>
      </c>
      <c r="S86" s="182" t="s">
        <v>165</v>
      </c>
      <c r="T86" s="634"/>
      <c r="U86" s="182" t="s">
        <v>159</v>
      </c>
      <c r="V86" s="182" t="s">
        <v>373</v>
      </c>
      <c r="W86" s="182" t="s">
        <v>161</v>
      </c>
      <c r="X86" s="182" t="s">
        <v>165</v>
      </c>
      <c r="Y86" s="634"/>
      <c r="Z86" s="182" t="s">
        <v>159</v>
      </c>
      <c r="AA86" s="182" t="s">
        <v>373</v>
      </c>
      <c r="AB86" s="182" t="s">
        <v>161</v>
      </c>
      <c r="AC86" s="182" t="s">
        <v>165</v>
      </c>
      <c r="AD86" s="634"/>
      <c r="AE86" s="182" t="s">
        <v>159</v>
      </c>
      <c r="AF86" s="182" t="s">
        <v>373</v>
      </c>
      <c r="AG86" s="182" t="s">
        <v>161</v>
      </c>
      <c r="AH86" s="182" t="s">
        <v>165</v>
      </c>
      <c r="AI86" s="634"/>
      <c r="AJ86" s="182" t="s">
        <v>159</v>
      </c>
      <c r="AK86" s="182" t="s">
        <v>373</v>
      </c>
      <c r="AL86" s="182" t="s">
        <v>161</v>
      </c>
      <c r="AM86" s="182" t="s">
        <v>165</v>
      </c>
      <c r="AN86" s="634"/>
      <c r="AO86" s="182" t="s">
        <v>159</v>
      </c>
      <c r="AP86" s="182" t="s">
        <v>373</v>
      </c>
      <c r="AQ86" s="182" t="s">
        <v>161</v>
      </c>
      <c r="AR86" s="182" t="s">
        <v>165</v>
      </c>
      <c r="AS86" s="634"/>
      <c r="AT86" s="182" t="s">
        <v>159</v>
      </c>
      <c r="AU86" s="182" t="s">
        <v>373</v>
      </c>
      <c r="AV86" s="182" t="s">
        <v>161</v>
      </c>
      <c r="AW86" s="182" t="s">
        <v>165</v>
      </c>
      <c r="AX86" s="634"/>
    </row>
    <row r="87" spans="1:50" ht="14.25" customHeight="1">
      <c r="B87" s="631" t="s">
        <v>374</v>
      </c>
      <c r="C87" s="180">
        <v>1</v>
      </c>
      <c r="D87" s="183" t="s">
        <v>399</v>
      </c>
      <c r="E87" s="184">
        <v>4</v>
      </c>
      <c r="F87" s="180">
        <v>3600</v>
      </c>
      <c r="G87" s="185">
        <f>F87/E87</f>
        <v>900</v>
      </c>
      <c r="H87" s="632">
        <f>AVERAGE(G87:G121)</f>
        <v>856.08597285067879</v>
      </c>
      <c r="I87" s="186">
        <f>AVERAGE(P87,U87,Z87,AE87,AJ87,AO87,AT87)</f>
        <v>4</v>
      </c>
      <c r="J87" s="186">
        <f>AVERAGE(Q87,V87,AA87,AF87,AK87,AP87,AU87)</f>
        <v>3183.3284465860752</v>
      </c>
      <c r="K87" s="187">
        <f>AVERAGE(R87,W87,AB87,AG87,AL87,AQ87,AV87)</f>
        <v>795.8321116465188</v>
      </c>
      <c r="L87" s="633">
        <f>IFERROR(AVERAGE(K87:K121),"-")</f>
        <v>760.93081796057254</v>
      </c>
      <c r="M87" s="186">
        <f>RANK(K87, K$87:$K$121)</f>
        <v>17</v>
      </c>
      <c r="N87" s="644"/>
      <c r="O87" s="634"/>
      <c r="P87" s="188">
        <v>4</v>
      </c>
      <c r="Q87" s="188">
        <v>3183.1741608717894</v>
      </c>
      <c r="R87" s="185">
        <f t="shared" ref="R87:R120" si="36">IFERROR(Q87/P87,"")</f>
        <v>795.79354021794734</v>
      </c>
      <c r="S87" s="182">
        <f>RANK(R87, R$87:R$121)</f>
        <v>16</v>
      </c>
      <c r="T87" s="630">
        <f>AVERAGE(R87:R121)</f>
        <v>759.18621717950077</v>
      </c>
      <c r="U87" s="188">
        <v>4</v>
      </c>
      <c r="V87" s="188">
        <v>3184.614160871789</v>
      </c>
      <c r="W87" s="185">
        <f t="shared" ref="W87:W120" si="37">IFERROR(V87/U87,"")</f>
        <v>796.15354021794724</v>
      </c>
      <c r="X87" s="182">
        <f>RANK(W87, W$87:W$121)</f>
        <v>16</v>
      </c>
      <c r="Y87" s="630">
        <f>AVERAGE(W87:W121)</f>
        <v>759.79793577202815</v>
      </c>
      <c r="Z87" s="188">
        <v>4</v>
      </c>
      <c r="AA87" s="188">
        <v>3184.9741608717891</v>
      </c>
      <c r="AB87" s="185">
        <f>IFERROR(AA87/Z87,"")</f>
        <v>796.24354021794727</v>
      </c>
      <c r="AC87" s="182">
        <f>RANK(AB87, AB$87:AB$121)</f>
        <v>16</v>
      </c>
      <c r="AD87" s="630">
        <f>AVERAGE(AB87:AB121)</f>
        <v>760.42272395617465</v>
      </c>
      <c r="AE87" s="188">
        <v>4</v>
      </c>
      <c r="AF87" s="188">
        <v>3184.2541608717897</v>
      </c>
      <c r="AG87" s="185">
        <f>IFERROR(AF87/AE87,"")</f>
        <v>796.06354021794743</v>
      </c>
      <c r="AH87" s="182">
        <f>RANK(AG87, AG$87:AG$121)</f>
        <v>17</v>
      </c>
      <c r="AI87" s="630">
        <f>AVERAGE(AG87:AG121)</f>
        <v>761.05923853142122</v>
      </c>
      <c r="AJ87" s="188">
        <v>4</v>
      </c>
      <c r="AK87" s="188">
        <v>3182.45416087179</v>
      </c>
      <c r="AL87" s="185">
        <f>IFERROR(AK87/AJ87,"")</f>
        <v>795.6135402179475</v>
      </c>
      <c r="AM87" s="182">
        <f>RANK(AL87, AL$87:AL$121)</f>
        <v>17</v>
      </c>
      <c r="AN87" s="630">
        <f>AVERAGE(AL87:AL121)</f>
        <v>761.81623606174298</v>
      </c>
      <c r="AO87" s="188">
        <v>4</v>
      </c>
      <c r="AP87" s="188">
        <v>3182.0941608717899</v>
      </c>
      <c r="AQ87" s="185">
        <f>IFERROR(AP87/AO87,"")</f>
        <v>795.52354021794747</v>
      </c>
      <c r="AR87" s="182">
        <f>RANK(AQ87, AQ$87:AQ$121)</f>
        <v>18</v>
      </c>
      <c r="AS87" s="630">
        <f>AVERAGE(AQ87:AQ121)</f>
        <v>762.12472005843063</v>
      </c>
      <c r="AT87" s="188">
        <v>4</v>
      </c>
      <c r="AU87" s="188">
        <v>3181.7341608717898</v>
      </c>
      <c r="AV87" s="185">
        <f>IFERROR(AU87/AT87,"")</f>
        <v>795.43354021794744</v>
      </c>
      <c r="AW87" s="182">
        <f>RANK(AV87, AV$87:AV$121)</f>
        <v>18</v>
      </c>
      <c r="AX87" s="630">
        <f>AVERAGE(AV87:AV121)</f>
        <v>762.1086541647087</v>
      </c>
    </row>
    <row r="88" spans="1:50" ht="14.25" customHeight="1">
      <c r="B88" s="631"/>
      <c r="C88" s="180">
        <v>2</v>
      </c>
      <c r="D88" s="183" t="s">
        <v>397</v>
      </c>
      <c r="E88" s="184">
        <v>3</v>
      </c>
      <c r="F88" s="180">
        <v>3600</v>
      </c>
      <c r="G88" s="185">
        <f t="shared" ref="G88:G107" si="38">F88/E88</f>
        <v>1200</v>
      </c>
      <c r="H88" s="632"/>
      <c r="I88" s="186">
        <f t="shared" ref="I88:K117" si="39">AVERAGE(P88,U88,Z88,AE88,AJ88,AO88,AT88)</f>
        <v>3</v>
      </c>
      <c r="J88" s="186">
        <f t="shared" si="39"/>
        <v>3179.9331966235727</v>
      </c>
      <c r="K88" s="187">
        <f t="shared" si="39"/>
        <v>1059.9777322078576</v>
      </c>
      <c r="L88" s="633"/>
      <c r="M88" s="186">
        <f>RANK(K88, K$87:$K$121)</f>
        <v>8</v>
      </c>
      <c r="N88" s="644"/>
      <c r="O88" s="634"/>
      <c r="P88" s="188">
        <v>3</v>
      </c>
      <c r="Q88" s="188">
        <v>3181.9253333603515</v>
      </c>
      <c r="R88" s="185">
        <f t="shared" si="36"/>
        <v>1060.6417777867839</v>
      </c>
      <c r="S88" s="182">
        <f t="shared" ref="S88:S120" si="40">RANK(R88, R$87:R$121)</f>
        <v>6</v>
      </c>
      <c r="T88" s="630"/>
      <c r="U88" s="188">
        <v>3</v>
      </c>
      <c r="V88" s="188">
        <v>3181.9253333603519</v>
      </c>
      <c r="W88" s="185">
        <f t="shared" si="37"/>
        <v>1060.6417777867839</v>
      </c>
      <c r="X88" s="182">
        <f t="shared" ref="X88:X120" si="41">RANK(W88, W$87:W$121)</f>
        <v>5</v>
      </c>
      <c r="Y88" s="630"/>
      <c r="Z88" s="188">
        <v>3</v>
      </c>
      <c r="AA88" s="188">
        <v>3181.2053333603521</v>
      </c>
      <c r="AB88" s="185">
        <f t="shared" ref="AB88:AB120" si="42">IFERROR(AA88/Z88,"")</f>
        <v>1060.4017777867841</v>
      </c>
      <c r="AC88" s="182">
        <f t="shared" ref="AC88:AC120" si="43">RANK(AB88, AB$87:AB$121)</f>
        <v>6</v>
      </c>
      <c r="AD88" s="630"/>
      <c r="AE88" s="188">
        <v>3</v>
      </c>
      <c r="AF88" s="188">
        <v>3179.7653333603521</v>
      </c>
      <c r="AG88" s="185">
        <f t="shared" ref="AG88:AG120" si="44">IFERROR(AF88/AE88,"")</f>
        <v>1059.9217777867841</v>
      </c>
      <c r="AH88" s="182">
        <f t="shared" ref="AH88:AH120" si="45">RANK(AG88, AG$87:AG$121)</f>
        <v>6</v>
      </c>
      <c r="AI88" s="630"/>
      <c r="AJ88" s="188">
        <v>3</v>
      </c>
      <c r="AK88" s="188">
        <v>3178.5603419288609</v>
      </c>
      <c r="AL88" s="185">
        <f t="shared" ref="AL88:AL120" si="46">IFERROR(AK88/AJ88,"")</f>
        <v>1059.5201139762869</v>
      </c>
      <c r="AM88" s="182">
        <f t="shared" ref="AM88:AM120" si="47">RANK(AL88, AL$87:AL$121)</f>
        <v>8</v>
      </c>
      <c r="AN88" s="630"/>
      <c r="AO88" s="188">
        <v>3</v>
      </c>
      <c r="AP88" s="188">
        <v>3178.7953504973689</v>
      </c>
      <c r="AQ88" s="185">
        <f t="shared" ref="AQ88:AQ120" si="48">IFERROR(AP88/AO88,"")</f>
        <v>1059.5984501657897</v>
      </c>
      <c r="AR88" s="182">
        <f t="shared" ref="AR88:AR120" si="49">RANK(AQ88, AQ$87:AQ$121)</f>
        <v>8</v>
      </c>
      <c r="AS88" s="630"/>
      <c r="AT88" s="188">
        <v>3</v>
      </c>
      <c r="AU88" s="188">
        <v>3177.3553504973693</v>
      </c>
      <c r="AV88" s="185">
        <f t="shared" ref="AV88:AV120" si="50">IFERROR(AU88/AT88,"")</f>
        <v>1059.1184501657897</v>
      </c>
      <c r="AW88" s="182">
        <f t="shared" ref="AW88:AW120" si="51">RANK(AV88, AV$87:AV$121)</f>
        <v>8</v>
      </c>
      <c r="AX88" s="630"/>
    </row>
    <row r="89" spans="1:50" ht="14.25" customHeight="1">
      <c r="B89" s="631"/>
      <c r="C89" s="180">
        <v>3</v>
      </c>
      <c r="D89" s="183" t="s">
        <v>398</v>
      </c>
      <c r="E89" s="184">
        <v>5</v>
      </c>
      <c r="F89" s="180">
        <v>3600</v>
      </c>
      <c r="G89" s="185">
        <f t="shared" si="38"/>
        <v>720</v>
      </c>
      <c r="H89" s="632"/>
      <c r="I89" s="186">
        <f t="shared" si="39"/>
        <v>5</v>
      </c>
      <c r="J89" s="186">
        <f t="shared" si="39"/>
        <v>3189.4786848121935</v>
      </c>
      <c r="K89" s="187">
        <f t="shared" si="39"/>
        <v>637.89573696243872</v>
      </c>
      <c r="L89" s="633"/>
      <c r="M89" s="186">
        <f>RANK(K89, K$87:$K$121)</f>
        <v>21</v>
      </c>
      <c r="N89" s="644"/>
      <c r="O89" s="634"/>
      <c r="P89" s="188">
        <v>5</v>
      </c>
      <c r="Q89" s="188">
        <v>3188.6558276693372</v>
      </c>
      <c r="R89" s="185">
        <f t="shared" si="36"/>
        <v>637.7311655338674</v>
      </c>
      <c r="S89" s="182">
        <f t="shared" si="40"/>
        <v>21</v>
      </c>
      <c r="T89" s="630"/>
      <c r="U89" s="188">
        <v>5</v>
      </c>
      <c r="V89" s="188">
        <v>3189.7358276693367</v>
      </c>
      <c r="W89" s="185">
        <f t="shared" si="37"/>
        <v>637.94716553386729</v>
      </c>
      <c r="X89" s="182">
        <f t="shared" si="41"/>
        <v>21</v>
      </c>
      <c r="Y89" s="630"/>
      <c r="Z89" s="188">
        <v>5</v>
      </c>
      <c r="AA89" s="188">
        <v>3190.455827669336</v>
      </c>
      <c r="AB89" s="185">
        <f t="shared" si="42"/>
        <v>638.09116553386718</v>
      </c>
      <c r="AC89" s="182">
        <f t="shared" si="43"/>
        <v>21</v>
      </c>
      <c r="AD89" s="630"/>
      <c r="AE89" s="188">
        <v>5</v>
      </c>
      <c r="AF89" s="188">
        <v>3190.8158276693357</v>
      </c>
      <c r="AG89" s="185">
        <f t="shared" si="44"/>
        <v>638.16316553386719</v>
      </c>
      <c r="AH89" s="182">
        <f t="shared" si="45"/>
        <v>20</v>
      </c>
      <c r="AI89" s="630"/>
      <c r="AJ89" s="188">
        <v>5</v>
      </c>
      <c r="AK89" s="188">
        <v>3189.7358276693358</v>
      </c>
      <c r="AL89" s="185">
        <f t="shared" si="46"/>
        <v>637.94716553386718</v>
      </c>
      <c r="AM89" s="182">
        <f t="shared" si="47"/>
        <v>21</v>
      </c>
      <c r="AN89" s="630"/>
      <c r="AO89" s="188">
        <v>5</v>
      </c>
      <c r="AP89" s="188">
        <v>3188.2958276693362</v>
      </c>
      <c r="AQ89" s="185">
        <f t="shared" si="48"/>
        <v>637.65916553386728</v>
      </c>
      <c r="AR89" s="182">
        <f t="shared" si="49"/>
        <v>22</v>
      </c>
      <c r="AS89" s="630"/>
      <c r="AT89" s="188">
        <v>5</v>
      </c>
      <c r="AU89" s="188">
        <v>3188.6558276693368</v>
      </c>
      <c r="AV89" s="185">
        <f t="shared" si="50"/>
        <v>637.7311655338674</v>
      </c>
      <c r="AW89" s="182">
        <f t="shared" si="51"/>
        <v>21</v>
      </c>
      <c r="AX89" s="630"/>
    </row>
    <row r="90" spans="1:50" ht="14.25" customHeight="1">
      <c r="B90" s="631"/>
      <c r="C90" s="180">
        <v>4</v>
      </c>
      <c r="D90" s="183" t="s">
        <v>229</v>
      </c>
      <c r="E90" s="184">
        <v>5</v>
      </c>
      <c r="F90" s="180">
        <v>3300</v>
      </c>
      <c r="G90" s="185">
        <f t="shared" si="38"/>
        <v>660</v>
      </c>
      <c r="H90" s="632"/>
      <c r="I90" s="186">
        <f t="shared" si="39"/>
        <v>5</v>
      </c>
      <c r="J90" s="186">
        <f t="shared" si="39"/>
        <v>2968.1293460405659</v>
      </c>
      <c r="K90" s="187">
        <f t="shared" si="39"/>
        <v>593.62586920811304</v>
      </c>
      <c r="L90" s="633"/>
      <c r="M90" s="186">
        <f>RANK(K90, K$87:$K$121)</f>
        <v>28</v>
      </c>
      <c r="N90" s="644"/>
      <c r="O90" s="634"/>
      <c r="P90" s="188">
        <v>5</v>
      </c>
      <c r="Q90" s="188">
        <v>2964.7544806740284</v>
      </c>
      <c r="R90" s="185">
        <f t="shared" si="36"/>
        <v>592.9508961348057</v>
      </c>
      <c r="S90" s="182">
        <f t="shared" si="40"/>
        <v>28</v>
      </c>
      <c r="T90" s="630"/>
      <c r="U90" s="188">
        <v>5</v>
      </c>
      <c r="V90" s="188">
        <v>2965.0844806740292</v>
      </c>
      <c r="W90" s="185">
        <f t="shared" si="37"/>
        <v>593.01689613480585</v>
      </c>
      <c r="X90" s="182">
        <f t="shared" si="41"/>
        <v>28</v>
      </c>
      <c r="Y90" s="630"/>
      <c r="Z90" s="188">
        <v>5</v>
      </c>
      <c r="AA90" s="188">
        <v>2964.0944806740295</v>
      </c>
      <c r="AB90" s="185">
        <f t="shared" si="42"/>
        <v>592.81889613480587</v>
      </c>
      <c r="AC90" s="182">
        <f t="shared" si="43"/>
        <v>29</v>
      </c>
      <c r="AD90" s="630"/>
      <c r="AE90" s="188">
        <v>5</v>
      </c>
      <c r="AF90" s="188">
        <v>2964.0944806740295</v>
      </c>
      <c r="AG90" s="185">
        <f t="shared" si="44"/>
        <v>592.81889613480587</v>
      </c>
      <c r="AH90" s="182">
        <f t="shared" si="45"/>
        <v>29</v>
      </c>
      <c r="AI90" s="630"/>
      <c r="AJ90" s="188">
        <v>5</v>
      </c>
      <c r="AK90" s="188">
        <v>2965.4144806740292</v>
      </c>
      <c r="AL90" s="185">
        <f t="shared" si="46"/>
        <v>593.08289613480588</v>
      </c>
      <c r="AM90" s="182">
        <f t="shared" si="47"/>
        <v>28</v>
      </c>
      <c r="AN90" s="630"/>
      <c r="AO90" s="188">
        <v>5</v>
      </c>
      <c r="AP90" s="188">
        <v>2976.5665094569072</v>
      </c>
      <c r="AQ90" s="185">
        <f t="shared" si="48"/>
        <v>595.31330189138146</v>
      </c>
      <c r="AR90" s="182">
        <f t="shared" si="49"/>
        <v>28</v>
      </c>
      <c r="AS90" s="630"/>
      <c r="AT90" s="188">
        <v>5</v>
      </c>
      <c r="AU90" s="188">
        <v>2976.8965094569071</v>
      </c>
      <c r="AV90" s="185">
        <f t="shared" si="50"/>
        <v>595.37930189138137</v>
      </c>
      <c r="AW90" s="182">
        <f t="shared" si="51"/>
        <v>28</v>
      </c>
      <c r="AX90" s="630"/>
    </row>
    <row r="91" spans="1:50" ht="14.25" customHeight="1">
      <c r="B91" s="631"/>
      <c r="C91" s="180">
        <v>5</v>
      </c>
      <c r="D91" s="183" t="s">
        <v>394</v>
      </c>
      <c r="E91" s="184">
        <v>3</v>
      </c>
      <c r="F91" s="180">
        <v>3600</v>
      </c>
      <c r="G91" s="185">
        <f t="shared" si="38"/>
        <v>1200</v>
      </c>
      <c r="H91" s="632"/>
      <c r="I91" s="186">
        <f t="shared" si="39"/>
        <v>3</v>
      </c>
      <c r="J91" s="186">
        <f t="shared" si="39"/>
        <v>3184.1811435888562</v>
      </c>
      <c r="K91" s="187">
        <f t="shared" si="39"/>
        <v>1061.3937145296188</v>
      </c>
      <c r="L91" s="633"/>
      <c r="M91" s="186">
        <f>RANK(K91, K$87:$K$121)</f>
        <v>4</v>
      </c>
      <c r="N91" s="644"/>
      <c r="O91" s="634"/>
      <c r="P91" s="188">
        <v>3</v>
      </c>
      <c r="Q91" s="188">
        <v>3181.918286445999</v>
      </c>
      <c r="R91" s="185">
        <f t="shared" si="36"/>
        <v>1060.6394288153331</v>
      </c>
      <c r="S91" s="182">
        <f t="shared" si="40"/>
        <v>7</v>
      </c>
      <c r="T91" s="630"/>
      <c r="U91" s="188">
        <v>3</v>
      </c>
      <c r="V91" s="188">
        <v>3181.5582864459993</v>
      </c>
      <c r="W91" s="185">
        <f t="shared" si="37"/>
        <v>1060.5194288153332</v>
      </c>
      <c r="X91" s="182">
        <f t="shared" si="41"/>
        <v>6</v>
      </c>
      <c r="Y91" s="630"/>
      <c r="Z91" s="188">
        <v>3</v>
      </c>
      <c r="AA91" s="188">
        <v>3182.9982864459994</v>
      </c>
      <c r="AB91" s="185">
        <f t="shared" si="42"/>
        <v>1060.9994288153332</v>
      </c>
      <c r="AC91" s="182">
        <f t="shared" si="43"/>
        <v>4</v>
      </c>
      <c r="AD91" s="630"/>
      <c r="AE91" s="188">
        <v>3</v>
      </c>
      <c r="AF91" s="188">
        <v>3184.7982864459991</v>
      </c>
      <c r="AG91" s="185">
        <f t="shared" si="44"/>
        <v>1061.5994288153331</v>
      </c>
      <c r="AH91" s="182">
        <f t="shared" si="45"/>
        <v>3</v>
      </c>
      <c r="AI91" s="630"/>
      <c r="AJ91" s="188">
        <v>3</v>
      </c>
      <c r="AK91" s="188">
        <v>3186.2382864459996</v>
      </c>
      <c r="AL91" s="185">
        <f t="shared" si="46"/>
        <v>1062.0794288153331</v>
      </c>
      <c r="AM91" s="182">
        <f t="shared" si="47"/>
        <v>3</v>
      </c>
      <c r="AN91" s="630"/>
      <c r="AO91" s="188">
        <v>3</v>
      </c>
      <c r="AP91" s="188">
        <v>3186.2382864459996</v>
      </c>
      <c r="AQ91" s="185">
        <f t="shared" si="48"/>
        <v>1062.0794288153331</v>
      </c>
      <c r="AR91" s="182">
        <f t="shared" si="49"/>
        <v>4</v>
      </c>
      <c r="AS91" s="630"/>
      <c r="AT91" s="188">
        <v>3</v>
      </c>
      <c r="AU91" s="188">
        <v>3185.5182864459998</v>
      </c>
      <c r="AV91" s="185">
        <f t="shared" si="50"/>
        <v>1061.8394288153333</v>
      </c>
      <c r="AW91" s="182">
        <f t="shared" si="51"/>
        <v>4</v>
      </c>
      <c r="AX91" s="630"/>
    </row>
    <row r="92" spans="1:50" ht="14.25" customHeight="1">
      <c r="B92" s="631"/>
      <c r="C92" s="180">
        <v>6</v>
      </c>
      <c r="D92" s="183" t="s">
        <v>341</v>
      </c>
      <c r="E92" s="184">
        <v>4</v>
      </c>
      <c r="F92" s="180">
        <v>3600</v>
      </c>
      <c r="G92" s="185">
        <f t="shared" si="38"/>
        <v>900</v>
      </c>
      <c r="H92" s="632"/>
      <c r="I92" s="186">
        <f t="shared" si="39"/>
        <v>4</v>
      </c>
      <c r="J92" s="186">
        <f t="shared" si="39"/>
        <v>3183.5828571428588</v>
      </c>
      <c r="K92" s="187">
        <f t="shared" si="39"/>
        <v>795.89571428571469</v>
      </c>
      <c r="L92" s="633"/>
      <c r="M92" s="186">
        <f>RANK(K92, K$87:$K$121)</f>
        <v>16</v>
      </c>
      <c r="N92" s="644"/>
      <c r="O92" s="634"/>
      <c r="P92" s="188">
        <v>4</v>
      </c>
      <c r="Q92" s="188">
        <v>3182.7600000000029</v>
      </c>
      <c r="R92" s="185">
        <f t="shared" si="36"/>
        <v>795.69000000000074</v>
      </c>
      <c r="S92" s="182">
        <f t="shared" si="40"/>
        <v>18</v>
      </c>
      <c r="T92" s="630"/>
      <c r="U92" s="188">
        <v>4</v>
      </c>
      <c r="V92" s="188">
        <v>3182.4000000000024</v>
      </c>
      <c r="W92" s="185">
        <f t="shared" si="37"/>
        <v>795.60000000000059</v>
      </c>
      <c r="X92" s="182">
        <f t="shared" si="41"/>
        <v>17</v>
      </c>
      <c r="Y92" s="630"/>
      <c r="Z92" s="188">
        <v>4</v>
      </c>
      <c r="AA92" s="188">
        <v>3183.1200000000022</v>
      </c>
      <c r="AB92" s="185">
        <f t="shared" si="42"/>
        <v>795.78000000000054</v>
      </c>
      <c r="AC92" s="182">
        <f t="shared" si="43"/>
        <v>17</v>
      </c>
      <c r="AD92" s="630"/>
      <c r="AE92" s="188">
        <v>4</v>
      </c>
      <c r="AF92" s="188">
        <v>3184.5600000000018</v>
      </c>
      <c r="AG92" s="185">
        <f t="shared" si="44"/>
        <v>796.14000000000044</v>
      </c>
      <c r="AH92" s="182">
        <f t="shared" si="45"/>
        <v>16</v>
      </c>
      <c r="AI92" s="630"/>
      <c r="AJ92" s="188">
        <v>4</v>
      </c>
      <c r="AK92" s="188">
        <v>3184.5600000000018</v>
      </c>
      <c r="AL92" s="185">
        <f t="shared" si="46"/>
        <v>796.14000000000044</v>
      </c>
      <c r="AM92" s="182">
        <f t="shared" si="47"/>
        <v>16</v>
      </c>
      <c r="AN92" s="630"/>
      <c r="AO92" s="188">
        <v>4</v>
      </c>
      <c r="AP92" s="188">
        <v>3183.4800000000023</v>
      </c>
      <c r="AQ92" s="185">
        <f t="shared" si="48"/>
        <v>795.87000000000057</v>
      </c>
      <c r="AR92" s="182">
        <f t="shared" si="49"/>
        <v>17</v>
      </c>
      <c r="AS92" s="630"/>
      <c r="AT92" s="188">
        <v>4</v>
      </c>
      <c r="AU92" s="188">
        <v>3184.2000000000021</v>
      </c>
      <c r="AV92" s="185">
        <f t="shared" si="50"/>
        <v>796.05000000000052</v>
      </c>
      <c r="AW92" s="182">
        <f t="shared" si="51"/>
        <v>16</v>
      </c>
      <c r="AX92" s="630"/>
    </row>
    <row r="93" spans="1:50" ht="14.25" customHeight="1">
      <c r="B93" s="631"/>
      <c r="C93" s="180">
        <v>7</v>
      </c>
      <c r="D93" s="183" t="s">
        <v>396</v>
      </c>
      <c r="E93" s="184">
        <v>3</v>
      </c>
      <c r="F93" s="180">
        <v>3600</v>
      </c>
      <c r="G93" s="185">
        <f t="shared" si="38"/>
        <v>1200</v>
      </c>
      <c r="H93" s="632"/>
      <c r="I93" s="186">
        <f t="shared" si="39"/>
        <v>3</v>
      </c>
      <c r="J93" s="186">
        <f t="shared" si="39"/>
        <v>3185.597335928604</v>
      </c>
      <c r="K93" s="187">
        <f t="shared" si="39"/>
        <v>1061.865778642868</v>
      </c>
      <c r="L93" s="633"/>
      <c r="M93" s="186">
        <f>RANK(K93, K$87:$K$121)</f>
        <v>3</v>
      </c>
      <c r="N93" s="644"/>
      <c r="O93" s="634"/>
      <c r="P93" s="188">
        <v>3</v>
      </c>
      <c r="Q93" s="188">
        <v>3185.1859073571754</v>
      </c>
      <c r="R93" s="185">
        <f t="shared" si="36"/>
        <v>1061.7286357857251</v>
      </c>
      <c r="S93" s="182">
        <f t="shared" si="40"/>
        <v>3</v>
      </c>
      <c r="T93" s="630"/>
      <c r="U93" s="188">
        <v>3</v>
      </c>
      <c r="V93" s="188">
        <v>3184.8259073571753</v>
      </c>
      <c r="W93" s="185">
        <f t="shared" si="37"/>
        <v>1061.608635785725</v>
      </c>
      <c r="X93" s="182">
        <f t="shared" si="41"/>
        <v>3</v>
      </c>
      <c r="Y93" s="630"/>
      <c r="Z93" s="188">
        <v>3</v>
      </c>
      <c r="AA93" s="188">
        <v>3184.4659073571752</v>
      </c>
      <c r="AB93" s="185">
        <f t="shared" si="42"/>
        <v>1061.4886357857251</v>
      </c>
      <c r="AC93" s="182">
        <f t="shared" si="43"/>
        <v>3</v>
      </c>
      <c r="AD93" s="630"/>
      <c r="AE93" s="188">
        <v>3</v>
      </c>
      <c r="AF93" s="188">
        <v>3184.1059073571755</v>
      </c>
      <c r="AG93" s="185">
        <f t="shared" si="44"/>
        <v>1061.3686357857252</v>
      </c>
      <c r="AH93" s="182">
        <f t="shared" si="45"/>
        <v>4</v>
      </c>
      <c r="AI93" s="630"/>
      <c r="AJ93" s="188">
        <v>3</v>
      </c>
      <c r="AK93" s="188">
        <v>3185.5459073571756</v>
      </c>
      <c r="AL93" s="185">
        <f t="shared" si="46"/>
        <v>1061.8486357857253</v>
      </c>
      <c r="AM93" s="182">
        <f t="shared" si="47"/>
        <v>4</v>
      </c>
      <c r="AN93" s="630"/>
      <c r="AO93" s="188">
        <v>3</v>
      </c>
      <c r="AP93" s="188">
        <v>3187.3459073571753</v>
      </c>
      <c r="AQ93" s="185">
        <f t="shared" si="48"/>
        <v>1062.4486357857252</v>
      </c>
      <c r="AR93" s="182">
        <f t="shared" si="49"/>
        <v>3</v>
      </c>
      <c r="AS93" s="630"/>
      <c r="AT93" s="188">
        <v>3</v>
      </c>
      <c r="AU93" s="188">
        <v>3187.7059073571754</v>
      </c>
      <c r="AV93" s="185">
        <f t="shared" si="50"/>
        <v>1062.5686357857251</v>
      </c>
      <c r="AW93" s="182">
        <f t="shared" si="51"/>
        <v>3</v>
      </c>
      <c r="AX93" s="630"/>
    </row>
    <row r="94" spans="1:50" ht="14.25" customHeight="1">
      <c r="B94" s="631"/>
      <c r="C94" s="180">
        <v>8</v>
      </c>
      <c r="D94" s="183" t="s">
        <v>395</v>
      </c>
      <c r="E94" s="184">
        <v>5</v>
      </c>
      <c r="F94" s="180">
        <v>3600</v>
      </c>
      <c r="G94" s="185">
        <f t="shared" si="38"/>
        <v>720</v>
      </c>
      <c r="H94" s="632"/>
      <c r="I94" s="186">
        <f t="shared" si="39"/>
        <v>5</v>
      </c>
      <c r="J94" s="186">
        <f t="shared" si="39"/>
        <v>3186.0334427141438</v>
      </c>
      <c r="K94" s="187">
        <f t="shared" si="39"/>
        <v>637.20668854282872</v>
      </c>
      <c r="L94" s="633"/>
      <c r="M94" s="186">
        <f>RANK(K94, K$87:$K$121)</f>
        <v>25</v>
      </c>
      <c r="N94" s="644"/>
      <c r="O94" s="634"/>
      <c r="P94" s="188">
        <v>5</v>
      </c>
      <c r="Q94" s="188">
        <v>3184.1820141427143</v>
      </c>
      <c r="R94" s="185">
        <f t="shared" si="36"/>
        <v>636.83640282854287</v>
      </c>
      <c r="S94" s="182">
        <f t="shared" si="40"/>
        <v>25</v>
      </c>
      <c r="T94" s="630"/>
      <c r="U94" s="188">
        <v>5</v>
      </c>
      <c r="V94" s="188">
        <v>3185.2620141427142</v>
      </c>
      <c r="W94" s="185">
        <f t="shared" si="37"/>
        <v>637.05240282854288</v>
      </c>
      <c r="X94" s="182">
        <f t="shared" si="41"/>
        <v>24</v>
      </c>
      <c r="Y94" s="630"/>
      <c r="Z94" s="188">
        <v>5</v>
      </c>
      <c r="AA94" s="188">
        <v>3185.6220141427148</v>
      </c>
      <c r="AB94" s="185">
        <f t="shared" si="42"/>
        <v>637.124402828543</v>
      </c>
      <c r="AC94" s="182">
        <f t="shared" si="43"/>
        <v>25</v>
      </c>
      <c r="AD94" s="630"/>
      <c r="AE94" s="188">
        <v>5</v>
      </c>
      <c r="AF94" s="188">
        <v>3185.9820141427149</v>
      </c>
      <c r="AG94" s="185">
        <f t="shared" si="44"/>
        <v>637.196402828543</v>
      </c>
      <c r="AH94" s="182">
        <f t="shared" si="45"/>
        <v>25</v>
      </c>
      <c r="AI94" s="630"/>
      <c r="AJ94" s="188">
        <v>5</v>
      </c>
      <c r="AK94" s="188">
        <v>3187.0620141427148</v>
      </c>
      <c r="AL94" s="185">
        <f t="shared" si="46"/>
        <v>637.41240282854301</v>
      </c>
      <c r="AM94" s="182">
        <f t="shared" si="47"/>
        <v>24</v>
      </c>
      <c r="AN94" s="630"/>
      <c r="AO94" s="188">
        <v>5</v>
      </c>
      <c r="AP94" s="188">
        <v>3187.0620141427153</v>
      </c>
      <c r="AQ94" s="185">
        <f t="shared" si="48"/>
        <v>637.41240282854301</v>
      </c>
      <c r="AR94" s="182">
        <f t="shared" si="49"/>
        <v>24</v>
      </c>
      <c r="AS94" s="630"/>
      <c r="AT94" s="188">
        <v>5</v>
      </c>
      <c r="AU94" s="188">
        <v>3187.0620141427157</v>
      </c>
      <c r="AV94" s="185">
        <f t="shared" si="50"/>
        <v>637.41240282854312</v>
      </c>
      <c r="AW94" s="182">
        <f t="shared" si="51"/>
        <v>22</v>
      </c>
      <c r="AX94" s="630"/>
    </row>
    <row r="95" spans="1:50" ht="14.25" customHeight="1">
      <c r="B95" s="631"/>
      <c r="C95" s="180">
        <v>9</v>
      </c>
      <c r="D95" s="183" t="s">
        <v>393</v>
      </c>
      <c r="E95" s="184">
        <v>5</v>
      </c>
      <c r="F95" s="180">
        <v>3600</v>
      </c>
      <c r="G95" s="185">
        <f t="shared" si="38"/>
        <v>720</v>
      </c>
      <c r="H95" s="632"/>
      <c r="I95" s="186">
        <f t="shared" si="39"/>
        <v>5</v>
      </c>
      <c r="J95" s="186">
        <f t="shared" si="39"/>
        <v>3186.0432659643752</v>
      </c>
      <c r="K95" s="187">
        <f t="shared" si="39"/>
        <v>637.20865319287509</v>
      </c>
      <c r="L95" s="633"/>
      <c r="M95" s="186">
        <f>RANK(K95, K$87:$K$121)</f>
        <v>24</v>
      </c>
      <c r="N95" s="644"/>
      <c r="O95" s="634"/>
      <c r="P95" s="188">
        <v>5</v>
      </c>
      <c r="Q95" s="188">
        <v>3186.7118373929475</v>
      </c>
      <c r="R95" s="185">
        <f t="shared" si="36"/>
        <v>637.34236747858949</v>
      </c>
      <c r="S95" s="182">
        <f t="shared" si="40"/>
        <v>23</v>
      </c>
      <c r="T95" s="630"/>
      <c r="U95" s="188">
        <v>5</v>
      </c>
      <c r="V95" s="188">
        <v>3187.4318373929468</v>
      </c>
      <c r="W95" s="185">
        <f t="shared" si="37"/>
        <v>637.48636747858939</v>
      </c>
      <c r="X95" s="182">
        <f t="shared" si="41"/>
        <v>23</v>
      </c>
      <c r="Y95" s="630"/>
      <c r="Z95" s="188">
        <v>5</v>
      </c>
      <c r="AA95" s="188">
        <v>3185.9918373929468</v>
      </c>
      <c r="AB95" s="185">
        <f t="shared" si="42"/>
        <v>637.19836747858938</v>
      </c>
      <c r="AC95" s="182">
        <f t="shared" si="43"/>
        <v>23</v>
      </c>
      <c r="AD95" s="630"/>
      <c r="AE95" s="188">
        <v>5</v>
      </c>
      <c r="AF95" s="188">
        <v>3187.0718373929467</v>
      </c>
      <c r="AG95" s="185">
        <f t="shared" si="44"/>
        <v>637.41436747858938</v>
      </c>
      <c r="AH95" s="182">
        <f t="shared" si="45"/>
        <v>23</v>
      </c>
      <c r="AI95" s="630"/>
      <c r="AJ95" s="188">
        <v>5</v>
      </c>
      <c r="AK95" s="188">
        <v>3185.6318373929471</v>
      </c>
      <c r="AL95" s="185">
        <f t="shared" si="46"/>
        <v>637.12636747858937</v>
      </c>
      <c r="AM95" s="182">
        <f t="shared" si="47"/>
        <v>26</v>
      </c>
      <c r="AN95" s="630"/>
      <c r="AO95" s="188">
        <v>5</v>
      </c>
      <c r="AP95" s="188">
        <v>3183.8318373929474</v>
      </c>
      <c r="AQ95" s="185">
        <f t="shared" si="48"/>
        <v>636.76636747858947</v>
      </c>
      <c r="AR95" s="182">
        <f t="shared" si="49"/>
        <v>26</v>
      </c>
      <c r="AS95" s="630"/>
      <c r="AT95" s="188">
        <v>5</v>
      </c>
      <c r="AU95" s="188">
        <v>3185.6318373929471</v>
      </c>
      <c r="AV95" s="185">
        <f t="shared" si="50"/>
        <v>637.12636747858937</v>
      </c>
      <c r="AW95" s="182">
        <f t="shared" si="51"/>
        <v>26</v>
      </c>
      <c r="AX95" s="630"/>
    </row>
    <row r="96" spans="1:50" ht="14.25" customHeight="1">
      <c r="B96" s="631"/>
      <c r="C96" s="180">
        <v>10</v>
      </c>
      <c r="D96" s="183" t="s">
        <v>228</v>
      </c>
      <c r="E96" s="184">
        <v>3</v>
      </c>
      <c r="F96" s="180">
        <v>3000</v>
      </c>
      <c r="G96" s="185">
        <f t="shared" si="38"/>
        <v>1000</v>
      </c>
      <c r="H96" s="632"/>
      <c r="I96" s="186">
        <f t="shared" si="39"/>
        <v>3</v>
      </c>
      <c r="J96" s="186">
        <f t="shared" si="39"/>
        <v>2706.289608134362</v>
      </c>
      <c r="K96" s="187">
        <f t="shared" si="39"/>
        <v>902.09653604478729</v>
      </c>
      <c r="L96" s="633"/>
      <c r="M96" s="186">
        <f>RANK(K96, K$87:$K$121)</f>
        <v>13</v>
      </c>
      <c r="N96" s="644"/>
      <c r="O96" s="634"/>
      <c r="P96" s="188">
        <v>3</v>
      </c>
      <c r="Q96" s="188">
        <v>2705.2199497487445</v>
      </c>
      <c r="R96" s="185">
        <f t="shared" si="36"/>
        <v>901.73998324958154</v>
      </c>
      <c r="S96" s="182">
        <f t="shared" si="40"/>
        <v>14</v>
      </c>
      <c r="T96" s="630"/>
      <c r="U96" s="188">
        <v>3</v>
      </c>
      <c r="V96" s="188">
        <v>2706.1178845319655</v>
      </c>
      <c r="W96" s="185">
        <f t="shared" si="37"/>
        <v>902.0392948439885</v>
      </c>
      <c r="X96" s="182">
        <f t="shared" si="41"/>
        <v>14</v>
      </c>
      <c r="Y96" s="630"/>
      <c r="Z96" s="188">
        <v>3</v>
      </c>
      <c r="AA96" s="188">
        <v>2707.0178845319651</v>
      </c>
      <c r="AB96" s="185">
        <f t="shared" si="42"/>
        <v>902.33929484398834</v>
      </c>
      <c r="AC96" s="182">
        <f t="shared" si="43"/>
        <v>12</v>
      </c>
      <c r="AD96" s="630"/>
      <c r="AE96" s="188">
        <v>3</v>
      </c>
      <c r="AF96" s="188">
        <v>2707.0178845319651</v>
      </c>
      <c r="AG96" s="185">
        <f t="shared" si="44"/>
        <v>902.33929484398834</v>
      </c>
      <c r="AH96" s="182">
        <f t="shared" si="45"/>
        <v>13</v>
      </c>
      <c r="AI96" s="630"/>
      <c r="AJ96" s="188">
        <v>3</v>
      </c>
      <c r="AK96" s="188">
        <v>2706.117884531965</v>
      </c>
      <c r="AL96" s="185">
        <f t="shared" si="46"/>
        <v>902.03929484398839</v>
      </c>
      <c r="AM96" s="182">
        <f t="shared" si="47"/>
        <v>13</v>
      </c>
      <c r="AN96" s="630"/>
      <c r="AO96" s="188">
        <v>3</v>
      </c>
      <c r="AP96" s="188">
        <v>2706.4178845319648</v>
      </c>
      <c r="AQ96" s="185">
        <f t="shared" si="48"/>
        <v>902.1392948439883</v>
      </c>
      <c r="AR96" s="182">
        <f t="shared" si="49"/>
        <v>13</v>
      </c>
      <c r="AS96" s="630"/>
      <c r="AT96" s="188">
        <v>3</v>
      </c>
      <c r="AU96" s="188">
        <v>2706.1178845319646</v>
      </c>
      <c r="AV96" s="185">
        <f t="shared" si="50"/>
        <v>902.03929484398816</v>
      </c>
      <c r="AW96" s="182">
        <f t="shared" si="51"/>
        <v>13</v>
      </c>
      <c r="AX96" s="630"/>
    </row>
    <row r="97" spans="2:50" ht="14.25" customHeight="1">
      <c r="B97" s="631"/>
      <c r="C97" s="180">
        <v>11</v>
      </c>
      <c r="D97" s="183" t="s">
        <v>449</v>
      </c>
      <c r="E97" s="184">
        <v>12</v>
      </c>
      <c r="F97" s="180">
        <v>3600</v>
      </c>
      <c r="G97" s="185">
        <f t="shared" si="38"/>
        <v>300</v>
      </c>
      <c r="H97" s="632"/>
      <c r="I97" s="186">
        <f t="shared" si="39"/>
        <v>12</v>
      </c>
      <c r="J97" s="186">
        <f t="shared" si="39"/>
        <v>3117.3463941056543</v>
      </c>
      <c r="K97" s="187">
        <f t="shared" si="39"/>
        <v>259.77886617547125</v>
      </c>
      <c r="L97" s="633"/>
      <c r="M97" s="186">
        <f>RANK(K97, K$87:$K$121)</f>
        <v>32</v>
      </c>
      <c r="N97" s="644"/>
      <c r="O97" s="634"/>
      <c r="P97" s="188">
        <v>12</v>
      </c>
      <c r="Q97" s="188">
        <v>3117.603536962798</v>
      </c>
      <c r="R97" s="185">
        <f t="shared" si="36"/>
        <v>259.80029474689985</v>
      </c>
      <c r="S97" s="182">
        <f t="shared" si="40"/>
        <v>33</v>
      </c>
      <c r="T97" s="630"/>
      <c r="U97" s="188">
        <v>12</v>
      </c>
      <c r="V97" s="188">
        <v>3117.9635369627977</v>
      </c>
      <c r="W97" s="185">
        <f t="shared" si="37"/>
        <v>259.83029474689982</v>
      </c>
      <c r="X97" s="182">
        <f t="shared" si="41"/>
        <v>32</v>
      </c>
      <c r="Y97" s="630"/>
      <c r="Z97" s="188">
        <v>12</v>
      </c>
      <c r="AA97" s="188">
        <v>3117.9635369627977</v>
      </c>
      <c r="AB97" s="185">
        <f t="shared" si="42"/>
        <v>259.83029474689982</v>
      </c>
      <c r="AC97" s="182">
        <f t="shared" si="43"/>
        <v>33</v>
      </c>
      <c r="AD97" s="630"/>
      <c r="AE97" s="188">
        <v>12</v>
      </c>
      <c r="AF97" s="188">
        <v>3117.603536962798</v>
      </c>
      <c r="AG97" s="185">
        <f t="shared" si="44"/>
        <v>259.80029474689985</v>
      </c>
      <c r="AH97" s="182">
        <f t="shared" si="45"/>
        <v>32</v>
      </c>
      <c r="AI97" s="630"/>
      <c r="AJ97" s="188">
        <v>12</v>
      </c>
      <c r="AK97" s="188">
        <v>3117.603536962798</v>
      </c>
      <c r="AL97" s="185">
        <f t="shared" si="46"/>
        <v>259.80029474689985</v>
      </c>
      <c r="AM97" s="182">
        <f t="shared" si="47"/>
        <v>32</v>
      </c>
      <c r="AN97" s="630"/>
      <c r="AO97" s="188">
        <v>12</v>
      </c>
      <c r="AP97" s="188">
        <v>3115.8035369627983</v>
      </c>
      <c r="AQ97" s="185">
        <f t="shared" si="48"/>
        <v>259.65029474689987</v>
      </c>
      <c r="AR97" s="182">
        <f t="shared" si="49"/>
        <v>33</v>
      </c>
      <c r="AS97" s="630"/>
      <c r="AT97" s="188">
        <v>12</v>
      </c>
      <c r="AU97" s="188">
        <v>3116.8835369627977</v>
      </c>
      <c r="AV97" s="185">
        <f t="shared" si="50"/>
        <v>259.74029474689979</v>
      </c>
      <c r="AW97" s="182">
        <f t="shared" si="51"/>
        <v>32</v>
      </c>
      <c r="AX97" s="630"/>
    </row>
    <row r="98" spans="2:50" ht="14.25" customHeight="1">
      <c r="B98" s="631"/>
      <c r="C98" s="180">
        <v>12</v>
      </c>
      <c r="D98" s="183" t="s">
        <v>471</v>
      </c>
      <c r="E98" s="184">
        <v>3</v>
      </c>
      <c r="F98" s="180">
        <v>3300</v>
      </c>
      <c r="G98" s="185">
        <f t="shared" si="38"/>
        <v>1100</v>
      </c>
      <c r="H98" s="632"/>
      <c r="I98" s="186">
        <f t="shared" si="39"/>
        <v>3</v>
      </c>
      <c r="J98" s="186">
        <f t="shared" si="39"/>
        <v>2980.376628161368</v>
      </c>
      <c r="K98" s="187">
        <f t="shared" si="39"/>
        <v>993.45887605378914</v>
      </c>
      <c r="L98" s="633"/>
      <c r="M98" s="186">
        <f>RANK(K98, K$87:$K$121)</f>
        <v>9</v>
      </c>
      <c r="N98" s="644"/>
      <c r="O98" s="634"/>
      <c r="P98" s="188">
        <v>3</v>
      </c>
      <c r="Q98" s="188">
        <v>2981.2085386348972</v>
      </c>
      <c r="R98" s="185">
        <f t="shared" si="36"/>
        <v>993.73617954496569</v>
      </c>
      <c r="S98" s="182">
        <f t="shared" si="40"/>
        <v>9</v>
      </c>
      <c r="T98" s="630"/>
      <c r="U98" s="188">
        <v>3</v>
      </c>
      <c r="V98" s="188">
        <v>2981.5385386348971</v>
      </c>
      <c r="W98" s="185">
        <f t="shared" si="37"/>
        <v>993.84617954496571</v>
      </c>
      <c r="X98" s="182">
        <f t="shared" si="41"/>
        <v>9</v>
      </c>
      <c r="Y98" s="630"/>
      <c r="Z98" s="188">
        <v>3</v>
      </c>
      <c r="AA98" s="188">
        <v>2981.5385386348971</v>
      </c>
      <c r="AB98" s="185">
        <f t="shared" si="42"/>
        <v>993.84617954496571</v>
      </c>
      <c r="AC98" s="182">
        <f t="shared" si="43"/>
        <v>9</v>
      </c>
      <c r="AD98" s="630"/>
      <c r="AE98" s="188">
        <v>3</v>
      </c>
      <c r="AF98" s="188">
        <v>2979.0101953062203</v>
      </c>
      <c r="AG98" s="185">
        <f t="shared" si="44"/>
        <v>993.00339843540678</v>
      </c>
      <c r="AH98" s="182">
        <f t="shared" si="45"/>
        <v>10</v>
      </c>
      <c r="AI98" s="630"/>
      <c r="AJ98" s="188">
        <v>3</v>
      </c>
      <c r="AK98" s="188">
        <v>2979.6701953062202</v>
      </c>
      <c r="AL98" s="185">
        <f t="shared" si="46"/>
        <v>993.22339843540669</v>
      </c>
      <c r="AM98" s="182">
        <f t="shared" si="47"/>
        <v>9</v>
      </c>
      <c r="AN98" s="630"/>
      <c r="AO98" s="188">
        <v>3</v>
      </c>
      <c r="AP98" s="188">
        <v>2980.6601953062204</v>
      </c>
      <c r="AQ98" s="185">
        <f t="shared" si="48"/>
        <v>993.55339843540685</v>
      </c>
      <c r="AR98" s="182">
        <f t="shared" si="49"/>
        <v>9</v>
      </c>
      <c r="AS98" s="630"/>
      <c r="AT98" s="188">
        <v>3</v>
      </c>
      <c r="AU98" s="188">
        <v>2979.0101953062208</v>
      </c>
      <c r="AV98" s="185">
        <f t="shared" si="50"/>
        <v>993.00339843540689</v>
      </c>
      <c r="AW98" s="182">
        <f t="shared" si="51"/>
        <v>9</v>
      </c>
      <c r="AX98" s="630"/>
    </row>
    <row r="99" spans="2:50" ht="14.25" customHeight="1">
      <c r="B99" s="631"/>
      <c r="C99" s="180">
        <v>13</v>
      </c>
      <c r="D99" s="183" t="s">
        <v>582</v>
      </c>
      <c r="E99" s="184">
        <v>5</v>
      </c>
      <c r="F99" s="180">
        <v>3600</v>
      </c>
      <c r="G99" s="185">
        <f t="shared" si="38"/>
        <v>720</v>
      </c>
      <c r="H99" s="632"/>
      <c r="I99" s="186">
        <f t="shared" si="39"/>
        <v>5</v>
      </c>
      <c r="J99" s="186">
        <f t="shared" si="39"/>
        <v>3185.3246248177707</v>
      </c>
      <c r="K99" s="187">
        <f t="shared" si="39"/>
        <v>637.06492496355418</v>
      </c>
      <c r="L99" s="633"/>
      <c r="M99" s="186">
        <f>RANK(K99, K$87:$K$121)</f>
        <v>26</v>
      </c>
      <c r="N99" s="644"/>
      <c r="O99" s="634"/>
      <c r="P99" s="188">
        <v>5</v>
      </c>
      <c r="Q99" s="188">
        <v>3183.5760533891989</v>
      </c>
      <c r="R99" s="185">
        <f t="shared" si="36"/>
        <v>636.71521067783976</v>
      </c>
      <c r="S99" s="182">
        <f t="shared" si="40"/>
        <v>26</v>
      </c>
      <c r="T99" s="630"/>
      <c r="U99" s="188">
        <v>5</v>
      </c>
      <c r="V99" s="188">
        <v>3183.5760533891989</v>
      </c>
      <c r="W99" s="185">
        <f t="shared" si="37"/>
        <v>636.71521067783976</v>
      </c>
      <c r="X99" s="182">
        <f t="shared" si="41"/>
        <v>26</v>
      </c>
      <c r="Y99" s="630"/>
      <c r="Z99" s="188">
        <v>5</v>
      </c>
      <c r="AA99" s="188">
        <v>3184.2960533891992</v>
      </c>
      <c r="AB99" s="185">
        <f t="shared" si="42"/>
        <v>636.85921067783988</v>
      </c>
      <c r="AC99" s="182">
        <f t="shared" si="43"/>
        <v>26</v>
      </c>
      <c r="AD99" s="630"/>
      <c r="AE99" s="188">
        <v>5</v>
      </c>
      <c r="AF99" s="188">
        <v>3185.0160533891994</v>
      </c>
      <c r="AG99" s="185">
        <f t="shared" si="44"/>
        <v>637.00321067783989</v>
      </c>
      <c r="AH99" s="182">
        <f t="shared" si="45"/>
        <v>26</v>
      </c>
      <c r="AI99" s="630"/>
      <c r="AJ99" s="188">
        <v>5</v>
      </c>
      <c r="AK99" s="188">
        <v>3186.456053389199</v>
      </c>
      <c r="AL99" s="185">
        <f t="shared" si="46"/>
        <v>637.29121067783979</v>
      </c>
      <c r="AM99" s="182">
        <f t="shared" si="47"/>
        <v>25</v>
      </c>
      <c r="AN99" s="630"/>
      <c r="AO99" s="188">
        <v>5</v>
      </c>
      <c r="AP99" s="188">
        <v>3187.536053389199</v>
      </c>
      <c r="AQ99" s="185">
        <f t="shared" si="48"/>
        <v>637.50721067783979</v>
      </c>
      <c r="AR99" s="182">
        <f t="shared" si="49"/>
        <v>23</v>
      </c>
      <c r="AS99" s="630"/>
      <c r="AT99" s="188">
        <v>5</v>
      </c>
      <c r="AU99" s="188">
        <v>3186.8160533891992</v>
      </c>
      <c r="AV99" s="185">
        <f t="shared" si="50"/>
        <v>637.36321067783979</v>
      </c>
      <c r="AW99" s="182">
        <f t="shared" si="51"/>
        <v>24</v>
      </c>
      <c r="AX99" s="630"/>
    </row>
    <row r="100" spans="2:50" ht="14.25" customHeight="1">
      <c r="B100" s="631"/>
      <c r="C100" s="180">
        <v>14</v>
      </c>
      <c r="D100" s="183" t="s">
        <v>604</v>
      </c>
      <c r="E100" s="184">
        <v>3</v>
      </c>
      <c r="F100" s="180">
        <v>3600</v>
      </c>
      <c r="G100" s="185">
        <f t="shared" si="38"/>
        <v>1200</v>
      </c>
      <c r="H100" s="632"/>
      <c r="I100" s="186">
        <f t="shared" si="39"/>
        <v>3</v>
      </c>
      <c r="J100" s="186">
        <f t="shared" si="39"/>
        <v>3180.2751838949393</v>
      </c>
      <c r="K100" s="187">
        <f t="shared" si="39"/>
        <v>1060.0917279649798</v>
      </c>
      <c r="L100" s="633"/>
      <c r="M100" s="186">
        <f>RANK(K100, K$87:$K$121)</f>
        <v>7</v>
      </c>
      <c r="N100" s="644"/>
      <c r="O100" s="634"/>
      <c r="P100" s="188">
        <v>3</v>
      </c>
      <c r="Q100" s="188">
        <v>3177.0675104579946</v>
      </c>
      <c r="R100" s="185">
        <f t="shared" si="36"/>
        <v>1059.0225034859982</v>
      </c>
      <c r="S100" s="182">
        <f t="shared" si="40"/>
        <v>8</v>
      </c>
      <c r="T100" s="630"/>
      <c r="U100" s="188">
        <v>3</v>
      </c>
      <c r="V100" s="188">
        <v>3179.1898787892396</v>
      </c>
      <c r="W100" s="185">
        <f t="shared" si="37"/>
        <v>1059.7299595964132</v>
      </c>
      <c r="X100" s="182">
        <f t="shared" si="41"/>
        <v>8</v>
      </c>
      <c r="Y100" s="630"/>
      <c r="Z100" s="188">
        <v>3</v>
      </c>
      <c r="AA100" s="188">
        <v>3178.4698787892398</v>
      </c>
      <c r="AB100" s="185">
        <f t="shared" si="42"/>
        <v>1059.4899595964132</v>
      </c>
      <c r="AC100" s="182">
        <f t="shared" si="43"/>
        <v>8</v>
      </c>
      <c r="AD100" s="630"/>
      <c r="AE100" s="188">
        <v>3</v>
      </c>
      <c r="AF100" s="188">
        <v>3178.4698787892398</v>
      </c>
      <c r="AG100" s="185">
        <f t="shared" si="44"/>
        <v>1059.4899595964132</v>
      </c>
      <c r="AH100" s="182">
        <f t="shared" si="45"/>
        <v>8</v>
      </c>
      <c r="AI100" s="630"/>
      <c r="AJ100" s="188">
        <v>3</v>
      </c>
      <c r="AK100" s="188">
        <v>3182.4297134796207</v>
      </c>
      <c r="AL100" s="185">
        <f t="shared" si="46"/>
        <v>1060.8099044932069</v>
      </c>
      <c r="AM100" s="182">
        <f t="shared" si="47"/>
        <v>5</v>
      </c>
      <c r="AN100" s="630"/>
      <c r="AO100" s="188">
        <v>3</v>
      </c>
      <c r="AP100" s="188">
        <v>3182.7897134796212</v>
      </c>
      <c r="AQ100" s="185">
        <f t="shared" si="48"/>
        <v>1060.929904493207</v>
      </c>
      <c r="AR100" s="182">
        <f t="shared" si="49"/>
        <v>5</v>
      </c>
      <c r="AS100" s="630"/>
      <c r="AT100" s="188">
        <v>3</v>
      </c>
      <c r="AU100" s="188">
        <v>3183.509713479621</v>
      </c>
      <c r="AV100" s="185">
        <f t="shared" si="50"/>
        <v>1061.169904493207</v>
      </c>
      <c r="AW100" s="182">
        <f t="shared" si="51"/>
        <v>5</v>
      </c>
      <c r="AX100" s="630"/>
    </row>
    <row r="101" spans="2:50" ht="14.25" customHeight="1">
      <c r="B101" s="631"/>
      <c r="C101" s="180">
        <v>15</v>
      </c>
      <c r="D101" s="183" t="s">
        <v>583</v>
      </c>
      <c r="E101" s="184">
        <v>5</v>
      </c>
      <c r="F101" s="180">
        <v>3600</v>
      </c>
      <c r="G101" s="185">
        <f t="shared" si="38"/>
        <v>720</v>
      </c>
      <c r="H101" s="632"/>
      <c r="I101" s="186">
        <f t="shared" si="39"/>
        <v>5</v>
      </c>
      <c r="J101" s="186">
        <f t="shared" si="39"/>
        <v>3181.450520551944</v>
      </c>
      <c r="K101" s="187">
        <f t="shared" si="39"/>
        <v>636.29010411038882</v>
      </c>
      <c r="L101" s="633"/>
      <c r="M101" s="186">
        <f>RANK(K101, K$87:$K$121)</f>
        <v>27</v>
      </c>
      <c r="N101" s="644"/>
      <c r="O101" s="634"/>
      <c r="P101" s="188">
        <v>5</v>
      </c>
      <c r="Q101" s="188">
        <v>3179.4975423838155</v>
      </c>
      <c r="R101" s="185">
        <f t="shared" si="36"/>
        <v>635.89950847676312</v>
      </c>
      <c r="S101" s="182">
        <f t="shared" si="40"/>
        <v>27</v>
      </c>
      <c r="T101" s="630"/>
      <c r="U101" s="188">
        <v>5</v>
      </c>
      <c r="V101" s="188">
        <v>3180.9375423838155</v>
      </c>
      <c r="W101" s="185">
        <f t="shared" si="37"/>
        <v>636.18750847676313</v>
      </c>
      <c r="X101" s="182">
        <f t="shared" si="41"/>
        <v>27</v>
      </c>
      <c r="Y101" s="630"/>
      <c r="Z101" s="188">
        <v>5</v>
      </c>
      <c r="AA101" s="188">
        <v>3182.3775423838151</v>
      </c>
      <c r="AB101" s="185">
        <f t="shared" si="42"/>
        <v>636.47550847676303</v>
      </c>
      <c r="AC101" s="182">
        <f t="shared" si="43"/>
        <v>27</v>
      </c>
      <c r="AD101" s="630"/>
      <c r="AE101" s="188">
        <v>5</v>
      </c>
      <c r="AF101" s="188">
        <v>3180.9375423838151</v>
      </c>
      <c r="AG101" s="185">
        <f t="shared" si="44"/>
        <v>636.18750847676301</v>
      </c>
      <c r="AH101" s="182">
        <f t="shared" si="45"/>
        <v>27</v>
      </c>
      <c r="AI101" s="630"/>
      <c r="AJ101" s="188">
        <v>5</v>
      </c>
      <c r="AK101" s="188">
        <v>3182.8544914427821</v>
      </c>
      <c r="AL101" s="185">
        <f t="shared" si="46"/>
        <v>636.57089828855646</v>
      </c>
      <c r="AM101" s="182">
        <f t="shared" si="47"/>
        <v>27</v>
      </c>
      <c r="AN101" s="630"/>
      <c r="AO101" s="188">
        <v>5</v>
      </c>
      <c r="AP101" s="188">
        <v>3181.4144914427829</v>
      </c>
      <c r="AQ101" s="185">
        <f t="shared" si="48"/>
        <v>636.28289828855657</v>
      </c>
      <c r="AR101" s="182">
        <f t="shared" si="49"/>
        <v>27</v>
      </c>
      <c r="AS101" s="630"/>
      <c r="AT101" s="188">
        <v>5</v>
      </c>
      <c r="AU101" s="188">
        <v>3182.1344914427827</v>
      </c>
      <c r="AV101" s="185">
        <f t="shared" si="50"/>
        <v>636.42689828855657</v>
      </c>
      <c r="AW101" s="182">
        <f t="shared" si="51"/>
        <v>27</v>
      </c>
      <c r="AX101" s="630"/>
    </row>
    <row r="102" spans="2:50" ht="14.25" customHeight="1">
      <c r="B102" s="631"/>
      <c r="C102" s="180">
        <v>16</v>
      </c>
      <c r="D102" s="183" t="s">
        <v>742</v>
      </c>
      <c r="E102" s="184">
        <v>3</v>
      </c>
      <c r="F102" s="180">
        <v>3300</v>
      </c>
      <c r="G102" s="185">
        <f t="shared" si="38"/>
        <v>1100</v>
      </c>
      <c r="H102" s="632"/>
      <c r="I102" s="186">
        <f t="shared" si="39"/>
        <v>3</v>
      </c>
      <c r="J102" s="186">
        <f t="shared" si="39"/>
        <v>2874.3043924580925</v>
      </c>
      <c r="K102" s="187">
        <f t="shared" si="39"/>
        <v>958.10146415269776</v>
      </c>
      <c r="L102" s="633"/>
      <c r="M102" s="186">
        <f>RANK(K102, K$87:$K$121)</f>
        <v>11</v>
      </c>
      <c r="N102" s="644"/>
      <c r="O102" s="634"/>
      <c r="P102" s="188">
        <v>3</v>
      </c>
      <c r="Q102" s="188">
        <v>2713.2610802444765</v>
      </c>
      <c r="R102" s="185">
        <f t="shared" si="36"/>
        <v>904.42036008149216</v>
      </c>
      <c r="S102" s="182">
        <f t="shared" si="40"/>
        <v>11</v>
      </c>
      <c r="T102" s="630"/>
      <c r="U102" s="188">
        <v>3</v>
      </c>
      <c r="V102" s="188">
        <v>2768.1231353262774</v>
      </c>
      <c r="W102" s="185">
        <f t="shared" si="37"/>
        <v>922.70771177542576</v>
      </c>
      <c r="X102" s="182">
        <f t="shared" si="41"/>
        <v>11</v>
      </c>
      <c r="Y102" s="630"/>
      <c r="Z102" s="188">
        <v>3</v>
      </c>
      <c r="AA102" s="188">
        <v>2830.6534184040138</v>
      </c>
      <c r="AB102" s="185">
        <f t="shared" si="42"/>
        <v>943.55113946800464</v>
      </c>
      <c r="AC102" s="182">
        <f t="shared" si="43"/>
        <v>11</v>
      </c>
      <c r="AD102" s="630"/>
      <c r="AE102" s="188">
        <v>3</v>
      </c>
      <c r="AF102" s="188">
        <v>2894.9596628176032</v>
      </c>
      <c r="AG102" s="185">
        <f t="shared" si="44"/>
        <v>964.98655427253436</v>
      </c>
      <c r="AH102" s="182">
        <f t="shared" si="45"/>
        <v>11</v>
      </c>
      <c r="AI102" s="630"/>
      <c r="AJ102" s="188">
        <v>3</v>
      </c>
      <c r="AK102" s="188">
        <v>2961.3072280426795</v>
      </c>
      <c r="AL102" s="185">
        <f t="shared" si="46"/>
        <v>987.10240934755984</v>
      </c>
      <c r="AM102" s="182">
        <f t="shared" si="47"/>
        <v>11</v>
      </c>
      <c r="AN102" s="630"/>
      <c r="AO102" s="188">
        <v>3</v>
      </c>
      <c r="AP102" s="188">
        <v>2975.5831111858001</v>
      </c>
      <c r="AQ102" s="185">
        <f t="shared" si="48"/>
        <v>991.86103706193342</v>
      </c>
      <c r="AR102" s="182">
        <f t="shared" si="49"/>
        <v>11</v>
      </c>
      <c r="AS102" s="630"/>
      <c r="AT102" s="188">
        <v>3</v>
      </c>
      <c r="AU102" s="188">
        <v>2976.2431111858004</v>
      </c>
      <c r="AV102" s="185">
        <f t="shared" si="50"/>
        <v>992.08103706193344</v>
      </c>
      <c r="AW102" s="182">
        <f t="shared" si="51"/>
        <v>11</v>
      </c>
      <c r="AX102" s="630"/>
    </row>
    <row r="103" spans="2:50" ht="14.25" customHeight="1">
      <c r="B103" s="631"/>
      <c r="C103" s="180">
        <v>17</v>
      </c>
      <c r="D103" s="183" t="s">
        <v>406</v>
      </c>
      <c r="E103" s="184">
        <v>5</v>
      </c>
      <c r="F103" s="180">
        <v>3600</v>
      </c>
      <c r="G103" s="185">
        <f t="shared" si="38"/>
        <v>720</v>
      </c>
      <c r="H103" s="632"/>
      <c r="I103" s="186">
        <f t="shared" si="39"/>
        <v>5</v>
      </c>
      <c r="J103" s="186">
        <f t="shared" si="39"/>
        <v>3189.9078973714568</v>
      </c>
      <c r="K103" s="187">
        <f t="shared" si="39"/>
        <v>637.98157947429138</v>
      </c>
      <c r="L103" s="633"/>
      <c r="M103" s="186">
        <f>RANK(K103, K$87:$K$121)</f>
        <v>20</v>
      </c>
      <c r="N103" s="644"/>
      <c r="O103" s="634"/>
      <c r="P103" s="188">
        <v>5</v>
      </c>
      <c r="Q103" s="188">
        <v>3189.9078973714568</v>
      </c>
      <c r="R103" s="185">
        <f t="shared" si="36"/>
        <v>637.98157947429138</v>
      </c>
      <c r="S103" s="182">
        <f t="shared" si="40"/>
        <v>20</v>
      </c>
      <c r="T103" s="630"/>
      <c r="U103" s="188">
        <v>5</v>
      </c>
      <c r="V103" s="188">
        <v>3190.6278973714566</v>
      </c>
      <c r="W103" s="185">
        <f t="shared" si="37"/>
        <v>638.12557947429127</v>
      </c>
      <c r="X103" s="182">
        <f t="shared" si="41"/>
        <v>20</v>
      </c>
      <c r="Y103" s="630"/>
      <c r="Z103" s="188">
        <v>5</v>
      </c>
      <c r="AA103" s="188">
        <v>3190.6278973714561</v>
      </c>
      <c r="AB103" s="185">
        <f t="shared" si="42"/>
        <v>638.12557947429127</v>
      </c>
      <c r="AC103" s="182">
        <f t="shared" si="43"/>
        <v>20</v>
      </c>
      <c r="AD103" s="630"/>
      <c r="AE103" s="188">
        <v>5</v>
      </c>
      <c r="AF103" s="188">
        <v>3189.9078973714568</v>
      </c>
      <c r="AG103" s="185">
        <f t="shared" si="44"/>
        <v>637.98157947429138</v>
      </c>
      <c r="AH103" s="182">
        <f t="shared" si="45"/>
        <v>21</v>
      </c>
      <c r="AI103" s="630"/>
      <c r="AJ103" s="188">
        <v>5</v>
      </c>
      <c r="AK103" s="188">
        <v>3190.2678973714569</v>
      </c>
      <c r="AL103" s="185">
        <f t="shared" si="46"/>
        <v>638.05357947429138</v>
      </c>
      <c r="AM103" s="182">
        <f t="shared" si="47"/>
        <v>20</v>
      </c>
      <c r="AN103" s="630"/>
      <c r="AO103" s="188">
        <v>5</v>
      </c>
      <c r="AP103" s="188">
        <v>3188.4678973714563</v>
      </c>
      <c r="AQ103" s="185">
        <f t="shared" si="48"/>
        <v>637.69357947429125</v>
      </c>
      <c r="AR103" s="182">
        <f t="shared" si="49"/>
        <v>20</v>
      </c>
      <c r="AS103" s="630"/>
      <c r="AT103" s="188">
        <v>5</v>
      </c>
      <c r="AU103" s="188">
        <v>3189.5478973714567</v>
      </c>
      <c r="AV103" s="185">
        <f t="shared" si="50"/>
        <v>637.90957947429138</v>
      </c>
      <c r="AW103" s="182">
        <f t="shared" si="51"/>
        <v>20</v>
      </c>
      <c r="AX103" s="630"/>
    </row>
    <row r="104" spans="2:50" ht="14.25" customHeight="1">
      <c r="B104" s="631"/>
      <c r="C104" s="180">
        <v>18</v>
      </c>
      <c r="D104" s="183" t="s">
        <v>405</v>
      </c>
      <c r="E104" s="184">
        <v>3</v>
      </c>
      <c r="F104" s="180">
        <v>3600</v>
      </c>
      <c r="G104" s="185">
        <f t="shared" si="38"/>
        <v>1200</v>
      </c>
      <c r="H104" s="632"/>
      <c r="I104" s="186">
        <f t="shared" si="39"/>
        <v>3</v>
      </c>
      <c r="J104" s="186">
        <f t="shared" si="39"/>
        <v>3182.7073417880247</v>
      </c>
      <c r="K104" s="187">
        <f t="shared" si="39"/>
        <v>1060.902447262675</v>
      </c>
      <c r="L104" s="633"/>
      <c r="M104" s="186">
        <f>RANK(K104, K$87:$K$121)</f>
        <v>5</v>
      </c>
      <c r="N104" s="644"/>
      <c r="O104" s="634"/>
      <c r="P104" s="188">
        <v>3</v>
      </c>
      <c r="Q104" s="188">
        <v>3183.324484645168</v>
      </c>
      <c r="R104" s="185">
        <f t="shared" si="36"/>
        <v>1061.1081615483893</v>
      </c>
      <c r="S104" s="182">
        <f t="shared" si="40"/>
        <v>4</v>
      </c>
      <c r="T104" s="630"/>
      <c r="U104" s="188">
        <v>3</v>
      </c>
      <c r="V104" s="188">
        <v>3184.0444846451674</v>
      </c>
      <c r="W104" s="185">
        <f t="shared" si="37"/>
        <v>1061.348161548389</v>
      </c>
      <c r="X104" s="182">
        <f t="shared" si="41"/>
        <v>4</v>
      </c>
      <c r="Y104" s="630"/>
      <c r="Z104" s="188">
        <v>3</v>
      </c>
      <c r="AA104" s="188">
        <v>3182.2444846451672</v>
      </c>
      <c r="AB104" s="185">
        <f t="shared" si="42"/>
        <v>1060.7481615483891</v>
      </c>
      <c r="AC104" s="182">
        <f t="shared" si="43"/>
        <v>5</v>
      </c>
      <c r="AD104" s="630"/>
      <c r="AE104" s="188">
        <v>3</v>
      </c>
      <c r="AF104" s="188">
        <v>3183.3244846451671</v>
      </c>
      <c r="AG104" s="185">
        <f t="shared" si="44"/>
        <v>1061.108161548389</v>
      </c>
      <c r="AH104" s="182">
        <f t="shared" si="45"/>
        <v>5</v>
      </c>
      <c r="AI104" s="630"/>
      <c r="AJ104" s="188">
        <v>3</v>
      </c>
      <c r="AK104" s="188">
        <v>3182.2444846451672</v>
      </c>
      <c r="AL104" s="185">
        <f t="shared" si="46"/>
        <v>1060.7481615483891</v>
      </c>
      <c r="AM104" s="182">
        <f t="shared" si="47"/>
        <v>6</v>
      </c>
      <c r="AN104" s="630"/>
      <c r="AO104" s="188">
        <v>3</v>
      </c>
      <c r="AP104" s="188">
        <v>3182.2444846451672</v>
      </c>
      <c r="AQ104" s="185">
        <f t="shared" si="48"/>
        <v>1060.7481615483891</v>
      </c>
      <c r="AR104" s="182">
        <f t="shared" si="49"/>
        <v>6</v>
      </c>
      <c r="AS104" s="630"/>
      <c r="AT104" s="188">
        <v>3</v>
      </c>
      <c r="AU104" s="188">
        <v>3181.5244846451678</v>
      </c>
      <c r="AV104" s="185">
        <f t="shared" si="50"/>
        <v>1060.5081615483894</v>
      </c>
      <c r="AW104" s="182">
        <f t="shared" si="51"/>
        <v>6</v>
      </c>
      <c r="AX104" s="630"/>
    </row>
    <row r="105" spans="2:50" ht="14.25" customHeight="1">
      <c r="B105" s="631"/>
      <c r="C105" s="180">
        <v>19</v>
      </c>
      <c r="D105" s="183" t="s">
        <v>407</v>
      </c>
      <c r="E105" s="184">
        <v>4</v>
      </c>
      <c r="F105" s="180">
        <v>3600</v>
      </c>
      <c r="G105" s="185">
        <f t="shared" si="38"/>
        <v>900</v>
      </c>
      <c r="H105" s="632"/>
      <c r="I105" s="186">
        <f t="shared" si="39"/>
        <v>4</v>
      </c>
      <c r="J105" s="186">
        <f t="shared" si="39"/>
        <v>3182.3909492376893</v>
      </c>
      <c r="K105" s="187">
        <f t="shared" si="39"/>
        <v>795.59773730942231</v>
      </c>
      <c r="L105" s="633"/>
      <c r="M105" s="186">
        <f>RANK(K105, K$87:$K$121)</f>
        <v>18</v>
      </c>
      <c r="N105" s="644"/>
      <c r="O105" s="634"/>
      <c r="P105" s="188">
        <v>4</v>
      </c>
      <c r="Q105" s="188">
        <v>3183.0164943287582</v>
      </c>
      <c r="R105" s="185">
        <f t="shared" si="36"/>
        <v>795.75412358218955</v>
      </c>
      <c r="S105" s="182">
        <f t="shared" si="40"/>
        <v>17</v>
      </c>
      <c r="T105" s="630"/>
      <c r="U105" s="188">
        <v>4</v>
      </c>
      <c r="V105" s="188">
        <v>3181.5764943287586</v>
      </c>
      <c r="W105" s="185">
        <f t="shared" si="37"/>
        <v>795.39412358218965</v>
      </c>
      <c r="X105" s="182">
        <f t="shared" si="41"/>
        <v>18</v>
      </c>
      <c r="Y105" s="630"/>
      <c r="Z105" s="188">
        <v>4</v>
      </c>
      <c r="AA105" s="188">
        <v>3182.6564943287585</v>
      </c>
      <c r="AB105" s="185">
        <f t="shared" si="42"/>
        <v>795.66412358218963</v>
      </c>
      <c r="AC105" s="182">
        <f t="shared" si="43"/>
        <v>18</v>
      </c>
      <c r="AD105" s="630"/>
      <c r="AE105" s="188">
        <v>4</v>
      </c>
      <c r="AF105" s="188">
        <v>3181.5764943287586</v>
      </c>
      <c r="AG105" s="185">
        <f t="shared" si="44"/>
        <v>795.39412358218965</v>
      </c>
      <c r="AH105" s="182">
        <f t="shared" si="45"/>
        <v>18</v>
      </c>
      <c r="AI105" s="630"/>
      <c r="AJ105" s="188">
        <v>4</v>
      </c>
      <c r="AK105" s="188">
        <v>3181.9247312012617</v>
      </c>
      <c r="AL105" s="185">
        <f t="shared" si="46"/>
        <v>795.48118280031542</v>
      </c>
      <c r="AM105" s="182">
        <f t="shared" si="47"/>
        <v>18</v>
      </c>
      <c r="AN105" s="630"/>
      <c r="AO105" s="188">
        <v>4</v>
      </c>
      <c r="AP105" s="188">
        <v>3183.7129680737648</v>
      </c>
      <c r="AQ105" s="185">
        <f t="shared" si="48"/>
        <v>795.92824201844121</v>
      </c>
      <c r="AR105" s="182">
        <f t="shared" si="49"/>
        <v>16</v>
      </c>
      <c r="AS105" s="630"/>
      <c r="AT105" s="188">
        <v>4</v>
      </c>
      <c r="AU105" s="188">
        <v>3182.2729680737648</v>
      </c>
      <c r="AV105" s="185">
        <f t="shared" si="50"/>
        <v>795.5682420184412</v>
      </c>
      <c r="AW105" s="182">
        <f t="shared" si="51"/>
        <v>17</v>
      </c>
      <c r="AX105" s="630"/>
    </row>
    <row r="106" spans="2:50" ht="14.25" customHeight="1">
      <c r="B106" s="631"/>
      <c r="C106" s="180">
        <v>20</v>
      </c>
      <c r="D106" s="183" t="s">
        <v>346</v>
      </c>
      <c r="E106" s="184">
        <v>5</v>
      </c>
      <c r="F106" s="180">
        <v>3300</v>
      </c>
      <c r="G106" s="185">
        <f t="shared" si="38"/>
        <v>660</v>
      </c>
      <c r="H106" s="632"/>
      <c r="I106" s="186">
        <f t="shared" si="39"/>
        <v>5</v>
      </c>
      <c r="J106" s="186">
        <f t="shared" si="39"/>
        <v>2967.5378375246823</v>
      </c>
      <c r="K106" s="187">
        <f t="shared" si="39"/>
        <v>593.50756750493645</v>
      </c>
      <c r="L106" s="633"/>
      <c r="M106" s="186">
        <f>RANK(K106, K$87:$K$121)</f>
        <v>29</v>
      </c>
      <c r="N106" s="644"/>
      <c r="O106" s="634"/>
      <c r="P106" s="188">
        <v>5</v>
      </c>
      <c r="Q106" s="188">
        <v>2963.6367681943457</v>
      </c>
      <c r="R106" s="185">
        <f t="shared" si="36"/>
        <v>592.72735363886909</v>
      </c>
      <c r="S106" s="182">
        <f t="shared" si="40"/>
        <v>29</v>
      </c>
      <c r="T106" s="630"/>
      <c r="U106" s="188">
        <v>5</v>
      </c>
      <c r="V106" s="188">
        <v>2964.6097679275281</v>
      </c>
      <c r="W106" s="185">
        <f t="shared" si="37"/>
        <v>592.92195358550566</v>
      </c>
      <c r="X106" s="182">
        <f t="shared" si="41"/>
        <v>29</v>
      </c>
      <c r="Y106" s="630"/>
      <c r="Z106" s="188">
        <v>5</v>
      </c>
      <c r="AA106" s="188">
        <v>2964.2797679275286</v>
      </c>
      <c r="AB106" s="185">
        <f t="shared" si="42"/>
        <v>592.85595358550574</v>
      </c>
      <c r="AC106" s="182">
        <f t="shared" si="43"/>
        <v>28</v>
      </c>
      <c r="AD106" s="630"/>
      <c r="AE106" s="188">
        <v>5</v>
      </c>
      <c r="AF106" s="188">
        <v>2964.6097679275281</v>
      </c>
      <c r="AG106" s="185">
        <f t="shared" si="44"/>
        <v>592.92195358550566</v>
      </c>
      <c r="AH106" s="182">
        <f t="shared" si="45"/>
        <v>28</v>
      </c>
      <c r="AI106" s="630"/>
      <c r="AJ106" s="188">
        <v>5</v>
      </c>
      <c r="AK106" s="188">
        <v>2963.9497679275282</v>
      </c>
      <c r="AL106" s="185">
        <f t="shared" si="46"/>
        <v>592.7899535855056</v>
      </c>
      <c r="AM106" s="182">
        <f t="shared" si="47"/>
        <v>29</v>
      </c>
      <c r="AN106" s="630"/>
      <c r="AO106" s="188">
        <v>5</v>
      </c>
      <c r="AP106" s="188">
        <v>2976.3442684282381</v>
      </c>
      <c r="AQ106" s="185">
        <f t="shared" si="48"/>
        <v>595.26885368564763</v>
      </c>
      <c r="AR106" s="182">
        <f t="shared" si="49"/>
        <v>29</v>
      </c>
      <c r="AS106" s="630"/>
      <c r="AT106" s="188">
        <v>5</v>
      </c>
      <c r="AU106" s="188">
        <v>2975.3347543400778</v>
      </c>
      <c r="AV106" s="185">
        <f t="shared" si="50"/>
        <v>595.06695086801551</v>
      </c>
      <c r="AW106" s="182">
        <f t="shared" si="51"/>
        <v>29</v>
      </c>
      <c r="AX106" s="630"/>
    </row>
    <row r="107" spans="2:50" ht="14.25" customHeight="1">
      <c r="B107" s="631"/>
      <c r="C107" s="180">
        <v>21</v>
      </c>
      <c r="D107" s="183" t="s">
        <v>401</v>
      </c>
      <c r="E107" s="184">
        <v>3</v>
      </c>
      <c r="F107" s="180">
        <v>3600</v>
      </c>
      <c r="G107" s="185">
        <f t="shared" si="38"/>
        <v>1200</v>
      </c>
      <c r="H107" s="632"/>
      <c r="I107" s="186">
        <f t="shared" si="39"/>
        <v>3</v>
      </c>
      <c r="J107" s="186">
        <f t="shared" si="39"/>
        <v>3180.5815825448421</v>
      </c>
      <c r="K107" s="187">
        <f t="shared" si="39"/>
        <v>1060.1938608482808</v>
      </c>
      <c r="L107" s="633"/>
      <c r="M107" s="186">
        <f>RANK(K107, K$87:$K$121)</f>
        <v>6</v>
      </c>
      <c r="N107" s="644"/>
      <c r="O107" s="634"/>
      <c r="P107" s="188">
        <v>3</v>
      </c>
      <c r="Q107" s="188">
        <v>3182.3216922346737</v>
      </c>
      <c r="R107" s="185">
        <f t="shared" si="36"/>
        <v>1060.773897411558</v>
      </c>
      <c r="S107" s="182">
        <f t="shared" si="40"/>
        <v>5</v>
      </c>
      <c r="T107" s="630"/>
      <c r="U107" s="188">
        <v>3</v>
      </c>
      <c r="V107" s="188">
        <v>3180.8816922346741</v>
      </c>
      <c r="W107" s="185">
        <f t="shared" si="37"/>
        <v>1060.293897411558</v>
      </c>
      <c r="X107" s="182">
        <f t="shared" si="41"/>
        <v>7</v>
      </c>
      <c r="Y107" s="630"/>
      <c r="Z107" s="188">
        <v>3</v>
      </c>
      <c r="AA107" s="188">
        <v>3179.0816922346748</v>
      </c>
      <c r="AB107" s="185">
        <f t="shared" si="42"/>
        <v>1059.6938974115583</v>
      </c>
      <c r="AC107" s="182">
        <f t="shared" si="43"/>
        <v>7</v>
      </c>
      <c r="AD107" s="630"/>
      <c r="AE107" s="188">
        <v>3</v>
      </c>
      <c r="AF107" s="188">
        <v>3178.7216922346743</v>
      </c>
      <c r="AG107" s="185">
        <f t="shared" si="44"/>
        <v>1059.5738974115582</v>
      </c>
      <c r="AH107" s="182">
        <f t="shared" si="45"/>
        <v>7</v>
      </c>
      <c r="AI107" s="630"/>
      <c r="AJ107" s="188">
        <v>3</v>
      </c>
      <c r="AK107" s="188">
        <v>3180.8722938097758</v>
      </c>
      <c r="AL107" s="185">
        <f t="shared" si="46"/>
        <v>1060.2907646032586</v>
      </c>
      <c r="AM107" s="182">
        <f t="shared" si="47"/>
        <v>7</v>
      </c>
      <c r="AN107" s="630"/>
      <c r="AO107" s="188">
        <v>3</v>
      </c>
      <c r="AP107" s="188">
        <v>3181.6360075327111</v>
      </c>
      <c r="AQ107" s="185">
        <f t="shared" si="48"/>
        <v>1060.5453358442371</v>
      </c>
      <c r="AR107" s="182">
        <f t="shared" si="49"/>
        <v>7</v>
      </c>
      <c r="AS107" s="630"/>
      <c r="AT107" s="188">
        <v>3</v>
      </c>
      <c r="AU107" s="188">
        <v>3180.5560075327121</v>
      </c>
      <c r="AV107" s="185">
        <f t="shared" si="50"/>
        <v>1060.1853358442374</v>
      </c>
      <c r="AW107" s="182">
        <f t="shared" si="51"/>
        <v>7</v>
      </c>
      <c r="AX107" s="630"/>
    </row>
    <row r="108" spans="2:50" ht="14.25" customHeight="1">
      <c r="B108" s="631"/>
      <c r="C108" s="180">
        <v>22</v>
      </c>
      <c r="D108" s="183" t="s">
        <v>559</v>
      </c>
      <c r="E108" s="184">
        <v>4</v>
      </c>
      <c r="F108" s="180">
        <v>3600</v>
      </c>
      <c r="G108" s="185">
        <f>F108/E108</f>
        <v>900</v>
      </c>
      <c r="H108" s="632"/>
      <c r="I108" s="186">
        <f t="shared" si="39"/>
        <v>4</v>
      </c>
      <c r="J108" s="186">
        <f t="shared" si="39"/>
        <v>3190.4742857142846</v>
      </c>
      <c r="K108" s="187">
        <f t="shared" si="39"/>
        <v>797.61857142857116</v>
      </c>
      <c r="L108" s="633"/>
      <c r="M108" s="186">
        <f>RANK(K108, K$87:$K$121)</f>
        <v>15</v>
      </c>
      <c r="N108" s="644"/>
      <c r="O108" s="634"/>
      <c r="P108" s="188">
        <v>4</v>
      </c>
      <c r="Q108" s="188">
        <v>3189.5999999999995</v>
      </c>
      <c r="R108" s="185">
        <f t="shared" si="36"/>
        <v>797.39999999999986</v>
      </c>
      <c r="S108" s="182">
        <f t="shared" si="40"/>
        <v>15</v>
      </c>
      <c r="T108" s="630"/>
      <c r="U108" s="188">
        <v>4</v>
      </c>
      <c r="V108" s="188">
        <v>3189.5999999999995</v>
      </c>
      <c r="W108" s="185">
        <f t="shared" si="37"/>
        <v>797.39999999999986</v>
      </c>
      <c r="X108" s="182">
        <f t="shared" si="41"/>
        <v>15</v>
      </c>
      <c r="Y108" s="630"/>
      <c r="Z108" s="188">
        <v>4</v>
      </c>
      <c r="AA108" s="188">
        <v>3189.5999999999995</v>
      </c>
      <c r="AB108" s="185">
        <f t="shared" si="42"/>
        <v>797.39999999999986</v>
      </c>
      <c r="AC108" s="182">
        <f t="shared" si="43"/>
        <v>15</v>
      </c>
      <c r="AD108" s="630"/>
      <c r="AE108" s="188">
        <v>4</v>
      </c>
      <c r="AF108" s="188">
        <v>3189.24</v>
      </c>
      <c r="AG108" s="185">
        <f t="shared" si="44"/>
        <v>797.31</v>
      </c>
      <c r="AH108" s="182">
        <f t="shared" si="45"/>
        <v>15</v>
      </c>
      <c r="AI108" s="630"/>
      <c r="AJ108" s="188">
        <v>4</v>
      </c>
      <c r="AK108" s="188">
        <v>3190.6799999999994</v>
      </c>
      <c r="AL108" s="185">
        <f t="shared" si="46"/>
        <v>797.66999999999985</v>
      </c>
      <c r="AM108" s="182">
        <f t="shared" si="47"/>
        <v>15</v>
      </c>
      <c r="AN108" s="630"/>
      <c r="AO108" s="188">
        <v>4</v>
      </c>
      <c r="AP108" s="188">
        <v>3191.7599999999989</v>
      </c>
      <c r="AQ108" s="185">
        <f t="shared" si="48"/>
        <v>797.93999999999971</v>
      </c>
      <c r="AR108" s="182">
        <f t="shared" si="49"/>
        <v>15</v>
      </c>
      <c r="AS108" s="630"/>
      <c r="AT108" s="188">
        <v>4</v>
      </c>
      <c r="AU108" s="188">
        <v>3192.8399999999983</v>
      </c>
      <c r="AV108" s="185">
        <f t="shared" si="50"/>
        <v>798.20999999999958</v>
      </c>
      <c r="AW108" s="182">
        <f t="shared" si="51"/>
        <v>15</v>
      </c>
      <c r="AX108" s="630"/>
    </row>
    <row r="109" spans="2:50" ht="14.25" customHeight="1">
      <c r="B109" s="631"/>
      <c r="C109" s="180">
        <v>23</v>
      </c>
      <c r="D109" s="183" t="s">
        <v>404</v>
      </c>
      <c r="E109" s="184">
        <v>3</v>
      </c>
      <c r="F109" s="180">
        <v>3600</v>
      </c>
      <c r="G109" s="185">
        <f t="shared" ref="G109:G120" si="52">F109/E109</f>
        <v>1200</v>
      </c>
      <c r="H109" s="632"/>
      <c r="I109" s="186">
        <f t="shared" si="39"/>
        <v>3</v>
      </c>
      <c r="J109" s="186">
        <f t="shared" si="39"/>
        <v>3189.9389169443812</v>
      </c>
      <c r="K109" s="187">
        <f t="shared" si="39"/>
        <v>1063.3129723147938</v>
      </c>
      <c r="L109" s="633"/>
      <c r="M109" s="186">
        <f>RANK(K109, K$87:$K$121)</f>
        <v>2</v>
      </c>
      <c r="N109" s="644"/>
      <c r="O109" s="634"/>
      <c r="P109" s="188">
        <v>3</v>
      </c>
      <c r="Q109" s="188">
        <v>3186.5960598015236</v>
      </c>
      <c r="R109" s="185">
        <f t="shared" si="36"/>
        <v>1062.1986866005079</v>
      </c>
      <c r="S109" s="182">
        <f t="shared" si="40"/>
        <v>2</v>
      </c>
      <c r="T109" s="630"/>
      <c r="U109" s="188">
        <v>3</v>
      </c>
      <c r="V109" s="188">
        <v>3187.6760598015235</v>
      </c>
      <c r="W109" s="185">
        <f t="shared" si="37"/>
        <v>1062.5586866005078</v>
      </c>
      <c r="X109" s="182">
        <f t="shared" si="41"/>
        <v>2</v>
      </c>
      <c r="Y109" s="630"/>
      <c r="Z109" s="188">
        <v>3</v>
      </c>
      <c r="AA109" s="188">
        <v>3188.7560598015243</v>
      </c>
      <c r="AB109" s="185">
        <f t="shared" si="42"/>
        <v>1062.9186866005082</v>
      </c>
      <c r="AC109" s="182">
        <f t="shared" si="43"/>
        <v>2</v>
      </c>
      <c r="AD109" s="630"/>
      <c r="AE109" s="188">
        <v>3</v>
      </c>
      <c r="AF109" s="188">
        <v>3190.1960598015244</v>
      </c>
      <c r="AG109" s="185">
        <f t="shared" si="44"/>
        <v>1063.3986866005082</v>
      </c>
      <c r="AH109" s="182">
        <f t="shared" si="45"/>
        <v>2</v>
      </c>
      <c r="AI109" s="630"/>
      <c r="AJ109" s="188">
        <v>3</v>
      </c>
      <c r="AK109" s="188">
        <v>3191.9960598015241</v>
      </c>
      <c r="AL109" s="185">
        <f t="shared" si="46"/>
        <v>1063.9986866005081</v>
      </c>
      <c r="AM109" s="182">
        <f t="shared" si="47"/>
        <v>1</v>
      </c>
      <c r="AN109" s="630"/>
      <c r="AO109" s="188">
        <v>3</v>
      </c>
      <c r="AP109" s="188">
        <v>3192.7160598015244</v>
      </c>
      <c r="AQ109" s="185">
        <f t="shared" si="48"/>
        <v>1064.2386866005081</v>
      </c>
      <c r="AR109" s="182">
        <f t="shared" si="49"/>
        <v>1</v>
      </c>
      <c r="AS109" s="630"/>
      <c r="AT109" s="188">
        <v>3</v>
      </c>
      <c r="AU109" s="188">
        <v>3191.6360598015244</v>
      </c>
      <c r="AV109" s="185">
        <f t="shared" si="50"/>
        <v>1063.8786866005082</v>
      </c>
      <c r="AW109" s="182">
        <f t="shared" si="51"/>
        <v>2</v>
      </c>
      <c r="AX109" s="630"/>
    </row>
    <row r="110" spans="2:50" ht="14.25" customHeight="1">
      <c r="B110" s="631"/>
      <c r="C110" s="180">
        <v>24</v>
      </c>
      <c r="D110" s="183" t="s">
        <v>403</v>
      </c>
      <c r="E110" s="184">
        <v>5</v>
      </c>
      <c r="F110" s="180">
        <v>3600</v>
      </c>
      <c r="G110" s="185">
        <f t="shared" si="52"/>
        <v>720</v>
      </c>
      <c r="H110" s="632"/>
      <c r="I110" s="186">
        <f t="shared" si="39"/>
        <v>5</v>
      </c>
      <c r="J110" s="186">
        <f t="shared" si="39"/>
        <v>3187.8746346893636</v>
      </c>
      <c r="K110" s="187">
        <f t="shared" si="39"/>
        <v>637.57492693787276</v>
      </c>
      <c r="L110" s="633"/>
      <c r="M110" s="186">
        <f>RANK(K110, K$87:$K$121)</f>
        <v>22</v>
      </c>
      <c r="N110" s="644"/>
      <c r="O110" s="634"/>
      <c r="P110" s="188">
        <v>5</v>
      </c>
      <c r="Q110" s="188">
        <v>3187.6174918322208</v>
      </c>
      <c r="R110" s="185">
        <f t="shared" si="36"/>
        <v>637.52349836644419</v>
      </c>
      <c r="S110" s="182">
        <f t="shared" si="40"/>
        <v>22</v>
      </c>
      <c r="T110" s="630"/>
      <c r="U110" s="188">
        <v>5</v>
      </c>
      <c r="V110" s="188">
        <v>3188.6974918322207</v>
      </c>
      <c r="W110" s="185">
        <f t="shared" si="37"/>
        <v>637.7394983664442</v>
      </c>
      <c r="X110" s="182">
        <f t="shared" si="41"/>
        <v>22</v>
      </c>
      <c r="Y110" s="630"/>
      <c r="Z110" s="188">
        <v>5</v>
      </c>
      <c r="AA110" s="188">
        <v>3187.2574918322211</v>
      </c>
      <c r="AB110" s="185">
        <f t="shared" si="42"/>
        <v>637.45149836644418</v>
      </c>
      <c r="AC110" s="182">
        <f t="shared" si="43"/>
        <v>22</v>
      </c>
      <c r="AD110" s="630"/>
      <c r="AE110" s="188">
        <v>5</v>
      </c>
      <c r="AF110" s="188">
        <v>3187.9774918322209</v>
      </c>
      <c r="AG110" s="185">
        <f t="shared" si="44"/>
        <v>637.59549836644419</v>
      </c>
      <c r="AH110" s="182">
        <f t="shared" si="45"/>
        <v>22</v>
      </c>
      <c r="AI110" s="630"/>
      <c r="AJ110" s="188">
        <v>5</v>
      </c>
      <c r="AK110" s="188">
        <v>3188.3374918322211</v>
      </c>
      <c r="AL110" s="185">
        <f t="shared" si="46"/>
        <v>637.66749836644419</v>
      </c>
      <c r="AM110" s="182">
        <f t="shared" si="47"/>
        <v>22</v>
      </c>
      <c r="AN110" s="630"/>
      <c r="AO110" s="188">
        <v>5</v>
      </c>
      <c r="AP110" s="188">
        <v>3188.3374918322211</v>
      </c>
      <c r="AQ110" s="185">
        <f t="shared" si="48"/>
        <v>637.66749836644419</v>
      </c>
      <c r="AR110" s="182">
        <f t="shared" si="49"/>
        <v>21</v>
      </c>
      <c r="AS110" s="630"/>
      <c r="AT110" s="188">
        <v>5</v>
      </c>
      <c r="AU110" s="188">
        <v>3186.897491832221</v>
      </c>
      <c r="AV110" s="185">
        <f t="shared" si="50"/>
        <v>637.37949836644418</v>
      </c>
      <c r="AW110" s="182">
        <f t="shared" si="51"/>
        <v>23</v>
      </c>
      <c r="AX110" s="630"/>
    </row>
    <row r="111" spans="2:50" ht="14.25" customHeight="1">
      <c r="B111" s="631"/>
      <c r="C111" s="180">
        <v>25</v>
      </c>
      <c r="D111" s="183" t="s">
        <v>400</v>
      </c>
      <c r="E111" s="184">
        <v>5</v>
      </c>
      <c r="F111" s="180">
        <v>3600</v>
      </c>
      <c r="G111" s="185">
        <f t="shared" si="52"/>
        <v>720</v>
      </c>
      <c r="H111" s="632"/>
      <c r="I111" s="186">
        <f t="shared" si="39"/>
        <v>5</v>
      </c>
      <c r="J111" s="186">
        <f t="shared" si="39"/>
        <v>3186.2546367802393</v>
      </c>
      <c r="K111" s="187">
        <f t="shared" si="39"/>
        <v>637.25092735604801</v>
      </c>
      <c r="L111" s="633"/>
      <c r="M111" s="186">
        <f>RANK(K111, K$87:$K$121)</f>
        <v>23</v>
      </c>
      <c r="N111" s="644"/>
      <c r="O111" s="634"/>
      <c r="P111" s="188">
        <v>5</v>
      </c>
      <c r="Q111" s="188">
        <v>3186.1517796373823</v>
      </c>
      <c r="R111" s="185">
        <f t="shared" si="36"/>
        <v>637.23035592747647</v>
      </c>
      <c r="S111" s="182">
        <f t="shared" si="40"/>
        <v>24</v>
      </c>
      <c r="T111" s="630"/>
      <c r="U111" s="188">
        <v>5</v>
      </c>
      <c r="V111" s="188">
        <v>3185.0717796373824</v>
      </c>
      <c r="W111" s="185">
        <f t="shared" si="37"/>
        <v>637.01435592747646</v>
      </c>
      <c r="X111" s="182">
        <f t="shared" si="41"/>
        <v>25</v>
      </c>
      <c r="Y111" s="630"/>
      <c r="Z111" s="188">
        <v>5</v>
      </c>
      <c r="AA111" s="188">
        <v>3185.7917796373822</v>
      </c>
      <c r="AB111" s="185">
        <f t="shared" si="42"/>
        <v>637.15835592747646</v>
      </c>
      <c r="AC111" s="182">
        <f t="shared" si="43"/>
        <v>24</v>
      </c>
      <c r="AD111" s="630"/>
      <c r="AE111" s="188">
        <v>5</v>
      </c>
      <c r="AF111" s="188">
        <v>3186.5117796373829</v>
      </c>
      <c r="AG111" s="185">
        <f t="shared" si="44"/>
        <v>637.30235592747658</v>
      </c>
      <c r="AH111" s="182">
        <f t="shared" si="45"/>
        <v>24</v>
      </c>
      <c r="AI111" s="630"/>
      <c r="AJ111" s="188">
        <v>5</v>
      </c>
      <c r="AK111" s="188">
        <v>3187.5917796373824</v>
      </c>
      <c r="AL111" s="185">
        <f t="shared" si="46"/>
        <v>637.51835592747648</v>
      </c>
      <c r="AM111" s="182">
        <f t="shared" si="47"/>
        <v>23</v>
      </c>
      <c r="AN111" s="630"/>
      <c r="AO111" s="188">
        <v>5</v>
      </c>
      <c r="AP111" s="188">
        <v>3186.1517796373828</v>
      </c>
      <c r="AQ111" s="185">
        <f t="shared" si="48"/>
        <v>637.23035592747658</v>
      </c>
      <c r="AR111" s="182">
        <f t="shared" si="49"/>
        <v>25</v>
      </c>
      <c r="AS111" s="630"/>
      <c r="AT111" s="188">
        <v>5</v>
      </c>
      <c r="AU111" s="188">
        <v>3186.5117796373834</v>
      </c>
      <c r="AV111" s="185">
        <f t="shared" si="50"/>
        <v>637.3023559274767</v>
      </c>
      <c r="AW111" s="182">
        <f t="shared" si="51"/>
        <v>25</v>
      </c>
      <c r="AX111" s="630"/>
    </row>
    <row r="112" spans="2:50" ht="14.25" customHeight="1">
      <c r="B112" s="631"/>
      <c r="C112" s="180">
        <v>26</v>
      </c>
      <c r="D112" s="183" t="s">
        <v>402</v>
      </c>
      <c r="E112" s="184">
        <v>3</v>
      </c>
      <c r="F112" s="180">
        <v>3000</v>
      </c>
      <c r="G112" s="185">
        <f t="shared" si="52"/>
        <v>1000</v>
      </c>
      <c r="H112" s="632"/>
      <c r="I112" s="186">
        <f t="shared" si="39"/>
        <v>3</v>
      </c>
      <c r="J112" s="186">
        <f t="shared" si="39"/>
        <v>2707.0858077777257</v>
      </c>
      <c r="K112" s="187">
        <f t="shared" si="39"/>
        <v>902.36193592590848</v>
      </c>
      <c r="L112" s="633"/>
      <c r="M112" s="186">
        <f>RANK(K112, K$87:$K$121)</f>
        <v>12</v>
      </c>
      <c r="N112" s="644"/>
      <c r="O112" s="634"/>
      <c r="P112" s="188">
        <v>3</v>
      </c>
      <c r="Q112" s="188">
        <v>2705.8500503631053</v>
      </c>
      <c r="R112" s="185">
        <f t="shared" si="36"/>
        <v>901.95001678770177</v>
      </c>
      <c r="S112" s="182">
        <f t="shared" si="40"/>
        <v>13</v>
      </c>
      <c r="T112" s="630"/>
      <c r="U112" s="188">
        <v>3</v>
      </c>
      <c r="V112" s="188">
        <v>2706.3417673468293</v>
      </c>
      <c r="W112" s="185">
        <f t="shared" si="37"/>
        <v>902.11392244894307</v>
      </c>
      <c r="X112" s="182">
        <f t="shared" si="41"/>
        <v>12</v>
      </c>
      <c r="Y112" s="630"/>
      <c r="Z112" s="188">
        <v>3</v>
      </c>
      <c r="AA112" s="188">
        <v>2706.3417673468293</v>
      </c>
      <c r="AB112" s="185">
        <f t="shared" si="42"/>
        <v>902.11392244894307</v>
      </c>
      <c r="AC112" s="182">
        <f t="shared" si="43"/>
        <v>14</v>
      </c>
      <c r="AD112" s="630"/>
      <c r="AE112" s="188">
        <v>3</v>
      </c>
      <c r="AF112" s="188">
        <v>2707.5417673468291</v>
      </c>
      <c r="AG112" s="185">
        <f t="shared" si="44"/>
        <v>902.51392244894305</v>
      </c>
      <c r="AH112" s="182">
        <f t="shared" si="45"/>
        <v>12</v>
      </c>
      <c r="AI112" s="630"/>
      <c r="AJ112" s="188">
        <v>3</v>
      </c>
      <c r="AK112" s="188">
        <v>2707.8417673468289</v>
      </c>
      <c r="AL112" s="185">
        <f t="shared" si="46"/>
        <v>902.61392244894296</v>
      </c>
      <c r="AM112" s="182">
        <f t="shared" si="47"/>
        <v>12</v>
      </c>
      <c r="AN112" s="630"/>
      <c r="AO112" s="188">
        <v>3</v>
      </c>
      <c r="AP112" s="188">
        <v>2708.1417673468286</v>
      </c>
      <c r="AQ112" s="185">
        <f t="shared" si="48"/>
        <v>902.71392244894287</v>
      </c>
      <c r="AR112" s="182">
        <f t="shared" si="49"/>
        <v>12</v>
      </c>
      <c r="AS112" s="630"/>
      <c r="AT112" s="188">
        <v>3</v>
      </c>
      <c r="AU112" s="188">
        <v>2707.5417673468291</v>
      </c>
      <c r="AV112" s="185">
        <f t="shared" si="50"/>
        <v>902.51392244894305</v>
      </c>
      <c r="AW112" s="182">
        <f t="shared" si="51"/>
        <v>12</v>
      </c>
      <c r="AX112" s="630"/>
    </row>
    <row r="113" spans="1:50" ht="14.25" customHeight="1">
      <c r="B113" s="631"/>
      <c r="C113" s="180">
        <v>27</v>
      </c>
      <c r="D113" s="183" t="s">
        <v>442</v>
      </c>
      <c r="E113" s="184">
        <v>3</v>
      </c>
      <c r="F113" s="180">
        <v>3600</v>
      </c>
      <c r="G113" s="185">
        <f t="shared" si="52"/>
        <v>1200</v>
      </c>
      <c r="H113" s="632"/>
      <c r="I113" s="186">
        <f t="shared" si="39"/>
        <v>3</v>
      </c>
      <c r="J113" s="186">
        <f t="shared" si="39"/>
        <v>3190.5566364364886</v>
      </c>
      <c r="K113" s="187">
        <f t="shared" si="39"/>
        <v>1063.5188788121627</v>
      </c>
      <c r="L113" s="633"/>
      <c r="M113" s="186">
        <f>RANK(K113, K$87:$K$121)</f>
        <v>1</v>
      </c>
      <c r="N113" s="644"/>
      <c r="O113" s="634"/>
      <c r="P113" s="188">
        <v>3</v>
      </c>
      <c r="Q113" s="188">
        <v>3187.5223507222022</v>
      </c>
      <c r="R113" s="185">
        <f t="shared" si="36"/>
        <v>1062.507450240734</v>
      </c>
      <c r="S113" s="182">
        <f t="shared" si="40"/>
        <v>1</v>
      </c>
      <c r="T113" s="630"/>
      <c r="U113" s="188">
        <v>3</v>
      </c>
      <c r="V113" s="188">
        <v>3188.6023507222026</v>
      </c>
      <c r="W113" s="185">
        <f t="shared" si="37"/>
        <v>1062.8674502407341</v>
      </c>
      <c r="X113" s="182">
        <f t="shared" si="41"/>
        <v>1</v>
      </c>
      <c r="Y113" s="630"/>
      <c r="Z113" s="188">
        <v>3</v>
      </c>
      <c r="AA113" s="188">
        <v>3189.6823507222025</v>
      </c>
      <c r="AB113" s="185">
        <f t="shared" si="42"/>
        <v>1063.2274502407342</v>
      </c>
      <c r="AC113" s="182">
        <f t="shared" si="43"/>
        <v>1</v>
      </c>
      <c r="AD113" s="630"/>
      <c r="AE113" s="188">
        <v>3</v>
      </c>
      <c r="AF113" s="188">
        <v>3191.1223507222026</v>
      </c>
      <c r="AG113" s="185">
        <f t="shared" si="44"/>
        <v>1063.7074502407343</v>
      </c>
      <c r="AH113" s="182">
        <f t="shared" si="45"/>
        <v>1</v>
      </c>
      <c r="AI113" s="630"/>
      <c r="AJ113" s="188">
        <v>3</v>
      </c>
      <c r="AK113" s="188">
        <v>3191.4823507222027</v>
      </c>
      <c r="AL113" s="185">
        <f t="shared" si="46"/>
        <v>1063.8274502407342</v>
      </c>
      <c r="AM113" s="182">
        <f t="shared" si="47"/>
        <v>2</v>
      </c>
      <c r="AN113" s="630"/>
      <c r="AO113" s="188">
        <v>3</v>
      </c>
      <c r="AP113" s="188">
        <v>3192.2023507222025</v>
      </c>
      <c r="AQ113" s="185">
        <f t="shared" si="48"/>
        <v>1064.0674502407342</v>
      </c>
      <c r="AR113" s="182">
        <f t="shared" si="49"/>
        <v>2</v>
      </c>
      <c r="AS113" s="630"/>
      <c r="AT113" s="188">
        <v>3</v>
      </c>
      <c r="AU113" s="188">
        <v>3193.282350722202</v>
      </c>
      <c r="AV113" s="185">
        <f t="shared" si="50"/>
        <v>1064.4274502407341</v>
      </c>
      <c r="AW113" s="182">
        <f t="shared" si="51"/>
        <v>1</v>
      </c>
      <c r="AX113" s="630"/>
    </row>
    <row r="114" spans="1:50" ht="14.25" customHeight="1">
      <c r="B114" s="631"/>
      <c r="C114" s="180">
        <v>28</v>
      </c>
      <c r="D114" s="183" t="s">
        <v>450</v>
      </c>
      <c r="E114" s="184">
        <v>4</v>
      </c>
      <c r="F114" s="180">
        <v>3000</v>
      </c>
      <c r="G114" s="185">
        <f t="shared" si="52"/>
        <v>750</v>
      </c>
      <c r="H114" s="632"/>
      <c r="I114" s="186">
        <f t="shared" si="39"/>
        <v>4</v>
      </c>
      <c r="J114" s="186">
        <f t="shared" si="39"/>
        <v>2702.7619956190488</v>
      </c>
      <c r="K114" s="187">
        <f t="shared" si="39"/>
        <v>675.69049890476219</v>
      </c>
      <c r="L114" s="633"/>
      <c r="M114" s="186">
        <f>RANK(K114, K$87:$K$121)</f>
        <v>19</v>
      </c>
      <c r="N114" s="644"/>
      <c r="O114" s="634"/>
      <c r="P114" s="188">
        <v>4</v>
      </c>
      <c r="Q114" s="188">
        <v>2701.9588441258834</v>
      </c>
      <c r="R114" s="185">
        <f t="shared" si="36"/>
        <v>675.48971103147085</v>
      </c>
      <c r="S114" s="182">
        <f t="shared" si="40"/>
        <v>19</v>
      </c>
      <c r="T114" s="630"/>
      <c r="U114" s="188">
        <v>4</v>
      </c>
      <c r="V114" s="188">
        <v>2701.0588441258833</v>
      </c>
      <c r="W114" s="185">
        <f t="shared" si="37"/>
        <v>675.26471103147082</v>
      </c>
      <c r="X114" s="182">
        <f t="shared" si="41"/>
        <v>19</v>
      </c>
      <c r="Y114" s="630"/>
      <c r="Z114" s="188">
        <v>4</v>
      </c>
      <c r="AA114" s="188">
        <v>2702.5990956302553</v>
      </c>
      <c r="AB114" s="185">
        <f t="shared" si="42"/>
        <v>675.64977390756383</v>
      </c>
      <c r="AC114" s="182">
        <f t="shared" si="43"/>
        <v>19</v>
      </c>
      <c r="AD114" s="630"/>
      <c r="AE114" s="188">
        <v>4</v>
      </c>
      <c r="AF114" s="188">
        <v>2702.2990956302556</v>
      </c>
      <c r="AG114" s="185">
        <f t="shared" si="44"/>
        <v>675.57477390756389</v>
      </c>
      <c r="AH114" s="182">
        <f t="shared" si="45"/>
        <v>19</v>
      </c>
      <c r="AI114" s="630"/>
      <c r="AJ114" s="188">
        <v>4</v>
      </c>
      <c r="AK114" s="188">
        <v>2702.5990956302558</v>
      </c>
      <c r="AL114" s="185">
        <f t="shared" si="46"/>
        <v>675.64977390756394</v>
      </c>
      <c r="AM114" s="182">
        <f t="shared" si="47"/>
        <v>19</v>
      </c>
      <c r="AN114" s="630"/>
      <c r="AO114" s="188">
        <v>4</v>
      </c>
      <c r="AP114" s="188">
        <v>2703.7990956302556</v>
      </c>
      <c r="AQ114" s="185">
        <f t="shared" si="48"/>
        <v>675.94977390756389</v>
      </c>
      <c r="AR114" s="182">
        <f t="shared" si="49"/>
        <v>19</v>
      </c>
      <c r="AS114" s="630"/>
      <c r="AT114" s="188">
        <v>4</v>
      </c>
      <c r="AU114" s="188">
        <v>2705.019898560548</v>
      </c>
      <c r="AV114" s="185">
        <f t="shared" si="50"/>
        <v>676.25497464013699</v>
      </c>
      <c r="AW114" s="182">
        <f t="shared" si="51"/>
        <v>19</v>
      </c>
      <c r="AX114" s="630"/>
    </row>
    <row r="115" spans="1:50" ht="14.25" customHeight="1">
      <c r="B115" s="631"/>
      <c r="C115" s="180">
        <v>29</v>
      </c>
      <c r="D115" s="183" t="s">
        <v>541</v>
      </c>
      <c r="E115" s="184">
        <v>5</v>
      </c>
      <c r="F115" s="180">
        <v>3000</v>
      </c>
      <c r="G115" s="185">
        <f t="shared" si="52"/>
        <v>600</v>
      </c>
      <c r="H115" s="632"/>
      <c r="I115" s="186">
        <f t="shared" si="39"/>
        <v>5</v>
      </c>
      <c r="J115" s="186">
        <f t="shared" si="39"/>
        <v>2703.5917481826264</v>
      </c>
      <c r="K115" s="187">
        <f t="shared" si="39"/>
        <v>540.7183496365252</v>
      </c>
      <c r="L115" s="633"/>
      <c r="M115" s="186">
        <f>RANK(K115, K$87:$K$121)</f>
        <v>30</v>
      </c>
      <c r="N115" s="644"/>
      <c r="O115" s="634"/>
      <c r="P115" s="188">
        <v>5</v>
      </c>
      <c r="Q115" s="188">
        <v>2702.6917481826263</v>
      </c>
      <c r="R115" s="185">
        <f t="shared" si="36"/>
        <v>540.53834963652525</v>
      </c>
      <c r="S115" s="182">
        <f t="shared" si="40"/>
        <v>30</v>
      </c>
      <c r="T115" s="630"/>
      <c r="U115" s="188">
        <v>5</v>
      </c>
      <c r="V115" s="188">
        <v>2702.9917481826265</v>
      </c>
      <c r="W115" s="185">
        <f t="shared" si="37"/>
        <v>540.59834963652531</v>
      </c>
      <c r="X115" s="182">
        <f t="shared" si="41"/>
        <v>30</v>
      </c>
      <c r="Y115" s="630"/>
      <c r="Z115" s="188">
        <v>5</v>
      </c>
      <c r="AA115" s="188">
        <v>2702.3917481826265</v>
      </c>
      <c r="AB115" s="185">
        <f t="shared" si="42"/>
        <v>540.47834963652531</v>
      </c>
      <c r="AC115" s="182">
        <f t="shared" si="43"/>
        <v>30</v>
      </c>
      <c r="AD115" s="630"/>
      <c r="AE115" s="188">
        <v>5</v>
      </c>
      <c r="AF115" s="188">
        <v>2702.6917481826263</v>
      </c>
      <c r="AG115" s="185">
        <f t="shared" si="44"/>
        <v>540.53834963652525</v>
      </c>
      <c r="AH115" s="182">
        <f t="shared" si="45"/>
        <v>30</v>
      </c>
      <c r="AI115" s="630"/>
      <c r="AJ115" s="188">
        <v>5</v>
      </c>
      <c r="AK115" s="188">
        <v>2704.1917481826263</v>
      </c>
      <c r="AL115" s="185">
        <f t="shared" si="46"/>
        <v>540.83834963652521</v>
      </c>
      <c r="AM115" s="182">
        <f t="shared" si="47"/>
        <v>30</v>
      </c>
      <c r="AN115" s="630"/>
      <c r="AO115" s="188">
        <v>5</v>
      </c>
      <c r="AP115" s="188">
        <v>2704.7917481826262</v>
      </c>
      <c r="AQ115" s="185">
        <f t="shared" si="48"/>
        <v>540.95834963652521</v>
      </c>
      <c r="AR115" s="182">
        <f t="shared" si="49"/>
        <v>30</v>
      </c>
      <c r="AS115" s="630"/>
      <c r="AT115" s="188">
        <v>5</v>
      </c>
      <c r="AU115" s="188">
        <v>2705.3917481826265</v>
      </c>
      <c r="AV115" s="185">
        <f t="shared" si="50"/>
        <v>541.07834963652533</v>
      </c>
      <c r="AW115" s="182">
        <f t="shared" si="51"/>
        <v>30</v>
      </c>
      <c r="AX115" s="630"/>
    </row>
    <row r="116" spans="1:50" ht="14.25" customHeight="1">
      <c r="B116" s="631"/>
      <c r="C116" s="180">
        <v>30</v>
      </c>
      <c r="D116" s="183" t="s">
        <v>560</v>
      </c>
      <c r="E116" s="184">
        <v>3</v>
      </c>
      <c r="F116" s="180">
        <v>3300</v>
      </c>
      <c r="G116" s="185">
        <f t="shared" si="52"/>
        <v>1100</v>
      </c>
      <c r="H116" s="632"/>
      <c r="I116" s="186">
        <f t="shared" si="39"/>
        <v>3</v>
      </c>
      <c r="J116" s="186">
        <f t="shared" si="39"/>
        <v>2978.980804783339</v>
      </c>
      <c r="K116" s="187">
        <f t="shared" si="39"/>
        <v>992.9936015944462</v>
      </c>
      <c r="L116" s="633"/>
      <c r="M116" s="186">
        <f>RANK(K116, K$87:$K$121)</f>
        <v>10</v>
      </c>
      <c r="N116" s="644"/>
      <c r="O116" s="634"/>
      <c r="P116" s="188">
        <v>3</v>
      </c>
      <c r="Q116" s="188">
        <v>2979.9708047833392</v>
      </c>
      <c r="R116" s="185">
        <f t="shared" si="36"/>
        <v>993.32360159444636</v>
      </c>
      <c r="S116" s="182">
        <f t="shared" si="40"/>
        <v>10</v>
      </c>
      <c r="T116" s="630"/>
      <c r="U116" s="188">
        <v>3</v>
      </c>
      <c r="V116" s="188">
        <v>2979.9708047833392</v>
      </c>
      <c r="W116" s="185">
        <f t="shared" si="37"/>
        <v>993.32360159444636</v>
      </c>
      <c r="X116" s="182">
        <f t="shared" si="41"/>
        <v>10</v>
      </c>
      <c r="Y116" s="630"/>
      <c r="Z116" s="188">
        <v>3</v>
      </c>
      <c r="AA116" s="188">
        <v>2979.3108047833389</v>
      </c>
      <c r="AB116" s="185">
        <f t="shared" si="42"/>
        <v>993.10360159444633</v>
      </c>
      <c r="AC116" s="182">
        <f t="shared" si="43"/>
        <v>10</v>
      </c>
      <c r="AD116" s="630"/>
      <c r="AE116" s="188">
        <v>3</v>
      </c>
      <c r="AF116" s="188">
        <v>2979.3108047833389</v>
      </c>
      <c r="AG116" s="185">
        <f t="shared" si="44"/>
        <v>993.10360159444633</v>
      </c>
      <c r="AH116" s="182">
        <f t="shared" si="45"/>
        <v>9</v>
      </c>
      <c r="AI116" s="630"/>
      <c r="AJ116" s="188">
        <v>3</v>
      </c>
      <c r="AK116" s="188">
        <v>2977.9908047833387</v>
      </c>
      <c r="AL116" s="185">
        <f t="shared" si="46"/>
        <v>992.66360159444628</v>
      </c>
      <c r="AM116" s="182">
        <f t="shared" si="47"/>
        <v>10</v>
      </c>
      <c r="AN116" s="630"/>
      <c r="AO116" s="188">
        <v>3</v>
      </c>
      <c r="AP116" s="188">
        <v>2977.6608047833388</v>
      </c>
      <c r="AQ116" s="185">
        <f t="shared" si="48"/>
        <v>992.55360159444626</v>
      </c>
      <c r="AR116" s="182">
        <f t="shared" si="49"/>
        <v>10</v>
      </c>
      <c r="AS116" s="630"/>
      <c r="AT116" s="188">
        <v>3</v>
      </c>
      <c r="AU116" s="188">
        <v>2978.6508047833386</v>
      </c>
      <c r="AV116" s="185">
        <f t="shared" si="50"/>
        <v>992.88360159444619</v>
      </c>
      <c r="AW116" s="182">
        <f t="shared" si="51"/>
        <v>10</v>
      </c>
      <c r="AX116" s="630"/>
    </row>
    <row r="117" spans="1:50" ht="14.25" customHeight="1">
      <c r="B117" s="631"/>
      <c r="C117" s="180">
        <v>31</v>
      </c>
      <c r="D117" s="183" t="s">
        <v>500</v>
      </c>
      <c r="E117" s="180">
        <v>12</v>
      </c>
      <c r="F117" s="180">
        <v>3600</v>
      </c>
      <c r="G117" s="185">
        <f t="shared" si="52"/>
        <v>300</v>
      </c>
      <c r="H117" s="632"/>
      <c r="I117" s="186">
        <f t="shared" si="39"/>
        <v>12</v>
      </c>
      <c r="J117" s="186">
        <f t="shared" si="39"/>
        <v>3263.5130428167058</v>
      </c>
      <c r="K117" s="187">
        <f t="shared" si="39"/>
        <v>271.95942023472543</v>
      </c>
      <c r="L117" s="633"/>
      <c r="M117" s="186">
        <f>RANK(K117, K$87:$K$121)</f>
        <v>31</v>
      </c>
      <c r="N117" s="644"/>
      <c r="O117" s="634"/>
      <c r="P117" s="188">
        <v>12</v>
      </c>
      <c r="Q117" s="188">
        <v>3264.3928589773127</v>
      </c>
      <c r="R117" s="185">
        <f t="shared" si="36"/>
        <v>272.03273824810941</v>
      </c>
      <c r="S117" s="182">
        <f t="shared" si="40"/>
        <v>31</v>
      </c>
      <c r="T117" s="630"/>
      <c r="U117" s="188">
        <v>12</v>
      </c>
      <c r="V117" s="188">
        <v>3264.3928589773127</v>
      </c>
      <c r="W117" s="185">
        <f t="shared" si="37"/>
        <v>272.03273824810941</v>
      </c>
      <c r="X117" s="182">
        <f t="shared" si="41"/>
        <v>31</v>
      </c>
      <c r="Y117" s="630"/>
      <c r="Z117" s="188">
        <v>12</v>
      </c>
      <c r="AA117" s="188">
        <v>3264.0328589773126</v>
      </c>
      <c r="AB117" s="185">
        <f t="shared" si="42"/>
        <v>272.00273824810938</v>
      </c>
      <c r="AC117" s="182">
        <f t="shared" si="43"/>
        <v>31</v>
      </c>
      <c r="AD117" s="630"/>
      <c r="AE117" s="188">
        <v>12</v>
      </c>
      <c r="AF117" s="188">
        <v>3263.672858977312</v>
      </c>
      <c r="AG117" s="185">
        <f t="shared" si="44"/>
        <v>271.97273824810935</v>
      </c>
      <c r="AH117" s="182">
        <f t="shared" si="45"/>
        <v>31</v>
      </c>
      <c r="AI117" s="630"/>
      <c r="AJ117" s="188">
        <v>12</v>
      </c>
      <c r="AK117" s="188">
        <v>3262.5928589773116</v>
      </c>
      <c r="AL117" s="185">
        <f t="shared" si="46"/>
        <v>271.88273824810932</v>
      </c>
      <c r="AM117" s="182">
        <f t="shared" si="47"/>
        <v>31</v>
      </c>
      <c r="AN117" s="630"/>
      <c r="AO117" s="188">
        <v>12</v>
      </c>
      <c r="AP117" s="188">
        <v>3263.3128589773119</v>
      </c>
      <c r="AQ117" s="185">
        <f t="shared" si="48"/>
        <v>271.94273824810932</v>
      </c>
      <c r="AR117" s="182">
        <f t="shared" si="49"/>
        <v>31</v>
      </c>
      <c r="AS117" s="630"/>
      <c r="AT117" s="188">
        <v>12</v>
      </c>
      <c r="AU117" s="188">
        <v>3262.1941458530641</v>
      </c>
      <c r="AV117" s="185">
        <f t="shared" si="50"/>
        <v>271.84951215442203</v>
      </c>
      <c r="AW117" s="182">
        <f t="shared" si="51"/>
        <v>31</v>
      </c>
      <c r="AX117" s="630"/>
    </row>
    <row r="118" spans="1:50" ht="14.25" customHeight="1">
      <c r="B118" s="631"/>
      <c r="C118" s="180">
        <v>32</v>
      </c>
      <c r="D118" s="183" t="s">
        <v>515</v>
      </c>
      <c r="E118" s="180">
        <v>13</v>
      </c>
      <c r="F118" s="180">
        <v>3600</v>
      </c>
      <c r="G118" s="185">
        <f t="shared" si="52"/>
        <v>276.92307692307691</v>
      </c>
      <c r="H118" s="632"/>
      <c r="I118" s="186">
        <f t="shared" ref="I118:K120" si="53">AVERAGE(P118,U118,Z118,AE118,AJ118,AO118,AT118)</f>
        <v>13</v>
      </c>
      <c r="J118" s="186">
        <f t="shared" si="53"/>
        <v>3263.4059824744231</v>
      </c>
      <c r="K118" s="187">
        <f t="shared" si="53"/>
        <v>251.03122942110949</v>
      </c>
      <c r="L118" s="633"/>
      <c r="M118" s="186">
        <f>RANK(K118, K$87:$K$121)</f>
        <v>34</v>
      </c>
      <c r="N118" s="644"/>
      <c r="O118" s="634"/>
      <c r="P118" s="188">
        <v>13</v>
      </c>
      <c r="Q118" s="188">
        <v>3264.458817904916</v>
      </c>
      <c r="R118" s="185">
        <f t="shared" si="36"/>
        <v>251.11221676191661</v>
      </c>
      <c r="S118" s="182">
        <f t="shared" si="40"/>
        <v>34</v>
      </c>
      <c r="T118" s="630"/>
      <c r="U118" s="188">
        <v>13</v>
      </c>
      <c r="V118" s="188">
        <v>3265.9305099026742</v>
      </c>
      <c r="W118" s="185">
        <f t="shared" si="37"/>
        <v>251.22542383866724</v>
      </c>
      <c r="X118" s="182">
        <f t="shared" si="41"/>
        <v>34</v>
      </c>
      <c r="Y118" s="630"/>
      <c r="Z118" s="188">
        <v>13</v>
      </c>
      <c r="AA118" s="188">
        <v>3265.5705099026741</v>
      </c>
      <c r="AB118" s="185">
        <f t="shared" si="42"/>
        <v>251.19773153097492</v>
      </c>
      <c r="AC118" s="182">
        <f t="shared" si="43"/>
        <v>34</v>
      </c>
      <c r="AD118" s="630"/>
      <c r="AE118" s="188">
        <v>13</v>
      </c>
      <c r="AF118" s="188">
        <v>3264.130509902674</v>
      </c>
      <c r="AG118" s="185">
        <f t="shared" si="44"/>
        <v>251.0869623002057</v>
      </c>
      <c r="AH118" s="182">
        <f t="shared" si="45"/>
        <v>34</v>
      </c>
      <c r="AI118" s="630"/>
      <c r="AJ118" s="188">
        <v>13</v>
      </c>
      <c r="AK118" s="188">
        <v>3262.3305099026747</v>
      </c>
      <c r="AL118" s="185">
        <f t="shared" si="46"/>
        <v>250.94850076174421</v>
      </c>
      <c r="AM118" s="182">
        <f t="shared" si="47"/>
        <v>34</v>
      </c>
      <c r="AN118" s="630"/>
      <c r="AO118" s="188">
        <v>13</v>
      </c>
      <c r="AP118" s="188">
        <v>3260.5305099026746</v>
      </c>
      <c r="AQ118" s="185">
        <f t="shared" si="48"/>
        <v>250.81003922328267</v>
      </c>
      <c r="AR118" s="182">
        <f t="shared" si="49"/>
        <v>34</v>
      </c>
      <c r="AS118" s="630"/>
      <c r="AT118" s="188">
        <v>13</v>
      </c>
      <c r="AU118" s="188">
        <v>3260.8905099026742</v>
      </c>
      <c r="AV118" s="185">
        <f t="shared" si="50"/>
        <v>250.83773153097493</v>
      </c>
      <c r="AW118" s="182">
        <f t="shared" si="51"/>
        <v>34</v>
      </c>
      <c r="AX118" s="630"/>
    </row>
    <row r="119" spans="1:50" ht="14.25" customHeight="1">
      <c r="B119" s="631"/>
      <c r="C119" s="180">
        <v>33</v>
      </c>
      <c r="D119" s="183" t="s">
        <v>347</v>
      </c>
      <c r="E119" s="180">
        <v>3</v>
      </c>
      <c r="F119" s="180">
        <v>3000</v>
      </c>
      <c r="G119" s="185">
        <f t="shared" si="52"/>
        <v>1000</v>
      </c>
      <c r="H119" s="632"/>
      <c r="I119" s="186">
        <f t="shared" si="53"/>
        <v>3</v>
      </c>
      <c r="J119" s="186">
        <f t="shared" si="53"/>
        <v>2705.6211859046703</v>
      </c>
      <c r="K119" s="187">
        <f t="shared" si="53"/>
        <v>901.8737286348902</v>
      </c>
      <c r="L119" s="633"/>
      <c r="M119" s="186">
        <f>RANK(K119, K$87:$K$121)</f>
        <v>14</v>
      </c>
      <c r="N119" s="644"/>
      <c r="O119" s="634"/>
      <c r="P119" s="188">
        <v>3</v>
      </c>
      <c r="Q119" s="188">
        <v>2706.1801264234477</v>
      </c>
      <c r="R119" s="185">
        <f t="shared" si="36"/>
        <v>902.06004214114921</v>
      </c>
      <c r="S119" s="182">
        <f t="shared" si="40"/>
        <v>12</v>
      </c>
      <c r="T119" s="630"/>
      <c r="U119" s="188">
        <v>3</v>
      </c>
      <c r="V119" s="188">
        <v>2706.1801264234482</v>
      </c>
      <c r="W119" s="185">
        <f t="shared" si="37"/>
        <v>902.06004214114944</v>
      </c>
      <c r="X119" s="182">
        <f t="shared" si="41"/>
        <v>13</v>
      </c>
      <c r="Y119" s="630"/>
      <c r="Z119" s="188">
        <v>3</v>
      </c>
      <c r="AA119" s="188">
        <v>2706.480126423447</v>
      </c>
      <c r="AB119" s="185">
        <f t="shared" si="42"/>
        <v>902.16004214114901</v>
      </c>
      <c r="AC119" s="182">
        <f t="shared" si="43"/>
        <v>13</v>
      </c>
      <c r="AD119" s="630"/>
      <c r="AE119" s="188">
        <v>3</v>
      </c>
      <c r="AF119" s="188">
        <v>2705.2801264234472</v>
      </c>
      <c r="AG119" s="185">
        <f t="shared" si="44"/>
        <v>901.76004214114903</v>
      </c>
      <c r="AH119" s="182">
        <f t="shared" si="45"/>
        <v>14</v>
      </c>
      <c r="AI119" s="630"/>
      <c r="AJ119" s="188">
        <v>3</v>
      </c>
      <c r="AK119" s="188">
        <v>2705.393901982844</v>
      </c>
      <c r="AL119" s="185">
        <f t="shared" si="46"/>
        <v>901.79796732761463</v>
      </c>
      <c r="AM119" s="182">
        <f t="shared" si="47"/>
        <v>14</v>
      </c>
      <c r="AN119" s="630"/>
      <c r="AO119" s="188">
        <v>3</v>
      </c>
      <c r="AP119" s="188">
        <v>2704.7849536012786</v>
      </c>
      <c r="AQ119" s="185">
        <f t="shared" si="48"/>
        <v>901.59498453375954</v>
      </c>
      <c r="AR119" s="182">
        <f t="shared" si="49"/>
        <v>14</v>
      </c>
      <c r="AS119" s="630"/>
      <c r="AT119" s="188">
        <v>3</v>
      </c>
      <c r="AU119" s="188">
        <v>2705.0489400547804</v>
      </c>
      <c r="AV119" s="185">
        <f t="shared" si="50"/>
        <v>901.68298001826008</v>
      </c>
      <c r="AW119" s="182">
        <f t="shared" si="51"/>
        <v>14</v>
      </c>
      <c r="AX119" s="630"/>
    </row>
    <row r="120" spans="1:50" ht="14.25" customHeight="1">
      <c r="B120" s="631"/>
      <c r="C120" s="180">
        <v>34</v>
      </c>
      <c r="D120" s="183" t="s">
        <v>446</v>
      </c>
      <c r="E120" s="180">
        <v>12</v>
      </c>
      <c r="F120" s="180">
        <v>3600</v>
      </c>
      <c r="G120" s="185">
        <f t="shared" si="52"/>
        <v>300</v>
      </c>
      <c r="H120" s="632"/>
      <c r="I120" s="186">
        <f t="shared" si="53"/>
        <v>12</v>
      </c>
      <c r="J120" s="186">
        <f t="shared" si="53"/>
        <v>3117.3009404824916</v>
      </c>
      <c r="K120" s="187">
        <f t="shared" si="53"/>
        <v>259.77507837354096</v>
      </c>
      <c r="L120" s="633"/>
      <c r="M120" s="186">
        <f>RANK(K120, K$87:$K$121)</f>
        <v>33</v>
      </c>
      <c r="N120" s="644"/>
      <c r="O120" s="634"/>
      <c r="P120" s="188">
        <v>12</v>
      </c>
      <c r="Q120" s="188">
        <v>3119.1761551933268</v>
      </c>
      <c r="R120" s="185">
        <f t="shared" si="36"/>
        <v>259.93134626611055</v>
      </c>
      <c r="S120" s="182">
        <f t="shared" si="40"/>
        <v>32</v>
      </c>
      <c r="T120" s="630"/>
      <c r="U120" s="188">
        <v>12</v>
      </c>
      <c r="V120" s="188">
        <v>3117.1793559439138</v>
      </c>
      <c r="W120" s="185">
        <f t="shared" si="37"/>
        <v>259.76494632865951</v>
      </c>
      <c r="X120" s="182">
        <f t="shared" si="41"/>
        <v>33</v>
      </c>
      <c r="Y120" s="630"/>
      <c r="Z120" s="188">
        <v>12</v>
      </c>
      <c r="AA120" s="188">
        <v>3118.6193559439139</v>
      </c>
      <c r="AB120" s="185">
        <f t="shared" si="42"/>
        <v>259.88494632865951</v>
      </c>
      <c r="AC120" s="182">
        <f t="shared" si="43"/>
        <v>32</v>
      </c>
      <c r="AD120" s="630"/>
      <c r="AE120" s="188">
        <v>12</v>
      </c>
      <c r="AF120" s="188">
        <v>3116.0829290740717</v>
      </c>
      <c r="AG120" s="185">
        <f t="shared" si="44"/>
        <v>259.67357742283929</v>
      </c>
      <c r="AH120" s="182">
        <f t="shared" si="45"/>
        <v>33</v>
      </c>
      <c r="AI120" s="630"/>
      <c r="AJ120" s="188">
        <v>12</v>
      </c>
      <c r="AK120" s="188">
        <v>3116.4429290740713</v>
      </c>
      <c r="AL120" s="185">
        <f t="shared" si="46"/>
        <v>259.70357742283926</v>
      </c>
      <c r="AM120" s="182">
        <f t="shared" si="47"/>
        <v>33</v>
      </c>
      <c r="AN120" s="630"/>
      <c r="AO120" s="188">
        <v>12</v>
      </c>
      <c r="AP120" s="188">
        <v>3117.5229290740713</v>
      </c>
      <c r="AQ120" s="185">
        <f t="shared" si="48"/>
        <v>259.79357742283929</v>
      </c>
      <c r="AR120" s="182">
        <f t="shared" si="49"/>
        <v>32</v>
      </c>
      <c r="AS120" s="630"/>
      <c r="AT120" s="188">
        <v>12</v>
      </c>
      <c r="AU120" s="188">
        <v>3116.0829290740717</v>
      </c>
      <c r="AV120" s="185">
        <f t="shared" si="50"/>
        <v>259.67357742283929</v>
      </c>
      <c r="AW120" s="182">
        <f t="shared" si="51"/>
        <v>33</v>
      </c>
      <c r="AX120" s="630"/>
    </row>
    <row r="121" spans="1:50" ht="14.25" customHeight="1">
      <c r="B121" s="631"/>
      <c r="C121" s="180">
        <v>35</v>
      </c>
      <c r="D121" s="183"/>
      <c r="E121" s="180"/>
      <c r="F121" s="180"/>
      <c r="G121" s="185"/>
      <c r="H121" s="632"/>
      <c r="I121" s="186"/>
      <c r="J121" s="186"/>
      <c r="K121" s="187"/>
      <c r="L121" s="633"/>
      <c r="M121" s="186"/>
      <c r="N121" s="644"/>
      <c r="O121" s="634"/>
      <c r="P121" s="188"/>
      <c r="Q121" s="188"/>
      <c r="R121" s="185"/>
      <c r="S121" s="182"/>
      <c r="T121" s="630"/>
      <c r="U121" s="188"/>
      <c r="V121" s="188"/>
      <c r="W121" s="185"/>
      <c r="X121" s="182"/>
      <c r="Y121" s="630"/>
      <c r="Z121" s="188"/>
      <c r="AA121" s="188"/>
      <c r="AB121" s="185"/>
      <c r="AC121" s="182"/>
      <c r="AD121" s="630"/>
      <c r="AE121" s="188"/>
      <c r="AF121" s="188"/>
      <c r="AG121" s="185"/>
      <c r="AH121" s="182"/>
      <c r="AI121" s="630"/>
      <c r="AJ121" s="188"/>
      <c r="AK121" s="188"/>
      <c r="AL121" s="185"/>
      <c r="AM121" s="182"/>
      <c r="AN121" s="630"/>
      <c r="AO121" s="188"/>
      <c r="AP121" s="188"/>
      <c r="AQ121" s="185"/>
      <c r="AR121" s="182"/>
      <c r="AS121" s="630"/>
      <c r="AT121" s="188"/>
      <c r="AU121" s="188"/>
      <c r="AV121" s="185"/>
      <c r="AW121" s="182"/>
      <c r="AX121" s="630"/>
    </row>
    <row r="122" spans="1:50" ht="14.25" customHeight="1">
      <c r="B122" s="646" t="s">
        <v>783</v>
      </c>
      <c r="C122" s="932"/>
      <c r="D122" s="932"/>
      <c r="E122" s="932"/>
      <c r="F122" s="932"/>
      <c r="G122" s="932"/>
      <c r="H122" s="932"/>
      <c r="I122" s="932"/>
      <c r="J122" s="932"/>
      <c r="K122" s="932"/>
      <c r="L122" s="932"/>
      <c r="M122" s="647"/>
      <c r="N122" s="650" t="s">
        <v>369</v>
      </c>
      <c r="O122" s="650" t="s">
        <v>105</v>
      </c>
      <c r="P122" s="652">
        <v>46161</v>
      </c>
      <c r="Q122" s="653"/>
      <c r="R122" s="653"/>
      <c r="S122" s="653"/>
      <c r="T122" s="653"/>
      <c r="U122" s="654">
        <v>46162</v>
      </c>
      <c r="V122" s="655"/>
      <c r="W122" s="655"/>
      <c r="X122" s="655"/>
      <c r="Y122" s="655"/>
      <c r="Z122" s="652">
        <v>46163</v>
      </c>
      <c r="AA122" s="653"/>
      <c r="AB122" s="653"/>
      <c r="AC122" s="653"/>
      <c r="AD122" s="653"/>
      <c r="AE122" s="654">
        <v>46164</v>
      </c>
      <c r="AF122" s="655"/>
      <c r="AG122" s="655"/>
      <c r="AH122" s="655"/>
      <c r="AI122" s="655"/>
      <c r="AJ122" s="636">
        <v>46165</v>
      </c>
      <c r="AK122" s="637"/>
      <c r="AL122" s="637"/>
      <c r="AM122" s="637"/>
      <c r="AN122" s="638"/>
      <c r="AO122" s="654">
        <v>46166</v>
      </c>
      <c r="AP122" s="655"/>
      <c r="AQ122" s="655"/>
      <c r="AR122" s="655"/>
      <c r="AS122" s="655"/>
      <c r="AT122" s="636">
        <v>46167</v>
      </c>
      <c r="AU122" s="637"/>
      <c r="AV122" s="637"/>
      <c r="AW122" s="637"/>
      <c r="AX122" s="638"/>
    </row>
    <row r="123" spans="1:50" ht="14.25" customHeight="1"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9"/>
      <c r="N123" s="651"/>
      <c r="O123" s="651"/>
      <c r="P123" s="639">
        <v>46161</v>
      </c>
      <c r="Q123" s="639"/>
      <c r="R123" s="639"/>
      <c r="S123" s="639"/>
      <c r="T123" s="639"/>
      <c r="U123" s="640">
        <v>46162</v>
      </c>
      <c r="V123" s="640"/>
      <c r="W123" s="640"/>
      <c r="X123" s="640"/>
      <c r="Y123" s="640"/>
      <c r="Z123" s="639">
        <v>46163</v>
      </c>
      <c r="AA123" s="639"/>
      <c r="AB123" s="639"/>
      <c r="AC123" s="639"/>
      <c r="AD123" s="639"/>
      <c r="AE123" s="640">
        <v>46164</v>
      </c>
      <c r="AF123" s="640"/>
      <c r="AG123" s="640"/>
      <c r="AH123" s="640"/>
      <c r="AI123" s="640"/>
      <c r="AJ123" s="641">
        <v>46165</v>
      </c>
      <c r="AK123" s="642"/>
      <c r="AL123" s="642"/>
      <c r="AM123" s="642"/>
      <c r="AN123" s="643"/>
      <c r="AO123" s="640">
        <v>46166</v>
      </c>
      <c r="AP123" s="640"/>
      <c r="AQ123" s="640"/>
      <c r="AR123" s="640"/>
      <c r="AS123" s="640"/>
      <c r="AT123" s="641">
        <v>46167</v>
      </c>
      <c r="AU123" s="642"/>
      <c r="AV123" s="642"/>
      <c r="AW123" s="642"/>
      <c r="AX123" s="643"/>
    </row>
    <row r="124" spans="1:50" ht="14.25" customHeight="1">
      <c r="B124" s="631" t="s">
        <v>162</v>
      </c>
      <c r="C124" s="631" t="s">
        <v>157</v>
      </c>
      <c r="D124" s="631"/>
      <c r="E124" s="631" t="s">
        <v>158</v>
      </c>
      <c r="F124" s="631"/>
      <c r="G124" s="631"/>
      <c r="H124" s="631" t="s">
        <v>163</v>
      </c>
      <c r="I124" s="635" t="s">
        <v>370</v>
      </c>
      <c r="J124" s="635"/>
      <c r="K124" s="635"/>
      <c r="L124" s="635" t="s">
        <v>163</v>
      </c>
      <c r="M124" s="635" t="s">
        <v>165</v>
      </c>
      <c r="N124" s="644"/>
      <c r="O124" s="634" t="s">
        <v>164</v>
      </c>
      <c r="P124" s="634" t="s">
        <v>160</v>
      </c>
      <c r="Q124" s="634"/>
      <c r="R124" s="634"/>
      <c r="S124" s="634"/>
      <c r="T124" s="634" t="s">
        <v>163</v>
      </c>
      <c r="U124" s="634" t="s">
        <v>160</v>
      </c>
      <c r="V124" s="634"/>
      <c r="W124" s="634"/>
      <c r="X124" s="634"/>
      <c r="Y124" s="634" t="s">
        <v>163</v>
      </c>
      <c r="Z124" s="634" t="s">
        <v>160</v>
      </c>
      <c r="AA124" s="634"/>
      <c r="AB124" s="634"/>
      <c r="AC124" s="634"/>
      <c r="AD124" s="634" t="s">
        <v>163</v>
      </c>
      <c r="AE124" s="634" t="s">
        <v>160</v>
      </c>
      <c r="AF124" s="634"/>
      <c r="AG124" s="634"/>
      <c r="AH124" s="634"/>
      <c r="AI124" s="634" t="s">
        <v>163</v>
      </c>
      <c r="AJ124" s="634" t="s">
        <v>160</v>
      </c>
      <c r="AK124" s="634"/>
      <c r="AL124" s="634"/>
      <c r="AM124" s="634"/>
      <c r="AN124" s="634" t="s">
        <v>163</v>
      </c>
      <c r="AO124" s="634" t="s">
        <v>160</v>
      </c>
      <c r="AP124" s="634"/>
      <c r="AQ124" s="634"/>
      <c r="AR124" s="634"/>
      <c r="AS124" s="634" t="s">
        <v>163</v>
      </c>
      <c r="AT124" s="634" t="s">
        <v>160</v>
      </c>
      <c r="AU124" s="634"/>
      <c r="AV124" s="634"/>
      <c r="AW124" s="634"/>
      <c r="AX124" s="634" t="s">
        <v>163</v>
      </c>
    </row>
    <row r="125" spans="1:50" ht="14.25" customHeight="1">
      <c r="B125" s="631"/>
      <c r="C125" s="631"/>
      <c r="D125" s="631"/>
      <c r="E125" s="631" t="s">
        <v>371</v>
      </c>
      <c r="F125" s="631"/>
      <c r="G125" s="631"/>
      <c r="H125" s="631"/>
      <c r="I125" s="635" t="s">
        <v>371</v>
      </c>
      <c r="J125" s="635"/>
      <c r="K125" s="635"/>
      <c r="L125" s="635"/>
      <c r="M125" s="635"/>
      <c r="N125" s="644"/>
      <c r="O125" s="634"/>
      <c r="P125" s="634" t="s">
        <v>372</v>
      </c>
      <c r="Q125" s="634"/>
      <c r="R125" s="634"/>
      <c r="S125" s="634"/>
      <c r="T125" s="634"/>
      <c r="U125" s="634" t="s">
        <v>372</v>
      </c>
      <c r="V125" s="634"/>
      <c r="W125" s="634"/>
      <c r="X125" s="634"/>
      <c r="Y125" s="634"/>
      <c r="Z125" s="634" t="s">
        <v>372</v>
      </c>
      <c r="AA125" s="634"/>
      <c r="AB125" s="634"/>
      <c r="AC125" s="634"/>
      <c r="AD125" s="634"/>
      <c r="AE125" s="634" t="s">
        <v>372</v>
      </c>
      <c r="AF125" s="634"/>
      <c r="AG125" s="634"/>
      <c r="AH125" s="634"/>
      <c r="AI125" s="634"/>
      <c r="AJ125" s="634" t="s">
        <v>372</v>
      </c>
      <c r="AK125" s="634"/>
      <c r="AL125" s="634"/>
      <c r="AM125" s="634"/>
      <c r="AN125" s="634"/>
      <c r="AO125" s="634" t="s">
        <v>372</v>
      </c>
      <c r="AP125" s="634"/>
      <c r="AQ125" s="634"/>
      <c r="AR125" s="634"/>
      <c r="AS125" s="634"/>
      <c r="AT125" s="634" t="s">
        <v>372</v>
      </c>
      <c r="AU125" s="634"/>
      <c r="AV125" s="634"/>
      <c r="AW125" s="634"/>
      <c r="AX125" s="634"/>
    </row>
    <row r="126" spans="1:50" ht="14.25" customHeight="1">
      <c r="A126" s="177"/>
      <c r="B126" s="631"/>
      <c r="C126" s="631"/>
      <c r="D126" s="631"/>
      <c r="E126" s="180" t="s">
        <v>159</v>
      </c>
      <c r="F126" s="180" t="s">
        <v>373</v>
      </c>
      <c r="G126" s="180" t="s">
        <v>161</v>
      </c>
      <c r="H126" s="631"/>
      <c r="I126" s="181" t="s">
        <v>159</v>
      </c>
      <c r="J126" s="181" t="s">
        <v>373</v>
      </c>
      <c r="K126" s="181" t="s">
        <v>161</v>
      </c>
      <c r="L126" s="635"/>
      <c r="M126" s="635"/>
      <c r="N126" s="644"/>
      <c r="O126" s="634"/>
      <c r="P126" s="182" t="s">
        <v>159</v>
      </c>
      <c r="Q126" s="182" t="s">
        <v>373</v>
      </c>
      <c r="R126" s="182" t="s">
        <v>161</v>
      </c>
      <c r="S126" s="182" t="s">
        <v>165</v>
      </c>
      <c r="T126" s="634"/>
      <c r="U126" s="182" t="s">
        <v>159</v>
      </c>
      <c r="V126" s="182" t="s">
        <v>373</v>
      </c>
      <c r="W126" s="182" t="s">
        <v>161</v>
      </c>
      <c r="X126" s="182" t="s">
        <v>165</v>
      </c>
      <c r="Y126" s="634"/>
      <c r="Z126" s="182" t="s">
        <v>159</v>
      </c>
      <c r="AA126" s="182" t="s">
        <v>373</v>
      </c>
      <c r="AB126" s="182" t="s">
        <v>161</v>
      </c>
      <c r="AC126" s="182" t="s">
        <v>165</v>
      </c>
      <c r="AD126" s="634"/>
      <c r="AE126" s="182" t="s">
        <v>159</v>
      </c>
      <c r="AF126" s="182" t="s">
        <v>373</v>
      </c>
      <c r="AG126" s="182" t="s">
        <v>161</v>
      </c>
      <c r="AH126" s="182" t="s">
        <v>165</v>
      </c>
      <c r="AI126" s="634"/>
      <c r="AJ126" s="182" t="s">
        <v>159</v>
      </c>
      <c r="AK126" s="182" t="s">
        <v>373</v>
      </c>
      <c r="AL126" s="182" t="s">
        <v>161</v>
      </c>
      <c r="AM126" s="182" t="s">
        <v>165</v>
      </c>
      <c r="AN126" s="634"/>
      <c r="AO126" s="182" t="s">
        <v>159</v>
      </c>
      <c r="AP126" s="182" t="s">
        <v>373</v>
      </c>
      <c r="AQ126" s="182" t="s">
        <v>161</v>
      </c>
      <c r="AR126" s="182" t="s">
        <v>165</v>
      </c>
      <c r="AS126" s="634"/>
      <c r="AT126" s="182" t="s">
        <v>159</v>
      </c>
      <c r="AU126" s="182" t="s">
        <v>373</v>
      </c>
      <c r="AV126" s="182" t="s">
        <v>161</v>
      </c>
      <c r="AW126" s="182" t="s">
        <v>165</v>
      </c>
      <c r="AX126" s="634"/>
    </row>
    <row r="127" spans="1:50" ht="14.25" customHeight="1">
      <c r="B127" s="631" t="s">
        <v>374</v>
      </c>
      <c r="C127" s="180">
        <v>1</v>
      </c>
      <c r="D127" s="183" t="s">
        <v>399</v>
      </c>
      <c r="E127" s="184">
        <v>4</v>
      </c>
      <c r="F127" s="180">
        <v>3600</v>
      </c>
      <c r="G127" s="185">
        <f>F127/E127</f>
        <v>900</v>
      </c>
      <c r="H127" s="632">
        <f>AVERAGE(G127:G161)</f>
        <v>865.91208791208794</v>
      </c>
      <c r="I127" s="186">
        <f>AVERAGE(P127,U127,Z127,AE127,AJ127,AO127,AT127)</f>
        <v>4</v>
      </c>
      <c r="J127" s="186">
        <f>AVERAGE(Q127,V127,AA127,AF127,AK127,AP127,AU127)</f>
        <v>3182.2154493785574</v>
      </c>
      <c r="K127" s="187">
        <f>AVERAGE(R127,W127,AB127,AG127,AL127,AQ127,AV127)</f>
        <v>795.55386234463936</v>
      </c>
      <c r="L127" s="633">
        <f>IFERROR(AVERAGE(K127:K161),"-")</f>
        <v>770.3527721371712</v>
      </c>
      <c r="M127" s="186">
        <f>RANK(K127, K$127:$K$161)</f>
        <v>18</v>
      </c>
      <c r="N127" s="644"/>
      <c r="O127" s="634"/>
      <c r="P127" s="188">
        <v>4</v>
      </c>
      <c r="Q127" s="188">
        <v>3181.0141608717904</v>
      </c>
      <c r="R127" s="185">
        <f t="shared" ref="R127:R161" si="54">IFERROR(Q127/P127,"")</f>
        <v>795.2535402179476</v>
      </c>
      <c r="S127" s="182">
        <f>RANK(R127, R$127:R$161)</f>
        <v>19</v>
      </c>
      <c r="T127" s="630">
        <f>AVERAGE(R127:R161)</f>
        <v>768.64198495978644</v>
      </c>
      <c r="U127" s="188">
        <v>4</v>
      </c>
      <c r="V127" s="188">
        <v>3181.374160871791</v>
      </c>
      <c r="W127" s="185">
        <f t="shared" ref="W127:W161" si="55">IFERROR(V127/U127,"")</f>
        <v>795.34354021794775</v>
      </c>
      <c r="X127" s="182">
        <f>RANK(W127, W$127:W$161)</f>
        <v>18</v>
      </c>
      <c r="Y127" s="630">
        <f>AVERAGE(W127:W161)</f>
        <v>769.31112534658905</v>
      </c>
      <c r="Z127" s="188">
        <v>4</v>
      </c>
      <c r="AA127" s="188">
        <v>3180.6541608717907</v>
      </c>
      <c r="AB127" s="185">
        <f>IFERROR(AA127/Z127,"")</f>
        <v>795.16354021794768</v>
      </c>
      <c r="AC127" s="182">
        <f>RANK(AB127, AB$127:AB$161)</f>
        <v>19</v>
      </c>
      <c r="AD127" s="630">
        <f>AVERAGE(AB127:AB161)</f>
        <v>769.99059035767732</v>
      </c>
      <c r="AE127" s="188">
        <v>4</v>
      </c>
      <c r="AF127" s="188">
        <v>3181.7341608717911</v>
      </c>
      <c r="AG127" s="185">
        <f>IFERROR(AF127/AE127,"")</f>
        <v>795.43354021794778</v>
      </c>
      <c r="AH127" s="182">
        <f>RANK(AG127, AG$127:AG$161)</f>
        <v>19</v>
      </c>
      <c r="AI127" s="630">
        <f>AVERAGE(AG127:AG161)</f>
        <v>770.65141235180954</v>
      </c>
      <c r="AJ127" s="188">
        <v>4</v>
      </c>
      <c r="AK127" s="188">
        <v>3181.374160871791</v>
      </c>
      <c r="AL127" s="185">
        <f>IFERROR(AK127/AJ127,"")</f>
        <v>795.34354021794775</v>
      </c>
      <c r="AM127" s="182">
        <f>RANK(AL127, AL$127:AL$161)</f>
        <v>19</v>
      </c>
      <c r="AN127" s="630">
        <f>AVERAGE(AL127:AL161)</f>
        <v>771.12726000733187</v>
      </c>
      <c r="AO127" s="188">
        <v>4</v>
      </c>
      <c r="AP127" s="188">
        <v>3184.678670645475</v>
      </c>
      <c r="AQ127" s="185">
        <f>IFERROR(AP127/AO127,"")</f>
        <v>796.16966766136875</v>
      </c>
      <c r="AR127" s="182">
        <f>RANK(AQ127, AQ$127:AQ$161)</f>
        <v>18</v>
      </c>
      <c r="AS127" s="630">
        <f>AVERAGE(AQ127:AQ161)</f>
        <v>771.32479405180356</v>
      </c>
      <c r="AT127" s="188">
        <v>4</v>
      </c>
      <c r="AU127" s="188">
        <v>3184.678670645475</v>
      </c>
      <c r="AV127" s="185">
        <f>IFERROR(AU127/AT127,"")</f>
        <v>796.16966766136875</v>
      </c>
      <c r="AW127" s="182">
        <f>RANK(AV127, AV$127:AV$161)</f>
        <v>18</v>
      </c>
      <c r="AX127" s="630">
        <f>AVERAGE(AV127:AV161)</f>
        <v>786.11614158316308</v>
      </c>
    </row>
    <row r="128" spans="1:50" ht="14.25" customHeight="1">
      <c r="B128" s="631"/>
      <c r="C128" s="180">
        <v>2</v>
      </c>
      <c r="D128" s="183" t="s">
        <v>397</v>
      </c>
      <c r="E128" s="184">
        <v>3</v>
      </c>
      <c r="F128" s="180">
        <v>3600</v>
      </c>
      <c r="G128" s="185">
        <f t="shared" ref="G128:G147" si="56">F128/E128</f>
        <v>1200</v>
      </c>
      <c r="H128" s="632"/>
      <c r="I128" s="186">
        <f t="shared" ref="I128:K161" si="57">AVERAGE(P128,U128,Z128,AE128,AJ128,AO128,AT128)</f>
        <v>3</v>
      </c>
      <c r="J128" s="186">
        <f t="shared" si="57"/>
        <v>3184.9811398588567</v>
      </c>
      <c r="K128" s="187">
        <f t="shared" si="57"/>
        <v>1061.6603799529521</v>
      </c>
      <c r="L128" s="633"/>
      <c r="M128" s="186">
        <f>RANK(K128, K$127:$K$161)</f>
        <v>5</v>
      </c>
      <c r="N128" s="644"/>
      <c r="O128" s="634"/>
      <c r="P128" s="188">
        <v>3</v>
      </c>
      <c r="Q128" s="188">
        <v>3184.8162618980809</v>
      </c>
      <c r="R128" s="185">
        <f t="shared" si="54"/>
        <v>1061.6054206326937</v>
      </c>
      <c r="S128" s="182">
        <f t="shared" ref="S128:S161" si="58">RANK(R128, R$127:R$161)</f>
        <v>5</v>
      </c>
      <c r="T128" s="630"/>
      <c r="U128" s="188">
        <v>3</v>
      </c>
      <c r="V128" s="188">
        <v>3185.9967953082469</v>
      </c>
      <c r="W128" s="185">
        <f t="shared" si="55"/>
        <v>1061.9989317694155</v>
      </c>
      <c r="X128" s="182">
        <f t="shared" ref="X128:X161" si="59">RANK(W128, W$127:W$161)</f>
        <v>5</v>
      </c>
      <c r="Y128" s="630"/>
      <c r="Z128" s="188">
        <v>3</v>
      </c>
      <c r="AA128" s="188">
        <v>3184.1967953082476</v>
      </c>
      <c r="AB128" s="185">
        <f t="shared" ref="AB128:AB161" si="60">IFERROR(AA128/Z128,"")</f>
        <v>1061.3989317694159</v>
      </c>
      <c r="AC128" s="182">
        <f t="shared" ref="AC128:AC161" si="61">RANK(AB128, AB$127:AB$161)</f>
        <v>5</v>
      </c>
      <c r="AD128" s="630"/>
      <c r="AE128" s="188">
        <v>3</v>
      </c>
      <c r="AF128" s="188">
        <v>3183.1167953082477</v>
      </c>
      <c r="AG128" s="185">
        <f t="shared" ref="AG128:AG161" si="62">IFERROR(AF128/AE128,"")</f>
        <v>1061.038931769416</v>
      </c>
      <c r="AH128" s="182">
        <f t="shared" ref="AH128:AH161" si="63">RANK(AG128, AG$127:AG$161)</f>
        <v>6</v>
      </c>
      <c r="AI128" s="630"/>
      <c r="AJ128" s="188">
        <v>3</v>
      </c>
      <c r="AK128" s="188">
        <v>3184.9167953082479</v>
      </c>
      <c r="AL128" s="185">
        <f t="shared" ref="AL128:AL161" si="64">IFERROR(AK128/AJ128,"")</f>
        <v>1061.6389317694159</v>
      </c>
      <c r="AM128" s="182">
        <f t="shared" ref="AM128:AM161" si="65">RANK(AL128, AL$127:AL$161)</f>
        <v>6</v>
      </c>
      <c r="AN128" s="630"/>
      <c r="AO128" s="188">
        <v>3</v>
      </c>
      <c r="AP128" s="188">
        <v>3185.7004437297246</v>
      </c>
      <c r="AQ128" s="185">
        <f t="shared" ref="AQ128:AQ161" si="66">IFERROR(AP128/AO128,"")</f>
        <v>1061.9001479099081</v>
      </c>
      <c r="AR128" s="182">
        <f t="shared" ref="AR128:AR161" si="67">RANK(AQ128, AQ$127:AQ$161)</f>
        <v>6</v>
      </c>
      <c r="AS128" s="630"/>
      <c r="AT128" s="188">
        <v>3</v>
      </c>
      <c r="AU128" s="188">
        <v>3186.1240921512008</v>
      </c>
      <c r="AV128" s="185">
        <f t="shared" ref="AV128:AV157" si="68">IFERROR(AU128/AT128,"")</f>
        <v>1062.0413640504003</v>
      </c>
      <c r="AW128" s="182">
        <f t="shared" ref="AW128:AW161" si="69">RANK(AV128, AV$127:AV$161)</f>
        <v>6</v>
      </c>
      <c r="AX128" s="630"/>
    </row>
    <row r="129" spans="2:50" ht="14.25" customHeight="1">
      <c r="B129" s="631"/>
      <c r="C129" s="180">
        <v>3</v>
      </c>
      <c r="D129" s="183" t="s">
        <v>398</v>
      </c>
      <c r="E129" s="184">
        <v>5</v>
      </c>
      <c r="F129" s="180">
        <v>3600</v>
      </c>
      <c r="G129" s="185">
        <f t="shared" si="56"/>
        <v>720</v>
      </c>
      <c r="H129" s="632"/>
      <c r="I129" s="186">
        <f t="shared" si="57"/>
        <v>5</v>
      </c>
      <c r="J129" s="186">
        <f t="shared" si="57"/>
        <v>3188.9129705264795</v>
      </c>
      <c r="K129" s="187">
        <f t="shared" si="57"/>
        <v>637.78259410529597</v>
      </c>
      <c r="L129" s="633"/>
      <c r="M129" s="186">
        <f>RANK(K129, K$127:$K$161)</f>
        <v>24</v>
      </c>
      <c r="N129" s="644"/>
      <c r="O129" s="634"/>
      <c r="P129" s="188">
        <v>5</v>
      </c>
      <c r="Q129" s="188">
        <v>3188.6558276693368</v>
      </c>
      <c r="R129" s="185">
        <f t="shared" si="54"/>
        <v>637.7311655338674</v>
      </c>
      <c r="S129" s="182">
        <f t="shared" si="58"/>
        <v>21</v>
      </c>
      <c r="T129" s="630"/>
      <c r="U129" s="188">
        <v>5</v>
      </c>
      <c r="V129" s="188">
        <v>3188.6558276693368</v>
      </c>
      <c r="W129" s="185">
        <f t="shared" si="55"/>
        <v>637.7311655338674</v>
      </c>
      <c r="X129" s="182">
        <f t="shared" si="59"/>
        <v>25</v>
      </c>
      <c r="Y129" s="630"/>
      <c r="Z129" s="188">
        <v>5</v>
      </c>
      <c r="AA129" s="188">
        <v>3187.2158276693372</v>
      </c>
      <c r="AB129" s="185">
        <f t="shared" si="60"/>
        <v>637.44316553386739</v>
      </c>
      <c r="AC129" s="182">
        <f t="shared" si="61"/>
        <v>25</v>
      </c>
      <c r="AD129" s="630"/>
      <c r="AE129" s="188">
        <v>5</v>
      </c>
      <c r="AF129" s="188">
        <v>3188.6558276693368</v>
      </c>
      <c r="AG129" s="185">
        <f t="shared" si="62"/>
        <v>637.7311655338674</v>
      </c>
      <c r="AH129" s="182">
        <f t="shared" si="63"/>
        <v>24</v>
      </c>
      <c r="AI129" s="630"/>
      <c r="AJ129" s="188">
        <v>5</v>
      </c>
      <c r="AK129" s="188">
        <v>3188.2958276693371</v>
      </c>
      <c r="AL129" s="185">
        <f t="shared" si="64"/>
        <v>637.65916553386739</v>
      </c>
      <c r="AM129" s="182">
        <f t="shared" si="65"/>
        <v>24</v>
      </c>
      <c r="AN129" s="630"/>
      <c r="AO129" s="188">
        <v>5</v>
      </c>
      <c r="AP129" s="188">
        <v>3189.7358276693367</v>
      </c>
      <c r="AQ129" s="185">
        <f t="shared" si="66"/>
        <v>637.94716553386729</v>
      </c>
      <c r="AR129" s="182">
        <f t="shared" si="67"/>
        <v>23</v>
      </c>
      <c r="AS129" s="630"/>
      <c r="AT129" s="188">
        <v>5</v>
      </c>
      <c r="AU129" s="188">
        <v>3191.1758276693363</v>
      </c>
      <c r="AV129" s="185">
        <f t="shared" si="68"/>
        <v>638.2351655338673</v>
      </c>
      <c r="AW129" s="182">
        <f t="shared" si="69"/>
        <v>23</v>
      </c>
      <c r="AX129" s="630"/>
    </row>
    <row r="130" spans="2:50" ht="14.25" customHeight="1">
      <c r="B130" s="631"/>
      <c r="C130" s="180">
        <v>4</v>
      </c>
      <c r="D130" s="183" t="s">
        <v>229</v>
      </c>
      <c r="E130" s="184">
        <v>5</v>
      </c>
      <c r="F130" s="180">
        <v>3300</v>
      </c>
      <c r="G130" s="185">
        <f t="shared" si="56"/>
        <v>660</v>
      </c>
      <c r="H130" s="632"/>
      <c r="I130" s="186">
        <f t="shared" si="57"/>
        <v>5</v>
      </c>
      <c r="J130" s="186">
        <f t="shared" si="57"/>
        <v>2980.3844724372852</v>
      </c>
      <c r="K130" s="187">
        <f t="shared" si="57"/>
        <v>596.07689448745714</v>
      </c>
      <c r="L130" s="633"/>
      <c r="M130" s="186">
        <f>RANK(K130, K$127:$K$161)</f>
        <v>29</v>
      </c>
      <c r="N130" s="644"/>
      <c r="O130" s="634"/>
      <c r="P130" s="188">
        <v>5</v>
      </c>
      <c r="Q130" s="188">
        <v>2978.5465094569067</v>
      </c>
      <c r="R130" s="185">
        <f t="shared" si="54"/>
        <v>595.7093018913813</v>
      </c>
      <c r="S130" s="182">
        <f t="shared" si="58"/>
        <v>29</v>
      </c>
      <c r="T130" s="630"/>
      <c r="U130" s="188">
        <v>5</v>
      </c>
      <c r="V130" s="188">
        <v>2980.1965094569068</v>
      </c>
      <c r="W130" s="185">
        <f t="shared" si="55"/>
        <v>596.03930189138134</v>
      </c>
      <c r="X130" s="182">
        <f t="shared" si="59"/>
        <v>29</v>
      </c>
      <c r="Y130" s="630"/>
      <c r="Z130" s="188">
        <v>5</v>
      </c>
      <c r="AA130" s="188">
        <v>2981.5165094569065</v>
      </c>
      <c r="AB130" s="185">
        <f t="shared" si="60"/>
        <v>596.30330189138135</v>
      </c>
      <c r="AC130" s="182">
        <f t="shared" si="61"/>
        <v>29</v>
      </c>
      <c r="AD130" s="630"/>
      <c r="AE130" s="188">
        <v>5</v>
      </c>
      <c r="AF130" s="188">
        <v>2981.1865094569066</v>
      </c>
      <c r="AG130" s="185">
        <f t="shared" si="62"/>
        <v>596.23730189138132</v>
      </c>
      <c r="AH130" s="182">
        <f t="shared" si="63"/>
        <v>29</v>
      </c>
      <c r="AI130" s="630"/>
      <c r="AJ130" s="188">
        <v>5</v>
      </c>
      <c r="AK130" s="188">
        <v>2980.4150897444565</v>
      </c>
      <c r="AL130" s="185">
        <f t="shared" si="64"/>
        <v>596.08301794889132</v>
      </c>
      <c r="AM130" s="182">
        <f t="shared" si="65"/>
        <v>29</v>
      </c>
      <c r="AN130" s="630"/>
      <c r="AO130" s="188">
        <v>5</v>
      </c>
      <c r="AP130" s="188">
        <v>2979.7550897444571</v>
      </c>
      <c r="AQ130" s="185">
        <f t="shared" si="66"/>
        <v>595.95101794889138</v>
      </c>
      <c r="AR130" s="182">
        <f t="shared" si="67"/>
        <v>29</v>
      </c>
      <c r="AS130" s="630"/>
      <c r="AT130" s="188">
        <v>5</v>
      </c>
      <c r="AU130" s="188">
        <v>2981.0750897444568</v>
      </c>
      <c r="AV130" s="185">
        <f t="shared" si="68"/>
        <v>596.21501794889139</v>
      </c>
      <c r="AW130" s="182">
        <f t="shared" si="69"/>
        <v>29</v>
      </c>
      <c r="AX130" s="630"/>
    </row>
    <row r="131" spans="2:50" ht="14.25" customHeight="1">
      <c r="B131" s="631"/>
      <c r="C131" s="180">
        <v>5</v>
      </c>
      <c r="D131" s="183" t="s">
        <v>394</v>
      </c>
      <c r="E131" s="184">
        <v>3</v>
      </c>
      <c r="F131" s="180">
        <v>3600</v>
      </c>
      <c r="G131" s="185">
        <f t="shared" si="56"/>
        <v>1200</v>
      </c>
      <c r="H131" s="632"/>
      <c r="I131" s="186">
        <f t="shared" si="57"/>
        <v>3</v>
      </c>
      <c r="J131" s="186">
        <f t="shared" si="57"/>
        <v>3188.8611435888583</v>
      </c>
      <c r="K131" s="187">
        <f t="shared" si="57"/>
        <v>1062.9537145296192</v>
      </c>
      <c r="L131" s="633"/>
      <c r="M131" s="186">
        <f>RANK(K131, K$127:$K$161)</f>
        <v>4</v>
      </c>
      <c r="N131" s="644"/>
      <c r="O131" s="634"/>
      <c r="P131" s="188">
        <v>3</v>
      </c>
      <c r="Q131" s="188">
        <v>3187.3182864460005</v>
      </c>
      <c r="R131" s="185">
        <f t="shared" si="54"/>
        <v>1062.4394288153335</v>
      </c>
      <c r="S131" s="182">
        <f t="shared" si="58"/>
        <v>4</v>
      </c>
      <c r="T131" s="630"/>
      <c r="U131" s="188">
        <v>3</v>
      </c>
      <c r="V131" s="188">
        <v>3188.0382864460003</v>
      </c>
      <c r="W131" s="185">
        <f t="shared" si="55"/>
        <v>1062.6794288153335</v>
      </c>
      <c r="X131" s="182">
        <f t="shared" si="59"/>
        <v>3</v>
      </c>
      <c r="Y131" s="630"/>
      <c r="Z131" s="188">
        <v>3</v>
      </c>
      <c r="AA131" s="188">
        <v>3188.3982864460008</v>
      </c>
      <c r="AB131" s="185">
        <f t="shared" si="60"/>
        <v>1062.7994288153336</v>
      </c>
      <c r="AC131" s="182">
        <f t="shared" si="61"/>
        <v>3</v>
      </c>
      <c r="AD131" s="630"/>
      <c r="AE131" s="188">
        <v>3</v>
      </c>
      <c r="AF131" s="188">
        <v>3189.4782864460008</v>
      </c>
      <c r="AG131" s="185">
        <f t="shared" si="62"/>
        <v>1063.1594288153335</v>
      </c>
      <c r="AH131" s="182">
        <f t="shared" si="63"/>
        <v>2</v>
      </c>
      <c r="AI131" s="630"/>
      <c r="AJ131" s="188">
        <v>3</v>
      </c>
      <c r="AK131" s="188">
        <v>3188.3982864460008</v>
      </c>
      <c r="AL131" s="185">
        <f t="shared" si="64"/>
        <v>1062.7994288153336</v>
      </c>
      <c r="AM131" s="182">
        <f t="shared" si="65"/>
        <v>4</v>
      </c>
      <c r="AN131" s="630"/>
      <c r="AO131" s="188">
        <v>3</v>
      </c>
      <c r="AP131" s="188">
        <v>3189.4782864460008</v>
      </c>
      <c r="AQ131" s="185">
        <f t="shared" si="66"/>
        <v>1063.1594288153335</v>
      </c>
      <c r="AR131" s="182">
        <f t="shared" si="67"/>
        <v>4</v>
      </c>
      <c r="AS131" s="630"/>
      <c r="AT131" s="188">
        <v>3</v>
      </c>
      <c r="AU131" s="188">
        <v>3190.9182864460004</v>
      </c>
      <c r="AV131" s="185">
        <f t="shared" si="68"/>
        <v>1063.6394288153335</v>
      </c>
      <c r="AW131" s="182">
        <f t="shared" si="69"/>
        <v>4</v>
      </c>
      <c r="AX131" s="630"/>
    </row>
    <row r="132" spans="2:50" ht="14.25" customHeight="1">
      <c r="B132" s="631"/>
      <c r="C132" s="180">
        <v>6</v>
      </c>
      <c r="D132" s="183" t="s">
        <v>341</v>
      </c>
      <c r="E132" s="184">
        <v>4</v>
      </c>
      <c r="F132" s="180">
        <v>3600</v>
      </c>
      <c r="G132" s="185">
        <f t="shared" si="56"/>
        <v>900</v>
      </c>
      <c r="H132" s="632"/>
      <c r="I132" s="186">
        <f t="shared" si="57"/>
        <v>4</v>
      </c>
      <c r="J132" s="186">
        <f t="shared" si="57"/>
        <v>3187.1314285714302</v>
      </c>
      <c r="K132" s="187">
        <f t="shared" si="57"/>
        <v>796.78285714285755</v>
      </c>
      <c r="L132" s="633"/>
      <c r="M132" s="186">
        <f>RANK(K132, K$127:$K$161)</f>
        <v>17</v>
      </c>
      <c r="N132" s="644"/>
      <c r="O132" s="634"/>
      <c r="P132" s="188">
        <v>4</v>
      </c>
      <c r="Q132" s="188">
        <v>3185.280000000002</v>
      </c>
      <c r="R132" s="185">
        <f t="shared" si="54"/>
        <v>796.3200000000005</v>
      </c>
      <c r="S132" s="182">
        <f t="shared" si="58"/>
        <v>17</v>
      </c>
      <c r="T132" s="630"/>
      <c r="U132" s="188">
        <v>4</v>
      </c>
      <c r="V132" s="188">
        <v>3186.7200000000021</v>
      </c>
      <c r="W132" s="185">
        <f t="shared" si="55"/>
        <v>796.68000000000052</v>
      </c>
      <c r="X132" s="182">
        <f t="shared" si="59"/>
        <v>17</v>
      </c>
      <c r="Y132" s="630"/>
      <c r="Z132" s="188">
        <v>4</v>
      </c>
      <c r="AA132" s="188">
        <v>3187.0800000000017</v>
      </c>
      <c r="AB132" s="185">
        <f t="shared" si="60"/>
        <v>796.77000000000044</v>
      </c>
      <c r="AC132" s="182">
        <f t="shared" si="61"/>
        <v>17</v>
      </c>
      <c r="AD132" s="630"/>
      <c r="AE132" s="188">
        <v>4</v>
      </c>
      <c r="AF132" s="188">
        <v>3187.8000000000025</v>
      </c>
      <c r="AG132" s="185">
        <f t="shared" si="62"/>
        <v>796.95000000000061</v>
      </c>
      <c r="AH132" s="182">
        <f t="shared" si="63"/>
        <v>17</v>
      </c>
      <c r="AI132" s="630"/>
      <c r="AJ132" s="188">
        <v>4</v>
      </c>
      <c r="AK132" s="188">
        <v>3188.1600000000021</v>
      </c>
      <c r="AL132" s="185">
        <f t="shared" si="64"/>
        <v>797.04000000000053</v>
      </c>
      <c r="AM132" s="182">
        <f t="shared" si="65"/>
        <v>17</v>
      </c>
      <c r="AN132" s="630"/>
      <c r="AO132" s="188">
        <v>4</v>
      </c>
      <c r="AP132" s="188">
        <v>3187.8000000000025</v>
      </c>
      <c r="AQ132" s="185">
        <f t="shared" si="66"/>
        <v>796.95000000000061</v>
      </c>
      <c r="AR132" s="182">
        <f t="shared" si="67"/>
        <v>17</v>
      </c>
      <c r="AS132" s="630"/>
      <c r="AT132" s="188">
        <v>4</v>
      </c>
      <c r="AU132" s="188">
        <v>3187.0800000000027</v>
      </c>
      <c r="AV132" s="185">
        <f t="shared" si="68"/>
        <v>796.77000000000066</v>
      </c>
      <c r="AW132" s="182">
        <f t="shared" si="69"/>
        <v>17</v>
      </c>
      <c r="AX132" s="630"/>
    </row>
    <row r="133" spans="2:50" ht="14.25" customHeight="1">
      <c r="B133" s="631"/>
      <c r="C133" s="180">
        <v>7</v>
      </c>
      <c r="D133" s="183" t="s">
        <v>396</v>
      </c>
      <c r="E133" s="184">
        <v>3</v>
      </c>
      <c r="F133" s="180">
        <v>3600</v>
      </c>
      <c r="G133" s="185">
        <f t="shared" si="56"/>
        <v>1200</v>
      </c>
      <c r="H133" s="632"/>
      <c r="I133" s="186">
        <f t="shared" si="57"/>
        <v>3</v>
      </c>
      <c r="J133" s="186">
        <f t="shared" si="57"/>
        <v>3189.3516216428884</v>
      </c>
      <c r="K133" s="187">
        <f t="shared" si="57"/>
        <v>1063.1172072142963</v>
      </c>
      <c r="L133" s="633"/>
      <c r="M133" s="186">
        <f>RANK(K133, K$127:$K$161)</f>
        <v>3</v>
      </c>
      <c r="N133" s="644"/>
      <c r="O133" s="634"/>
      <c r="P133" s="188">
        <v>3</v>
      </c>
      <c r="Q133" s="188">
        <v>3187.705907357175</v>
      </c>
      <c r="R133" s="185">
        <f t="shared" si="54"/>
        <v>1062.5686357857251</v>
      </c>
      <c r="S133" s="182">
        <f t="shared" si="58"/>
        <v>3</v>
      </c>
      <c r="T133" s="630"/>
      <c r="U133" s="188">
        <v>3</v>
      </c>
      <c r="V133" s="188">
        <v>3187.705907357175</v>
      </c>
      <c r="W133" s="185">
        <f t="shared" si="55"/>
        <v>1062.5686357857251</v>
      </c>
      <c r="X133" s="182">
        <f t="shared" si="59"/>
        <v>4</v>
      </c>
      <c r="Y133" s="630"/>
      <c r="Z133" s="188">
        <v>3</v>
      </c>
      <c r="AA133" s="188">
        <v>3188.7859073571749</v>
      </c>
      <c r="AB133" s="185">
        <f t="shared" si="60"/>
        <v>1062.928635785725</v>
      </c>
      <c r="AC133" s="182">
        <f t="shared" si="61"/>
        <v>2</v>
      </c>
      <c r="AD133" s="630"/>
      <c r="AE133" s="188">
        <v>3</v>
      </c>
      <c r="AF133" s="188">
        <v>3188.7859073571744</v>
      </c>
      <c r="AG133" s="185">
        <f t="shared" si="62"/>
        <v>1062.9286357857247</v>
      </c>
      <c r="AH133" s="182">
        <f t="shared" si="63"/>
        <v>4</v>
      </c>
      <c r="AI133" s="630"/>
      <c r="AJ133" s="188">
        <v>3</v>
      </c>
      <c r="AK133" s="188">
        <v>3189.8659073571739</v>
      </c>
      <c r="AL133" s="185">
        <f t="shared" si="64"/>
        <v>1063.2886357857246</v>
      </c>
      <c r="AM133" s="182">
        <f t="shared" si="65"/>
        <v>3</v>
      </c>
      <c r="AN133" s="630"/>
      <c r="AO133" s="188">
        <v>3</v>
      </c>
      <c r="AP133" s="188">
        <v>3190.9459073571734</v>
      </c>
      <c r="AQ133" s="185">
        <f t="shared" si="66"/>
        <v>1063.6486357857245</v>
      </c>
      <c r="AR133" s="182">
        <f t="shared" si="67"/>
        <v>2</v>
      </c>
      <c r="AS133" s="630"/>
      <c r="AT133" s="188">
        <v>3</v>
      </c>
      <c r="AU133" s="188">
        <v>3191.6659073571732</v>
      </c>
      <c r="AV133" s="185">
        <f t="shared" si="68"/>
        <v>1063.8886357857243</v>
      </c>
      <c r="AW133" s="182">
        <f t="shared" si="69"/>
        <v>2</v>
      </c>
      <c r="AX133" s="630"/>
    </row>
    <row r="134" spans="2:50" ht="14.25" customHeight="1">
      <c r="B134" s="631"/>
      <c r="C134" s="180">
        <v>8</v>
      </c>
      <c r="D134" s="183" t="s">
        <v>395</v>
      </c>
      <c r="E134" s="184">
        <v>5</v>
      </c>
      <c r="F134" s="180">
        <v>3600</v>
      </c>
      <c r="G134" s="185">
        <f t="shared" si="56"/>
        <v>720</v>
      </c>
      <c r="H134" s="632"/>
      <c r="I134" s="186">
        <f t="shared" si="57"/>
        <v>5</v>
      </c>
      <c r="J134" s="186">
        <f t="shared" si="57"/>
        <v>3185.6734427141446</v>
      </c>
      <c r="K134" s="187">
        <f t="shared" si="57"/>
        <v>637.13468854282871</v>
      </c>
      <c r="L134" s="633"/>
      <c r="M134" s="186">
        <f>RANK(K134, K$127:$K$161)</f>
        <v>26</v>
      </c>
      <c r="N134" s="644"/>
      <c r="O134" s="634"/>
      <c r="P134" s="188">
        <v>5</v>
      </c>
      <c r="Q134" s="188">
        <v>3187.4220141427159</v>
      </c>
      <c r="R134" s="185">
        <f t="shared" si="54"/>
        <v>637.48440282854312</v>
      </c>
      <c r="S134" s="182">
        <f t="shared" si="58"/>
        <v>26</v>
      </c>
      <c r="T134" s="630"/>
      <c r="U134" s="188">
        <v>5</v>
      </c>
      <c r="V134" s="188">
        <v>3187.4220141427154</v>
      </c>
      <c r="W134" s="185">
        <f t="shared" si="55"/>
        <v>637.48440282854312</v>
      </c>
      <c r="X134" s="182">
        <f t="shared" si="59"/>
        <v>26</v>
      </c>
      <c r="Y134" s="630"/>
      <c r="Z134" s="188">
        <v>5</v>
      </c>
      <c r="AA134" s="188">
        <v>3186.3420141427155</v>
      </c>
      <c r="AB134" s="185">
        <f t="shared" si="60"/>
        <v>637.26840282854312</v>
      </c>
      <c r="AC134" s="182">
        <f t="shared" si="61"/>
        <v>26</v>
      </c>
      <c r="AD134" s="630"/>
      <c r="AE134" s="188">
        <v>5</v>
      </c>
      <c r="AF134" s="188">
        <v>3184.5420141427157</v>
      </c>
      <c r="AG134" s="185">
        <f t="shared" si="62"/>
        <v>636.9084028285431</v>
      </c>
      <c r="AH134" s="182">
        <f t="shared" si="63"/>
        <v>27</v>
      </c>
      <c r="AI134" s="630"/>
      <c r="AJ134" s="188">
        <v>5</v>
      </c>
      <c r="AK134" s="188">
        <v>3183.4620141427158</v>
      </c>
      <c r="AL134" s="185">
        <f t="shared" si="64"/>
        <v>636.69240282854321</v>
      </c>
      <c r="AM134" s="182">
        <f t="shared" si="65"/>
        <v>27</v>
      </c>
      <c r="AN134" s="630"/>
      <c r="AO134" s="188">
        <v>5</v>
      </c>
      <c r="AP134" s="188">
        <v>3184.5420141427157</v>
      </c>
      <c r="AQ134" s="185">
        <f t="shared" si="66"/>
        <v>636.9084028285431</v>
      </c>
      <c r="AR134" s="182">
        <f t="shared" si="67"/>
        <v>28</v>
      </c>
      <c r="AS134" s="630"/>
      <c r="AT134" s="188">
        <v>5</v>
      </c>
      <c r="AU134" s="188">
        <v>3185.9820141427153</v>
      </c>
      <c r="AV134" s="185">
        <f t="shared" si="68"/>
        <v>637.19640282854311</v>
      </c>
      <c r="AW134" s="182">
        <f t="shared" si="69"/>
        <v>26</v>
      </c>
      <c r="AX134" s="630"/>
    </row>
    <row r="135" spans="2:50" ht="14.25" customHeight="1">
      <c r="B135" s="631"/>
      <c r="C135" s="180">
        <v>9</v>
      </c>
      <c r="D135" s="183" t="s">
        <v>393</v>
      </c>
      <c r="E135" s="184">
        <v>5</v>
      </c>
      <c r="F135" s="180">
        <v>3600</v>
      </c>
      <c r="G135" s="185">
        <f t="shared" si="56"/>
        <v>720</v>
      </c>
      <c r="H135" s="632"/>
      <c r="I135" s="186">
        <f t="shared" si="57"/>
        <v>5</v>
      </c>
      <c r="J135" s="186">
        <f t="shared" si="57"/>
        <v>3185.0236920677103</v>
      </c>
      <c r="K135" s="187">
        <f t="shared" si="57"/>
        <v>637.00473841354221</v>
      </c>
      <c r="L135" s="633"/>
      <c r="M135" s="186">
        <f>RANK(K135, K$127:$K$161)</f>
        <v>27</v>
      </c>
      <c r="N135" s="644"/>
      <c r="O135" s="634"/>
      <c r="P135" s="188">
        <v>5</v>
      </c>
      <c r="Q135" s="188">
        <v>3185.9918373929463</v>
      </c>
      <c r="R135" s="185">
        <f t="shared" si="54"/>
        <v>637.19836747858926</v>
      </c>
      <c r="S135" s="182">
        <f t="shared" si="58"/>
        <v>27</v>
      </c>
      <c r="T135" s="630"/>
      <c r="U135" s="188">
        <v>5</v>
      </c>
      <c r="V135" s="188">
        <v>3186.351837392946</v>
      </c>
      <c r="W135" s="185">
        <f t="shared" si="55"/>
        <v>637.27036747858915</v>
      </c>
      <c r="X135" s="182">
        <f t="shared" si="59"/>
        <v>27</v>
      </c>
      <c r="Y135" s="630"/>
      <c r="Z135" s="188">
        <v>5</v>
      </c>
      <c r="AA135" s="188">
        <v>3185.9918373929454</v>
      </c>
      <c r="AB135" s="185">
        <f t="shared" si="60"/>
        <v>637.19836747858903</v>
      </c>
      <c r="AC135" s="182">
        <f t="shared" si="61"/>
        <v>27</v>
      </c>
      <c r="AD135" s="630"/>
      <c r="AE135" s="188">
        <v>5</v>
      </c>
      <c r="AF135" s="188">
        <v>3184.5518373929453</v>
      </c>
      <c r="AG135" s="185">
        <f t="shared" si="62"/>
        <v>636.91036747858902</v>
      </c>
      <c r="AH135" s="182">
        <f t="shared" si="63"/>
        <v>26</v>
      </c>
      <c r="AI135" s="630"/>
      <c r="AJ135" s="188">
        <v>5</v>
      </c>
      <c r="AK135" s="188">
        <v>3182.7518373929452</v>
      </c>
      <c r="AL135" s="185">
        <f t="shared" si="64"/>
        <v>636.55036747858901</v>
      </c>
      <c r="AM135" s="182">
        <f t="shared" si="65"/>
        <v>28</v>
      </c>
      <c r="AN135" s="630"/>
      <c r="AO135" s="188">
        <v>5</v>
      </c>
      <c r="AP135" s="188">
        <v>3184.943328754624</v>
      </c>
      <c r="AQ135" s="185">
        <f t="shared" si="66"/>
        <v>636.98866575092484</v>
      </c>
      <c r="AR135" s="182">
        <f t="shared" si="67"/>
        <v>27</v>
      </c>
      <c r="AS135" s="630"/>
      <c r="AT135" s="188">
        <v>5</v>
      </c>
      <c r="AU135" s="188">
        <v>3184.5833287546238</v>
      </c>
      <c r="AV135" s="185">
        <f t="shared" si="68"/>
        <v>636.91666575092472</v>
      </c>
      <c r="AW135" s="182">
        <f t="shared" si="69"/>
        <v>28</v>
      </c>
      <c r="AX135" s="630"/>
    </row>
    <row r="136" spans="2:50" ht="14.25" customHeight="1">
      <c r="B136" s="631"/>
      <c r="C136" s="180">
        <v>10</v>
      </c>
      <c r="D136" s="183" t="s">
        <v>228</v>
      </c>
      <c r="E136" s="184">
        <v>3</v>
      </c>
      <c r="F136" s="180">
        <v>3000</v>
      </c>
      <c r="G136" s="185">
        <f t="shared" si="56"/>
        <v>1000</v>
      </c>
      <c r="H136" s="632"/>
      <c r="I136" s="186">
        <f t="shared" si="57"/>
        <v>3</v>
      </c>
      <c r="J136" s="186">
        <f t="shared" si="57"/>
        <v>2708.321944812109</v>
      </c>
      <c r="K136" s="187">
        <f t="shared" si="57"/>
        <v>902.77398160403641</v>
      </c>
      <c r="L136" s="633"/>
      <c r="M136" s="186">
        <f>RANK(K136, K$127:$K$161)</f>
        <v>15</v>
      </c>
      <c r="N136" s="644"/>
      <c r="O136" s="634"/>
      <c r="P136" s="188">
        <v>3</v>
      </c>
      <c r="Q136" s="188">
        <v>2705.8178845319644</v>
      </c>
      <c r="R136" s="185">
        <f t="shared" si="54"/>
        <v>901.93929484398814</v>
      </c>
      <c r="S136" s="182">
        <f t="shared" si="58"/>
        <v>15</v>
      </c>
      <c r="T136" s="630"/>
      <c r="U136" s="188">
        <v>3</v>
      </c>
      <c r="V136" s="188">
        <v>2705.8178845319649</v>
      </c>
      <c r="W136" s="185">
        <f t="shared" si="55"/>
        <v>901.93929484398825</v>
      </c>
      <c r="X136" s="182">
        <f t="shared" si="59"/>
        <v>15</v>
      </c>
      <c r="Y136" s="630"/>
      <c r="Z136" s="188">
        <v>3</v>
      </c>
      <c r="AA136" s="188">
        <v>2707.0178845319642</v>
      </c>
      <c r="AB136" s="185">
        <f t="shared" si="60"/>
        <v>902.33929484398811</v>
      </c>
      <c r="AC136" s="182">
        <f t="shared" si="61"/>
        <v>15</v>
      </c>
      <c r="AD136" s="630"/>
      <c r="AE136" s="188">
        <v>3</v>
      </c>
      <c r="AF136" s="188">
        <v>2705.8178845319644</v>
      </c>
      <c r="AG136" s="185">
        <f t="shared" si="62"/>
        <v>901.93929484398814</v>
      </c>
      <c r="AH136" s="182">
        <f t="shared" si="63"/>
        <v>15</v>
      </c>
      <c r="AI136" s="630"/>
      <c r="AJ136" s="188">
        <v>3</v>
      </c>
      <c r="AK136" s="188">
        <v>2709.2864771363074</v>
      </c>
      <c r="AL136" s="185">
        <f t="shared" si="64"/>
        <v>903.09549237876911</v>
      </c>
      <c r="AM136" s="182">
        <f t="shared" si="65"/>
        <v>15</v>
      </c>
      <c r="AN136" s="630"/>
      <c r="AO136" s="188">
        <v>3</v>
      </c>
      <c r="AP136" s="188">
        <v>2711.8100337544765</v>
      </c>
      <c r="AQ136" s="185">
        <f t="shared" si="66"/>
        <v>903.93667791815881</v>
      </c>
      <c r="AR136" s="182">
        <f t="shared" si="67"/>
        <v>14</v>
      </c>
      <c r="AS136" s="630"/>
      <c r="AT136" s="188">
        <v>3</v>
      </c>
      <c r="AU136" s="188">
        <v>2712.6855646661215</v>
      </c>
      <c r="AV136" s="185">
        <f t="shared" si="68"/>
        <v>904.22852155537385</v>
      </c>
      <c r="AW136" s="182">
        <f t="shared" si="69"/>
        <v>13</v>
      </c>
      <c r="AX136" s="630"/>
    </row>
    <row r="137" spans="2:50" ht="14.25" customHeight="1">
      <c r="B137" s="631"/>
      <c r="C137" s="180">
        <v>11</v>
      </c>
      <c r="D137" s="183" t="s">
        <v>449</v>
      </c>
      <c r="E137" s="184">
        <v>12</v>
      </c>
      <c r="F137" s="180">
        <v>3600</v>
      </c>
      <c r="G137" s="185">
        <f t="shared" si="56"/>
        <v>300</v>
      </c>
      <c r="H137" s="632"/>
      <c r="I137" s="186">
        <f t="shared" si="57"/>
        <v>12</v>
      </c>
      <c r="J137" s="186">
        <f t="shared" si="57"/>
        <v>3116.8149394803595</v>
      </c>
      <c r="K137" s="187">
        <f t="shared" si="57"/>
        <v>259.73457829003002</v>
      </c>
      <c r="L137" s="633"/>
      <c r="M137" s="186">
        <f>RANK(K137, K$127:$K$161)</f>
        <v>34</v>
      </c>
      <c r="N137" s="644"/>
      <c r="O137" s="634"/>
      <c r="P137" s="188">
        <v>12</v>
      </c>
      <c r="Q137" s="188">
        <v>3116.1635369627979</v>
      </c>
      <c r="R137" s="185">
        <f t="shared" si="54"/>
        <v>259.68029474689985</v>
      </c>
      <c r="S137" s="182">
        <f t="shared" si="58"/>
        <v>34</v>
      </c>
      <c r="T137" s="630"/>
      <c r="U137" s="188">
        <v>12</v>
      </c>
      <c r="V137" s="188">
        <v>3117.9635369627977</v>
      </c>
      <c r="W137" s="185">
        <f t="shared" si="55"/>
        <v>259.83029474689982</v>
      </c>
      <c r="X137" s="182">
        <f t="shared" si="59"/>
        <v>33</v>
      </c>
      <c r="Y137" s="630"/>
      <c r="Z137" s="188">
        <v>12</v>
      </c>
      <c r="AA137" s="188">
        <v>3117.2435369627979</v>
      </c>
      <c r="AB137" s="185">
        <f t="shared" si="60"/>
        <v>259.77029474689982</v>
      </c>
      <c r="AC137" s="182">
        <f t="shared" si="61"/>
        <v>34</v>
      </c>
      <c r="AD137" s="630"/>
      <c r="AE137" s="188">
        <v>12</v>
      </c>
      <c r="AF137" s="188">
        <v>3116.5235369627981</v>
      </c>
      <c r="AG137" s="185">
        <f t="shared" si="62"/>
        <v>259.71029474689982</v>
      </c>
      <c r="AH137" s="182">
        <f t="shared" si="63"/>
        <v>34</v>
      </c>
      <c r="AI137" s="630"/>
      <c r="AJ137" s="188">
        <v>12</v>
      </c>
      <c r="AK137" s="188">
        <v>3117.923476170442</v>
      </c>
      <c r="AL137" s="185">
        <f t="shared" si="64"/>
        <v>259.82695634753685</v>
      </c>
      <c r="AM137" s="182">
        <f t="shared" si="65"/>
        <v>33</v>
      </c>
      <c r="AN137" s="630"/>
      <c r="AO137" s="188">
        <v>12</v>
      </c>
      <c r="AP137" s="188">
        <v>3116.4834761704424</v>
      </c>
      <c r="AQ137" s="185">
        <f t="shared" si="66"/>
        <v>259.70695634753685</v>
      </c>
      <c r="AR137" s="182">
        <f t="shared" si="67"/>
        <v>33</v>
      </c>
      <c r="AS137" s="630"/>
      <c r="AT137" s="188">
        <v>12</v>
      </c>
      <c r="AU137" s="188">
        <v>3115.4034761704424</v>
      </c>
      <c r="AV137" s="185">
        <f t="shared" si="68"/>
        <v>259.61695634753687</v>
      </c>
      <c r="AW137" s="182">
        <f t="shared" si="69"/>
        <v>33</v>
      </c>
      <c r="AX137" s="630"/>
    </row>
    <row r="138" spans="2:50" ht="14.25" customHeight="1">
      <c r="B138" s="631"/>
      <c r="C138" s="180">
        <v>12</v>
      </c>
      <c r="D138" s="183" t="s">
        <v>471</v>
      </c>
      <c r="E138" s="184">
        <v>3</v>
      </c>
      <c r="F138" s="180">
        <v>3300</v>
      </c>
      <c r="G138" s="185">
        <f t="shared" si="56"/>
        <v>1100</v>
      </c>
      <c r="H138" s="632"/>
      <c r="I138" s="186">
        <f t="shared" si="57"/>
        <v>3</v>
      </c>
      <c r="J138" s="186">
        <f t="shared" si="57"/>
        <v>2981.6010826623983</v>
      </c>
      <c r="K138" s="187">
        <f t="shared" si="57"/>
        <v>993.86702755413273</v>
      </c>
      <c r="L138" s="633"/>
      <c r="M138" s="186">
        <f>RANK(K138, K$127:$K$161)</f>
        <v>11</v>
      </c>
      <c r="N138" s="644"/>
      <c r="O138" s="634"/>
      <c r="P138" s="188">
        <v>3</v>
      </c>
      <c r="Q138" s="188">
        <v>2978.3501953062214</v>
      </c>
      <c r="R138" s="185">
        <f t="shared" si="54"/>
        <v>992.78339843540709</v>
      </c>
      <c r="S138" s="182">
        <f t="shared" si="58"/>
        <v>10</v>
      </c>
      <c r="T138" s="630"/>
      <c r="U138" s="188">
        <v>3</v>
      </c>
      <c r="V138" s="188">
        <v>2980.5211581864878</v>
      </c>
      <c r="W138" s="185">
        <f t="shared" si="55"/>
        <v>993.50705272882931</v>
      </c>
      <c r="X138" s="182">
        <f t="shared" si="59"/>
        <v>11</v>
      </c>
      <c r="Y138" s="630"/>
      <c r="Z138" s="188">
        <v>3</v>
      </c>
      <c r="AA138" s="188">
        <v>2980.5211581864883</v>
      </c>
      <c r="AB138" s="185">
        <f t="shared" si="60"/>
        <v>993.50705272882942</v>
      </c>
      <c r="AC138" s="182">
        <f t="shared" si="61"/>
        <v>11</v>
      </c>
      <c r="AD138" s="630"/>
      <c r="AE138" s="188">
        <v>3</v>
      </c>
      <c r="AF138" s="188">
        <v>2983.0362667393974</v>
      </c>
      <c r="AG138" s="185">
        <f t="shared" si="62"/>
        <v>994.34542224646577</v>
      </c>
      <c r="AH138" s="182">
        <f t="shared" si="63"/>
        <v>10</v>
      </c>
      <c r="AI138" s="630"/>
      <c r="AJ138" s="188">
        <v>3</v>
      </c>
      <c r="AK138" s="188">
        <v>2982.0462667393977</v>
      </c>
      <c r="AL138" s="185">
        <f t="shared" si="64"/>
        <v>994.01542224646585</v>
      </c>
      <c r="AM138" s="182">
        <f t="shared" si="65"/>
        <v>11</v>
      </c>
      <c r="AN138" s="630"/>
      <c r="AO138" s="188">
        <v>3</v>
      </c>
      <c r="AP138" s="188">
        <v>2982.7062667393975</v>
      </c>
      <c r="AQ138" s="185">
        <f t="shared" si="66"/>
        <v>994.23542224646587</v>
      </c>
      <c r="AR138" s="182">
        <f t="shared" si="67"/>
        <v>11</v>
      </c>
      <c r="AS138" s="630"/>
      <c r="AT138" s="188">
        <v>3</v>
      </c>
      <c r="AU138" s="188">
        <v>2984.0262667393968</v>
      </c>
      <c r="AV138" s="185">
        <f t="shared" si="68"/>
        <v>994.67542224646559</v>
      </c>
      <c r="AW138" s="182">
        <f t="shared" si="69"/>
        <v>11</v>
      </c>
      <c r="AX138" s="630"/>
    </row>
    <row r="139" spans="2:50" ht="14.25" customHeight="1">
      <c r="B139" s="631"/>
      <c r="C139" s="180">
        <v>13</v>
      </c>
      <c r="D139" s="183" t="s">
        <v>582</v>
      </c>
      <c r="E139" s="184">
        <v>5</v>
      </c>
      <c r="F139" s="180">
        <v>3600</v>
      </c>
      <c r="G139" s="185">
        <f t="shared" si="56"/>
        <v>720</v>
      </c>
      <c r="H139" s="632"/>
      <c r="I139" s="186">
        <f t="shared" si="57"/>
        <v>5</v>
      </c>
      <c r="J139" s="186">
        <f t="shared" si="57"/>
        <v>3187.7417676749133</v>
      </c>
      <c r="K139" s="187">
        <f t="shared" si="57"/>
        <v>637.54835353498254</v>
      </c>
      <c r="L139" s="633"/>
      <c r="M139" s="186">
        <f>RANK(K139, K$127:$K$161)</f>
        <v>25</v>
      </c>
      <c r="N139" s="644"/>
      <c r="O139" s="634"/>
      <c r="P139" s="188">
        <v>5</v>
      </c>
      <c r="Q139" s="188">
        <v>3188.2560533891988</v>
      </c>
      <c r="R139" s="185">
        <f t="shared" si="54"/>
        <v>637.6512106778398</v>
      </c>
      <c r="S139" s="182">
        <f t="shared" si="58"/>
        <v>24</v>
      </c>
      <c r="T139" s="630"/>
      <c r="U139" s="188">
        <v>5</v>
      </c>
      <c r="V139" s="188">
        <v>3188.9760533891986</v>
      </c>
      <c r="W139" s="185">
        <f t="shared" si="55"/>
        <v>637.79521067783969</v>
      </c>
      <c r="X139" s="182">
        <f t="shared" si="59"/>
        <v>23</v>
      </c>
      <c r="Y139" s="630"/>
      <c r="Z139" s="188">
        <v>5</v>
      </c>
      <c r="AA139" s="188">
        <v>3187.8960533891991</v>
      </c>
      <c r="AB139" s="185">
        <f t="shared" si="60"/>
        <v>637.5792106778398</v>
      </c>
      <c r="AC139" s="182">
        <f t="shared" si="61"/>
        <v>24</v>
      </c>
      <c r="AD139" s="630"/>
      <c r="AE139" s="188">
        <v>5</v>
      </c>
      <c r="AF139" s="188">
        <v>3186.8160533891992</v>
      </c>
      <c r="AG139" s="185">
        <f t="shared" si="62"/>
        <v>637.36321067783979</v>
      </c>
      <c r="AH139" s="182">
        <f t="shared" si="63"/>
        <v>25</v>
      </c>
      <c r="AI139" s="630"/>
      <c r="AJ139" s="188">
        <v>5</v>
      </c>
      <c r="AK139" s="188">
        <v>3187.1760533891993</v>
      </c>
      <c r="AL139" s="185">
        <f t="shared" si="64"/>
        <v>637.4352106778399</v>
      </c>
      <c r="AM139" s="182">
        <f t="shared" si="65"/>
        <v>25</v>
      </c>
      <c r="AN139" s="630"/>
      <c r="AO139" s="188">
        <v>5</v>
      </c>
      <c r="AP139" s="188">
        <v>3188.2560533891988</v>
      </c>
      <c r="AQ139" s="185">
        <f t="shared" si="66"/>
        <v>637.6512106778398</v>
      </c>
      <c r="AR139" s="182">
        <f t="shared" si="67"/>
        <v>25</v>
      </c>
      <c r="AS139" s="630"/>
      <c r="AT139" s="188">
        <v>5</v>
      </c>
      <c r="AU139" s="188">
        <v>3186.8160533891992</v>
      </c>
      <c r="AV139" s="185">
        <f t="shared" si="68"/>
        <v>637.36321067783979</v>
      </c>
      <c r="AW139" s="182">
        <f t="shared" si="69"/>
        <v>25</v>
      </c>
      <c r="AX139" s="630"/>
    </row>
    <row r="140" spans="2:50" ht="14.25" customHeight="1">
      <c r="B140" s="631"/>
      <c r="C140" s="180">
        <v>14</v>
      </c>
      <c r="D140" s="183" t="s">
        <v>604</v>
      </c>
      <c r="E140" s="184">
        <v>3</v>
      </c>
      <c r="F140" s="180">
        <v>3600</v>
      </c>
      <c r="G140" s="185">
        <f t="shared" si="56"/>
        <v>1200</v>
      </c>
      <c r="H140" s="632"/>
      <c r="I140" s="186">
        <f t="shared" si="57"/>
        <v>3</v>
      </c>
      <c r="J140" s="186">
        <f t="shared" si="57"/>
        <v>3183.827624509559</v>
      </c>
      <c r="K140" s="187">
        <f t="shared" si="57"/>
        <v>1061.2758748365197</v>
      </c>
      <c r="L140" s="633"/>
      <c r="M140" s="186">
        <f>RANK(K140, K$127:$K$161)</f>
        <v>6</v>
      </c>
      <c r="N140" s="644"/>
      <c r="O140" s="634"/>
      <c r="P140" s="188">
        <v>3</v>
      </c>
      <c r="Q140" s="188">
        <v>3183.1497134796209</v>
      </c>
      <c r="R140" s="185">
        <f t="shared" si="54"/>
        <v>1061.0499044932069</v>
      </c>
      <c r="S140" s="182">
        <f t="shared" si="58"/>
        <v>7</v>
      </c>
      <c r="T140" s="630"/>
      <c r="U140" s="188">
        <v>3</v>
      </c>
      <c r="V140" s="188">
        <v>3184.5897134796205</v>
      </c>
      <c r="W140" s="185">
        <f t="shared" si="55"/>
        <v>1061.5299044932069</v>
      </c>
      <c r="X140" s="182">
        <f t="shared" si="59"/>
        <v>6</v>
      </c>
      <c r="Y140" s="630"/>
      <c r="Z140" s="188">
        <v>3</v>
      </c>
      <c r="AA140" s="188">
        <v>3183.1497134796214</v>
      </c>
      <c r="AB140" s="185">
        <f t="shared" si="60"/>
        <v>1061.0499044932071</v>
      </c>
      <c r="AC140" s="182">
        <f t="shared" si="61"/>
        <v>6</v>
      </c>
      <c r="AD140" s="630"/>
      <c r="AE140" s="188">
        <v>3</v>
      </c>
      <c r="AF140" s="188">
        <v>3182.4297134796216</v>
      </c>
      <c r="AG140" s="185">
        <f t="shared" si="62"/>
        <v>1060.8099044932071</v>
      </c>
      <c r="AH140" s="182">
        <f t="shared" si="63"/>
        <v>7</v>
      </c>
      <c r="AI140" s="630"/>
      <c r="AJ140" s="188">
        <v>3</v>
      </c>
      <c r="AK140" s="188">
        <v>3184.2297134796208</v>
      </c>
      <c r="AL140" s="185">
        <f t="shared" si="64"/>
        <v>1061.409904493207</v>
      </c>
      <c r="AM140" s="182">
        <f t="shared" si="65"/>
        <v>7</v>
      </c>
      <c r="AN140" s="630"/>
      <c r="AO140" s="188">
        <v>3</v>
      </c>
      <c r="AP140" s="188">
        <v>3185.1624020844038</v>
      </c>
      <c r="AQ140" s="185">
        <f t="shared" si="66"/>
        <v>1061.7208006948013</v>
      </c>
      <c r="AR140" s="182">
        <f t="shared" si="67"/>
        <v>7</v>
      </c>
      <c r="AS140" s="630"/>
      <c r="AT140" s="188">
        <v>3</v>
      </c>
      <c r="AU140" s="188">
        <v>3184.0824020844034</v>
      </c>
      <c r="AV140" s="185">
        <f t="shared" si="68"/>
        <v>1061.3608006948011</v>
      </c>
      <c r="AW140" s="182">
        <f t="shared" si="69"/>
        <v>8</v>
      </c>
      <c r="AX140" s="630"/>
    </row>
    <row r="141" spans="2:50" ht="14.25" customHeight="1">
      <c r="B141" s="631"/>
      <c r="C141" s="180">
        <v>15</v>
      </c>
      <c r="D141" s="183" t="s">
        <v>583</v>
      </c>
      <c r="E141" s="184">
        <v>5</v>
      </c>
      <c r="F141" s="180">
        <v>3600</v>
      </c>
      <c r="G141" s="185">
        <f t="shared" si="56"/>
        <v>720</v>
      </c>
      <c r="H141" s="632"/>
      <c r="I141" s="186">
        <f t="shared" si="57"/>
        <v>5</v>
      </c>
      <c r="J141" s="186">
        <f t="shared" si="57"/>
        <v>3183.5316987797351</v>
      </c>
      <c r="K141" s="187">
        <f t="shared" si="57"/>
        <v>636.70633975594706</v>
      </c>
      <c r="L141" s="633"/>
      <c r="M141" s="186">
        <f>RANK(K141, K$127:$K$161)</f>
        <v>28</v>
      </c>
      <c r="N141" s="644"/>
      <c r="O141" s="634"/>
      <c r="P141" s="188">
        <v>5</v>
      </c>
      <c r="Q141" s="188">
        <v>3182.4944914427829</v>
      </c>
      <c r="R141" s="185">
        <f t="shared" si="54"/>
        <v>636.49889828855657</v>
      </c>
      <c r="S141" s="182">
        <f t="shared" si="58"/>
        <v>28</v>
      </c>
      <c r="T141" s="630"/>
      <c r="U141" s="188">
        <v>5</v>
      </c>
      <c r="V141" s="188">
        <v>3181.0544914427828</v>
      </c>
      <c r="W141" s="185">
        <f t="shared" si="55"/>
        <v>636.21089828855656</v>
      </c>
      <c r="X141" s="182">
        <f t="shared" si="59"/>
        <v>28</v>
      </c>
      <c r="Y141" s="630"/>
      <c r="Z141" s="188">
        <v>5</v>
      </c>
      <c r="AA141" s="188">
        <v>3182.8544914427825</v>
      </c>
      <c r="AB141" s="185">
        <f t="shared" si="60"/>
        <v>636.57089828855646</v>
      </c>
      <c r="AC141" s="182">
        <f t="shared" si="61"/>
        <v>28</v>
      </c>
      <c r="AD141" s="630"/>
      <c r="AE141" s="188">
        <v>5</v>
      </c>
      <c r="AF141" s="188">
        <v>3182.8544914427821</v>
      </c>
      <c r="AG141" s="185">
        <f t="shared" si="62"/>
        <v>636.57089828855646</v>
      </c>
      <c r="AH141" s="182">
        <f t="shared" si="63"/>
        <v>28</v>
      </c>
      <c r="AI141" s="630"/>
      <c r="AJ141" s="188">
        <v>5</v>
      </c>
      <c r="AK141" s="188">
        <v>3183.934491442782</v>
      </c>
      <c r="AL141" s="185">
        <f t="shared" si="64"/>
        <v>636.78689828855636</v>
      </c>
      <c r="AM141" s="182">
        <f t="shared" si="65"/>
        <v>26</v>
      </c>
      <c r="AN141" s="630"/>
      <c r="AO141" s="188">
        <v>5</v>
      </c>
      <c r="AP141" s="188">
        <v>3185.7647171221179</v>
      </c>
      <c r="AQ141" s="185">
        <f t="shared" si="66"/>
        <v>637.1529434244236</v>
      </c>
      <c r="AR141" s="182">
        <f t="shared" si="67"/>
        <v>26</v>
      </c>
      <c r="AS141" s="630"/>
      <c r="AT141" s="188">
        <v>5</v>
      </c>
      <c r="AU141" s="188">
        <v>3185.7647171221183</v>
      </c>
      <c r="AV141" s="185">
        <f t="shared" si="68"/>
        <v>637.15294342442371</v>
      </c>
      <c r="AW141" s="182">
        <f t="shared" si="69"/>
        <v>27</v>
      </c>
      <c r="AX141" s="630"/>
    </row>
    <row r="142" spans="2:50" ht="14.25" customHeight="1">
      <c r="B142" s="631"/>
      <c r="C142" s="180">
        <v>16</v>
      </c>
      <c r="D142" s="183" t="s">
        <v>782</v>
      </c>
      <c r="E142" s="184">
        <v>3</v>
      </c>
      <c r="F142" s="180">
        <v>3600</v>
      </c>
      <c r="G142" s="185">
        <f t="shared" si="56"/>
        <v>1200</v>
      </c>
      <c r="H142" s="632"/>
      <c r="I142" s="186">
        <f t="shared" si="57"/>
        <v>3</v>
      </c>
      <c r="J142" s="186">
        <f t="shared" si="57"/>
        <v>3106.5328988536171</v>
      </c>
      <c r="K142" s="187">
        <f t="shared" si="57"/>
        <v>1035.5109662845391</v>
      </c>
      <c r="L142" s="633"/>
      <c r="M142" s="186">
        <f>RANK(K142, K$127:$K$161)</f>
        <v>9</v>
      </c>
      <c r="N142" s="644"/>
      <c r="O142" s="634"/>
      <c r="P142" s="188">
        <v>3</v>
      </c>
      <c r="Q142" s="188">
        <v>2951.9999999999995</v>
      </c>
      <c r="R142" s="185">
        <f t="shared" si="54"/>
        <v>983.99999999999989</v>
      </c>
      <c r="S142" s="182">
        <f t="shared" si="58"/>
        <v>12</v>
      </c>
      <c r="T142" s="630"/>
      <c r="U142" s="188">
        <v>3</v>
      </c>
      <c r="V142" s="188">
        <v>3012.1415999999995</v>
      </c>
      <c r="W142" s="185">
        <f t="shared" si="55"/>
        <v>1004.0471999999999</v>
      </c>
      <c r="X142" s="182">
        <f t="shared" si="59"/>
        <v>9</v>
      </c>
      <c r="Y142" s="630"/>
      <c r="Z142" s="188">
        <v>3</v>
      </c>
      <c r="AA142" s="188">
        <v>3078.0623492411714</v>
      </c>
      <c r="AB142" s="185">
        <f t="shared" si="60"/>
        <v>1026.0207830803904</v>
      </c>
      <c r="AC142" s="182">
        <f t="shared" si="61"/>
        <v>9</v>
      </c>
      <c r="AD142" s="630"/>
      <c r="AE142" s="188">
        <v>3</v>
      </c>
      <c r="AF142" s="188">
        <v>3141.0923962259944</v>
      </c>
      <c r="AG142" s="185">
        <f t="shared" si="62"/>
        <v>1047.0307987419981</v>
      </c>
      <c r="AH142" s="182">
        <f t="shared" si="63"/>
        <v>9</v>
      </c>
      <c r="AI142" s="630"/>
      <c r="AJ142" s="188">
        <v>3</v>
      </c>
      <c r="AK142" s="188">
        <v>3187.4779821693837</v>
      </c>
      <c r="AL142" s="185">
        <f t="shared" si="64"/>
        <v>1062.492660723128</v>
      </c>
      <c r="AM142" s="182">
        <f t="shared" si="65"/>
        <v>5</v>
      </c>
      <c r="AN142" s="630"/>
      <c r="AO142" s="188">
        <v>3</v>
      </c>
      <c r="AP142" s="188">
        <v>3187.117982169384</v>
      </c>
      <c r="AQ142" s="185">
        <f t="shared" si="66"/>
        <v>1062.3726607231281</v>
      </c>
      <c r="AR142" s="182">
        <f t="shared" si="67"/>
        <v>5</v>
      </c>
      <c r="AS142" s="630"/>
      <c r="AT142" s="188">
        <v>3</v>
      </c>
      <c r="AU142" s="188">
        <v>3187.8379821693843</v>
      </c>
      <c r="AV142" s="185">
        <f t="shared" si="68"/>
        <v>1062.6126607231281</v>
      </c>
      <c r="AW142" s="182">
        <f t="shared" si="69"/>
        <v>5</v>
      </c>
      <c r="AX142" s="630"/>
    </row>
    <row r="143" spans="2:50" ht="14.25" customHeight="1">
      <c r="B143" s="631"/>
      <c r="C143" s="180">
        <v>17</v>
      </c>
      <c r="D143" s="183" t="s">
        <v>742</v>
      </c>
      <c r="E143" s="184">
        <v>3</v>
      </c>
      <c r="F143" s="180">
        <v>3300</v>
      </c>
      <c r="G143" s="185">
        <f t="shared" si="56"/>
        <v>1100</v>
      </c>
      <c r="H143" s="632"/>
      <c r="I143" s="186">
        <f t="shared" si="57"/>
        <v>3</v>
      </c>
      <c r="J143" s="186">
        <f t="shared" si="57"/>
        <v>2978.1759683286568</v>
      </c>
      <c r="K143" s="187">
        <f t="shared" si="57"/>
        <v>992.72532277621872</v>
      </c>
      <c r="L143" s="633"/>
      <c r="M143" s="186">
        <f>RANK(K143, K$127:$K$161)</f>
        <v>12</v>
      </c>
      <c r="N143" s="644"/>
      <c r="O143" s="634"/>
      <c r="P143" s="188">
        <v>3</v>
      </c>
      <c r="Q143" s="188">
        <v>2977.5631111858002</v>
      </c>
      <c r="R143" s="185">
        <f t="shared" si="54"/>
        <v>992.52103706193338</v>
      </c>
      <c r="S143" s="182">
        <f t="shared" si="58"/>
        <v>11</v>
      </c>
      <c r="T143" s="630"/>
      <c r="U143" s="188">
        <v>3</v>
      </c>
      <c r="V143" s="188">
        <v>2977.2331111857998</v>
      </c>
      <c r="W143" s="185">
        <f t="shared" si="55"/>
        <v>992.41103706193326</v>
      </c>
      <c r="X143" s="182">
        <f t="shared" si="59"/>
        <v>12</v>
      </c>
      <c r="Y143" s="630"/>
      <c r="Z143" s="188">
        <v>3</v>
      </c>
      <c r="AA143" s="188">
        <v>2977.8931111857996</v>
      </c>
      <c r="AB143" s="185">
        <f t="shared" si="60"/>
        <v>992.63103706193317</v>
      </c>
      <c r="AC143" s="182">
        <f t="shared" si="61"/>
        <v>12</v>
      </c>
      <c r="AD143" s="630"/>
      <c r="AE143" s="188">
        <v>3</v>
      </c>
      <c r="AF143" s="188">
        <v>2979.2131111857993</v>
      </c>
      <c r="AG143" s="185">
        <f t="shared" si="62"/>
        <v>993.07103706193311</v>
      </c>
      <c r="AH143" s="182">
        <f t="shared" si="63"/>
        <v>12</v>
      </c>
      <c r="AI143" s="630"/>
      <c r="AJ143" s="188">
        <v>3</v>
      </c>
      <c r="AK143" s="188">
        <v>2979.2131111857989</v>
      </c>
      <c r="AL143" s="185">
        <f t="shared" si="64"/>
        <v>993.071037061933</v>
      </c>
      <c r="AM143" s="182">
        <f t="shared" si="65"/>
        <v>12</v>
      </c>
      <c r="AN143" s="630"/>
      <c r="AO143" s="188">
        <v>3</v>
      </c>
      <c r="AP143" s="188">
        <v>2978.2231111857986</v>
      </c>
      <c r="AQ143" s="185">
        <f t="shared" si="66"/>
        <v>992.74103706193284</v>
      </c>
      <c r="AR143" s="182">
        <f t="shared" si="67"/>
        <v>12</v>
      </c>
      <c r="AS143" s="630"/>
      <c r="AT143" s="188">
        <v>3</v>
      </c>
      <c r="AU143" s="188">
        <v>2977.8931111857987</v>
      </c>
      <c r="AV143" s="185">
        <f t="shared" si="68"/>
        <v>992.63103706193294</v>
      </c>
      <c r="AW143" s="182">
        <f t="shared" si="69"/>
        <v>12</v>
      </c>
      <c r="AX143" s="630"/>
    </row>
    <row r="144" spans="2:50" ht="14.25" customHeight="1">
      <c r="B144" s="631"/>
      <c r="C144" s="180">
        <v>18</v>
      </c>
      <c r="D144" s="183" t="s">
        <v>406</v>
      </c>
      <c r="E144" s="184">
        <v>5</v>
      </c>
      <c r="F144" s="180">
        <v>3600</v>
      </c>
      <c r="G144" s="185">
        <f t="shared" si="56"/>
        <v>720</v>
      </c>
      <c r="H144" s="632"/>
      <c r="I144" s="186">
        <f t="shared" si="57"/>
        <v>5</v>
      </c>
      <c r="J144" s="186">
        <f t="shared" si="57"/>
        <v>3189.3936116571708</v>
      </c>
      <c r="K144" s="187">
        <f t="shared" si="57"/>
        <v>637.87872233143423</v>
      </c>
      <c r="L144" s="633"/>
      <c r="M144" s="186">
        <f>RANK(K144, K$127:$K$161)</f>
        <v>23</v>
      </c>
      <c r="N144" s="644"/>
      <c r="O144" s="634"/>
      <c r="P144" s="188">
        <v>5</v>
      </c>
      <c r="Q144" s="188">
        <v>3188.4678973714567</v>
      </c>
      <c r="R144" s="185">
        <f t="shared" si="54"/>
        <v>637.69357947429137</v>
      </c>
      <c r="S144" s="182">
        <f t="shared" si="58"/>
        <v>22</v>
      </c>
      <c r="T144" s="630"/>
      <c r="U144" s="188">
        <v>5</v>
      </c>
      <c r="V144" s="188">
        <v>3188.8278973714569</v>
      </c>
      <c r="W144" s="185">
        <f t="shared" si="55"/>
        <v>637.76557947429137</v>
      </c>
      <c r="X144" s="182">
        <f t="shared" si="59"/>
        <v>24</v>
      </c>
      <c r="Y144" s="630"/>
      <c r="Z144" s="188">
        <v>5</v>
      </c>
      <c r="AA144" s="188">
        <v>3189.187897371457</v>
      </c>
      <c r="AB144" s="185">
        <f t="shared" si="60"/>
        <v>637.83757947429137</v>
      </c>
      <c r="AC144" s="182">
        <f t="shared" si="61"/>
        <v>23</v>
      </c>
      <c r="AD144" s="630"/>
      <c r="AE144" s="188">
        <v>5</v>
      </c>
      <c r="AF144" s="188">
        <v>3190.2678973714565</v>
      </c>
      <c r="AG144" s="185">
        <f t="shared" si="62"/>
        <v>638.05357947429127</v>
      </c>
      <c r="AH144" s="182">
        <f t="shared" si="63"/>
        <v>22</v>
      </c>
      <c r="AI144" s="630"/>
      <c r="AJ144" s="188">
        <v>5</v>
      </c>
      <c r="AK144" s="188">
        <v>3190.2678973714574</v>
      </c>
      <c r="AL144" s="185">
        <f t="shared" si="64"/>
        <v>638.0535794742915</v>
      </c>
      <c r="AM144" s="182">
        <f t="shared" si="65"/>
        <v>22</v>
      </c>
      <c r="AN144" s="630"/>
      <c r="AO144" s="188">
        <v>5</v>
      </c>
      <c r="AP144" s="188">
        <v>3189.5478973714571</v>
      </c>
      <c r="AQ144" s="185">
        <f t="shared" si="66"/>
        <v>637.90957947429138</v>
      </c>
      <c r="AR144" s="182">
        <f t="shared" si="67"/>
        <v>24</v>
      </c>
      <c r="AS144" s="630"/>
      <c r="AT144" s="188">
        <v>5</v>
      </c>
      <c r="AU144" s="188">
        <v>3189.1878973714565</v>
      </c>
      <c r="AV144" s="185">
        <f t="shared" si="68"/>
        <v>637.83757947429126</v>
      </c>
      <c r="AW144" s="182">
        <f t="shared" si="69"/>
        <v>24</v>
      </c>
      <c r="AX144" s="630"/>
    </row>
    <row r="145" spans="2:50" ht="14.25" customHeight="1">
      <c r="B145" s="631"/>
      <c r="C145" s="180">
        <v>19</v>
      </c>
      <c r="D145" s="183" t="s">
        <v>405</v>
      </c>
      <c r="E145" s="184">
        <v>3</v>
      </c>
      <c r="F145" s="180">
        <v>3600</v>
      </c>
      <c r="G145" s="185">
        <f t="shared" si="56"/>
        <v>1200</v>
      </c>
      <c r="H145" s="632"/>
      <c r="I145" s="186">
        <f t="shared" si="57"/>
        <v>3</v>
      </c>
      <c r="J145" s="186">
        <f t="shared" si="57"/>
        <v>3182.7054971269208</v>
      </c>
      <c r="K145" s="187">
        <f t="shared" si="57"/>
        <v>1060.9018323756404</v>
      </c>
      <c r="L145" s="633"/>
      <c r="M145" s="186">
        <f>RANK(K145, K$127:$K$161)</f>
        <v>7</v>
      </c>
      <c r="N145" s="644"/>
      <c r="O145" s="634"/>
      <c r="P145" s="188">
        <v>3</v>
      </c>
      <c r="Q145" s="188">
        <v>3183.324484645168</v>
      </c>
      <c r="R145" s="185">
        <f t="shared" si="54"/>
        <v>1061.1081615483893</v>
      </c>
      <c r="S145" s="182">
        <f t="shared" si="58"/>
        <v>6</v>
      </c>
      <c r="T145" s="630"/>
      <c r="U145" s="188">
        <v>3</v>
      </c>
      <c r="V145" s="188">
        <v>3182.9644846451679</v>
      </c>
      <c r="W145" s="185">
        <f t="shared" si="55"/>
        <v>1060.9881615483894</v>
      </c>
      <c r="X145" s="182">
        <f t="shared" si="59"/>
        <v>7</v>
      </c>
      <c r="Y145" s="630"/>
      <c r="Z145" s="188">
        <v>3</v>
      </c>
      <c r="AA145" s="188">
        <v>3182.2444846451681</v>
      </c>
      <c r="AB145" s="185">
        <f t="shared" si="60"/>
        <v>1060.7481615483894</v>
      </c>
      <c r="AC145" s="182">
        <f t="shared" si="61"/>
        <v>7</v>
      </c>
      <c r="AD145" s="630"/>
      <c r="AE145" s="188">
        <v>3</v>
      </c>
      <c r="AF145" s="188">
        <v>3183.6844846451677</v>
      </c>
      <c r="AG145" s="185">
        <f t="shared" si="62"/>
        <v>1061.2281615483892</v>
      </c>
      <c r="AH145" s="182">
        <f t="shared" si="63"/>
        <v>5</v>
      </c>
      <c r="AI145" s="630"/>
      <c r="AJ145" s="188">
        <v>3</v>
      </c>
      <c r="AK145" s="188">
        <v>3182.6044846451678</v>
      </c>
      <c r="AL145" s="185">
        <f t="shared" si="64"/>
        <v>1060.8681615483893</v>
      </c>
      <c r="AM145" s="182">
        <f t="shared" si="65"/>
        <v>8</v>
      </c>
      <c r="AN145" s="630"/>
      <c r="AO145" s="188">
        <v>3</v>
      </c>
      <c r="AP145" s="188">
        <v>3182.9515720174404</v>
      </c>
      <c r="AQ145" s="185">
        <f t="shared" si="66"/>
        <v>1060.9838573391469</v>
      </c>
      <c r="AR145" s="182">
        <f t="shared" si="67"/>
        <v>9</v>
      </c>
      <c r="AS145" s="630"/>
      <c r="AT145" s="188">
        <v>3</v>
      </c>
      <c r="AU145" s="188">
        <v>3181.1644846451672</v>
      </c>
      <c r="AV145" s="185">
        <f t="shared" si="68"/>
        <v>1060.388161548389</v>
      </c>
      <c r="AW145" s="182">
        <f t="shared" si="69"/>
        <v>9</v>
      </c>
      <c r="AX145" s="630"/>
    </row>
    <row r="146" spans="2:50" ht="14.25" customHeight="1">
      <c r="B146" s="631"/>
      <c r="C146" s="180">
        <v>20</v>
      </c>
      <c r="D146" s="183" t="s">
        <v>407</v>
      </c>
      <c r="E146" s="184">
        <v>4</v>
      </c>
      <c r="F146" s="180">
        <v>3600</v>
      </c>
      <c r="G146" s="185">
        <f t="shared" si="56"/>
        <v>900</v>
      </c>
      <c r="H146" s="632"/>
      <c r="I146" s="186">
        <f t="shared" si="57"/>
        <v>4</v>
      </c>
      <c r="J146" s="186">
        <f t="shared" si="57"/>
        <v>3182.1813397525802</v>
      </c>
      <c r="K146" s="187">
        <f t="shared" si="57"/>
        <v>795.54533493814506</v>
      </c>
      <c r="L146" s="633"/>
      <c r="M146" s="186">
        <f>RANK(K146, K$127:$K$161)</f>
        <v>19</v>
      </c>
      <c r="N146" s="644"/>
      <c r="O146" s="634"/>
      <c r="P146" s="188">
        <v>4</v>
      </c>
      <c r="Q146" s="188">
        <v>3181.552968073765</v>
      </c>
      <c r="R146" s="185">
        <f t="shared" si="54"/>
        <v>795.38824201844125</v>
      </c>
      <c r="S146" s="182">
        <f t="shared" si="58"/>
        <v>18</v>
      </c>
      <c r="T146" s="630"/>
      <c r="U146" s="188">
        <v>4</v>
      </c>
      <c r="V146" s="188">
        <v>3181.1929680737649</v>
      </c>
      <c r="W146" s="185">
        <f t="shared" si="55"/>
        <v>795.29824201844121</v>
      </c>
      <c r="X146" s="182">
        <f t="shared" si="59"/>
        <v>19</v>
      </c>
      <c r="Y146" s="630"/>
      <c r="Z146" s="188">
        <v>4</v>
      </c>
      <c r="AA146" s="188">
        <v>3181.9129680737651</v>
      </c>
      <c r="AB146" s="185">
        <f t="shared" si="60"/>
        <v>795.47824201844128</v>
      </c>
      <c r="AC146" s="182">
        <f t="shared" si="61"/>
        <v>18</v>
      </c>
      <c r="AD146" s="630"/>
      <c r="AE146" s="188">
        <v>4</v>
      </c>
      <c r="AF146" s="188">
        <v>3182.2729680737648</v>
      </c>
      <c r="AG146" s="185">
        <f t="shared" si="62"/>
        <v>795.5682420184412</v>
      </c>
      <c r="AH146" s="182">
        <f t="shared" si="63"/>
        <v>18</v>
      </c>
      <c r="AI146" s="630"/>
      <c r="AJ146" s="188">
        <v>4</v>
      </c>
      <c r="AK146" s="188">
        <v>3181.5529680737645</v>
      </c>
      <c r="AL146" s="185">
        <f t="shared" si="64"/>
        <v>795.38824201844113</v>
      </c>
      <c r="AM146" s="182">
        <f t="shared" si="65"/>
        <v>18</v>
      </c>
      <c r="AN146" s="630"/>
      <c r="AO146" s="188">
        <v>4</v>
      </c>
      <c r="AP146" s="188">
        <v>3183.3771662776335</v>
      </c>
      <c r="AQ146" s="185">
        <f t="shared" si="66"/>
        <v>795.84429156940837</v>
      </c>
      <c r="AR146" s="182">
        <f t="shared" si="67"/>
        <v>19</v>
      </c>
      <c r="AS146" s="630"/>
      <c r="AT146" s="188">
        <v>4</v>
      </c>
      <c r="AU146" s="188">
        <v>3183.4073716216053</v>
      </c>
      <c r="AV146" s="185">
        <f t="shared" si="68"/>
        <v>795.85184290540133</v>
      </c>
      <c r="AW146" s="182">
        <f t="shared" si="69"/>
        <v>19</v>
      </c>
      <c r="AX146" s="630"/>
    </row>
    <row r="147" spans="2:50" ht="14.25" customHeight="1">
      <c r="B147" s="631"/>
      <c r="C147" s="180">
        <v>21</v>
      </c>
      <c r="D147" s="183" t="s">
        <v>346</v>
      </c>
      <c r="E147" s="184">
        <v>5</v>
      </c>
      <c r="F147" s="180">
        <v>3300</v>
      </c>
      <c r="G147" s="185">
        <f t="shared" si="56"/>
        <v>660</v>
      </c>
      <c r="H147" s="632"/>
      <c r="I147" s="186">
        <f t="shared" si="57"/>
        <v>5</v>
      </c>
      <c r="J147" s="186">
        <f t="shared" si="57"/>
        <v>2977.3618971972205</v>
      </c>
      <c r="K147" s="187">
        <f t="shared" si="57"/>
        <v>595.47237943944401</v>
      </c>
      <c r="L147" s="633"/>
      <c r="M147" s="186">
        <f>RANK(K147, K$127:$K$161)</f>
        <v>30</v>
      </c>
      <c r="N147" s="644"/>
      <c r="O147" s="634"/>
      <c r="P147" s="188">
        <v>5</v>
      </c>
      <c r="Q147" s="188">
        <v>2976.9847543400774</v>
      </c>
      <c r="R147" s="185">
        <f t="shared" si="54"/>
        <v>595.39695086801544</v>
      </c>
      <c r="S147" s="182">
        <f t="shared" si="58"/>
        <v>30</v>
      </c>
      <c r="T147" s="630"/>
      <c r="U147" s="188">
        <v>5</v>
      </c>
      <c r="V147" s="188">
        <v>2976.654754340077</v>
      </c>
      <c r="W147" s="185">
        <f t="shared" si="55"/>
        <v>595.33095086801541</v>
      </c>
      <c r="X147" s="182">
        <f t="shared" si="59"/>
        <v>30</v>
      </c>
      <c r="Y147" s="630"/>
      <c r="Z147" s="188">
        <v>5</v>
      </c>
      <c r="AA147" s="188">
        <v>2978.3047543400771</v>
      </c>
      <c r="AB147" s="185">
        <f t="shared" si="60"/>
        <v>595.66095086801545</v>
      </c>
      <c r="AC147" s="182">
        <f t="shared" si="61"/>
        <v>30</v>
      </c>
      <c r="AD147" s="630"/>
      <c r="AE147" s="188">
        <v>5</v>
      </c>
      <c r="AF147" s="188">
        <v>2977.3147543400773</v>
      </c>
      <c r="AG147" s="185">
        <f t="shared" si="62"/>
        <v>595.46295086801547</v>
      </c>
      <c r="AH147" s="182">
        <f t="shared" si="63"/>
        <v>30</v>
      </c>
      <c r="AI147" s="630"/>
      <c r="AJ147" s="188">
        <v>5</v>
      </c>
      <c r="AK147" s="188">
        <v>2977.9747543400772</v>
      </c>
      <c r="AL147" s="185">
        <f t="shared" si="64"/>
        <v>595.59495086801542</v>
      </c>
      <c r="AM147" s="182">
        <f t="shared" si="65"/>
        <v>30</v>
      </c>
      <c r="AN147" s="630"/>
      <c r="AO147" s="188">
        <v>5</v>
      </c>
      <c r="AP147" s="188">
        <v>2976.9847543400774</v>
      </c>
      <c r="AQ147" s="185">
        <f t="shared" si="66"/>
        <v>595.39695086801544</v>
      </c>
      <c r="AR147" s="182">
        <f t="shared" si="67"/>
        <v>30</v>
      </c>
      <c r="AS147" s="630"/>
      <c r="AT147" s="188">
        <v>5</v>
      </c>
      <c r="AU147" s="188">
        <v>2977.3147543400764</v>
      </c>
      <c r="AV147" s="185">
        <f t="shared" si="68"/>
        <v>595.46295086801524</v>
      </c>
      <c r="AW147" s="182">
        <f t="shared" si="69"/>
        <v>30</v>
      </c>
      <c r="AX147" s="630"/>
    </row>
    <row r="148" spans="2:50" ht="14.25" customHeight="1">
      <c r="B148" s="631"/>
      <c r="C148" s="180">
        <v>22</v>
      </c>
      <c r="D148" s="183" t="s">
        <v>401</v>
      </c>
      <c r="E148" s="184">
        <v>3</v>
      </c>
      <c r="F148" s="180">
        <v>3600</v>
      </c>
      <c r="G148" s="185">
        <f>F148/E148</f>
        <v>1200</v>
      </c>
      <c r="H148" s="632"/>
      <c r="I148" s="186">
        <f t="shared" si="57"/>
        <v>3</v>
      </c>
      <c r="J148" s="186">
        <f t="shared" si="57"/>
        <v>3180.9408793242787</v>
      </c>
      <c r="K148" s="187">
        <f t="shared" si="57"/>
        <v>1060.3136264414263</v>
      </c>
      <c r="L148" s="633"/>
      <c r="M148" s="186">
        <f>RANK(K148, K$127:$K$161)</f>
        <v>8</v>
      </c>
      <c r="N148" s="644"/>
      <c r="O148" s="634"/>
      <c r="P148" s="188">
        <v>3</v>
      </c>
      <c r="Q148" s="188">
        <v>3181.2760075327119</v>
      </c>
      <c r="R148" s="185">
        <f t="shared" si="54"/>
        <v>1060.4253358442372</v>
      </c>
      <c r="S148" s="182">
        <f t="shared" si="58"/>
        <v>8</v>
      </c>
      <c r="T148" s="630"/>
      <c r="U148" s="188">
        <v>3</v>
      </c>
      <c r="V148" s="188">
        <v>3180.5560075327121</v>
      </c>
      <c r="W148" s="185">
        <f t="shared" si="55"/>
        <v>1060.1853358442374</v>
      </c>
      <c r="X148" s="182">
        <f t="shared" si="59"/>
        <v>8</v>
      </c>
      <c r="Y148" s="630"/>
      <c r="Z148" s="188">
        <v>3</v>
      </c>
      <c r="AA148" s="188">
        <v>3179.8360075327118</v>
      </c>
      <c r="AB148" s="185">
        <f t="shared" si="60"/>
        <v>1059.9453358442372</v>
      </c>
      <c r="AC148" s="182">
        <f t="shared" si="61"/>
        <v>8</v>
      </c>
      <c r="AD148" s="630"/>
      <c r="AE148" s="188">
        <v>3</v>
      </c>
      <c r="AF148" s="188">
        <v>3179.116007532712</v>
      </c>
      <c r="AG148" s="185">
        <f t="shared" si="62"/>
        <v>1059.7053358442374</v>
      </c>
      <c r="AH148" s="182">
        <f t="shared" si="63"/>
        <v>8</v>
      </c>
      <c r="AI148" s="630"/>
      <c r="AJ148" s="188">
        <v>3</v>
      </c>
      <c r="AK148" s="188">
        <v>3177.3160075327123</v>
      </c>
      <c r="AL148" s="185">
        <f t="shared" si="64"/>
        <v>1059.1053358442375</v>
      </c>
      <c r="AM148" s="182">
        <f t="shared" si="65"/>
        <v>9</v>
      </c>
      <c r="AN148" s="630"/>
      <c r="AO148" s="188">
        <v>3</v>
      </c>
      <c r="AP148" s="188">
        <v>3183.0061038263525</v>
      </c>
      <c r="AQ148" s="185">
        <f t="shared" si="66"/>
        <v>1061.0020346087842</v>
      </c>
      <c r="AR148" s="182">
        <f t="shared" si="67"/>
        <v>8</v>
      </c>
      <c r="AS148" s="630"/>
      <c r="AT148" s="188">
        <v>3</v>
      </c>
      <c r="AU148" s="188">
        <v>3185.4800137800376</v>
      </c>
      <c r="AV148" s="185">
        <f t="shared" si="68"/>
        <v>1061.8266712600125</v>
      </c>
      <c r="AW148" s="182">
        <f t="shared" si="69"/>
        <v>7</v>
      </c>
      <c r="AX148" s="630"/>
    </row>
    <row r="149" spans="2:50" ht="14.25" customHeight="1">
      <c r="B149" s="631"/>
      <c r="C149" s="180">
        <v>23</v>
      </c>
      <c r="D149" s="183" t="s">
        <v>559</v>
      </c>
      <c r="E149" s="184">
        <v>4</v>
      </c>
      <c r="F149" s="180">
        <v>3600</v>
      </c>
      <c r="G149" s="185">
        <f t="shared" ref="G149:G161" si="70">F149/E149</f>
        <v>900</v>
      </c>
      <c r="H149" s="632"/>
      <c r="I149" s="186">
        <f t="shared" si="57"/>
        <v>4</v>
      </c>
      <c r="J149" s="186">
        <f t="shared" si="57"/>
        <v>3193.0971428571415</v>
      </c>
      <c r="K149" s="187">
        <f t="shared" si="57"/>
        <v>798.27428571428538</v>
      </c>
      <c r="L149" s="633"/>
      <c r="M149" s="186">
        <f>RANK(K149, K$127:$K$161)</f>
        <v>16</v>
      </c>
      <c r="N149" s="644"/>
      <c r="O149" s="634"/>
      <c r="P149" s="188">
        <v>4</v>
      </c>
      <c r="Q149" s="188">
        <v>3192.8399999999983</v>
      </c>
      <c r="R149" s="185">
        <f t="shared" si="54"/>
        <v>798.20999999999958</v>
      </c>
      <c r="S149" s="182">
        <f t="shared" si="58"/>
        <v>16</v>
      </c>
      <c r="T149" s="630"/>
      <c r="U149" s="188">
        <v>4</v>
      </c>
      <c r="V149" s="188">
        <v>3192.4799999999987</v>
      </c>
      <c r="W149" s="185">
        <f t="shared" si="55"/>
        <v>798.11999999999966</v>
      </c>
      <c r="X149" s="182">
        <f t="shared" si="59"/>
        <v>16</v>
      </c>
      <c r="Y149" s="630"/>
      <c r="Z149" s="188">
        <v>4</v>
      </c>
      <c r="AA149" s="188">
        <v>3193.9199999999983</v>
      </c>
      <c r="AB149" s="185">
        <f t="shared" si="60"/>
        <v>798.47999999999956</v>
      </c>
      <c r="AC149" s="182">
        <f t="shared" si="61"/>
        <v>16</v>
      </c>
      <c r="AD149" s="630"/>
      <c r="AE149" s="188">
        <v>4</v>
      </c>
      <c r="AF149" s="188">
        <v>3192.8399999999988</v>
      </c>
      <c r="AG149" s="185">
        <f t="shared" si="62"/>
        <v>798.2099999999997</v>
      </c>
      <c r="AH149" s="182">
        <f t="shared" si="63"/>
        <v>16</v>
      </c>
      <c r="AI149" s="630"/>
      <c r="AJ149" s="188">
        <v>4</v>
      </c>
      <c r="AK149" s="188">
        <v>3193.5599999999986</v>
      </c>
      <c r="AL149" s="185">
        <f t="shared" si="64"/>
        <v>798.38999999999965</v>
      </c>
      <c r="AM149" s="182">
        <f t="shared" si="65"/>
        <v>16</v>
      </c>
      <c r="AN149" s="630"/>
      <c r="AO149" s="188">
        <v>4</v>
      </c>
      <c r="AP149" s="188">
        <v>3193.1999999999985</v>
      </c>
      <c r="AQ149" s="185">
        <f t="shared" si="66"/>
        <v>798.29999999999961</v>
      </c>
      <c r="AR149" s="182">
        <f t="shared" si="67"/>
        <v>16</v>
      </c>
      <c r="AS149" s="630"/>
      <c r="AT149" s="188">
        <v>4</v>
      </c>
      <c r="AU149" s="188">
        <v>3192.8399999999988</v>
      </c>
      <c r="AV149" s="185">
        <f t="shared" si="68"/>
        <v>798.2099999999997</v>
      </c>
      <c r="AW149" s="182">
        <f t="shared" si="69"/>
        <v>16</v>
      </c>
      <c r="AX149" s="630"/>
    </row>
    <row r="150" spans="2:50" ht="14.25" customHeight="1">
      <c r="B150" s="631"/>
      <c r="C150" s="180">
        <v>24</v>
      </c>
      <c r="D150" s="183" t="s">
        <v>404</v>
      </c>
      <c r="E150" s="184">
        <v>3</v>
      </c>
      <c r="F150" s="180">
        <v>3600</v>
      </c>
      <c r="G150" s="185">
        <f t="shared" si="70"/>
        <v>1200</v>
      </c>
      <c r="H150" s="632"/>
      <c r="I150" s="186">
        <f t="shared" si="57"/>
        <v>3</v>
      </c>
      <c r="J150" s="186">
        <f t="shared" si="57"/>
        <v>3189.527488372953</v>
      </c>
      <c r="K150" s="187">
        <f t="shared" si="57"/>
        <v>1063.1758294576509</v>
      </c>
      <c r="L150" s="633"/>
      <c r="M150" s="186">
        <f>RANK(K150, K$127:$K$161)</f>
        <v>2</v>
      </c>
      <c r="N150" s="644"/>
      <c r="O150" s="634"/>
      <c r="P150" s="188">
        <v>3</v>
      </c>
      <c r="Q150" s="188">
        <v>3189.8360598015242</v>
      </c>
      <c r="R150" s="185">
        <f t="shared" si="54"/>
        <v>1063.2786866005081</v>
      </c>
      <c r="S150" s="182">
        <f t="shared" si="58"/>
        <v>2</v>
      </c>
      <c r="T150" s="630"/>
      <c r="U150" s="188">
        <v>3</v>
      </c>
      <c r="V150" s="188">
        <v>3188.3960598015246</v>
      </c>
      <c r="W150" s="185">
        <f t="shared" si="55"/>
        <v>1062.7986866005083</v>
      </c>
      <c r="X150" s="182">
        <f t="shared" si="59"/>
        <v>2</v>
      </c>
      <c r="Y150" s="630"/>
      <c r="Z150" s="188">
        <v>3</v>
      </c>
      <c r="AA150" s="188">
        <v>3188.0360598015241</v>
      </c>
      <c r="AB150" s="185">
        <f t="shared" si="60"/>
        <v>1062.6786866005079</v>
      </c>
      <c r="AC150" s="182">
        <f t="shared" si="61"/>
        <v>4</v>
      </c>
      <c r="AD150" s="630"/>
      <c r="AE150" s="188">
        <v>3</v>
      </c>
      <c r="AF150" s="188">
        <v>3189.116059801524</v>
      </c>
      <c r="AG150" s="185">
        <f t="shared" si="62"/>
        <v>1063.0386866005081</v>
      </c>
      <c r="AH150" s="182">
        <f t="shared" si="63"/>
        <v>3</v>
      </c>
      <c r="AI150" s="630"/>
      <c r="AJ150" s="188">
        <v>3</v>
      </c>
      <c r="AK150" s="188">
        <v>3190.1960598015239</v>
      </c>
      <c r="AL150" s="185">
        <f t="shared" si="64"/>
        <v>1063.398686600508</v>
      </c>
      <c r="AM150" s="182">
        <f t="shared" si="65"/>
        <v>2</v>
      </c>
      <c r="AN150" s="630"/>
      <c r="AO150" s="188">
        <v>3</v>
      </c>
      <c r="AP150" s="188">
        <v>3189.8360598015242</v>
      </c>
      <c r="AQ150" s="185">
        <f t="shared" si="66"/>
        <v>1063.2786866005081</v>
      </c>
      <c r="AR150" s="182">
        <f t="shared" si="67"/>
        <v>3</v>
      </c>
      <c r="AS150" s="630"/>
      <c r="AT150" s="188">
        <v>3</v>
      </c>
      <c r="AU150" s="188">
        <v>3191.2760598015248</v>
      </c>
      <c r="AV150" s="185">
        <f t="shared" si="68"/>
        <v>1063.7586866005083</v>
      </c>
      <c r="AW150" s="182">
        <f t="shared" si="69"/>
        <v>3</v>
      </c>
      <c r="AX150" s="630"/>
    </row>
    <row r="151" spans="2:50" ht="14.25" customHeight="1">
      <c r="B151" s="631"/>
      <c r="C151" s="180">
        <v>25</v>
      </c>
      <c r="D151" s="183" t="s">
        <v>403</v>
      </c>
      <c r="E151" s="184">
        <v>5</v>
      </c>
      <c r="F151" s="180">
        <v>3600</v>
      </c>
      <c r="G151" s="185">
        <f t="shared" si="70"/>
        <v>720</v>
      </c>
      <c r="H151" s="632"/>
      <c r="I151" s="186">
        <f t="shared" si="57"/>
        <v>5</v>
      </c>
      <c r="J151" s="186">
        <f t="shared" si="57"/>
        <v>3191.2689204036483</v>
      </c>
      <c r="K151" s="187">
        <f t="shared" si="57"/>
        <v>638.2537840807297</v>
      </c>
      <c r="L151" s="633"/>
      <c r="M151" s="186">
        <f>RANK(K151, K$127:$K$161)</f>
        <v>21</v>
      </c>
      <c r="N151" s="644"/>
      <c r="O151" s="634"/>
      <c r="P151" s="188">
        <v>5</v>
      </c>
      <c r="Q151" s="188">
        <v>3188.3374918322206</v>
      </c>
      <c r="R151" s="185">
        <f t="shared" si="54"/>
        <v>637.66749836644408</v>
      </c>
      <c r="S151" s="182">
        <f t="shared" si="58"/>
        <v>23</v>
      </c>
      <c r="T151" s="630"/>
      <c r="U151" s="188">
        <v>5</v>
      </c>
      <c r="V151" s="188">
        <v>3190.1374918322199</v>
      </c>
      <c r="W151" s="185">
        <f t="shared" si="55"/>
        <v>638.02749836644398</v>
      </c>
      <c r="X151" s="182">
        <f t="shared" si="59"/>
        <v>21</v>
      </c>
      <c r="Y151" s="630"/>
      <c r="Z151" s="188">
        <v>5</v>
      </c>
      <c r="AA151" s="188">
        <v>3189.7774918322198</v>
      </c>
      <c r="AB151" s="185">
        <f t="shared" si="60"/>
        <v>637.95549836644398</v>
      </c>
      <c r="AC151" s="182">
        <f t="shared" si="61"/>
        <v>22</v>
      </c>
      <c r="AD151" s="630"/>
      <c r="AE151" s="188">
        <v>5</v>
      </c>
      <c r="AF151" s="188">
        <v>3190.8574918322201</v>
      </c>
      <c r="AG151" s="185">
        <f t="shared" si="62"/>
        <v>638.17149836644398</v>
      </c>
      <c r="AH151" s="182">
        <f t="shared" si="63"/>
        <v>21</v>
      </c>
      <c r="AI151" s="630"/>
      <c r="AJ151" s="188">
        <v>5</v>
      </c>
      <c r="AK151" s="188">
        <v>3192.2974918322197</v>
      </c>
      <c r="AL151" s="185">
        <f t="shared" si="64"/>
        <v>638.459498366444</v>
      </c>
      <c r="AM151" s="182">
        <f t="shared" si="65"/>
        <v>21</v>
      </c>
      <c r="AN151" s="630"/>
      <c r="AO151" s="188">
        <v>5</v>
      </c>
      <c r="AP151" s="188">
        <v>3193.3774918322197</v>
      </c>
      <c r="AQ151" s="185">
        <f t="shared" si="66"/>
        <v>638.67549836644389</v>
      </c>
      <c r="AR151" s="182">
        <f t="shared" si="67"/>
        <v>21</v>
      </c>
      <c r="AS151" s="630"/>
      <c r="AT151" s="188">
        <v>5</v>
      </c>
      <c r="AU151" s="188">
        <v>3194.097491832219</v>
      </c>
      <c r="AV151" s="185">
        <f t="shared" si="68"/>
        <v>638.81949836644378</v>
      </c>
      <c r="AW151" s="182">
        <f t="shared" si="69"/>
        <v>21</v>
      </c>
      <c r="AX151" s="630"/>
    </row>
    <row r="152" spans="2:50" ht="14.25" customHeight="1">
      <c r="B152" s="631"/>
      <c r="C152" s="180">
        <v>26</v>
      </c>
      <c r="D152" s="183" t="s">
        <v>400</v>
      </c>
      <c r="E152" s="184">
        <v>5</v>
      </c>
      <c r="F152" s="180">
        <v>3600</v>
      </c>
      <c r="G152" s="185">
        <f t="shared" si="70"/>
        <v>720</v>
      </c>
      <c r="H152" s="632"/>
      <c r="I152" s="186">
        <f t="shared" si="57"/>
        <v>5</v>
      </c>
      <c r="J152" s="186">
        <f t="shared" si="57"/>
        <v>3189.5460653516698</v>
      </c>
      <c r="K152" s="187">
        <f t="shared" si="57"/>
        <v>637.90921307033386</v>
      </c>
      <c r="L152" s="633"/>
      <c r="M152" s="186">
        <f>RANK(K152, K$127:$K$161)</f>
        <v>22</v>
      </c>
      <c r="N152" s="644"/>
      <c r="O152" s="634"/>
      <c r="P152" s="188">
        <v>5</v>
      </c>
      <c r="Q152" s="188">
        <v>3187.951779637383</v>
      </c>
      <c r="R152" s="185">
        <f t="shared" si="54"/>
        <v>637.59035592747659</v>
      </c>
      <c r="S152" s="182">
        <f t="shared" si="58"/>
        <v>25</v>
      </c>
      <c r="T152" s="630"/>
      <c r="U152" s="188">
        <v>5</v>
      </c>
      <c r="V152" s="188">
        <v>3189.0317796373829</v>
      </c>
      <c r="W152" s="185">
        <f t="shared" si="55"/>
        <v>637.8063559274766</v>
      </c>
      <c r="X152" s="182">
        <f t="shared" si="59"/>
        <v>22</v>
      </c>
      <c r="Y152" s="630"/>
      <c r="Z152" s="188">
        <v>5</v>
      </c>
      <c r="AA152" s="188">
        <v>3190.4717796373834</v>
      </c>
      <c r="AB152" s="185">
        <f t="shared" si="60"/>
        <v>638.09435592747673</v>
      </c>
      <c r="AC152" s="182">
        <f t="shared" si="61"/>
        <v>21</v>
      </c>
      <c r="AD152" s="630"/>
      <c r="AE152" s="188">
        <v>5</v>
      </c>
      <c r="AF152" s="188">
        <v>3190.1117796373837</v>
      </c>
      <c r="AG152" s="185">
        <f t="shared" si="62"/>
        <v>638.02235592747672</v>
      </c>
      <c r="AH152" s="182">
        <f t="shared" si="63"/>
        <v>23</v>
      </c>
      <c r="AI152" s="630"/>
      <c r="AJ152" s="188">
        <v>5</v>
      </c>
      <c r="AK152" s="188">
        <v>3188.3117796373845</v>
      </c>
      <c r="AL152" s="185">
        <f t="shared" si="64"/>
        <v>637.66235592747694</v>
      </c>
      <c r="AM152" s="182">
        <f t="shared" si="65"/>
        <v>23</v>
      </c>
      <c r="AN152" s="630"/>
      <c r="AO152" s="188">
        <v>5</v>
      </c>
      <c r="AP152" s="188">
        <v>3189.7517796373845</v>
      </c>
      <c r="AQ152" s="185">
        <f t="shared" si="66"/>
        <v>637.95035592747695</v>
      </c>
      <c r="AR152" s="182">
        <f t="shared" si="67"/>
        <v>22</v>
      </c>
      <c r="AS152" s="630"/>
      <c r="AT152" s="188">
        <v>5</v>
      </c>
      <c r="AU152" s="188">
        <v>3191.1917796373846</v>
      </c>
      <c r="AV152" s="185">
        <f t="shared" si="68"/>
        <v>638.23835592747696</v>
      </c>
      <c r="AW152" s="182">
        <f t="shared" si="69"/>
        <v>22</v>
      </c>
      <c r="AX152" s="630"/>
    </row>
    <row r="153" spans="2:50" ht="14.25" customHeight="1">
      <c r="B153" s="631"/>
      <c r="C153" s="180">
        <v>27</v>
      </c>
      <c r="D153" s="183" t="s">
        <v>402</v>
      </c>
      <c r="E153" s="184">
        <v>3</v>
      </c>
      <c r="F153" s="180">
        <v>3000</v>
      </c>
      <c r="G153" s="185">
        <f t="shared" si="70"/>
        <v>1000</v>
      </c>
      <c r="H153" s="632"/>
      <c r="I153" s="186">
        <f t="shared" si="57"/>
        <v>3</v>
      </c>
      <c r="J153" s="186">
        <f t="shared" si="57"/>
        <v>2710.6696205943954</v>
      </c>
      <c r="K153" s="187">
        <f t="shared" si="57"/>
        <v>903.55654019813187</v>
      </c>
      <c r="L153" s="633"/>
      <c r="M153" s="186">
        <f>RANK(K153, K$127:$K$161)</f>
        <v>13</v>
      </c>
      <c r="N153" s="644"/>
      <c r="O153" s="634"/>
      <c r="P153" s="188">
        <v>3</v>
      </c>
      <c r="Q153" s="188">
        <v>2707.5417673468291</v>
      </c>
      <c r="R153" s="185">
        <f t="shared" si="54"/>
        <v>902.51392244894305</v>
      </c>
      <c r="S153" s="182">
        <f t="shared" si="58"/>
        <v>13</v>
      </c>
      <c r="T153" s="630"/>
      <c r="U153" s="188">
        <v>3</v>
      </c>
      <c r="V153" s="188">
        <v>2708.4417673468288</v>
      </c>
      <c r="W153" s="185">
        <f t="shared" si="55"/>
        <v>902.81392244894289</v>
      </c>
      <c r="X153" s="182">
        <f t="shared" si="59"/>
        <v>14</v>
      </c>
      <c r="Y153" s="630"/>
      <c r="Z153" s="188">
        <v>3</v>
      </c>
      <c r="AA153" s="188">
        <v>2709.6417673468291</v>
      </c>
      <c r="AB153" s="185">
        <f t="shared" si="60"/>
        <v>903.21392244894298</v>
      </c>
      <c r="AC153" s="182">
        <f t="shared" si="61"/>
        <v>14</v>
      </c>
      <c r="AD153" s="630"/>
      <c r="AE153" s="188">
        <v>3</v>
      </c>
      <c r="AF153" s="188">
        <v>2711.1417673468286</v>
      </c>
      <c r="AG153" s="185">
        <f t="shared" si="62"/>
        <v>903.71392244894287</v>
      </c>
      <c r="AH153" s="182">
        <f t="shared" si="63"/>
        <v>13</v>
      </c>
      <c r="AI153" s="630"/>
      <c r="AJ153" s="188">
        <v>3</v>
      </c>
      <c r="AK153" s="188">
        <v>2712.3417673468284</v>
      </c>
      <c r="AL153" s="185">
        <f t="shared" si="64"/>
        <v>904.11392244894284</v>
      </c>
      <c r="AM153" s="182">
        <f t="shared" si="65"/>
        <v>13</v>
      </c>
      <c r="AN153" s="630"/>
      <c r="AO153" s="188">
        <v>3</v>
      </c>
      <c r="AP153" s="188">
        <v>2712.9208188828438</v>
      </c>
      <c r="AQ153" s="185">
        <f t="shared" si="66"/>
        <v>904.30693962761461</v>
      </c>
      <c r="AR153" s="182">
        <f t="shared" si="67"/>
        <v>13</v>
      </c>
      <c r="AS153" s="630"/>
      <c r="AT153" s="188">
        <v>3</v>
      </c>
      <c r="AU153" s="188">
        <v>2712.6576885437808</v>
      </c>
      <c r="AV153" s="185">
        <f t="shared" si="68"/>
        <v>904.21922951459362</v>
      </c>
      <c r="AW153" s="182">
        <f t="shared" si="69"/>
        <v>14</v>
      </c>
      <c r="AX153" s="630"/>
    </row>
    <row r="154" spans="2:50" ht="14.25" customHeight="1">
      <c r="B154" s="631"/>
      <c r="C154" s="180">
        <v>28</v>
      </c>
      <c r="D154" s="183" t="s">
        <v>442</v>
      </c>
      <c r="E154" s="184">
        <v>3</v>
      </c>
      <c r="F154" s="180">
        <v>3600</v>
      </c>
      <c r="G154" s="185">
        <f t="shared" si="70"/>
        <v>1200</v>
      </c>
      <c r="H154" s="632"/>
      <c r="I154" s="186">
        <f t="shared" si="57"/>
        <v>3</v>
      </c>
      <c r="J154" s="186">
        <f t="shared" si="57"/>
        <v>3194.3109221507757</v>
      </c>
      <c r="K154" s="187">
        <f t="shared" si="57"/>
        <v>1064.7703073835919</v>
      </c>
      <c r="L154" s="633"/>
      <c r="M154" s="186">
        <f>RANK(K154, K$127:$K$161)</f>
        <v>1</v>
      </c>
      <c r="N154" s="644"/>
      <c r="O154" s="634"/>
      <c r="P154" s="188">
        <v>3</v>
      </c>
      <c r="Q154" s="188">
        <v>3194.0023507222022</v>
      </c>
      <c r="R154" s="185">
        <f t="shared" si="54"/>
        <v>1064.6674502407341</v>
      </c>
      <c r="S154" s="182">
        <f t="shared" si="58"/>
        <v>1</v>
      </c>
      <c r="T154" s="630"/>
      <c r="U154" s="188">
        <v>3</v>
      </c>
      <c r="V154" s="188">
        <v>3192.5623507222031</v>
      </c>
      <c r="W154" s="185">
        <f t="shared" si="55"/>
        <v>1064.1874502407343</v>
      </c>
      <c r="X154" s="182">
        <f t="shared" si="59"/>
        <v>1</v>
      </c>
      <c r="Y154" s="630"/>
      <c r="Z154" s="188">
        <v>3</v>
      </c>
      <c r="AA154" s="188">
        <v>3194.002350722204</v>
      </c>
      <c r="AB154" s="185">
        <f t="shared" si="60"/>
        <v>1064.6674502407348</v>
      </c>
      <c r="AC154" s="182">
        <f t="shared" si="61"/>
        <v>1</v>
      </c>
      <c r="AD154" s="630"/>
      <c r="AE154" s="188">
        <v>3</v>
      </c>
      <c r="AF154" s="188">
        <v>3194.7223507222043</v>
      </c>
      <c r="AG154" s="185">
        <f t="shared" si="62"/>
        <v>1064.9074502407348</v>
      </c>
      <c r="AH154" s="182">
        <f t="shared" si="63"/>
        <v>1</v>
      </c>
      <c r="AI154" s="630"/>
      <c r="AJ154" s="188">
        <v>3</v>
      </c>
      <c r="AK154" s="188">
        <v>3194.002350722204</v>
      </c>
      <c r="AL154" s="185">
        <f t="shared" si="64"/>
        <v>1064.6674502407348</v>
      </c>
      <c r="AM154" s="182">
        <f t="shared" si="65"/>
        <v>1</v>
      </c>
      <c r="AN154" s="630"/>
      <c r="AO154" s="188">
        <v>3</v>
      </c>
      <c r="AP154" s="188">
        <v>3194.7223507222043</v>
      </c>
      <c r="AQ154" s="185">
        <f t="shared" si="66"/>
        <v>1064.9074502407348</v>
      </c>
      <c r="AR154" s="182">
        <f t="shared" si="67"/>
        <v>1</v>
      </c>
      <c r="AS154" s="630"/>
      <c r="AT154" s="188">
        <v>3</v>
      </c>
      <c r="AU154" s="188">
        <v>3196.1623507222048</v>
      </c>
      <c r="AV154" s="185">
        <f t="shared" si="68"/>
        <v>1065.387450240735</v>
      </c>
      <c r="AW154" s="182">
        <f t="shared" si="69"/>
        <v>1</v>
      </c>
      <c r="AX154" s="630"/>
    </row>
    <row r="155" spans="2:50" ht="14.25" customHeight="1">
      <c r="B155" s="631"/>
      <c r="C155" s="180">
        <v>29</v>
      </c>
      <c r="D155" s="183" t="s">
        <v>450</v>
      </c>
      <c r="E155" s="184">
        <v>4</v>
      </c>
      <c r="F155" s="180">
        <v>3000</v>
      </c>
      <c r="G155" s="185">
        <f t="shared" si="70"/>
        <v>750</v>
      </c>
      <c r="H155" s="632"/>
      <c r="I155" s="186">
        <f t="shared" si="57"/>
        <v>4</v>
      </c>
      <c r="J155" s="186">
        <f t="shared" si="57"/>
        <v>2705.8341842748341</v>
      </c>
      <c r="K155" s="187">
        <f t="shared" si="57"/>
        <v>676.45854606870853</v>
      </c>
      <c r="L155" s="633"/>
      <c r="M155" s="186">
        <f>RANK(K155, K$127:$K$161)</f>
        <v>20</v>
      </c>
      <c r="N155" s="644"/>
      <c r="O155" s="634"/>
      <c r="P155" s="188">
        <v>4</v>
      </c>
      <c r="Q155" s="188">
        <v>2705.3198985605477</v>
      </c>
      <c r="R155" s="185">
        <f t="shared" si="54"/>
        <v>676.32997464013692</v>
      </c>
      <c r="S155" s="182">
        <f t="shared" si="58"/>
        <v>20</v>
      </c>
      <c r="T155" s="630"/>
      <c r="U155" s="188">
        <v>4</v>
      </c>
      <c r="V155" s="188">
        <v>2705.9198985605481</v>
      </c>
      <c r="W155" s="185">
        <f t="shared" si="55"/>
        <v>676.47997464013702</v>
      </c>
      <c r="X155" s="182">
        <f t="shared" si="59"/>
        <v>20</v>
      </c>
      <c r="Y155" s="630"/>
      <c r="Z155" s="188">
        <v>4</v>
      </c>
      <c r="AA155" s="188">
        <v>2705.9198985605481</v>
      </c>
      <c r="AB155" s="185">
        <f t="shared" si="60"/>
        <v>676.47997464013702</v>
      </c>
      <c r="AC155" s="182">
        <f t="shared" si="61"/>
        <v>20</v>
      </c>
      <c r="AD155" s="630"/>
      <c r="AE155" s="188">
        <v>4</v>
      </c>
      <c r="AF155" s="188">
        <v>2706.8198985605486</v>
      </c>
      <c r="AG155" s="185">
        <f t="shared" si="62"/>
        <v>676.70497464013715</v>
      </c>
      <c r="AH155" s="182">
        <f t="shared" si="63"/>
        <v>20</v>
      </c>
      <c r="AI155" s="630"/>
      <c r="AJ155" s="188">
        <v>4</v>
      </c>
      <c r="AK155" s="188">
        <v>2705.9198985605485</v>
      </c>
      <c r="AL155" s="185">
        <f t="shared" si="64"/>
        <v>676.47997464013713</v>
      </c>
      <c r="AM155" s="182">
        <f t="shared" si="65"/>
        <v>20</v>
      </c>
      <c r="AN155" s="630"/>
      <c r="AO155" s="188">
        <v>4</v>
      </c>
      <c r="AP155" s="188">
        <v>2705.919898560549</v>
      </c>
      <c r="AQ155" s="185">
        <f t="shared" si="66"/>
        <v>676.47997464013724</v>
      </c>
      <c r="AR155" s="182">
        <f t="shared" si="67"/>
        <v>20</v>
      </c>
      <c r="AS155" s="630"/>
      <c r="AT155" s="188">
        <v>4</v>
      </c>
      <c r="AU155" s="188">
        <v>2705.0198985605498</v>
      </c>
      <c r="AV155" s="185">
        <f t="shared" si="68"/>
        <v>676.25497464013745</v>
      </c>
      <c r="AW155" s="182">
        <f t="shared" si="69"/>
        <v>20</v>
      </c>
      <c r="AX155" s="630"/>
    </row>
    <row r="156" spans="2:50" ht="14.25" customHeight="1">
      <c r="B156" s="631"/>
      <c r="C156" s="180">
        <v>30</v>
      </c>
      <c r="D156" s="183" t="s">
        <v>541</v>
      </c>
      <c r="E156" s="184">
        <v>5</v>
      </c>
      <c r="F156" s="180">
        <v>3000</v>
      </c>
      <c r="G156" s="185">
        <f t="shared" si="70"/>
        <v>600</v>
      </c>
      <c r="H156" s="632"/>
      <c r="I156" s="186">
        <f t="shared" si="57"/>
        <v>5</v>
      </c>
      <c r="J156" s="186">
        <f t="shared" si="57"/>
        <v>2706.463176754055</v>
      </c>
      <c r="K156" s="187">
        <f t="shared" si="57"/>
        <v>541.29263535081111</v>
      </c>
      <c r="L156" s="633"/>
      <c r="M156" s="186">
        <f>RANK(K156, K$127:$K$161)</f>
        <v>31</v>
      </c>
      <c r="N156" s="644"/>
      <c r="O156" s="634"/>
      <c r="P156" s="188">
        <v>5</v>
      </c>
      <c r="Q156" s="188">
        <v>2706.5917481826268</v>
      </c>
      <c r="R156" s="185">
        <f t="shared" si="54"/>
        <v>541.31834963652534</v>
      </c>
      <c r="S156" s="182">
        <f t="shared" si="58"/>
        <v>31</v>
      </c>
      <c r="T156" s="630"/>
      <c r="U156" s="188">
        <v>5</v>
      </c>
      <c r="V156" s="188">
        <v>2707.4917481826265</v>
      </c>
      <c r="W156" s="185">
        <f t="shared" si="55"/>
        <v>541.49834963652529</v>
      </c>
      <c r="X156" s="182">
        <f t="shared" si="59"/>
        <v>31</v>
      </c>
      <c r="Y156" s="630"/>
      <c r="Z156" s="188">
        <v>5</v>
      </c>
      <c r="AA156" s="188">
        <v>2707.491748182626</v>
      </c>
      <c r="AB156" s="185">
        <f t="shared" si="60"/>
        <v>541.49834963652518</v>
      </c>
      <c r="AC156" s="182">
        <f t="shared" si="61"/>
        <v>31</v>
      </c>
      <c r="AD156" s="630"/>
      <c r="AE156" s="188">
        <v>5</v>
      </c>
      <c r="AF156" s="188">
        <v>2705.9917481826265</v>
      </c>
      <c r="AG156" s="185">
        <f t="shared" si="62"/>
        <v>541.19834963652534</v>
      </c>
      <c r="AH156" s="182">
        <f t="shared" si="63"/>
        <v>31</v>
      </c>
      <c r="AI156" s="630"/>
      <c r="AJ156" s="188">
        <v>5</v>
      </c>
      <c r="AK156" s="188">
        <v>2704.7917481826266</v>
      </c>
      <c r="AL156" s="185">
        <f t="shared" si="64"/>
        <v>540.95834963652533</v>
      </c>
      <c r="AM156" s="182">
        <f t="shared" si="65"/>
        <v>31</v>
      </c>
      <c r="AN156" s="630"/>
      <c r="AO156" s="188">
        <v>5</v>
      </c>
      <c r="AP156" s="188">
        <v>2705.9917481826265</v>
      </c>
      <c r="AQ156" s="185">
        <f t="shared" si="66"/>
        <v>541.19834963652534</v>
      </c>
      <c r="AR156" s="182">
        <f t="shared" si="67"/>
        <v>31</v>
      </c>
      <c r="AS156" s="630"/>
      <c r="AT156" s="188">
        <v>5</v>
      </c>
      <c r="AU156" s="188">
        <v>2706.8917481826265</v>
      </c>
      <c r="AV156" s="185">
        <f t="shared" si="68"/>
        <v>541.37834963652529</v>
      </c>
      <c r="AW156" s="182">
        <f t="shared" si="69"/>
        <v>31</v>
      </c>
      <c r="AX156" s="630"/>
    </row>
    <row r="157" spans="2:50" ht="14.25" customHeight="1">
      <c r="B157" s="631"/>
      <c r="C157" s="180">
        <v>31</v>
      </c>
      <c r="D157" s="183" t="s">
        <v>560</v>
      </c>
      <c r="E157" s="180">
        <v>3</v>
      </c>
      <c r="F157" s="180">
        <v>3300</v>
      </c>
      <c r="G157" s="185">
        <f t="shared" si="70"/>
        <v>1100</v>
      </c>
      <c r="H157" s="632"/>
      <c r="I157" s="186">
        <f t="shared" si="57"/>
        <v>3</v>
      </c>
      <c r="J157" s="186">
        <f t="shared" si="57"/>
        <v>2982.9408047833385</v>
      </c>
      <c r="K157" s="187">
        <f t="shared" si="57"/>
        <v>994.31360159444614</v>
      </c>
      <c r="L157" s="633"/>
      <c r="M157" s="186">
        <f>RANK(K157, K$127:$K$161)</f>
        <v>10</v>
      </c>
      <c r="N157" s="644"/>
      <c r="O157" s="634"/>
      <c r="P157" s="188">
        <v>3</v>
      </c>
      <c r="Q157" s="188">
        <v>2980.3008047833382</v>
      </c>
      <c r="R157" s="185">
        <f t="shared" si="54"/>
        <v>993.43360159444603</v>
      </c>
      <c r="S157" s="182">
        <f t="shared" si="58"/>
        <v>9</v>
      </c>
      <c r="T157" s="630"/>
      <c r="U157" s="188">
        <v>3</v>
      </c>
      <c r="V157" s="188">
        <v>2981.6208047833379</v>
      </c>
      <c r="W157" s="185">
        <f t="shared" si="55"/>
        <v>993.87360159444597</v>
      </c>
      <c r="X157" s="182">
        <f t="shared" si="59"/>
        <v>10</v>
      </c>
      <c r="Y157" s="630"/>
      <c r="Z157" s="188">
        <v>3</v>
      </c>
      <c r="AA157" s="188">
        <v>2982.6108047833386</v>
      </c>
      <c r="AB157" s="185">
        <f t="shared" si="60"/>
        <v>994.20360159444624</v>
      </c>
      <c r="AC157" s="182">
        <f t="shared" si="61"/>
        <v>10</v>
      </c>
      <c r="AD157" s="630"/>
      <c r="AE157" s="188">
        <v>3</v>
      </c>
      <c r="AF157" s="188">
        <v>2982.9408047833385</v>
      </c>
      <c r="AG157" s="185">
        <f t="shared" si="62"/>
        <v>994.31360159444614</v>
      </c>
      <c r="AH157" s="182">
        <f t="shared" si="63"/>
        <v>11</v>
      </c>
      <c r="AI157" s="630"/>
      <c r="AJ157" s="188">
        <v>3</v>
      </c>
      <c r="AK157" s="188">
        <v>2984.2608047833382</v>
      </c>
      <c r="AL157" s="185">
        <f t="shared" si="64"/>
        <v>994.75360159444608</v>
      </c>
      <c r="AM157" s="182">
        <f t="shared" si="65"/>
        <v>10</v>
      </c>
      <c r="AN157" s="630"/>
      <c r="AO157" s="188">
        <v>3</v>
      </c>
      <c r="AP157" s="188">
        <v>2984.5908047833386</v>
      </c>
      <c r="AQ157" s="185">
        <f t="shared" si="66"/>
        <v>994.86360159444621</v>
      </c>
      <c r="AR157" s="182">
        <f t="shared" si="67"/>
        <v>10</v>
      </c>
      <c r="AS157" s="630"/>
      <c r="AT157" s="188">
        <v>3</v>
      </c>
      <c r="AU157" s="188">
        <v>2984.2608047833392</v>
      </c>
      <c r="AV157" s="185">
        <f t="shared" si="68"/>
        <v>994.75360159444642</v>
      </c>
      <c r="AW157" s="182">
        <f t="shared" si="69"/>
        <v>10</v>
      </c>
      <c r="AX157" s="630"/>
    </row>
    <row r="158" spans="2:50" ht="14.25" customHeight="1">
      <c r="B158" s="631"/>
      <c r="C158" s="180">
        <v>32</v>
      </c>
      <c r="D158" s="183" t="s">
        <v>500</v>
      </c>
      <c r="E158" s="180">
        <v>12</v>
      </c>
      <c r="F158" s="180">
        <v>3600</v>
      </c>
      <c r="G158" s="185">
        <f t="shared" si="70"/>
        <v>300</v>
      </c>
      <c r="H158" s="632"/>
      <c r="I158" s="186">
        <f t="shared" si="57"/>
        <v>12</v>
      </c>
      <c r="J158" s="186">
        <f t="shared" si="57"/>
        <v>3261.9541458530634</v>
      </c>
      <c r="K158" s="187">
        <f t="shared" si="57"/>
        <v>271.82951215442193</v>
      </c>
      <c r="L158" s="633"/>
      <c r="M158" s="186">
        <f>RANK(K158, K$127:$K$161)</f>
        <v>32</v>
      </c>
      <c r="N158" s="644"/>
      <c r="O158" s="634"/>
      <c r="P158" s="188">
        <v>12</v>
      </c>
      <c r="Q158" s="188">
        <v>3262.1941458530641</v>
      </c>
      <c r="R158" s="185">
        <f t="shared" si="54"/>
        <v>271.84951215442203</v>
      </c>
      <c r="S158" s="182">
        <f t="shared" si="58"/>
        <v>32</v>
      </c>
      <c r="T158" s="630"/>
      <c r="U158" s="188">
        <v>12</v>
      </c>
      <c r="V158" s="188">
        <v>3262.9141458530639</v>
      </c>
      <c r="W158" s="185">
        <f t="shared" si="55"/>
        <v>271.90951215442198</v>
      </c>
      <c r="X158" s="182">
        <f t="shared" si="59"/>
        <v>32</v>
      </c>
      <c r="Y158" s="630"/>
      <c r="Z158" s="188">
        <v>12</v>
      </c>
      <c r="AA158" s="188">
        <v>3261.8341458530631</v>
      </c>
      <c r="AB158" s="185">
        <f t="shared" si="60"/>
        <v>271.81951215442194</v>
      </c>
      <c r="AC158" s="182">
        <f t="shared" si="61"/>
        <v>32</v>
      </c>
      <c r="AD158" s="630"/>
      <c r="AE158" s="188">
        <v>12</v>
      </c>
      <c r="AF158" s="188">
        <v>3262.1941458530632</v>
      </c>
      <c r="AG158" s="185">
        <f t="shared" si="62"/>
        <v>271.84951215442192</v>
      </c>
      <c r="AH158" s="182">
        <f t="shared" si="63"/>
        <v>32</v>
      </c>
      <c r="AI158" s="630"/>
      <c r="AJ158" s="188">
        <v>12</v>
      </c>
      <c r="AK158" s="188">
        <v>3261.8341458530626</v>
      </c>
      <c r="AL158" s="185">
        <f t="shared" si="64"/>
        <v>271.81951215442189</v>
      </c>
      <c r="AM158" s="182">
        <f t="shared" si="65"/>
        <v>32</v>
      </c>
      <c r="AN158" s="630"/>
      <c r="AO158" s="188">
        <v>12</v>
      </c>
      <c r="AP158" s="188">
        <v>3260.7541458530627</v>
      </c>
      <c r="AQ158" s="185">
        <f t="shared" si="66"/>
        <v>271.72951215442191</v>
      </c>
      <c r="AR158" s="182">
        <f t="shared" si="67"/>
        <v>32</v>
      </c>
      <c r="AS158" s="630"/>
      <c r="AT158" s="188"/>
      <c r="AU158" s="188"/>
      <c r="AV158" s="185"/>
      <c r="AW158" s="182"/>
      <c r="AX158" s="630"/>
    </row>
    <row r="159" spans="2:50" ht="14.25" customHeight="1">
      <c r="B159" s="631"/>
      <c r="C159" s="180">
        <v>33</v>
      </c>
      <c r="D159" s="183" t="s">
        <v>515</v>
      </c>
      <c r="E159" s="180">
        <v>13</v>
      </c>
      <c r="F159" s="180">
        <v>3600</v>
      </c>
      <c r="G159" s="185">
        <f t="shared" si="70"/>
        <v>276.92307692307691</v>
      </c>
      <c r="H159" s="632"/>
      <c r="I159" s="186">
        <f t="shared" si="57"/>
        <v>13</v>
      </c>
      <c r="J159" s="186">
        <f t="shared" si="57"/>
        <v>3262.4357461978507</v>
      </c>
      <c r="K159" s="187">
        <f t="shared" si="57"/>
        <v>250.95659586137313</v>
      </c>
      <c r="L159" s="633"/>
      <c r="M159" s="186">
        <f>RANK(K159, K$127:$K$161)</f>
        <v>35</v>
      </c>
      <c r="N159" s="644"/>
      <c r="O159" s="634"/>
      <c r="P159" s="188">
        <v>13</v>
      </c>
      <c r="Q159" s="188">
        <v>3261.9705099026746</v>
      </c>
      <c r="R159" s="185">
        <f t="shared" si="54"/>
        <v>250.92080845405189</v>
      </c>
      <c r="S159" s="182">
        <f t="shared" si="58"/>
        <v>35</v>
      </c>
      <c r="T159" s="630"/>
      <c r="U159" s="188">
        <v>13</v>
      </c>
      <c r="V159" s="188">
        <v>3261.7932855803792</v>
      </c>
      <c r="W159" s="185">
        <f t="shared" si="55"/>
        <v>250.90717581387531</v>
      </c>
      <c r="X159" s="182">
        <f t="shared" si="59"/>
        <v>35</v>
      </c>
      <c r="Y159" s="630"/>
      <c r="Z159" s="188">
        <v>13</v>
      </c>
      <c r="AA159" s="188">
        <v>3262.1532855803794</v>
      </c>
      <c r="AB159" s="185">
        <f t="shared" si="60"/>
        <v>250.93486812156763</v>
      </c>
      <c r="AC159" s="182">
        <f t="shared" si="61"/>
        <v>35</v>
      </c>
      <c r="AD159" s="630"/>
      <c r="AE159" s="188">
        <v>13</v>
      </c>
      <c r="AF159" s="188">
        <v>3262.8732855803801</v>
      </c>
      <c r="AG159" s="185">
        <f t="shared" si="62"/>
        <v>250.9902527369523</v>
      </c>
      <c r="AH159" s="182">
        <f t="shared" si="63"/>
        <v>35</v>
      </c>
      <c r="AI159" s="630"/>
      <c r="AJ159" s="188">
        <v>13</v>
      </c>
      <c r="AK159" s="188">
        <v>3261.4332855803805</v>
      </c>
      <c r="AL159" s="185">
        <f t="shared" si="64"/>
        <v>250.87948350618311</v>
      </c>
      <c r="AM159" s="182">
        <f t="shared" si="65"/>
        <v>35</v>
      </c>
      <c r="AN159" s="630"/>
      <c r="AO159" s="188">
        <v>13</v>
      </c>
      <c r="AP159" s="188">
        <v>3263.2332855803807</v>
      </c>
      <c r="AQ159" s="185">
        <f t="shared" si="66"/>
        <v>251.01794504464468</v>
      </c>
      <c r="AR159" s="182">
        <f t="shared" si="67"/>
        <v>35</v>
      </c>
      <c r="AS159" s="630"/>
      <c r="AT159" s="188">
        <v>13</v>
      </c>
      <c r="AU159" s="188">
        <v>3263.5932855803808</v>
      </c>
      <c r="AV159" s="185">
        <f t="shared" ref="AV159:AV161" si="71">IFERROR(AU159/AT159,"")</f>
        <v>251.045637352337</v>
      </c>
      <c r="AW159" s="182">
        <f t="shared" si="69"/>
        <v>34</v>
      </c>
      <c r="AX159" s="630"/>
    </row>
    <row r="160" spans="2:50" ht="14.25" customHeight="1">
      <c r="B160" s="631"/>
      <c r="C160" s="180">
        <v>34</v>
      </c>
      <c r="D160" s="183" t="s">
        <v>347</v>
      </c>
      <c r="E160" s="180">
        <v>3</v>
      </c>
      <c r="F160" s="180">
        <v>3000</v>
      </c>
      <c r="G160" s="185">
        <f t="shared" si="70"/>
        <v>1000</v>
      </c>
      <c r="H160" s="632"/>
      <c r="I160" s="186">
        <f t="shared" si="57"/>
        <v>3</v>
      </c>
      <c r="J160" s="186">
        <f t="shared" si="57"/>
        <v>2710.3111015001709</v>
      </c>
      <c r="K160" s="187">
        <f t="shared" si="57"/>
        <v>903.43703383339027</v>
      </c>
      <c r="L160" s="633"/>
      <c r="M160" s="186">
        <f>RANK(K160, K$127:$K$161)</f>
        <v>14</v>
      </c>
      <c r="N160" s="644"/>
      <c r="O160" s="634"/>
      <c r="P160" s="188">
        <v>3</v>
      </c>
      <c r="Q160" s="188">
        <v>2707.5274938621405</v>
      </c>
      <c r="R160" s="185">
        <f t="shared" si="54"/>
        <v>902.50916462071348</v>
      </c>
      <c r="S160" s="182">
        <f t="shared" si="58"/>
        <v>14</v>
      </c>
      <c r="T160" s="630"/>
      <c r="U160" s="188">
        <v>3</v>
      </c>
      <c r="V160" s="188">
        <v>2709.0250361065091</v>
      </c>
      <c r="W160" s="185">
        <f t="shared" si="55"/>
        <v>903.00834536883633</v>
      </c>
      <c r="X160" s="182">
        <f t="shared" si="59"/>
        <v>13</v>
      </c>
      <c r="Y160" s="630"/>
      <c r="Z160" s="188">
        <v>3</v>
      </c>
      <c r="AA160" s="188">
        <v>2710.2250361065094</v>
      </c>
      <c r="AB160" s="185">
        <f t="shared" si="60"/>
        <v>903.40834536883642</v>
      </c>
      <c r="AC160" s="182">
        <f t="shared" si="61"/>
        <v>13</v>
      </c>
      <c r="AD160" s="630"/>
      <c r="AE160" s="188">
        <v>3</v>
      </c>
      <c r="AF160" s="188">
        <v>2710.8250361065093</v>
      </c>
      <c r="AG160" s="185">
        <f t="shared" si="62"/>
        <v>903.60834536883647</v>
      </c>
      <c r="AH160" s="182">
        <f t="shared" si="63"/>
        <v>14</v>
      </c>
      <c r="AI160" s="630"/>
      <c r="AJ160" s="188">
        <v>3</v>
      </c>
      <c r="AK160" s="188">
        <v>2711.4250361065092</v>
      </c>
      <c r="AL160" s="185">
        <f t="shared" si="64"/>
        <v>903.8083453688364</v>
      </c>
      <c r="AM160" s="182">
        <f t="shared" si="65"/>
        <v>14</v>
      </c>
      <c r="AN160" s="630"/>
      <c r="AO160" s="188">
        <v>3</v>
      </c>
      <c r="AP160" s="188">
        <v>2711.1250361065095</v>
      </c>
      <c r="AQ160" s="185">
        <f t="shared" si="66"/>
        <v>903.70834536883649</v>
      </c>
      <c r="AR160" s="182">
        <f t="shared" si="67"/>
        <v>15</v>
      </c>
      <c r="AS160" s="630"/>
      <c r="AT160" s="188">
        <v>3</v>
      </c>
      <c r="AU160" s="188">
        <v>2712.0250361065091</v>
      </c>
      <c r="AV160" s="185">
        <f t="shared" si="71"/>
        <v>904.00834536883633</v>
      </c>
      <c r="AW160" s="182">
        <f t="shared" si="69"/>
        <v>15</v>
      </c>
      <c r="AX160" s="630"/>
    </row>
    <row r="161" spans="2:50" ht="14.25" customHeight="1">
      <c r="B161" s="631"/>
      <c r="C161" s="180">
        <v>35</v>
      </c>
      <c r="D161" s="183" t="s">
        <v>446</v>
      </c>
      <c r="E161" s="180">
        <v>12</v>
      </c>
      <c r="F161" s="180">
        <v>3600</v>
      </c>
      <c r="G161" s="185">
        <f t="shared" si="70"/>
        <v>300</v>
      </c>
      <c r="H161" s="632"/>
      <c r="I161" s="186">
        <f t="shared" si="57"/>
        <v>12</v>
      </c>
      <c r="J161" s="186">
        <f t="shared" si="57"/>
        <v>3117.5743576454993</v>
      </c>
      <c r="K161" s="187">
        <f t="shared" si="57"/>
        <v>259.79786313712492</v>
      </c>
      <c r="L161" s="633"/>
      <c r="M161" s="186">
        <f>RANK(K161, K$127:$K$161)</f>
        <v>33</v>
      </c>
      <c r="N161" s="644"/>
      <c r="O161" s="634"/>
      <c r="P161" s="188">
        <v>12</v>
      </c>
      <c r="Q161" s="188">
        <v>3116.802929074071</v>
      </c>
      <c r="R161" s="185">
        <f t="shared" si="54"/>
        <v>259.73357742283923</v>
      </c>
      <c r="S161" s="182">
        <f t="shared" si="58"/>
        <v>33</v>
      </c>
      <c r="T161" s="630"/>
      <c r="U161" s="188">
        <v>12</v>
      </c>
      <c r="V161" s="188">
        <v>3117.8829290740709</v>
      </c>
      <c r="W161" s="185">
        <f t="shared" si="55"/>
        <v>259.82357742283926</v>
      </c>
      <c r="X161" s="182">
        <f t="shared" si="59"/>
        <v>34</v>
      </c>
      <c r="Y161" s="630"/>
      <c r="Z161" s="188">
        <v>12</v>
      </c>
      <c r="AA161" s="188">
        <v>3117.8829290740705</v>
      </c>
      <c r="AB161" s="185">
        <f t="shared" si="60"/>
        <v>259.82357742283921</v>
      </c>
      <c r="AC161" s="182">
        <f t="shared" si="61"/>
        <v>33</v>
      </c>
      <c r="AD161" s="630"/>
      <c r="AE161" s="188">
        <v>12</v>
      </c>
      <c r="AF161" s="188">
        <v>3118.96292907407</v>
      </c>
      <c r="AG161" s="185">
        <f t="shared" si="62"/>
        <v>259.91357742283918</v>
      </c>
      <c r="AH161" s="182">
        <f t="shared" si="63"/>
        <v>33</v>
      </c>
      <c r="AI161" s="630"/>
      <c r="AJ161" s="188">
        <v>12</v>
      </c>
      <c r="AK161" s="188">
        <v>3117.8829290740709</v>
      </c>
      <c r="AL161" s="185">
        <f t="shared" si="64"/>
        <v>259.82357742283926</v>
      </c>
      <c r="AM161" s="182">
        <f t="shared" si="65"/>
        <v>34</v>
      </c>
      <c r="AN161" s="630"/>
      <c r="AO161" s="188">
        <v>12</v>
      </c>
      <c r="AP161" s="188">
        <v>3116.0829290740717</v>
      </c>
      <c r="AQ161" s="185">
        <f t="shared" si="66"/>
        <v>259.67357742283929</v>
      </c>
      <c r="AR161" s="182">
        <f t="shared" si="67"/>
        <v>34</v>
      </c>
      <c r="AS161" s="630"/>
      <c r="AT161" s="188">
        <v>12</v>
      </c>
      <c r="AU161" s="188">
        <v>3117.5229290740713</v>
      </c>
      <c r="AV161" s="185">
        <f t="shared" si="71"/>
        <v>259.79357742283929</v>
      </c>
      <c r="AW161" s="182">
        <f t="shared" si="69"/>
        <v>32</v>
      </c>
      <c r="AX161" s="630"/>
    </row>
  </sheetData>
  <mergeCells count="236">
    <mergeCell ref="AX127:AX161"/>
    <mergeCell ref="B127:B161"/>
    <mergeCell ref="H127:H161"/>
    <mergeCell ref="L127:L161"/>
    <mergeCell ref="T127:T161"/>
    <mergeCell ref="Y127:Y161"/>
    <mergeCell ref="AD127:AD161"/>
    <mergeCell ref="AI127:AI161"/>
    <mergeCell ref="AN127:AN161"/>
    <mergeCell ref="AS127:AS16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61"/>
    <mergeCell ref="O124:O161"/>
    <mergeCell ref="P124:S124"/>
    <mergeCell ref="T124:T126"/>
    <mergeCell ref="U124:X124"/>
    <mergeCell ref="Y124:Y126"/>
    <mergeCell ref="Z124:AC124"/>
    <mergeCell ref="AD124:AD126"/>
    <mergeCell ref="AE124:AH124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41"/>
    <mergeCell ref="O4:O4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41"/>
    <mergeCell ref="B7:B41"/>
    <mergeCell ref="H7:H41"/>
    <mergeCell ref="L7:L41"/>
    <mergeCell ref="T7:T41"/>
    <mergeCell ref="Y7:Y41"/>
    <mergeCell ref="AD7:AD41"/>
    <mergeCell ref="AI7:AI41"/>
    <mergeCell ref="AN7:AN41"/>
    <mergeCell ref="AS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81"/>
    <mergeCell ref="O44:O8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81"/>
    <mergeCell ref="B47:B81"/>
    <mergeCell ref="H47:H81"/>
    <mergeCell ref="L47:L81"/>
    <mergeCell ref="T47:T81"/>
    <mergeCell ref="Y47:Y81"/>
    <mergeCell ref="AD47:AD81"/>
    <mergeCell ref="AI47:AI81"/>
    <mergeCell ref="AN47:AN81"/>
    <mergeCell ref="AS4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21"/>
    <mergeCell ref="O84:O12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21"/>
    <mergeCell ref="B87:B121"/>
    <mergeCell ref="H87:H121"/>
    <mergeCell ref="L87:L121"/>
    <mergeCell ref="T87:T121"/>
    <mergeCell ref="Y87:Y121"/>
    <mergeCell ref="AD87:AD121"/>
    <mergeCell ref="AI87:AI121"/>
    <mergeCell ref="AN87:AN121"/>
    <mergeCell ref="AS8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81"/>
  <sheetViews>
    <sheetView zoomScaleNormal="100" workbookViewId="0">
      <pane xSplit="13" ySplit="1" topLeftCell="N59" activePane="bottomRight" state="frozen"/>
      <selection activeCell="E31" sqref="E31"/>
      <selection pane="topRight" activeCell="E31" sqref="E31"/>
      <selection pane="bottomLeft" activeCell="E31" sqref="E31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4" t="s">
        <v>696</v>
      </c>
      <c r="C1" s="175">
        <f>AVERAGE(L7,L27,L47,L67)</f>
        <v>310.70201422211397</v>
      </c>
    </row>
    <row r="2" spans="1:50" ht="14.25" customHeight="1">
      <c r="B2" s="646" t="s">
        <v>619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7"/>
      <c r="N2" s="664" t="s">
        <v>369</v>
      </c>
      <c r="O2" s="664" t="s">
        <v>105</v>
      </c>
      <c r="P2" s="666">
        <v>46140</v>
      </c>
      <c r="Q2" s="667"/>
      <c r="R2" s="667"/>
      <c r="S2" s="667"/>
      <c r="T2" s="667"/>
      <c r="U2" s="668">
        <v>46141</v>
      </c>
      <c r="V2" s="669"/>
      <c r="W2" s="669"/>
      <c r="X2" s="669"/>
      <c r="Y2" s="669"/>
      <c r="Z2" s="666">
        <v>46142</v>
      </c>
      <c r="AA2" s="667"/>
      <c r="AB2" s="667"/>
      <c r="AC2" s="667"/>
      <c r="AD2" s="667"/>
      <c r="AE2" s="668">
        <v>46143</v>
      </c>
      <c r="AF2" s="669"/>
      <c r="AG2" s="669"/>
      <c r="AH2" s="669"/>
      <c r="AI2" s="669"/>
      <c r="AJ2" s="656">
        <v>46144</v>
      </c>
      <c r="AK2" s="657"/>
      <c r="AL2" s="657"/>
      <c r="AM2" s="657"/>
      <c r="AN2" s="658"/>
      <c r="AO2" s="668">
        <v>46145</v>
      </c>
      <c r="AP2" s="669"/>
      <c r="AQ2" s="669"/>
      <c r="AR2" s="669"/>
      <c r="AS2" s="669"/>
      <c r="AT2" s="656">
        <v>46146</v>
      </c>
      <c r="AU2" s="657"/>
      <c r="AV2" s="657"/>
      <c r="AW2" s="657"/>
      <c r="AX2" s="658"/>
    </row>
    <row r="3" spans="1:50" ht="14.25" customHeight="1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665"/>
      <c r="O3" s="665"/>
      <c r="P3" s="659">
        <v>46140</v>
      </c>
      <c r="Q3" s="659"/>
      <c r="R3" s="659"/>
      <c r="S3" s="659"/>
      <c r="T3" s="659"/>
      <c r="U3" s="660">
        <v>46141</v>
      </c>
      <c r="V3" s="660"/>
      <c r="W3" s="660"/>
      <c r="X3" s="660"/>
      <c r="Y3" s="660"/>
      <c r="Z3" s="659">
        <v>46142</v>
      </c>
      <c r="AA3" s="659"/>
      <c r="AB3" s="659"/>
      <c r="AC3" s="659"/>
      <c r="AD3" s="659"/>
      <c r="AE3" s="660">
        <v>46143</v>
      </c>
      <c r="AF3" s="660"/>
      <c r="AG3" s="660"/>
      <c r="AH3" s="660"/>
      <c r="AI3" s="660"/>
      <c r="AJ3" s="661">
        <v>46144</v>
      </c>
      <c r="AK3" s="662"/>
      <c r="AL3" s="662"/>
      <c r="AM3" s="662"/>
      <c r="AN3" s="663"/>
      <c r="AO3" s="660">
        <v>46145</v>
      </c>
      <c r="AP3" s="660"/>
      <c r="AQ3" s="660"/>
      <c r="AR3" s="660"/>
      <c r="AS3" s="660"/>
      <c r="AT3" s="661">
        <v>46146</v>
      </c>
      <c r="AU3" s="662"/>
      <c r="AV3" s="662"/>
      <c r="AW3" s="662"/>
      <c r="AX3" s="663"/>
    </row>
    <row r="4" spans="1:50" ht="14.25" customHeight="1">
      <c r="B4" s="631" t="s">
        <v>162</v>
      </c>
      <c r="C4" s="631" t="s">
        <v>157</v>
      </c>
      <c r="D4" s="631"/>
      <c r="E4" s="631" t="s">
        <v>158</v>
      </c>
      <c r="F4" s="631"/>
      <c r="G4" s="631"/>
      <c r="H4" s="631" t="s">
        <v>163</v>
      </c>
      <c r="I4" s="635" t="s">
        <v>370</v>
      </c>
      <c r="J4" s="635"/>
      <c r="K4" s="635"/>
      <c r="L4" s="635" t="s">
        <v>163</v>
      </c>
      <c r="M4" s="635" t="s">
        <v>165</v>
      </c>
      <c r="N4" s="631"/>
      <c r="O4" s="631" t="s">
        <v>164</v>
      </c>
      <c r="P4" s="631" t="s">
        <v>160</v>
      </c>
      <c r="Q4" s="631"/>
      <c r="R4" s="631"/>
      <c r="S4" s="631"/>
      <c r="T4" s="631" t="s">
        <v>163</v>
      </c>
      <c r="U4" s="631" t="s">
        <v>160</v>
      </c>
      <c r="V4" s="631"/>
      <c r="W4" s="631"/>
      <c r="X4" s="631"/>
      <c r="Y4" s="631" t="s">
        <v>163</v>
      </c>
      <c r="Z4" s="631" t="s">
        <v>160</v>
      </c>
      <c r="AA4" s="631"/>
      <c r="AB4" s="631"/>
      <c r="AC4" s="631"/>
      <c r="AD4" s="631" t="s">
        <v>163</v>
      </c>
      <c r="AE4" s="631" t="s">
        <v>160</v>
      </c>
      <c r="AF4" s="631"/>
      <c r="AG4" s="631"/>
      <c r="AH4" s="631"/>
      <c r="AI4" s="631" t="s">
        <v>163</v>
      </c>
      <c r="AJ4" s="631" t="s">
        <v>160</v>
      </c>
      <c r="AK4" s="631"/>
      <c r="AL4" s="631"/>
      <c r="AM4" s="631"/>
      <c r="AN4" s="631" t="s">
        <v>163</v>
      </c>
      <c r="AO4" s="631" t="s">
        <v>160</v>
      </c>
      <c r="AP4" s="631"/>
      <c r="AQ4" s="631"/>
      <c r="AR4" s="631"/>
      <c r="AS4" s="631" t="s">
        <v>163</v>
      </c>
      <c r="AT4" s="631" t="s">
        <v>160</v>
      </c>
      <c r="AU4" s="631"/>
      <c r="AV4" s="631"/>
      <c r="AW4" s="631"/>
      <c r="AX4" s="631" t="s">
        <v>163</v>
      </c>
    </row>
    <row r="5" spans="1:50" ht="14.25" customHeight="1">
      <c r="B5" s="631"/>
      <c r="C5" s="631"/>
      <c r="D5" s="631"/>
      <c r="E5" s="631" t="s">
        <v>371</v>
      </c>
      <c r="F5" s="631"/>
      <c r="G5" s="631"/>
      <c r="H5" s="631"/>
      <c r="I5" s="635" t="s">
        <v>371</v>
      </c>
      <c r="J5" s="635"/>
      <c r="K5" s="635"/>
      <c r="L5" s="635"/>
      <c r="M5" s="635"/>
      <c r="N5" s="631"/>
      <c r="O5" s="631"/>
      <c r="P5" s="631" t="s">
        <v>372</v>
      </c>
      <c r="Q5" s="631"/>
      <c r="R5" s="631"/>
      <c r="S5" s="631"/>
      <c r="T5" s="631"/>
      <c r="U5" s="631" t="s">
        <v>372</v>
      </c>
      <c r="V5" s="631"/>
      <c r="W5" s="631"/>
      <c r="X5" s="631"/>
      <c r="Y5" s="631"/>
      <c r="Z5" s="631" t="s">
        <v>372</v>
      </c>
      <c r="AA5" s="631"/>
      <c r="AB5" s="631"/>
      <c r="AC5" s="631"/>
      <c r="AD5" s="631"/>
      <c r="AE5" s="631" t="s">
        <v>372</v>
      </c>
      <c r="AF5" s="631"/>
      <c r="AG5" s="631"/>
      <c r="AH5" s="631"/>
      <c r="AI5" s="631"/>
      <c r="AJ5" s="631" t="s">
        <v>372</v>
      </c>
      <c r="AK5" s="631"/>
      <c r="AL5" s="631"/>
      <c r="AM5" s="631"/>
      <c r="AN5" s="631"/>
      <c r="AO5" s="631" t="s">
        <v>372</v>
      </c>
      <c r="AP5" s="631"/>
      <c r="AQ5" s="631"/>
      <c r="AR5" s="631"/>
      <c r="AS5" s="631"/>
      <c r="AT5" s="631" t="s">
        <v>372</v>
      </c>
      <c r="AU5" s="631"/>
      <c r="AV5" s="631"/>
      <c r="AW5" s="631"/>
      <c r="AX5" s="631"/>
    </row>
    <row r="6" spans="1:50" ht="14.25" customHeight="1">
      <c r="B6" s="631"/>
      <c r="C6" s="631"/>
      <c r="D6" s="631"/>
      <c r="E6" s="180" t="s">
        <v>159</v>
      </c>
      <c r="F6" s="180" t="s">
        <v>373</v>
      </c>
      <c r="G6" s="180" t="s">
        <v>161</v>
      </c>
      <c r="H6" s="631"/>
      <c r="I6" s="181" t="s">
        <v>159</v>
      </c>
      <c r="J6" s="181" t="s">
        <v>373</v>
      </c>
      <c r="K6" s="181" t="s">
        <v>161</v>
      </c>
      <c r="L6" s="635"/>
      <c r="M6" s="635"/>
      <c r="N6" s="631"/>
      <c r="O6" s="631"/>
      <c r="P6" s="180" t="s">
        <v>159</v>
      </c>
      <c r="Q6" s="180" t="s">
        <v>373</v>
      </c>
      <c r="R6" s="180" t="s">
        <v>161</v>
      </c>
      <c r="S6" s="182" t="s">
        <v>165</v>
      </c>
      <c r="T6" s="631"/>
      <c r="U6" s="180" t="s">
        <v>159</v>
      </c>
      <c r="V6" s="180" t="s">
        <v>373</v>
      </c>
      <c r="W6" s="180" t="s">
        <v>161</v>
      </c>
      <c r="X6" s="182" t="s">
        <v>165</v>
      </c>
      <c r="Y6" s="631"/>
      <c r="Z6" s="180" t="s">
        <v>159</v>
      </c>
      <c r="AA6" s="180" t="s">
        <v>373</v>
      </c>
      <c r="AB6" s="180" t="s">
        <v>161</v>
      </c>
      <c r="AC6" s="182" t="s">
        <v>165</v>
      </c>
      <c r="AD6" s="631"/>
      <c r="AE6" s="180" t="s">
        <v>159</v>
      </c>
      <c r="AF6" s="180" t="s">
        <v>373</v>
      </c>
      <c r="AG6" s="180" t="s">
        <v>161</v>
      </c>
      <c r="AH6" s="182" t="s">
        <v>165</v>
      </c>
      <c r="AI6" s="631"/>
      <c r="AJ6" s="180" t="s">
        <v>159</v>
      </c>
      <c r="AK6" s="180" t="s">
        <v>373</v>
      </c>
      <c r="AL6" s="180" t="s">
        <v>161</v>
      </c>
      <c r="AM6" s="182" t="s">
        <v>165</v>
      </c>
      <c r="AN6" s="631"/>
      <c r="AO6" s="180" t="s">
        <v>159</v>
      </c>
      <c r="AP6" s="180" t="s">
        <v>373</v>
      </c>
      <c r="AQ6" s="180" t="s">
        <v>161</v>
      </c>
      <c r="AR6" s="182" t="s">
        <v>165</v>
      </c>
      <c r="AS6" s="631"/>
      <c r="AT6" s="180" t="s">
        <v>159</v>
      </c>
      <c r="AU6" s="180" t="s">
        <v>373</v>
      </c>
      <c r="AV6" s="180" t="s">
        <v>161</v>
      </c>
      <c r="AW6" s="182" t="s">
        <v>165</v>
      </c>
      <c r="AX6" s="631"/>
    </row>
    <row r="7" spans="1:50" ht="14.25" customHeight="1">
      <c r="B7" s="631" t="s">
        <v>375</v>
      </c>
      <c r="C7" s="180">
        <v>1</v>
      </c>
      <c r="D7" s="183" t="s">
        <v>348</v>
      </c>
      <c r="E7" s="180">
        <v>11</v>
      </c>
      <c r="F7" s="180">
        <v>3600</v>
      </c>
      <c r="G7" s="185">
        <f t="shared" ref="G7:G11" si="0">F7/E7</f>
        <v>327.27272727272725</v>
      </c>
      <c r="H7" s="632">
        <f>AVERAGE(G7:G21)</f>
        <v>358.78787878787875</v>
      </c>
      <c r="I7" s="186">
        <f>AVERAGE(P7,U7,Z7,AE7,AJ7,AO7,AT7)</f>
        <v>11</v>
      </c>
      <c r="J7" s="186">
        <f>AVERAGE(Q7,V7,AA7,AF7,AK7,AP7,AU7)</f>
        <v>3182.9214592888088</v>
      </c>
      <c r="K7" s="187">
        <f>AVERAGE(R7,W7,AB7,AG7,AL7,AQ7,AV7)</f>
        <v>289.35649629898256</v>
      </c>
      <c r="L7" s="633">
        <f>IFERROR(AVERAGE(K7:K21),"-")</f>
        <v>319.3525945658962</v>
      </c>
      <c r="M7" s="186">
        <f>RANK(K7, K$7:$K$21)</f>
        <v>3</v>
      </c>
      <c r="N7" s="631"/>
      <c r="O7" s="631"/>
      <c r="P7" s="188">
        <v>11</v>
      </c>
      <c r="Q7" s="188">
        <v>3182.7157450030936</v>
      </c>
      <c r="R7" s="185">
        <f>IFERROR(Q7/P7,"")</f>
        <v>289.33779500028123</v>
      </c>
      <c r="S7" s="182">
        <f>RANK(R7, R$7:R$21)</f>
        <v>3</v>
      </c>
      <c r="T7" s="632">
        <f>AVERAGE(R7:R21)</f>
        <v>319.09547804171746</v>
      </c>
      <c r="U7" s="188">
        <v>11</v>
      </c>
      <c r="V7" s="188">
        <v>3181.6357450030937</v>
      </c>
      <c r="W7" s="185">
        <f t="shared" ref="W7:W11" si="1">IFERROR(V7/U7,"")</f>
        <v>289.23961318209945</v>
      </c>
      <c r="X7" s="182">
        <f>RANK(W7, W$7:W$21)</f>
        <v>3</v>
      </c>
      <c r="Y7" s="632">
        <f>AVERAGE(W7:W21)</f>
        <v>319.08184167808116</v>
      </c>
      <c r="Z7" s="188">
        <v>11</v>
      </c>
      <c r="AA7" s="188">
        <v>3181.9957450030943</v>
      </c>
      <c r="AB7" s="185">
        <f t="shared" ref="AB7:AB11" si="2">IFERROR(AA7/Z7,"")</f>
        <v>289.27234045482675</v>
      </c>
      <c r="AC7" s="182">
        <f>RANK(AB7, AB$7:AB$21)</f>
        <v>3</v>
      </c>
      <c r="AD7" s="632">
        <f>AVERAGE(AB7:AB21)</f>
        <v>319.46271137799562</v>
      </c>
      <c r="AE7" s="188">
        <v>11</v>
      </c>
      <c r="AF7" s="188">
        <v>3183.0757450030951</v>
      </c>
      <c r="AG7" s="185">
        <f>IFERROR(AF7/AE7,"")</f>
        <v>289.37052227300865</v>
      </c>
      <c r="AH7" s="182">
        <f>RANK(AG7, AG$7:AG$21)</f>
        <v>3</v>
      </c>
      <c r="AI7" s="632">
        <f>AVERAGE(AG7:AG21)</f>
        <v>319.49926903501438</v>
      </c>
      <c r="AJ7" s="188">
        <v>11</v>
      </c>
      <c r="AK7" s="188">
        <v>3183.0757450030951</v>
      </c>
      <c r="AL7" s="185">
        <f t="shared" ref="AL7:AL11" si="3">IFERROR(AK7/AJ7,"")</f>
        <v>289.37052227300865</v>
      </c>
      <c r="AM7" s="182">
        <f>RANK(AL7, AL$7:AL$21)</f>
        <v>3</v>
      </c>
      <c r="AN7" s="632">
        <f>AVERAGE(AL7:AL21)</f>
        <v>319.39993570168104</v>
      </c>
      <c r="AO7" s="188">
        <v>11</v>
      </c>
      <c r="AP7" s="188">
        <v>3183.7957450030954</v>
      </c>
      <c r="AQ7" s="185">
        <f t="shared" ref="AQ7:AQ11" si="4">IFERROR(AP7/AO7,"")</f>
        <v>289.43597681846319</v>
      </c>
      <c r="AR7" s="182">
        <f>RANK(AQ7, AQ$7:AQ$21)</f>
        <v>3</v>
      </c>
      <c r="AS7" s="632">
        <f>AVERAGE(AQ7:AQ21)</f>
        <v>319.48785165352024</v>
      </c>
      <c r="AT7" s="188">
        <v>11</v>
      </c>
      <c r="AU7" s="188">
        <v>3184.155745003095</v>
      </c>
      <c r="AV7" s="185">
        <f t="shared" ref="AV7:AV11" si="5">IFERROR(AU7/AT7,"")</f>
        <v>289.46870409119043</v>
      </c>
      <c r="AW7" s="182">
        <f>RANK(AV7, AV$7:AV$21)</f>
        <v>3</v>
      </c>
      <c r="AX7" s="632">
        <f>AVERAGE(AV7:AV21)</f>
        <v>319.44107447326331</v>
      </c>
    </row>
    <row r="8" spans="1:50" ht="14.25" customHeight="1">
      <c r="B8" s="631"/>
      <c r="C8" s="180">
        <v>2</v>
      </c>
      <c r="D8" s="183" t="s">
        <v>443</v>
      </c>
      <c r="E8" s="180">
        <v>6</v>
      </c>
      <c r="F8" s="180">
        <v>2600</v>
      </c>
      <c r="G8" s="185">
        <f t="shared" si="0"/>
        <v>433.33333333333331</v>
      </c>
      <c r="H8" s="632"/>
      <c r="I8" s="186">
        <f t="shared" ref="I8:K11" si="6">AVERAGE(P8,U8,Z8,AE8,AJ8,AO8,AT8)</f>
        <v>6</v>
      </c>
      <c r="J8" s="186">
        <f t="shared" si="6"/>
        <v>2343.4885080000886</v>
      </c>
      <c r="K8" s="187">
        <f t="shared" si="6"/>
        <v>390.58141800001471</v>
      </c>
      <c r="L8" s="633"/>
      <c r="M8" s="186">
        <f>RANK(K8, K$7:$K$21)</f>
        <v>2</v>
      </c>
      <c r="N8" s="631"/>
      <c r="O8" s="631"/>
      <c r="P8" s="188">
        <v>6</v>
      </c>
      <c r="Q8" s="188">
        <v>2339.0927844120024</v>
      </c>
      <c r="R8" s="185">
        <f t="shared" ref="R8:R11" si="7">IFERROR(Q8/P8,"")</f>
        <v>389.8487974020004</v>
      </c>
      <c r="S8" s="182">
        <f t="shared" ref="S8:S11" si="8">RANK(R8, R$7:R$21)</f>
        <v>2</v>
      </c>
      <c r="T8" s="632"/>
      <c r="U8" s="188">
        <v>6</v>
      </c>
      <c r="V8" s="188">
        <v>2339.8727844120021</v>
      </c>
      <c r="W8" s="185">
        <f t="shared" si="1"/>
        <v>389.97879740200034</v>
      </c>
      <c r="X8" s="182">
        <f t="shared" ref="X8:X11" si="9">RANK(W8, W$7:W$21)</f>
        <v>1</v>
      </c>
      <c r="Y8" s="632"/>
      <c r="Z8" s="188">
        <v>6</v>
      </c>
      <c r="AA8" s="188">
        <v>2344.1246863941474</v>
      </c>
      <c r="AB8" s="185">
        <f t="shared" si="2"/>
        <v>390.6874477323579</v>
      </c>
      <c r="AC8" s="182">
        <f t="shared" ref="AC8:AC11" si="10">RANK(AB8, AB$7:AB$21)</f>
        <v>2</v>
      </c>
      <c r="AD8" s="632"/>
      <c r="AE8" s="188">
        <v>6</v>
      </c>
      <c r="AF8" s="188">
        <v>2345.8523251956167</v>
      </c>
      <c r="AG8" s="185">
        <f t="shared" ref="AG8:AG11" si="11">IFERROR(AF8/AE8,"")</f>
        <v>390.97538753260278</v>
      </c>
      <c r="AH8" s="182">
        <f t="shared" ref="AH8:AH11" si="12">RANK(AG8, AG$7:AG$21)</f>
        <v>1</v>
      </c>
      <c r="AI8" s="632"/>
      <c r="AJ8" s="188">
        <v>6</v>
      </c>
      <c r="AK8" s="188">
        <v>2344.8123251956167</v>
      </c>
      <c r="AL8" s="185">
        <f t="shared" si="3"/>
        <v>390.80205419926943</v>
      </c>
      <c r="AM8" s="182">
        <f t="shared" ref="AM8:AM11" si="13">RANK(AL8, AL$7:AL$21)</f>
        <v>1</v>
      </c>
      <c r="AN8" s="632"/>
      <c r="AO8" s="188">
        <v>6</v>
      </c>
      <c r="AP8" s="188">
        <v>2345.5923251956165</v>
      </c>
      <c r="AQ8" s="185">
        <f t="shared" si="4"/>
        <v>390.93205419926943</v>
      </c>
      <c r="AR8" s="182">
        <f t="shared" ref="AR8:AR11" si="14">RANK(AQ8, AQ$7:AQ$21)</f>
        <v>1</v>
      </c>
      <c r="AS8" s="632"/>
      <c r="AT8" s="188">
        <v>6</v>
      </c>
      <c r="AU8" s="188">
        <v>2345.0723251956169</v>
      </c>
      <c r="AV8" s="185">
        <f t="shared" si="5"/>
        <v>390.84538753260284</v>
      </c>
      <c r="AW8" s="182">
        <f t="shared" ref="AW8:AW11" si="15">RANK(AV8, AV$7:AV$21)</f>
        <v>1</v>
      </c>
      <c r="AX8" s="632"/>
    </row>
    <row r="9" spans="1:50" ht="14.25" customHeight="1">
      <c r="B9" s="631"/>
      <c r="C9" s="180">
        <v>3</v>
      </c>
      <c r="D9" s="183" t="s">
        <v>445</v>
      </c>
      <c r="E9" s="180">
        <v>6</v>
      </c>
      <c r="F9" s="180">
        <v>2600</v>
      </c>
      <c r="G9" s="185">
        <f t="shared" si="0"/>
        <v>433.33333333333331</v>
      </c>
      <c r="H9" s="632"/>
      <c r="I9" s="186">
        <f t="shared" si="6"/>
        <v>6</v>
      </c>
      <c r="J9" s="186">
        <f t="shared" si="6"/>
        <v>2343.5017458695552</v>
      </c>
      <c r="K9" s="187">
        <f t="shared" si="6"/>
        <v>390.58362431159247</v>
      </c>
      <c r="L9" s="633"/>
      <c r="M9" s="186">
        <f>RANK(K9, K$7:$K$21)</f>
        <v>1</v>
      </c>
      <c r="N9" s="631"/>
      <c r="O9" s="631"/>
      <c r="P9" s="188">
        <v>6</v>
      </c>
      <c r="Q9" s="188">
        <v>2339.949013456036</v>
      </c>
      <c r="R9" s="185">
        <f t="shared" si="7"/>
        <v>389.99150224267265</v>
      </c>
      <c r="S9" s="182">
        <f t="shared" si="8"/>
        <v>1</v>
      </c>
      <c r="T9" s="632"/>
      <c r="U9" s="188">
        <v>6</v>
      </c>
      <c r="V9" s="188">
        <v>2339.1690134560367</v>
      </c>
      <c r="W9" s="185">
        <f t="shared" si="1"/>
        <v>389.86150224267277</v>
      </c>
      <c r="X9" s="182">
        <f t="shared" si="9"/>
        <v>2</v>
      </c>
      <c r="Y9" s="632"/>
      <c r="Z9" s="188">
        <v>6</v>
      </c>
      <c r="AA9" s="188">
        <v>2346.3268388349625</v>
      </c>
      <c r="AB9" s="185">
        <f t="shared" si="2"/>
        <v>391.05447313916039</v>
      </c>
      <c r="AC9" s="182">
        <f t="shared" si="10"/>
        <v>1</v>
      </c>
      <c r="AD9" s="632"/>
      <c r="AE9" s="188">
        <v>6</v>
      </c>
      <c r="AF9" s="188">
        <v>2345.2868388349625</v>
      </c>
      <c r="AG9" s="185">
        <f t="shared" si="11"/>
        <v>390.8811398058271</v>
      </c>
      <c r="AH9" s="182">
        <f t="shared" si="12"/>
        <v>2</v>
      </c>
      <c r="AI9" s="632"/>
      <c r="AJ9" s="188">
        <v>6</v>
      </c>
      <c r="AK9" s="188">
        <v>2344.246838834963</v>
      </c>
      <c r="AL9" s="185">
        <f t="shared" si="3"/>
        <v>390.70780647249381</v>
      </c>
      <c r="AM9" s="182">
        <f t="shared" si="13"/>
        <v>2</v>
      </c>
      <c r="AN9" s="632"/>
      <c r="AO9" s="188">
        <v>6</v>
      </c>
      <c r="AP9" s="188">
        <v>2345.2868388349625</v>
      </c>
      <c r="AQ9" s="185">
        <f t="shared" si="4"/>
        <v>390.8811398058271</v>
      </c>
      <c r="AR9" s="182">
        <f t="shared" si="14"/>
        <v>2</v>
      </c>
      <c r="AS9" s="632"/>
      <c r="AT9" s="188">
        <v>6</v>
      </c>
      <c r="AU9" s="188">
        <v>2344.2468388349625</v>
      </c>
      <c r="AV9" s="185">
        <f t="shared" si="5"/>
        <v>390.70780647249376</v>
      </c>
      <c r="AW9" s="182">
        <f t="shared" si="15"/>
        <v>2</v>
      </c>
      <c r="AX9" s="632"/>
    </row>
    <row r="10" spans="1:50" ht="14.25" customHeight="1">
      <c r="B10" s="631"/>
      <c r="C10" s="180">
        <v>4</v>
      </c>
      <c r="D10" s="183" t="s">
        <v>561</v>
      </c>
      <c r="E10" s="180">
        <v>12</v>
      </c>
      <c r="F10" s="180">
        <v>3600</v>
      </c>
      <c r="G10" s="185">
        <f t="shared" si="0"/>
        <v>300</v>
      </c>
      <c r="H10" s="632"/>
      <c r="I10" s="186">
        <f t="shared" si="6"/>
        <v>12</v>
      </c>
      <c r="J10" s="186">
        <f t="shared" si="6"/>
        <v>3158.0217309505797</v>
      </c>
      <c r="K10" s="187">
        <f t="shared" si="6"/>
        <v>263.16847757921494</v>
      </c>
      <c r="L10" s="633"/>
      <c r="M10" s="186">
        <f>RANK(K10, K$7:$K$21)</f>
        <v>4</v>
      </c>
      <c r="N10" s="631"/>
      <c r="O10" s="631"/>
      <c r="P10" s="188">
        <v>12</v>
      </c>
      <c r="Q10" s="188">
        <v>3156.9417309505793</v>
      </c>
      <c r="R10" s="185">
        <f t="shared" si="7"/>
        <v>263.07847757921496</v>
      </c>
      <c r="S10" s="182">
        <f t="shared" si="8"/>
        <v>5</v>
      </c>
      <c r="T10" s="632"/>
      <c r="U10" s="188">
        <v>12</v>
      </c>
      <c r="V10" s="188">
        <v>3158.3817309505798</v>
      </c>
      <c r="W10" s="185">
        <f t="shared" si="1"/>
        <v>263.19847757921497</v>
      </c>
      <c r="X10" s="182">
        <f t="shared" si="9"/>
        <v>4</v>
      </c>
      <c r="Y10" s="632"/>
      <c r="Z10" s="188">
        <v>12</v>
      </c>
      <c r="AA10" s="188">
        <v>3158.0217309505792</v>
      </c>
      <c r="AB10" s="185">
        <f t="shared" si="2"/>
        <v>263.16847757921494</v>
      </c>
      <c r="AC10" s="182">
        <f t="shared" si="10"/>
        <v>4</v>
      </c>
      <c r="AD10" s="632"/>
      <c r="AE10" s="188">
        <v>12</v>
      </c>
      <c r="AF10" s="188">
        <v>3158.741730950579</v>
      </c>
      <c r="AG10" s="185">
        <f t="shared" si="11"/>
        <v>263.22847757921494</v>
      </c>
      <c r="AH10" s="182">
        <f t="shared" si="12"/>
        <v>4</v>
      </c>
      <c r="AI10" s="632"/>
      <c r="AJ10" s="188">
        <v>12</v>
      </c>
      <c r="AK10" s="188">
        <v>3157.6617309505796</v>
      </c>
      <c r="AL10" s="185">
        <f t="shared" si="3"/>
        <v>263.13847757921496</v>
      </c>
      <c r="AM10" s="182">
        <f t="shared" si="13"/>
        <v>4</v>
      </c>
      <c r="AN10" s="632"/>
      <c r="AO10" s="188">
        <v>12</v>
      </c>
      <c r="AP10" s="188">
        <v>3158.3817309505794</v>
      </c>
      <c r="AQ10" s="185">
        <f t="shared" si="4"/>
        <v>263.19847757921497</v>
      </c>
      <c r="AR10" s="182">
        <f t="shared" si="14"/>
        <v>4</v>
      </c>
      <c r="AS10" s="632"/>
      <c r="AT10" s="188">
        <v>12</v>
      </c>
      <c r="AU10" s="188">
        <v>3158.0217309505792</v>
      </c>
      <c r="AV10" s="185">
        <f t="shared" si="5"/>
        <v>263.16847757921494</v>
      </c>
      <c r="AW10" s="182">
        <f t="shared" si="15"/>
        <v>4</v>
      </c>
      <c r="AX10" s="632"/>
    </row>
    <row r="11" spans="1:50" ht="14.25" customHeight="1">
      <c r="B11" s="631"/>
      <c r="C11" s="180">
        <v>5</v>
      </c>
      <c r="D11" s="183" t="s">
        <v>562</v>
      </c>
      <c r="E11" s="180">
        <v>12</v>
      </c>
      <c r="F11" s="180">
        <v>3600</v>
      </c>
      <c r="G11" s="185">
        <f t="shared" si="0"/>
        <v>300</v>
      </c>
      <c r="H11" s="632"/>
      <c r="I11" s="186">
        <f t="shared" si="6"/>
        <v>12</v>
      </c>
      <c r="J11" s="186">
        <f t="shared" si="6"/>
        <v>3156.8754796761132</v>
      </c>
      <c r="K11" s="187">
        <f t="shared" si="6"/>
        <v>263.07295663967614</v>
      </c>
      <c r="L11" s="633"/>
      <c r="M11" s="186">
        <f>RANK(K11, K$7:$K$21)</f>
        <v>5</v>
      </c>
      <c r="N11" s="631"/>
      <c r="O11" s="631"/>
      <c r="P11" s="188">
        <v>12</v>
      </c>
      <c r="Q11" s="188">
        <v>3158.6498158130198</v>
      </c>
      <c r="R11" s="185">
        <f t="shared" si="7"/>
        <v>263.22081798441832</v>
      </c>
      <c r="S11" s="182">
        <f t="shared" si="8"/>
        <v>4</v>
      </c>
      <c r="T11" s="632"/>
      <c r="U11" s="188">
        <v>12</v>
      </c>
      <c r="V11" s="188">
        <v>3157.5698158130199</v>
      </c>
      <c r="W11" s="185">
        <f t="shared" si="1"/>
        <v>263.13081798441834</v>
      </c>
      <c r="X11" s="182">
        <f t="shared" si="9"/>
        <v>5</v>
      </c>
      <c r="Y11" s="632"/>
      <c r="Z11" s="188">
        <v>12</v>
      </c>
      <c r="AA11" s="188">
        <v>3157.5698158130203</v>
      </c>
      <c r="AB11" s="185">
        <f t="shared" si="2"/>
        <v>263.13081798441834</v>
      </c>
      <c r="AC11" s="182">
        <f t="shared" si="10"/>
        <v>5</v>
      </c>
      <c r="AD11" s="632"/>
      <c r="AE11" s="188">
        <v>12</v>
      </c>
      <c r="AF11" s="188">
        <v>3156.48981581302</v>
      </c>
      <c r="AG11" s="185">
        <f t="shared" si="11"/>
        <v>263.04081798441831</v>
      </c>
      <c r="AH11" s="182">
        <f t="shared" si="12"/>
        <v>5</v>
      </c>
      <c r="AI11" s="632"/>
      <c r="AJ11" s="188">
        <v>12</v>
      </c>
      <c r="AK11" s="188">
        <v>3155.7698158130197</v>
      </c>
      <c r="AL11" s="185">
        <f t="shared" si="3"/>
        <v>262.98081798441831</v>
      </c>
      <c r="AM11" s="182">
        <f t="shared" si="13"/>
        <v>5</v>
      </c>
      <c r="AN11" s="632"/>
      <c r="AO11" s="188">
        <v>12</v>
      </c>
      <c r="AP11" s="188">
        <v>3155.8993183779157</v>
      </c>
      <c r="AQ11" s="185">
        <f t="shared" si="4"/>
        <v>262.99160986482633</v>
      </c>
      <c r="AR11" s="182">
        <f t="shared" si="14"/>
        <v>5</v>
      </c>
      <c r="AS11" s="632"/>
      <c r="AT11" s="188">
        <v>12</v>
      </c>
      <c r="AU11" s="188">
        <v>3156.1799602897763</v>
      </c>
      <c r="AV11" s="185">
        <f t="shared" si="5"/>
        <v>263.01499669081471</v>
      </c>
      <c r="AW11" s="182">
        <f t="shared" si="15"/>
        <v>5</v>
      </c>
      <c r="AX11" s="632"/>
    </row>
    <row r="12" spans="1:50" ht="14.25" customHeight="1">
      <c r="B12" s="631"/>
      <c r="C12" s="180">
        <v>6</v>
      </c>
      <c r="D12" s="183"/>
      <c r="E12" s="180"/>
      <c r="F12" s="180"/>
      <c r="G12" s="185"/>
      <c r="H12" s="632"/>
      <c r="I12" s="186"/>
      <c r="J12" s="186"/>
      <c r="K12" s="187"/>
      <c r="L12" s="633"/>
      <c r="M12" s="186"/>
      <c r="N12" s="631"/>
      <c r="O12" s="631"/>
      <c r="P12" s="188"/>
      <c r="Q12" s="188"/>
      <c r="R12" s="185"/>
      <c r="S12" s="182"/>
      <c r="T12" s="632"/>
      <c r="U12" s="188"/>
      <c r="V12" s="188"/>
      <c r="W12" s="185"/>
      <c r="X12" s="182"/>
      <c r="Y12" s="632"/>
      <c r="Z12" s="188"/>
      <c r="AA12" s="188"/>
      <c r="AB12" s="185"/>
      <c r="AC12" s="182"/>
      <c r="AD12" s="632"/>
      <c r="AE12" s="188"/>
      <c r="AF12" s="188"/>
      <c r="AG12" s="185"/>
      <c r="AH12" s="182"/>
      <c r="AI12" s="632"/>
      <c r="AJ12" s="188"/>
      <c r="AK12" s="188"/>
      <c r="AL12" s="185"/>
      <c r="AM12" s="182"/>
      <c r="AN12" s="632"/>
      <c r="AO12" s="188"/>
      <c r="AP12" s="188"/>
      <c r="AQ12" s="185"/>
      <c r="AR12" s="182"/>
      <c r="AS12" s="632"/>
      <c r="AT12" s="188"/>
      <c r="AU12" s="188"/>
      <c r="AV12" s="185"/>
      <c r="AW12" s="182"/>
      <c r="AX12" s="632"/>
    </row>
    <row r="13" spans="1:50" ht="14.25" customHeight="1">
      <c r="B13" s="631"/>
      <c r="C13" s="180">
        <v>7</v>
      </c>
      <c r="D13" s="183"/>
      <c r="E13" s="180"/>
      <c r="F13" s="180"/>
      <c r="G13" s="185"/>
      <c r="H13" s="632"/>
      <c r="I13" s="186"/>
      <c r="J13" s="186"/>
      <c r="K13" s="187"/>
      <c r="L13" s="633"/>
      <c r="M13" s="186"/>
      <c r="N13" s="631"/>
      <c r="O13" s="631"/>
      <c r="P13" s="188"/>
      <c r="Q13" s="188"/>
      <c r="R13" s="185"/>
      <c r="S13" s="182"/>
      <c r="T13" s="632"/>
      <c r="U13" s="188"/>
      <c r="V13" s="188"/>
      <c r="W13" s="185"/>
      <c r="X13" s="182"/>
      <c r="Y13" s="632"/>
      <c r="Z13" s="188"/>
      <c r="AA13" s="188"/>
      <c r="AB13" s="185"/>
      <c r="AC13" s="182"/>
      <c r="AD13" s="632"/>
      <c r="AE13" s="188"/>
      <c r="AF13" s="188"/>
      <c r="AG13" s="185"/>
      <c r="AH13" s="182"/>
      <c r="AI13" s="632"/>
      <c r="AJ13" s="188"/>
      <c r="AK13" s="188"/>
      <c r="AL13" s="185"/>
      <c r="AM13" s="182"/>
      <c r="AN13" s="632"/>
      <c r="AO13" s="188"/>
      <c r="AP13" s="188"/>
      <c r="AQ13" s="185"/>
      <c r="AR13" s="182"/>
      <c r="AS13" s="632"/>
      <c r="AT13" s="188"/>
      <c r="AU13" s="188"/>
      <c r="AV13" s="185"/>
      <c r="AW13" s="182"/>
      <c r="AX13" s="632"/>
    </row>
    <row r="14" spans="1:50" ht="14.25" customHeight="1">
      <c r="B14" s="631"/>
      <c r="C14" s="180">
        <v>8</v>
      </c>
      <c r="D14" s="183"/>
      <c r="E14" s="180"/>
      <c r="F14" s="180"/>
      <c r="G14" s="185"/>
      <c r="H14" s="632"/>
      <c r="I14" s="186"/>
      <c r="J14" s="186"/>
      <c r="K14" s="187"/>
      <c r="L14" s="633"/>
      <c r="M14" s="186"/>
      <c r="N14" s="631"/>
      <c r="O14" s="631"/>
      <c r="P14" s="188"/>
      <c r="Q14" s="188"/>
      <c r="R14" s="185"/>
      <c r="S14" s="182"/>
      <c r="T14" s="632"/>
      <c r="U14" s="188"/>
      <c r="V14" s="188"/>
      <c r="W14" s="185"/>
      <c r="X14" s="182"/>
      <c r="Y14" s="632"/>
      <c r="Z14" s="188"/>
      <c r="AA14" s="188"/>
      <c r="AB14" s="185"/>
      <c r="AC14" s="182"/>
      <c r="AD14" s="632"/>
      <c r="AE14" s="188"/>
      <c r="AF14" s="188"/>
      <c r="AG14" s="185"/>
      <c r="AH14" s="182"/>
      <c r="AI14" s="632"/>
      <c r="AJ14" s="188"/>
      <c r="AK14" s="188"/>
      <c r="AL14" s="185"/>
      <c r="AM14" s="182"/>
      <c r="AN14" s="632"/>
      <c r="AO14" s="188"/>
      <c r="AP14" s="188"/>
      <c r="AQ14" s="185"/>
      <c r="AR14" s="182"/>
      <c r="AS14" s="632"/>
      <c r="AT14" s="188"/>
      <c r="AU14" s="188"/>
      <c r="AV14" s="185"/>
      <c r="AW14" s="182"/>
      <c r="AX14" s="632"/>
    </row>
    <row r="15" spans="1:50" ht="14.25" customHeight="1">
      <c r="B15" s="631"/>
      <c r="C15" s="180">
        <v>9</v>
      </c>
      <c r="D15" s="183"/>
      <c r="E15" s="180"/>
      <c r="F15" s="180"/>
      <c r="G15" s="185"/>
      <c r="H15" s="632"/>
      <c r="I15" s="186"/>
      <c r="J15" s="186"/>
      <c r="K15" s="187"/>
      <c r="L15" s="633"/>
      <c r="M15" s="186"/>
      <c r="N15" s="631"/>
      <c r="O15" s="631"/>
      <c r="P15" s="188"/>
      <c r="Q15" s="188"/>
      <c r="R15" s="185"/>
      <c r="S15" s="182"/>
      <c r="T15" s="632"/>
      <c r="U15" s="188"/>
      <c r="V15" s="188"/>
      <c r="W15" s="185"/>
      <c r="X15" s="182"/>
      <c r="Y15" s="632"/>
      <c r="Z15" s="188"/>
      <c r="AA15" s="188"/>
      <c r="AB15" s="185"/>
      <c r="AC15" s="182"/>
      <c r="AD15" s="632"/>
      <c r="AE15" s="188"/>
      <c r="AF15" s="188"/>
      <c r="AG15" s="185"/>
      <c r="AH15" s="182"/>
      <c r="AI15" s="632"/>
      <c r="AJ15" s="188"/>
      <c r="AK15" s="188"/>
      <c r="AL15" s="185"/>
      <c r="AM15" s="182"/>
      <c r="AN15" s="632"/>
      <c r="AO15" s="188"/>
      <c r="AP15" s="188"/>
      <c r="AQ15" s="185"/>
      <c r="AR15" s="182"/>
      <c r="AS15" s="632"/>
      <c r="AT15" s="188"/>
      <c r="AU15" s="188"/>
      <c r="AV15" s="185"/>
      <c r="AW15" s="182"/>
      <c r="AX15" s="632"/>
    </row>
    <row r="16" spans="1:50" ht="14.25" customHeight="1">
      <c r="B16" s="631"/>
      <c r="C16" s="180">
        <v>10</v>
      </c>
      <c r="D16" s="183"/>
      <c r="E16" s="180"/>
      <c r="F16" s="180"/>
      <c r="G16" s="185"/>
      <c r="H16" s="632"/>
      <c r="I16" s="186"/>
      <c r="J16" s="186"/>
      <c r="K16" s="187"/>
      <c r="L16" s="633"/>
      <c r="M16" s="186"/>
      <c r="N16" s="631"/>
      <c r="O16" s="631"/>
      <c r="P16" s="188"/>
      <c r="Q16" s="188"/>
      <c r="R16" s="185"/>
      <c r="S16" s="182"/>
      <c r="T16" s="632"/>
      <c r="U16" s="188"/>
      <c r="V16" s="188"/>
      <c r="W16" s="185"/>
      <c r="X16" s="182"/>
      <c r="Y16" s="632"/>
      <c r="Z16" s="188"/>
      <c r="AA16" s="188"/>
      <c r="AB16" s="185"/>
      <c r="AC16" s="182"/>
      <c r="AD16" s="632"/>
      <c r="AE16" s="188"/>
      <c r="AF16" s="188"/>
      <c r="AG16" s="185"/>
      <c r="AH16" s="182"/>
      <c r="AI16" s="632"/>
      <c r="AJ16" s="188"/>
      <c r="AK16" s="188"/>
      <c r="AL16" s="185"/>
      <c r="AM16" s="182"/>
      <c r="AN16" s="632"/>
      <c r="AO16" s="188"/>
      <c r="AP16" s="188"/>
      <c r="AQ16" s="185"/>
      <c r="AR16" s="182"/>
      <c r="AS16" s="632"/>
      <c r="AT16" s="188"/>
      <c r="AU16" s="188"/>
      <c r="AV16" s="185"/>
      <c r="AW16" s="182"/>
      <c r="AX16" s="632"/>
    </row>
    <row r="17" spans="2:50" ht="14.25" customHeight="1">
      <c r="B17" s="631"/>
      <c r="C17" s="180">
        <v>11</v>
      </c>
      <c r="D17" s="183"/>
      <c r="E17" s="180"/>
      <c r="F17" s="180"/>
      <c r="G17" s="185"/>
      <c r="H17" s="632"/>
      <c r="I17" s="186"/>
      <c r="J17" s="186"/>
      <c r="K17" s="187"/>
      <c r="L17" s="633"/>
      <c r="M17" s="186"/>
      <c r="N17" s="631"/>
      <c r="O17" s="631"/>
      <c r="P17" s="188"/>
      <c r="Q17" s="188"/>
      <c r="R17" s="185"/>
      <c r="S17" s="182"/>
      <c r="T17" s="632"/>
      <c r="U17" s="188"/>
      <c r="V17" s="188"/>
      <c r="W17" s="185"/>
      <c r="X17" s="182"/>
      <c r="Y17" s="632"/>
      <c r="Z17" s="188"/>
      <c r="AA17" s="188"/>
      <c r="AB17" s="185"/>
      <c r="AC17" s="182"/>
      <c r="AD17" s="632"/>
      <c r="AE17" s="188"/>
      <c r="AF17" s="188"/>
      <c r="AG17" s="185"/>
      <c r="AH17" s="182"/>
      <c r="AI17" s="632"/>
      <c r="AJ17" s="188"/>
      <c r="AK17" s="188"/>
      <c r="AL17" s="185"/>
      <c r="AM17" s="182"/>
      <c r="AN17" s="632"/>
      <c r="AO17" s="188"/>
      <c r="AP17" s="188"/>
      <c r="AQ17" s="185"/>
      <c r="AR17" s="182"/>
      <c r="AS17" s="632"/>
      <c r="AT17" s="188"/>
      <c r="AU17" s="188"/>
      <c r="AV17" s="185"/>
      <c r="AW17" s="182"/>
      <c r="AX17" s="632"/>
    </row>
    <row r="18" spans="2:50" ht="14.25" customHeight="1">
      <c r="B18" s="631"/>
      <c r="C18" s="180">
        <v>12</v>
      </c>
      <c r="D18" s="183"/>
      <c r="E18" s="180"/>
      <c r="F18" s="180"/>
      <c r="G18" s="185"/>
      <c r="H18" s="632"/>
      <c r="I18" s="186"/>
      <c r="J18" s="186"/>
      <c r="K18" s="187"/>
      <c r="L18" s="633"/>
      <c r="M18" s="186"/>
      <c r="N18" s="631"/>
      <c r="O18" s="631"/>
      <c r="P18" s="188"/>
      <c r="Q18" s="188"/>
      <c r="R18" s="185"/>
      <c r="S18" s="182"/>
      <c r="T18" s="632"/>
      <c r="U18" s="188"/>
      <c r="V18" s="188"/>
      <c r="W18" s="185"/>
      <c r="X18" s="182"/>
      <c r="Y18" s="632"/>
      <c r="Z18" s="188"/>
      <c r="AA18" s="188"/>
      <c r="AB18" s="185"/>
      <c r="AC18" s="182"/>
      <c r="AD18" s="632"/>
      <c r="AE18" s="188"/>
      <c r="AF18" s="188"/>
      <c r="AG18" s="185"/>
      <c r="AH18" s="182"/>
      <c r="AI18" s="632"/>
      <c r="AJ18" s="188"/>
      <c r="AK18" s="188"/>
      <c r="AL18" s="185"/>
      <c r="AM18" s="182"/>
      <c r="AN18" s="632"/>
      <c r="AO18" s="188"/>
      <c r="AP18" s="188"/>
      <c r="AQ18" s="185"/>
      <c r="AR18" s="182"/>
      <c r="AS18" s="632"/>
      <c r="AT18" s="188"/>
      <c r="AU18" s="188"/>
      <c r="AV18" s="185"/>
      <c r="AW18" s="182"/>
      <c r="AX18" s="632"/>
    </row>
    <row r="19" spans="2:50" ht="14.25" customHeight="1">
      <c r="B19" s="631"/>
      <c r="C19" s="180">
        <v>13</v>
      </c>
      <c r="D19" s="183"/>
      <c r="E19" s="180"/>
      <c r="F19" s="180"/>
      <c r="G19" s="185"/>
      <c r="H19" s="632"/>
      <c r="I19" s="186"/>
      <c r="J19" s="186"/>
      <c r="K19" s="187"/>
      <c r="L19" s="633"/>
      <c r="M19" s="186"/>
      <c r="N19" s="631"/>
      <c r="O19" s="631"/>
      <c r="P19" s="188"/>
      <c r="Q19" s="188"/>
      <c r="R19" s="185"/>
      <c r="S19" s="182"/>
      <c r="T19" s="632"/>
      <c r="U19" s="188"/>
      <c r="V19" s="188"/>
      <c r="W19" s="185"/>
      <c r="X19" s="182"/>
      <c r="Y19" s="632"/>
      <c r="Z19" s="188"/>
      <c r="AA19" s="188"/>
      <c r="AB19" s="185"/>
      <c r="AC19" s="182"/>
      <c r="AD19" s="632"/>
      <c r="AE19" s="188"/>
      <c r="AF19" s="188"/>
      <c r="AG19" s="185"/>
      <c r="AH19" s="182"/>
      <c r="AI19" s="632"/>
      <c r="AJ19" s="188"/>
      <c r="AK19" s="188"/>
      <c r="AL19" s="185"/>
      <c r="AM19" s="182"/>
      <c r="AN19" s="632"/>
      <c r="AO19" s="188"/>
      <c r="AP19" s="188"/>
      <c r="AQ19" s="185"/>
      <c r="AR19" s="182"/>
      <c r="AS19" s="632"/>
      <c r="AT19" s="188"/>
      <c r="AU19" s="188"/>
      <c r="AV19" s="185"/>
      <c r="AW19" s="182"/>
      <c r="AX19" s="632"/>
    </row>
    <row r="20" spans="2:50" ht="14.25" customHeight="1">
      <c r="B20" s="631"/>
      <c r="C20" s="180">
        <v>14</v>
      </c>
      <c r="D20" s="183"/>
      <c r="E20" s="180"/>
      <c r="F20" s="180"/>
      <c r="G20" s="185"/>
      <c r="H20" s="632"/>
      <c r="I20" s="186"/>
      <c r="J20" s="186"/>
      <c r="K20" s="187"/>
      <c r="L20" s="633"/>
      <c r="M20" s="186"/>
      <c r="N20" s="631"/>
      <c r="O20" s="631"/>
      <c r="P20" s="188"/>
      <c r="Q20" s="188"/>
      <c r="R20" s="185"/>
      <c r="S20" s="182"/>
      <c r="T20" s="632"/>
      <c r="U20" s="188"/>
      <c r="V20" s="188"/>
      <c r="W20" s="185"/>
      <c r="X20" s="182"/>
      <c r="Y20" s="632"/>
      <c r="Z20" s="188"/>
      <c r="AA20" s="188"/>
      <c r="AB20" s="185"/>
      <c r="AC20" s="182"/>
      <c r="AD20" s="632"/>
      <c r="AE20" s="188"/>
      <c r="AF20" s="188"/>
      <c r="AG20" s="185"/>
      <c r="AH20" s="182"/>
      <c r="AI20" s="632"/>
      <c r="AJ20" s="188"/>
      <c r="AK20" s="188"/>
      <c r="AL20" s="185"/>
      <c r="AM20" s="182"/>
      <c r="AN20" s="632"/>
      <c r="AO20" s="188"/>
      <c r="AP20" s="188"/>
      <c r="AQ20" s="185"/>
      <c r="AR20" s="182"/>
      <c r="AS20" s="632"/>
      <c r="AT20" s="188"/>
      <c r="AU20" s="188"/>
      <c r="AV20" s="185"/>
      <c r="AW20" s="182"/>
      <c r="AX20" s="632"/>
    </row>
    <row r="21" spans="2:50" ht="14.25" customHeight="1">
      <c r="B21" s="631"/>
      <c r="C21" s="180">
        <v>15</v>
      </c>
      <c r="D21" s="183"/>
      <c r="E21" s="180"/>
      <c r="F21" s="180"/>
      <c r="G21" s="185"/>
      <c r="H21" s="632"/>
      <c r="I21" s="186"/>
      <c r="J21" s="186"/>
      <c r="K21" s="187"/>
      <c r="L21" s="633"/>
      <c r="M21" s="186"/>
      <c r="N21" s="631"/>
      <c r="O21" s="631"/>
      <c r="P21" s="188"/>
      <c r="Q21" s="188"/>
      <c r="R21" s="185"/>
      <c r="S21" s="182"/>
      <c r="T21" s="632"/>
      <c r="U21" s="188"/>
      <c r="V21" s="188"/>
      <c r="W21" s="185"/>
      <c r="X21" s="182"/>
      <c r="Y21" s="632"/>
      <c r="Z21" s="188"/>
      <c r="AA21" s="188"/>
      <c r="AB21" s="185"/>
      <c r="AC21" s="182"/>
      <c r="AD21" s="632"/>
      <c r="AE21" s="188"/>
      <c r="AF21" s="188"/>
      <c r="AG21" s="185"/>
      <c r="AH21" s="182"/>
      <c r="AI21" s="632"/>
      <c r="AJ21" s="188"/>
      <c r="AK21" s="188"/>
      <c r="AL21" s="185"/>
      <c r="AM21" s="182"/>
      <c r="AN21" s="632"/>
      <c r="AO21" s="188"/>
      <c r="AP21" s="188"/>
      <c r="AQ21" s="185"/>
      <c r="AR21" s="182"/>
      <c r="AS21" s="632"/>
      <c r="AT21" s="188"/>
      <c r="AU21" s="188"/>
      <c r="AV21" s="185"/>
      <c r="AW21" s="182"/>
      <c r="AX21" s="632"/>
    </row>
    <row r="22" spans="2:50" ht="14.25" customHeight="1">
      <c r="B22" s="646" t="s">
        <v>695</v>
      </c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70"/>
      <c r="N22" s="664" t="s">
        <v>369</v>
      </c>
      <c r="O22" s="664" t="s">
        <v>105</v>
      </c>
      <c r="P22" s="666">
        <v>46147</v>
      </c>
      <c r="Q22" s="667"/>
      <c r="R22" s="667"/>
      <c r="S22" s="667"/>
      <c r="T22" s="667"/>
      <c r="U22" s="668">
        <v>46148</v>
      </c>
      <c r="V22" s="669"/>
      <c r="W22" s="669"/>
      <c r="X22" s="669"/>
      <c r="Y22" s="669"/>
      <c r="Z22" s="666">
        <v>46149</v>
      </c>
      <c r="AA22" s="667"/>
      <c r="AB22" s="667"/>
      <c r="AC22" s="667"/>
      <c r="AD22" s="667"/>
      <c r="AE22" s="668">
        <v>46150</v>
      </c>
      <c r="AF22" s="669"/>
      <c r="AG22" s="669"/>
      <c r="AH22" s="669"/>
      <c r="AI22" s="669"/>
      <c r="AJ22" s="656">
        <v>46151</v>
      </c>
      <c r="AK22" s="657"/>
      <c r="AL22" s="657"/>
      <c r="AM22" s="657"/>
      <c r="AN22" s="658"/>
      <c r="AO22" s="668">
        <v>46152</v>
      </c>
      <c r="AP22" s="669"/>
      <c r="AQ22" s="669"/>
      <c r="AR22" s="669"/>
      <c r="AS22" s="669"/>
      <c r="AT22" s="656">
        <v>46153</v>
      </c>
      <c r="AU22" s="657"/>
      <c r="AV22" s="657"/>
      <c r="AW22" s="657"/>
      <c r="AX22" s="658"/>
    </row>
    <row r="23" spans="2:50" ht="14.25" customHeight="1">
      <c r="B23" s="671"/>
      <c r="C23" s="671"/>
      <c r="D23" s="671"/>
      <c r="E23" s="671"/>
      <c r="F23" s="671"/>
      <c r="G23" s="671"/>
      <c r="H23" s="671"/>
      <c r="I23" s="671"/>
      <c r="J23" s="671"/>
      <c r="K23" s="671"/>
      <c r="L23" s="671"/>
      <c r="M23" s="672"/>
      <c r="N23" s="665"/>
      <c r="O23" s="665"/>
      <c r="P23" s="659">
        <v>46147</v>
      </c>
      <c r="Q23" s="659"/>
      <c r="R23" s="659"/>
      <c r="S23" s="659"/>
      <c r="T23" s="659"/>
      <c r="U23" s="660">
        <v>46148</v>
      </c>
      <c r="V23" s="660"/>
      <c r="W23" s="660"/>
      <c r="X23" s="660"/>
      <c r="Y23" s="660"/>
      <c r="Z23" s="659">
        <v>46149</v>
      </c>
      <c r="AA23" s="659"/>
      <c r="AB23" s="659"/>
      <c r="AC23" s="659"/>
      <c r="AD23" s="659"/>
      <c r="AE23" s="660">
        <v>46150</v>
      </c>
      <c r="AF23" s="660"/>
      <c r="AG23" s="660"/>
      <c r="AH23" s="660"/>
      <c r="AI23" s="660"/>
      <c r="AJ23" s="661">
        <v>46151</v>
      </c>
      <c r="AK23" s="662"/>
      <c r="AL23" s="662"/>
      <c r="AM23" s="662"/>
      <c r="AN23" s="663"/>
      <c r="AO23" s="660">
        <v>46152</v>
      </c>
      <c r="AP23" s="660"/>
      <c r="AQ23" s="660"/>
      <c r="AR23" s="660"/>
      <c r="AS23" s="660"/>
      <c r="AT23" s="661">
        <v>46153</v>
      </c>
      <c r="AU23" s="662"/>
      <c r="AV23" s="662"/>
      <c r="AW23" s="662"/>
      <c r="AX23" s="663"/>
    </row>
    <row r="24" spans="2:50" ht="14.25" customHeight="1">
      <c r="B24" s="631" t="s">
        <v>162</v>
      </c>
      <c r="C24" s="631" t="s">
        <v>157</v>
      </c>
      <c r="D24" s="631"/>
      <c r="E24" s="631" t="s">
        <v>158</v>
      </c>
      <c r="F24" s="631"/>
      <c r="G24" s="631"/>
      <c r="H24" s="631" t="s">
        <v>163</v>
      </c>
      <c r="I24" s="635" t="s">
        <v>370</v>
      </c>
      <c r="J24" s="635"/>
      <c r="K24" s="635"/>
      <c r="L24" s="635" t="s">
        <v>163</v>
      </c>
      <c r="M24" s="635" t="s">
        <v>165</v>
      </c>
      <c r="N24" s="631"/>
      <c r="O24" s="631" t="s">
        <v>164</v>
      </c>
      <c r="P24" s="631" t="s">
        <v>160</v>
      </c>
      <c r="Q24" s="631"/>
      <c r="R24" s="631"/>
      <c r="S24" s="631"/>
      <c r="T24" s="631" t="s">
        <v>163</v>
      </c>
      <c r="U24" s="631" t="s">
        <v>160</v>
      </c>
      <c r="V24" s="631"/>
      <c r="W24" s="631"/>
      <c r="X24" s="631"/>
      <c r="Y24" s="631" t="s">
        <v>163</v>
      </c>
      <c r="Z24" s="631" t="s">
        <v>160</v>
      </c>
      <c r="AA24" s="631"/>
      <c r="AB24" s="631"/>
      <c r="AC24" s="631"/>
      <c r="AD24" s="631" t="s">
        <v>163</v>
      </c>
      <c r="AE24" s="631" t="s">
        <v>160</v>
      </c>
      <c r="AF24" s="631"/>
      <c r="AG24" s="631"/>
      <c r="AH24" s="631"/>
      <c r="AI24" s="631" t="s">
        <v>163</v>
      </c>
      <c r="AJ24" s="631" t="s">
        <v>160</v>
      </c>
      <c r="AK24" s="631"/>
      <c r="AL24" s="631"/>
      <c r="AM24" s="631"/>
      <c r="AN24" s="631" t="s">
        <v>163</v>
      </c>
      <c r="AO24" s="631" t="s">
        <v>160</v>
      </c>
      <c r="AP24" s="631"/>
      <c r="AQ24" s="631"/>
      <c r="AR24" s="631"/>
      <c r="AS24" s="631" t="s">
        <v>163</v>
      </c>
      <c r="AT24" s="631" t="s">
        <v>160</v>
      </c>
      <c r="AU24" s="631"/>
      <c r="AV24" s="631"/>
      <c r="AW24" s="631"/>
      <c r="AX24" s="631" t="s">
        <v>163</v>
      </c>
    </row>
    <row r="25" spans="2:50" ht="14.25" customHeight="1">
      <c r="B25" s="631"/>
      <c r="C25" s="631"/>
      <c r="D25" s="631"/>
      <c r="E25" s="631" t="s">
        <v>371</v>
      </c>
      <c r="F25" s="631"/>
      <c r="G25" s="631"/>
      <c r="H25" s="631"/>
      <c r="I25" s="635" t="s">
        <v>371</v>
      </c>
      <c r="J25" s="635"/>
      <c r="K25" s="635"/>
      <c r="L25" s="635"/>
      <c r="M25" s="635"/>
      <c r="N25" s="631"/>
      <c r="O25" s="631"/>
      <c r="P25" s="631" t="s">
        <v>372</v>
      </c>
      <c r="Q25" s="631"/>
      <c r="R25" s="631"/>
      <c r="S25" s="631"/>
      <c r="T25" s="631"/>
      <c r="U25" s="631" t="s">
        <v>372</v>
      </c>
      <c r="V25" s="631"/>
      <c r="W25" s="631"/>
      <c r="X25" s="631"/>
      <c r="Y25" s="631"/>
      <c r="Z25" s="631" t="s">
        <v>372</v>
      </c>
      <c r="AA25" s="631"/>
      <c r="AB25" s="631"/>
      <c r="AC25" s="631"/>
      <c r="AD25" s="631"/>
      <c r="AE25" s="631" t="s">
        <v>372</v>
      </c>
      <c r="AF25" s="631"/>
      <c r="AG25" s="631"/>
      <c r="AH25" s="631"/>
      <c r="AI25" s="631"/>
      <c r="AJ25" s="631" t="s">
        <v>372</v>
      </c>
      <c r="AK25" s="631"/>
      <c r="AL25" s="631"/>
      <c r="AM25" s="631"/>
      <c r="AN25" s="631"/>
      <c r="AO25" s="631" t="s">
        <v>372</v>
      </c>
      <c r="AP25" s="631"/>
      <c r="AQ25" s="631"/>
      <c r="AR25" s="631"/>
      <c r="AS25" s="631"/>
      <c r="AT25" s="631" t="s">
        <v>372</v>
      </c>
      <c r="AU25" s="631"/>
      <c r="AV25" s="631"/>
      <c r="AW25" s="631"/>
      <c r="AX25" s="631"/>
    </row>
    <row r="26" spans="2:50" ht="14.25" customHeight="1">
      <c r="B26" s="631"/>
      <c r="C26" s="631"/>
      <c r="D26" s="631"/>
      <c r="E26" s="180" t="s">
        <v>159</v>
      </c>
      <c r="F26" s="180" t="s">
        <v>373</v>
      </c>
      <c r="G26" s="180" t="s">
        <v>161</v>
      </c>
      <c r="H26" s="631"/>
      <c r="I26" s="181" t="s">
        <v>159</v>
      </c>
      <c r="J26" s="181" t="s">
        <v>373</v>
      </c>
      <c r="K26" s="181" t="s">
        <v>161</v>
      </c>
      <c r="L26" s="635"/>
      <c r="M26" s="635"/>
      <c r="N26" s="631"/>
      <c r="O26" s="631"/>
      <c r="P26" s="180" t="s">
        <v>159</v>
      </c>
      <c r="Q26" s="180" t="s">
        <v>373</v>
      </c>
      <c r="R26" s="180" t="s">
        <v>161</v>
      </c>
      <c r="S26" s="182" t="s">
        <v>165</v>
      </c>
      <c r="T26" s="631"/>
      <c r="U26" s="180" t="s">
        <v>159</v>
      </c>
      <c r="V26" s="180" t="s">
        <v>373</v>
      </c>
      <c r="W26" s="180" t="s">
        <v>161</v>
      </c>
      <c r="X26" s="182" t="s">
        <v>165</v>
      </c>
      <c r="Y26" s="631"/>
      <c r="Z26" s="180" t="s">
        <v>159</v>
      </c>
      <c r="AA26" s="180" t="s">
        <v>373</v>
      </c>
      <c r="AB26" s="180" t="s">
        <v>161</v>
      </c>
      <c r="AC26" s="182" t="s">
        <v>165</v>
      </c>
      <c r="AD26" s="631"/>
      <c r="AE26" s="180" t="s">
        <v>159</v>
      </c>
      <c r="AF26" s="180" t="s">
        <v>373</v>
      </c>
      <c r="AG26" s="180" t="s">
        <v>161</v>
      </c>
      <c r="AH26" s="182" t="s">
        <v>165</v>
      </c>
      <c r="AI26" s="631"/>
      <c r="AJ26" s="180" t="s">
        <v>159</v>
      </c>
      <c r="AK26" s="180" t="s">
        <v>373</v>
      </c>
      <c r="AL26" s="180" t="s">
        <v>161</v>
      </c>
      <c r="AM26" s="182" t="s">
        <v>165</v>
      </c>
      <c r="AN26" s="631"/>
      <c r="AO26" s="180" t="s">
        <v>159</v>
      </c>
      <c r="AP26" s="180" t="s">
        <v>373</v>
      </c>
      <c r="AQ26" s="180" t="s">
        <v>161</v>
      </c>
      <c r="AR26" s="182" t="s">
        <v>165</v>
      </c>
      <c r="AS26" s="631"/>
      <c r="AT26" s="180" t="s">
        <v>159</v>
      </c>
      <c r="AU26" s="180" t="s">
        <v>373</v>
      </c>
      <c r="AV26" s="180" t="s">
        <v>161</v>
      </c>
      <c r="AW26" s="182" t="s">
        <v>165</v>
      </c>
      <c r="AX26" s="631"/>
    </row>
    <row r="27" spans="2:50" ht="14.25" customHeight="1">
      <c r="B27" s="631" t="s">
        <v>375</v>
      </c>
      <c r="C27" s="180">
        <v>1</v>
      </c>
      <c r="D27" s="183" t="s">
        <v>348</v>
      </c>
      <c r="E27" s="180">
        <v>11</v>
      </c>
      <c r="F27" s="180">
        <v>3600</v>
      </c>
      <c r="G27" s="185">
        <f t="shared" ref="G27:G31" si="16">F27/E27</f>
        <v>327.27272727272725</v>
      </c>
      <c r="H27" s="632">
        <f>AVERAGE(G27:G41)</f>
        <v>358.78787878787875</v>
      </c>
      <c r="I27" s="186">
        <f>AVERAGE(P27,U27,Z27,AE27,AJ27,AO27,AT27)</f>
        <v>10.428571428571429</v>
      </c>
      <c r="J27" s="186">
        <f>AVERAGE(Q27,V27,AA27,AF27,AK27,AP27,AU27)</f>
        <v>3185.544316431668</v>
      </c>
      <c r="K27" s="187">
        <f>AVERAGE(R27,W27,AB27,AG27,AL27,AQ27,AV27)</f>
        <v>306.14909757172609</v>
      </c>
      <c r="L27" s="633">
        <f>IFERROR(AVERAGE(K27:K41),"-")</f>
        <v>328.28593764406145</v>
      </c>
      <c r="M27" s="186">
        <f>RANK(K27, K$27:$K$41)</f>
        <v>3</v>
      </c>
      <c r="N27" s="631"/>
      <c r="O27" s="631"/>
      <c r="P27" s="188">
        <v>11</v>
      </c>
      <c r="Q27" s="188">
        <v>3183.7957450030954</v>
      </c>
      <c r="R27" s="185">
        <f>IFERROR(Q27/P27,"")</f>
        <v>289.43597681846319</v>
      </c>
      <c r="S27" s="182">
        <f>RANK(R27, R$27:R$41)</f>
        <v>3</v>
      </c>
      <c r="T27" s="632">
        <f>AVERAGE(R27:R41)</f>
        <v>319.48213317850934</v>
      </c>
      <c r="U27" s="188">
        <v>11</v>
      </c>
      <c r="V27" s="188">
        <v>3184.1557450030955</v>
      </c>
      <c r="W27" s="185">
        <f t="shared" ref="W27:W31" si="17">IFERROR(V27/U27,"")</f>
        <v>289.46870409119049</v>
      </c>
      <c r="X27" s="182">
        <f>RANK(W27, W$27:W$41)</f>
        <v>3</v>
      </c>
      <c r="Y27" s="632">
        <f>AVERAGE(W27:W41)</f>
        <v>319.50209764139015</v>
      </c>
      <c r="Z27" s="188">
        <v>11</v>
      </c>
      <c r="AA27" s="188">
        <v>3184.1557450030955</v>
      </c>
      <c r="AB27" s="185">
        <f t="shared" ref="AB27:AB31" si="18">IFERROR(AA27/Z27,"")</f>
        <v>289.46870409119049</v>
      </c>
      <c r="AC27" s="182">
        <f>RANK(AB27, AB$27:AB$41)</f>
        <v>3</v>
      </c>
      <c r="AD27" s="632">
        <f>AVERAGE(AB27:AB41)</f>
        <v>319.46677139544516</v>
      </c>
      <c r="AE27" s="188">
        <v>10</v>
      </c>
      <c r="AF27" s="188">
        <v>3185.2357450030959</v>
      </c>
      <c r="AG27" s="185">
        <f>IFERROR(AF27/AE27,"")</f>
        <v>318.52357450030956</v>
      </c>
      <c r="AH27" s="182">
        <f>RANK(AG27, AG$27:AG$41)</f>
        <v>3</v>
      </c>
      <c r="AI27" s="673">
        <f>AVERAGE(AG27:AG41)</f>
        <v>334.8039125224077</v>
      </c>
      <c r="AJ27" s="188">
        <v>10</v>
      </c>
      <c r="AK27" s="188">
        <v>3185.9557450030961</v>
      </c>
      <c r="AL27" s="185">
        <f t="shared" ref="AL27:AL31" si="19">IFERROR(AK27/AJ27,"")</f>
        <v>318.59557450030962</v>
      </c>
      <c r="AM27" s="182">
        <f>RANK(AL27, AL$27:AL$41)</f>
        <v>3</v>
      </c>
      <c r="AN27" s="632">
        <f>AVERAGE(AL27:AL41)</f>
        <v>334.88315487121298</v>
      </c>
      <c r="AO27" s="188">
        <v>10</v>
      </c>
      <c r="AP27" s="188">
        <v>3187.7557450030963</v>
      </c>
      <c r="AQ27" s="185">
        <f t="shared" ref="AQ27:AQ31" si="20">IFERROR(AP27/AO27,"")</f>
        <v>318.77557450030963</v>
      </c>
      <c r="AR27" s="182">
        <f>RANK(AQ27, AQ$27:AQ$41)</f>
        <v>3</v>
      </c>
      <c r="AS27" s="632">
        <f>AVERAGE(AQ27:AQ41)</f>
        <v>334.92428100313225</v>
      </c>
      <c r="AT27" s="188">
        <v>10</v>
      </c>
      <c r="AU27" s="188">
        <v>3187.7557450030968</v>
      </c>
      <c r="AV27" s="185">
        <f t="shared" ref="AV27:AV31" si="21">IFERROR(AU27/AT27,"")</f>
        <v>318.77557450030969</v>
      </c>
      <c r="AW27" s="182">
        <f>RANK(AV27, AV$27:AV$41)</f>
        <v>3</v>
      </c>
      <c r="AX27" s="632">
        <f>AVERAGE(AV27:AV41)</f>
        <v>334.93921289633238</v>
      </c>
    </row>
    <row r="28" spans="2:50" ht="14.25" customHeight="1">
      <c r="B28" s="631"/>
      <c r="C28" s="180">
        <v>2</v>
      </c>
      <c r="D28" s="183" t="s">
        <v>443</v>
      </c>
      <c r="E28" s="180">
        <v>6</v>
      </c>
      <c r="F28" s="180">
        <v>2600</v>
      </c>
      <c r="G28" s="185">
        <f t="shared" si="16"/>
        <v>433.33333333333331</v>
      </c>
      <c r="H28" s="632"/>
      <c r="I28" s="186">
        <f t="shared" ref="I28:K31" si="22">AVERAGE(P28,U28,Z28,AE28,AJ28,AO28,AT28)</f>
        <v>6</v>
      </c>
      <c r="J28" s="186">
        <f t="shared" si="22"/>
        <v>2345.2773065179695</v>
      </c>
      <c r="K28" s="187">
        <f t="shared" si="22"/>
        <v>390.87955108632832</v>
      </c>
      <c r="L28" s="633"/>
      <c r="M28" s="186">
        <f>RANK(K28, K$27:$K$41)</f>
        <v>1</v>
      </c>
      <c r="N28" s="631"/>
      <c r="O28" s="631"/>
      <c r="P28" s="188">
        <v>6</v>
      </c>
      <c r="Q28" s="188">
        <v>2344.8123251956172</v>
      </c>
      <c r="R28" s="185">
        <f t="shared" ref="R28:R31" si="23">IFERROR(Q28/P28,"")</f>
        <v>390.80205419926955</v>
      </c>
      <c r="S28" s="182">
        <f t="shared" ref="S28:S31" si="24">RANK(R28, R$27:R$41)</f>
        <v>2</v>
      </c>
      <c r="T28" s="632"/>
      <c r="U28" s="188">
        <v>6</v>
      </c>
      <c r="V28" s="188">
        <v>2345.5548954456767</v>
      </c>
      <c r="W28" s="185">
        <f t="shared" si="17"/>
        <v>390.92581590761279</v>
      </c>
      <c r="X28" s="182">
        <f t="shared" ref="X28:X31" si="25">RANK(W28, W$27:W$41)</f>
        <v>1</v>
      </c>
      <c r="Y28" s="632"/>
      <c r="Z28" s="188">
        <v>6</v>
      </c>
      <c r="AA28" s="188">
        <v>2345.0348954456767</v>
      </c>
      <c r="AB28" s="185">
        <f t="shared" si="18"/>
        <v>390.83914924094614</v>
      </c>
      <c r="AC28" s="182">
        <f t="shared" ref="AC28:AC31" si="26">RANK(AB28, AB$27:AB$41)</f>
        <v>2</v>
      </c>
      <c r="AD28" s="632"/>
      <c r="AE28" s="188">
        <v>6</v>
      </c>
      <c r="AF28" s="188">
        <v>2344.5148954456772</v>
      </c>
      <c r="AG28" s="185">
        <f t="shared" ref="AG28:AG31" si="27">IFERROR(AF28/AE28,"")</f>
        <v>390.75248257427955</v>
      </c>
      <c r="AH28" s="182">
        <f t="shared" ref="AH28:AH31" si="28">RANK(AG28, AG$27:AG$41)</f>
        <v>2</v>
      </c>
      <c r="AI28" s="674"/>
      <c r="AJ28" s="188">
        <v>6</v>
      </c>
      <c r="AK28" s="188">
        <v>2346.4547113643794</v>
      </c>
      <c r="AL28" s="185">
        <f t="shared" si="19"/>
        <v>391.07578522739658</v>
      </c>
      <c r="AM28" s="182">
        <f t="shared" ref="AM28:AM31" si="29">RANK(AL28, AL$27:AL$41)</f>
        <v>1</v>
      </c>
      <c r="AN28" s="632"/>
      <c r="AO28" s="188">
        <v>6</v>
      </c>
      <c r="AP28" s="188">
        <v>2345.9347113643798</v>
      </c>
      <c r="AQ28" s="185">
        <f t="shared" si="20"/>
        <v>390.98911856072999</v>
      </c>
      <c r="AR28" s="182">
        <f t="shared" ref="AR28:AR31" si="30">RANK(AQ28, AQ$27:AQ$41)</f>
        <v>1</v>
      </c>
      <c r="AS28" s="632"/>
      <c r="AT28" s="188">
        <v>6</v>
      </c>
      <c r="AU28" s="188">
        <v>2344.6347113643801</v>
      </c>
      <c r="AV28" s="185">
        <f t="shared" si="21"/>
        <v>390.77245189406335</v>
      </c>
      <c r="AW28" s="182">
        <f t="shared" ref="AW28:AW31" si="31">RANK(AV28, AV$27:AV$41)</f>
        <v>2</v>
      </c>
      <c r="AX28" s="632"/>
    </row>
    <row r="29" spans="2:50" ht="14.25" customHeight="1">
      <c r="B29" s="631"/>
      <c r="C29" s="180">
        <v>3</v>
      </c>
      <c r="D29" s="183" t="s">
        <v>445</v>
      </c>
      <c r="E29" s="180">
        <v>6</v>
      </c>
      <c r="F29" s="180">
        <v>2600</v>
      </c>
      <c r="G29" s="185">
        <f t="shared" si="16"/>
        <v>433.33333333333331</v>
      </c>
      <c r="H29" s="632"/>
      <c r="I29" s="186">
        <f t="shared" si="22"/>
        <v>6</v>
      </c>
      <c r="J29" s="186">
        <f t="shared" si="22"/>
        <v>2345.1680905354974</v>
      </c>
      <c r="K29" s="187">
        <f t="shared" si="22"/>
        <v>390.86134842258281</v>
      </c>
      <c r="L29" s="633"/>
      <c r="M29" s="186">
        <f>RANK(K29, K$27:$K$41)</f>
        <v>2</v>
      </c>
      <c r="N29" s="631"/>
      <c r="O29" s="631"/>
      <c r="P29" s="188">
        <v>6</v>
      </c>
      <c r="Q29" s="188">
        <v>2345.9349636287075</v>
      </c>
      <c r="R29" s="185">
        <f t="shared" si="23"/>
        <v>390.98916060478456</v>
      </c>
      <c r="S29" s="182">
        <f t="shared" si="24"/>
        <v>1</v>
      </c>
      <c r="T29" s="632"/>
      <c r="U29" s="188">
        <v>6</v>
      </c>
      <c r="V29" s="188">
        <v>2345.4149636287075</v>
      </c>
      <c r="W29" s="185">
        <f t="shared" si="17"/>
        <v>390.90249393811791</v>
      </c>
      <c r="X29" s="182">
        <f t="shared" si="25"/>
        <v>2</v>
      </c>
      <c r="Y29" s="632"/>
      <c r="Z29" s="188">
        <v>6</v>
      </c>
      <c r="AA29" s="188">
        <v>2345.4149636287075</v>
      </c>
      <c r="AB29" s="185">
        <f t="shared" si="18"/>
        <v>390.90249393811791</v>
      </c>
      <c r="AC29" s="182">
        <f t="shared" si="26"/>
        <v>1</v>
      </c>
      <c r="AD29" s="632"/>
      <c r="AE29" s="188">
        <v>6</v>
      </c>
      <c r="AF29" s="188">
        <v>2345.1549636287082</v>
      </c>
      <c r="AG29" s="185">
        <f t="shared" si="27"/>
        <v>390.85916060478468</v>
      </c>
      <c r="AH29" s="182">
        <f t="shared" si="28"/>
        <v>1</v>
      </c>
      <c r="AI29" s="674"/>
      <c r="AJ29" s="188">
        <v>6</v>
      </c>
      <c r="AK29" s="188">
        <v>2344.374963628708</v>
      </c>
      <c r="AL29" s="185">
        <f t="shared" si="19"/>
        <v>390.72916060478468</v>
      </c>
      <c r="AM29" s="182">
        <f t="shared" si="29"/>
        <v>2</v>
      </c>
      <c r="AN29" s="632"/>
      <c r="AO29" s="188">
        <v>6</v>
      </c>
      <c r="AP29" s="188">
        <v>2344.0669294044683</v>
      </c>
      <c r="AQ29" s="185">
        <f t="shared" si="20"/>
        <v>390.6778215674114</v>
      </c>
      <c r="AR29" s="182">
        <f t="shared" si="30"/>
        <v>2</v>
      </c>
      <c r="AS29" s="632"/>
      <c r="AT29" s="188">
        <v>6</v>
      </c>
      <c r="AU29" s="188">
        <v>2345.8148862004696</v>
      </c>
      <c r="AV29" s="185">
        <f t="shared" si="21"/>
        <v>390.96914770007828</v>
      </c>
      <c r="AW29" s="182">
        <f t="shared" si="31"/>
        <v>1</v>
      </c>
      <c r="AX29" s="632"/>
    </row>
    <row r="30" spans="2:50" ht="14.25" customHeight="1">
      <c r="B30" s="631"/>
      <c r="C30" s="180">
        <v>4</v>
      </c>
      <c r="D30" s="183" t="s">
        <v>561</v>
      </c>
      <c r="E30" s="180">
        <v>12</v>
      </c>
      <c r="F30" s="180">
        <v>3600</v>
      </c>
      <c r="G30" s="185">
        <f t="shared" si="16"/>
        <v>300</v>
      </c>
      <c r="H30" s="632"/>
      <c r="I30" s="186">
        <f t="shared" si="22"/>
        <v>11.428571428571429</v>
      </c>
      <c r="J30" s="186">
        <f t="shared" si="22"/>
        <v>3157.6103023791502</v>
      </c>
      <c r="K30" s="187">
        <f t="shared" si="22"/>
        <v>276.80099589501827</v>
      </c>
      <c r="L30" s="633"/>
      <c r="M30" s="186">
        <f>RANK(K30, K$27:$K$41)</f>
        <v>4</v>
      </c>
      <c r="N30" s="631"/>
      <c r="O30" s="631"/>
      <c r="P30" s="188">
        <v>12</v>
      </c>
      <c r="Q30" s="188">
        <v>3158.741730950579</v>
      </c>
      <c r="R30" s="185">
        <f t="shared" si="23"/>
        <v>263.22847757921494</v>
      </c>
      <c r="S30" s="182">
        <f t="shared" si="24"/>
        <v>4</v>
      </c>
      <c r="T30" s="632"/>
      <c r="U30" s="188">
        <v>12</v>
      </c>
      <c r="V30" s="188">
        <v>3158.3817309505794</v>
      </c>
      <c r="W30" s="185">
        <f t="shared" si="17"/>
        <v>263.19847757921497</v>
      </c>
      <c r="X30" s="182">
        <f t="shared" si="25"/>
        <v>4</v>
      </c>
      <c r="Y30" s="632"/>
      <c r="Z30" s="188">
        <v>12</v>
      </c>
      <c r="AA30" s="188">
        <v>3158.0217309505788</v>
      </c>
      <c r="AB30" s="185">
        <f t="shared" si="18"/>
        <v>263.16847757921488</v>
      </c>
      <c r="AC30" s="182">
        <f t="shared" si="26"/>
        <v>4</v>
      </c>
      <c r="AD30" s="632"/>
      <c r="AE30" s="188">
        <v>11</v>
      </c>
      <c r="AF30" s="188">
        <v>3156.5817309505787</v>
      </c>
      <c r="AG30" s="185">
        <f t="shared" si="27"/>
        <v>286.9619755409617</v>
      </c>
      <c r="AH30" s="182">
        <f t="shared" si="28"/>
        <v>4</v>
      </c>
      <c r="AI30" s="674"/>
      <c r="AJ30" s="188">
        <v>11</v>
      </c>
      <c r="AK30" s="188">
        <v>3156.5817309505787</v>
      </c>
      <c r="AL30" s="185">
        <f t="shared" si="19"/>
        <v>286.9619755409617</v>
      </c>
      <c r="AM30" s="182">
        <f t="shared" si="29"/>
        <v>5</v>
      </c>
      <c r="AN30" s="632"/>
      <c r="AO30" s="188">
        <v>11</v>
      </c>
      <c r="AP30" s="188">
        <v>3157.6617309505787</v>
      </c>
      <c r="AQ30" s="185">
        <f t="shared" si="20"/>
        <v>287.06015735914349</v>
      </c>
      <c r="AR30" s="182">
        <f t="shared" si="30"/>
        <v>5</v>
      </c>
      <c r="AS30" s="632"/>
      <c r="AT30" s="188">
        <v>11</v>
      </c>
      <c r="AU30" s="188">
        <v>3157.3017309505785</v>
      </c>
      <c r="AV30" s="185">
        <f t="shared" si="21"/>
        <v>287.02743008641625</v>
      </c>
      <c r="AW30" s="182">
        <f t="shared" si="31"/>
        <v>5</v>
      </c>
      <c r="AX30" s="632"/>
    </row>
    <row r="31" spans="2:50" ht="14.25" customHeight="1">
      <c r="B31" s="631"/>
      <c r="C31" s="180">
        <v>5</v>
      </c>
      <c r="D31" s="183" t="s">
        <v>562</v>
      </c>
      <c r="E31" s="180">
        <v>12</v>
      </c>
      <c r="F31" s="180">
        <v>3600</v>
      </c>
      <c r="G31" s="185">
        <f t="shared" si="16"/>
        <v>300</v>
      </c>
      <c r="H31" s="632"/>
      <c r="I31" s="186">
        <f t="shared" si="22"/>
        <v>11.428571428571429</v>
      </c>
      <c r="J31" s="186">
        <f t="shared" si="22"/>
        <v>3156.8292227639386</v>
      </c>
      <c r="K31" s="187">
        <f t="shared" si="22"/>
        <v>276.73869524465175</v>
      </c>
      <c r="L31" s="633"/>
      <c r="M31" s="186">
        <f>RANK(K31, K$27:$K$41)</f>
        <v>5</v>
      </c>
      <c r="N31" s="631"/>
      <c r="O31" s="631"/>
      <c r="P31" s="188">
        <v>12</v>
      </c>
      <c r="Q31" s="188">
        <v>3155.4599602897761</v>
      </c>
      <c r="R31" s="185">
        <f t="shared" si="23"/>
        <v>262.95499669081465</v>
      </c>
      <c r="S31" s="182">
        <f t="shared" si="24"/>
        <v>5</v>
      </c>
      <c r="T31" s="632"/>
      <c r="U31" s="188">
        <v>12</v>
      </c>
      <c r="V31" s="188">
        <v>3156.1799602897759</v>
      </c>
      <c r="W31" s="185">
        <f t="shared" si="17"/>
        <v>263.01499669081466</v>
      </c>
      <c r="X31" s="182">
        <f t="shared" si="25"/>
        <v>5</v>
      </c>
      <c r="Y31" s="632"/>
      <c r="Z31" s="188">
        <v>12</v>
      </c>
      <c r="AA31" s="188">
        <v>3155.4603855330774</v>
      </c>
      <c r="AB31" s="185">
        <f t="shared" si="18"/>
        <v>262.95503212775645</v>
      </c>
      <c r="AC31" s="182">
        <f t="shared" si="26"/>
        <v>5</v>
      </c>
      <c r="AD31" s="632"/>
      <c r="AE31" s="188">
        <v>11</v>
      </c>
      <c r="AF31" s="188">
        <v>3156.1460633087354</v>
      </c>
      <c r="AG31" s="185">
        <f t="shared" si="27"/>
        <v>286.92236939170323</v>
      </c>
      <c r="AH31" s="182">
        <f t="shared" si="28"/>
        <v>5</v>
      </c>
      <c r="AI31" s="674"/>
      <c r="AJ31" s="188">
        <v>11</v>
      </c>
      <c r="AK31" s="188">
        <v>3157.5860633087354</v>
      </c>
      <c r="AL31" s="185">
        <f t="shared" si="19"/>
        <v>287.05327848261231</v>
      </c>
      <c r="AM31" s="182">
        <f t="shared" si="29"/>
        <v>4</v>
      </c>
      <c r="AN31" s="632"/>
      <c r="AO31" s="188">
        <v>11</v>
      </c>
      <c r="AP31" s="188">
        <v>3158.3060633087357</v>
      </c>
      <c r="AQ31" s="185">
        <f t="shared" si="20"/>
        <v>287.11873302806686</v>
      </c>
      <c r="AR31" s="182">
        <f t="shared" si="30"/>
        <v>4</v>
      </c>
      <c r="AS31" s="632"/>
      <c r="AT31" s="188">
        <v>11</v>
      </c>
      <c r="AU31" s="188">
        <v>3158.6660633087358</v>
      </c>
      <c r="AV31" s="185">
        <f t="shared" si="21"/>
        <v>287.15146030079416</v>
      </c>
      <c r="AW31" s="182">
        <f t="shared" si="31"/>
        <v>4</v>
      </c>
      <c r="AX31" s="632"/>
    </row>
    <row r="32" spans="2:50" ht="14.25" customHeight="1">
      <c r="B32" s="631"/>
      <c r="C32" s="180">
        <v>6</v>
      </c>
      <c r="D32" s="183"/>
      <c r="E32" s="180"/>
      <c r="F32" s="180"/>
      <c r="G32" s="185"/>
      <c r="H32" s="632"/>
      <c r="I32" s="186"/>
      <c r="J32" s="186"/>
      <c r="K32" s="187"/>
      <c r="L32" s="633"/>
      <c r="M32" s="186"/>
      <c r="N32" s="631"/>
      <c r="O32" s="631"/>
      <c r="P32" s="188"/>
      <c r="Q32" s="188"/>
      <c r="R32" s="185"/>
      <c r="S32" s="182"/>
      <c r="T32" s="632"/>
      <c r="U32" s="188"/>
      <c r="V32" s="188"/>
      <c r="W32" s="185"/>
      <c r="X32" s="182"/>
      <c r="Y32" s="632"/>
      <c r="Z32" s="188"/>
      <c r="AA32" s="188"/>
      <c r="AB32" s="185"/>
      <c r="AC32" s="182"/>
      <c r="AD32" s="632"/>
      <c r="AE32" s="188"/>
      <c r="AF32" s="188"/>
      <c r="AG32" s="185"/>
      <c r="AH32" s="182"/>
      <c r="AI32" s="674"/>
      <c r="AJ32" s="188"/>
      <c r="AK32" s="188"/>
      <c r="AL32" s="185"/>
      <c r="AM32" s="182"/>
      <c r="AN32" s="632"/>
      <c r="AO32" s="188"/>
      <c r="AP32" s="188"/>
      <c r="AQ32" s="185"/>
      <c r="AR32" s="182"/>
      <c r="AS32" s="632"/>
      <c r="AT32" s="188"/>
      <c r="AU32" s="188"/>
      <c r="AV32" s="185"/>
      <c r="AW32" s="182"/>
      <c r="AX32" s="632"/>
    </row>
    <row r="33" spans="2:50" ht="14.25" customHeight="1">
      <c r="B33" s="631"/>
      <c r="C33" s="180">
        <v>7</v>
      </c>
      <c r="D33" s="183"/>
      <c r="E33" s="180"/>
      <c r="F33" s="180"/>
      <c r="G33" s="185"/>
      <c r="H33" s="632"/>
      <c r="I33" s="186"/>
      <c r="J33" s="186"/>
      <c r="K33" s="187"/>
      <c r="L33" s="633"/>
      <c r="M33" s="186"/>
      <c r="N33" s="631"/>
      <c r="O33" s="631"/>
      <c r="P33" s="188"/>
      <c r="Q33" s="188"/>
      <c r="R33" s="185"/>
      <c r="S33" s="182"/>
      <c r="T33" s="632"/>
      <c r="U33" s="188"/>
      <c r="V33" s="188"/>
      <c r="W33" s="185"/>
      <c r="X33" s="182"/>
      <c r="Y33" s="632"/>
      <c r="Z33" s="188"/>
      <c r="AA33" s="188"/>
      <c r="AB33" s="185"/>
      <c r="AC33" s="182"/>
      <c r="AD33" s="632"/>
      <c r="AE33" s="188"/>
      <c r="AF33" s="188"/>
      <c r="AG33" s="185"/>
      <c r="AH33" s="182"/>
      <c r="AI33" s="674"/>
      <c r="AJ33" s="188"/>
      <c r="AK33" s="188"/>
      <c r="AL33" s="185"/>
      <c r="AM33" s="182"/>
      <c r="AN33" s="632"/>
      <c r="AO33" s="188"/>
      <c r="AP33" s="188"/>
      <c r="AQ33" s="185"/>
      <c r="AR33" s="182"/>
      <c r="AS33" s="632"/>
      <c r="AT33" s="188"/>
      <c r="AU33" s="188"/>
      <c r="AV33" s="185"/>
      <c r="AW33" s="182"/>
      <c r="AX33" s="632"/>
    </row>
    <row r="34" spans="2:50" ht="14.25" customHeight="1">
      <c r="B34" s="631"/>
      <c r="C34" s="180">
        <v>8</v>
      </c>
      <c r="D34" s="183"/>
      <c r="E34" s="180"/>
      <c r="F34" s="180"/>
      <c r="G34" s="185"/>
      <c r="H34" s="632"/>
      <c r="I34" s="186"/>
      <c r="J34" s="186"/>
      <c r="K34" s="187"/>
      <c r="L34" s="633"/>
      <c r="M34" s="186"/>
      <c r="N34" s="631"/>
      <c r="O34" s="631"/>
      <c r="P34" s="188"/>
      <c r="Q34" s="188"/>
      <c r="R34" s="185"/>
      <c r="S34" s="182"/>
      <c r="T34" s="632"/>
      <c r="U34" s="188"/>
      <c r="V34" s="188"/>
      <c r="W34" s="185"/>
      <c r="X34" s="182"/>
      <c r="Y34" s="632"/>
      <c r="Z34" s="188"/>
      <c r="AA34" s="188"/>
      <c r="AB34" s="185"/>
      <c r="AC34" s="182"/>
      <c r="AD34" s="632"/>
      <c r="AE34" s="188"/>
      <c r="AF34" s="188"/>
      <c r="AG34" s="185"/>
      <c r="AH34" s="182"/>
      <c r="AI34" s="674"/>
      <c r="AJ34" s="188"/>
      <c r="AK34" s="188"/>
      <c r="AL34" s="185"/>
      <c r="AM34" s="182"/>
      <c r="AN34" s="632"/>
      <c r="AO34" s="188"/>
      <c r="AP34" s="188"/>
      <c r="AQ34" s="185"/>
      <c r="AR34" s="182"/>
      <c r="AS34" s="632"/>
      <c r="AT34" s="188"/>
      <c r="AU34" s="188"/>
      <c r="AV34" s="185"/>
      <c r="AW34" s="182"/>
      <c r="AX34" s="632"/>
    </row>
    <row r="35" spans="2:50" ht="14.25" customHeight="1">
      <c r="B35" s="631"/>
      <c r="C35" s="180">
        <v>9</v>
      </c>
      <c r="D35" s="183"/>
      <c r="E35" s="180"/>
      <c r="F35" s="180"/>
      <c r="G35" s="185"/>
      <c r="H35" s="632"/>
      <c r="I35" s="186"/>
      <c r="J35" s="186"/>
      <c r="K35" s="187"/>
      <c r="L35" s="633"/>
      <c r="M35" s="186"/>
      <c r="N35" s="631"/>
      <c r="O35" s="631"/>
      <c r="P35" s="188"/>
      <c r="Q35" s="188"/>
      <c r="R35" s="185"/>
      <c r="S35" s="182"/>
      <c r="T35" s="632"/>
      <c r="U35" s="188"/>
      <c r="V35" s="188"/>
      <c r="W35" s="185"/>
      <c r="X35" s="182"/>
      <c r="Y35" s="632"/>
      <c r="Z35" s="188"/>
      <c r="AA35" s="188"/>
      <c r="AB35" s="185"/>
      <c r="AC35" s="182"/>
      <c r="AD35" s="632"/>
      <c r="AE35" s="188"/>
      <c r="AF35" s="188"/>
      <c r="AG35" s="185"/>
      <c r="AH35" s="182"/>
      <c r="AI35" s="674"/>
      <c r="AJ35" s="188"/>
      <c r="AK35" s="188"/>
      <c r="AL35" s="185"/>
      <c r="AM35" s="182"/>
      <c r="AN35" s="632"/>
      <c r="AO35" s="188"/>
      <c r="AP35" s="188"/>
      <c r="AQ35" s="185"/>
      <c r="AR35" s="182"/>
      <c r="AS35" s="632"/>
      <c r="AT35" s="188"/>
      <c r="AU35" s="188"/>
      <c r="AV35" s="185"/>
      <c r="AW35" s="182"/>
      <c r="AX35" s="632"/>
    </row>
    <row r="36" spans="2:50" ht="14.25" customHeight="1">
      <c r="B36" s="631"/>
      <c r="C36" s="180">
        <v>10</v>
      </c>
      <c r="D36" s="183"/>
      <c r="E36" s="180"/>
      <c r="F36" s="180"/>
      <c r="G36" s="185"/>
      <c r="H36" s="632"/>
      <c r="I36" s="186"/>
      <c r="J36" s="186"/>
      <c r="K36" s="187"/>
      <c r="L36" s="633"/>
      <c r="M36" s="186"/>
      <c r="N36" s="631"/>
      <c r="O36" s="631"/>
      <c r="P36" s="188"/>
      <c r="Q36" s="188"/>
      <c r="R36" s="185"/>
      <c r="S36" s="182"/>
      <c r="T36" s="632"/>
      <c r="U36" s="188"/>
      <c r="V36" s="188"/>
      <c r="W36" s="185"/>
      <c r="X36" s="182"/>
      <c r="Y36" s="632"/>
      <c r="Z36" s="188"/>
      <c r="AA36" s="188"/>
      <c r="AB36" s="185"/>
      <c r="AC36" s="182"/>
      <c r="AD36" s="632"/>
      <c r="AE36" s="188"/>
      <c r="AF36" s="188"/>
      <c r="AG36" s="185"/>
      <c r="AH36" s="182"/>
      <c r="AI36" s="674"/>
      <c r="AJ36" s="188"/>
      <c r="AK36" s="188"/>
      <c r="AL36" s="185"/>
      <c r="AM36" s="182"/>
      <c r="AN36" s="632"/>
      <c r="AO36" s="188"/>
      <c r="AP36" s="188"/>
      <c r="AQ36" s="185"/>
      <c r="AR36" s="182"/>
      <c r="AS36" s="632"/>
      <c r="AT36" s="188"/>
      <c r="AU36" s="188"/>
      <c r="AV36" s="185"/>
      <c r="AW36" s="182"/>
      <c r="AX36" s="632"/>
    </row>
    <row r="37" spans="2:50" ht="14.25" customHeight="1">
      <c r="B37" s="631"/>
      <c r="C37" s="180">
        <v>11</v>
      </c>
      <c r="D37" s="183"/>
      <c r="E37" s="180"/>
      <c r="F37" s="180"/>
      <c r="G37" s="185"/>
      <c r="H37" s="632"/>
      <c r="I37" s="186"/>
      <c r="J37" s="186"/>
      <c r="K37" s="187"/>
      <c r="L37" s="633"/>
      <c r="M37" s="186"/>
      <c r="N37" s="631"/>
      <c r="O37" s="631"/>
      <c r="P37" s="188"/>
      <c r="Q37" s="188"/>
      <c r="R37" s="185"/>
      <c r="S37" s="182"/>
      <c r="T37" s="632"/>
      <c r="U37" s="188"/>
      <c r="V37" s="188"/>
      <c r="W37" s="185"/>
      <c r="X37" s="182"/>
      <c r="Y37" s="632"/>
      <c r="Z37" s="188"/>
      <c r="AA37" s="188"/>
      <c r="AB37" s="185"/>
      <c r="AC37" s="182"/>
      <c r="AD37" s="632"/>
      <c r="AE37" s="188"/>
      <c r="AF37" s="188"/>
      <c r="AG37" s="185"/>
      <c r="AH37" s="182"/>
      <c r="AI37" s="674"/>
      <c r="AJ37" s="188"/>
      <c r="AK37" s="188"/>
      <c r="AL37" s="185"/>
      <c r="AM37" s="182"/>
      <c r="AN37" s="632"/>
      <c r="AO37" s="188"/>
      <c r="AP37" s="188"/>
      <c r="AQ37" s="185"/>
      <c r="AR37" s="182"/>
      <c r="AS37" s="632"/>
      <c r="AT37" s="188"/>
      <c r="AU37" s="188"/>
      <c r="AV37" s="185"/>
      <c r="AW37" s="182"/>
      <c r="AX37" s="632"/>
    </row>
    <row r="38" spans="2:50" ht="14.25" customHeight="1">
      <c r="B38" s="631"/>
      <c r="C38" s="180">
        <v>12</v>
      </c>
      <c r="D38" s="183"/>
      <c r="E38" s="180"/>
      <c r="F38" s="180"/>
      <c r="G38" s="185"/>
      <c r="H38" s="632"/>
      <c r="I38" s="186"/>
      <c r="J38" s="186"/>
      <c r="K38" s="187"/>
      <c r="L38" s="633"/>
      <c r="M38" s="186"/>
      <c r="N38" s="631"/>
      <c r="O38" s="631"/>
      <c r="P38" s="188"/>
      <c r="Q38" s="188"/>
      <c r="R38" s="185"/>
      <c r="S38" s="182"/>
      <c r="T38" s="632"/>
      <c r="U38" s="188"/>
      <c r="V38" s="188"/>
      <c r="W38" s="185"/>
      <c r="X38" s="182"/>
      <c r="Y38" s="632"/>
      <c r="Z38" s="188"/>
      <c r="AA38" s="188"/>
      <c r="AB38" s="185"/>
      <c r="AC38" s="182"/>
      <c r="AD38" s="632"/>
      <c r="AE38" s="188"/>
      <c r="AF38" s="188"/>
      <c r="AG38" s="185"/>
      <c r="AH38" s="182"/>
      <c r="AI38" s="674"/>
      <c r="AJ38" s="188"/>
      <c r="AK38" s="188"/>
      <c r="AL38" s="185"/>
      <c r="AM38" s="182"/>
      <c r="AN38" s="632"/>
      <c r="AO38" s="188"/>
      <c r="AP38" s="188"/>
      <c r="AQ38" s="185"/>
      <c r="AR38" s="182"/>
      <c r="AS38" s="632"/>
      <c r="AT38" s="188"/>
      <c r="AU38" s="188"/>
      <c r="AV38" s="185"/>
      <c r="AW38" s="182"/>
      <c r="AX38" s="632"/>
    </row>
    <row r="39" spans="2:50" ht="14.25" customHeight="1">
      <c r="B39" s="631"/>
      <c r="C39" s="180">
        <v>13</v>
      </c>
      <c r="D39" s="183"/>
      <c r="E39" s="180"/>
      <c r="F39" s="180"/>
      <c r="G39" s="185"/>
      <c r="H39" s="632"/>
      <c r="I39" s="186"/>
      <c r="J39" s="186"/>
      <c r="K39" s="187"/>
      <c r="L39" s="633"/>
      <c r="M39" s="186"/>
      <c r="N39" s="631"/>
      <c r="O39" s="631"/>
      <c r="P39" s="188"/>
      <c r="Q39" s="188"/>
      <c r="R39" s="185"/>
      <c r="S39" s="182"/>
      <c r="T39" s="632"/>
      <c r="U39" s="188"/>
      <c r="V39" s="188"/>
      <c r="W39" s="185"/>
      <c r="X39" s="182"/>
      <c r="Y39" s="632"/>
      <c r="Z39" s="188"/>
      <c r="AA39" s="188"/>
      <c r="AB39" s="185"/>
      <c r="AC39" s="182"/>
      <c r="AD39" s="632"/>
      <c r="AE39" s="188"/>
      <c r="AF39" s="188"/>
      <c r="AG39" s="185"/>
      <c r="AH39" s="182"/>
      <c r="AI39" s="674"/>
      <c r="AJ39" s="188"/>
      <c r="AK39" s="188"/>
      <c r="AL39" s="185"/>
      <c r="AM39" s="182"/>
      <c r="AN39" s="632"/>
      <c r="AO39" s="188"/>
      <c r="AP39" s="188"/>
      <c r="AQ39" s="185"/>
      <c r="AR39" s="182"/>
      <c r="AS39" s="632"/>
      <c r="AT39" s="188"/>
      <c r="AU39" s="188"/>
      <c r="AV39" s="185"/>
      <c r="AW39" s="182"/>
      <c r="AX39" s="632"/>
    </row>
    <row r="40" spans="2:50" ht="14.25" customHeight="1">
      <c r="B40" s="631"/>
      <c r="C40" s="180">
        <v>14</v>
      </c>
      <c r="D40" s="183"/>
      <c r="E40" s="180"/>
      <c r="F40" s="180"/>
      <c r="G40" s="185"/>
      <c r="H40" s="632"/>
      <c r="I40" s="186"/>
      <c r="J40" s="186"/>
      <c r="K40" s="187"/>
      <c r="L40" s="633"/>
      <c r="M40" s="186"/>
      <c r="N40" s="631"/>
      <c r="O40" s="631"/>
      <c r="P40" s="188"/>
      <c r="Q40" s="188"/>
      <c r="R40" s="185"/>
      <c r="S40" s="182"/>
      <c r="T40" s="632"/>
      <c r="U40" s="188"/>
      <c r="V40" s="188"/>
      <c r="W40" s="185"/>
      <c r="X40" s="182"/>
      <c r="Y40" s="632"/>
      <c r="Z40" s="188"/>
      <c r="AA40" s="188"/>
      <c r="AB40" s="185"/>
      <c r="AC40" s="182"/>
      <c r="AD40" s="632"/>
      <c r="AE40" s="188"/>
      <c r="AF40" s="188"/>
      <c r="AG40" s="185"/>
      <c r="AH40" s="182"/>
      <c r="AI40" s="674"/>
      <c r="AJ40" s="188"/>
      <c r="AK40" s="188"/>
      <c r="AL40" s="185"/>
      <c r="AM40" s="182"/>
      <c r="AN40" s="632"/>
      <c r="AO40" s="188"/>
      <c r="AP40" s="188"/>
      <c r="AQ40" s="185"/>
      <c r="AR40" s="182"/>
      <c r="AS40" s="632"/>
      <c r="AT40" s="188"/>
      <c r="AU40" s="188"/>
      <c r="AV40" s="185"/>
      <c r="AW40" s="182"/>
      <c r="AX40" s="632"/>
    </row>
    <row r="41" spans="2:50" ht="14.25" customHeight="1">
      <c r="B41" s="631"/>
      <c r="C41" s="180">
        <v>15</v>
      </c>
      <c r="D41" s="183"/>
      <c r="E41" s="180"/>
      <c r="F41" s="180"/>
      <c r="G41" s="185"/>
      <c r="H41" s="632"/>
      <c r="I41" s="186"/>
      <c r="J41" s="186"/>
      <c r="K41" s="187"/>
      <c r="L41" s="633"/>
      <c r="M41" s="186"/>
      <c r="N41" s="631"/>
      <c r="O41" s="631"/>
      <c r="P41" s="188"/>
      <c r="Q41" s="188"/>
      <c r="R41" s="185"/>
      <c r="S41" s="182"/>
      <c r="T41" s="632"/>
      <c r="U41" s="188"/>
      <c r="V41" s="188"/>
      <c r="W41" s="185"/>
      <c r="X41" s="182"/>
      <c r="Y41" s="632"/>
      <c r="Z41" s="188"/>
      <c r="AA41" s="188"/>
      <c r="AB41" s="185"/>
      <c r="AC41" s="182"/>
      <c r="AD41" s="632"/>
      <c r="AE41" s="188"/>
      <c r="AF41" s="188"/>
      <c r="AG41" s="185"/>
      <c r="AH41" s="182"/>
      <c r="AI41" s="675"/>
      <c r="AJ41" s="188"/>
      <c r="AK41" s="188"/>
      <c r="AL41" s="185"/>
      <c r="AM41" s="182"/>
      <c r="AN41" s="632"/>
      <c r="AO41" s="188"/>
      <c r="AP41" s="188"/>
      <c r="AQ41" s="185"/>
      <c r="AR41" s="182"/>
      <c r="AS41" s="632"/>
      <c r="AT41" s="188"/>
      <c r="AU41" s="188"/>
      <c r="AV41" s="185"/>
      <c r="AW41" s="182"/>
      <c r="AX41" s="632"/>
    </row>
    <row r="42" spans="2:50" ht="14.25" customHeight="1">
      <c r="B42" s="645" t="s">
        <v>743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7"/>
      <c r="N42" s="664" t="s">
        <v>369</v>
      </c>
      <c r="O42" s="664" t="s">
        <v>105</v>
      </c>
      <c r="P42" s="666">
        <v>46154</v>
      </c>
      <c r="Q42" s="667"/>
      <c r="R42" s="667"/>
      <c r="S42" s="667"/>
      <c r="T42" s="667"/>
      <c r="U42" s="668">
        <v>46155</v>
      </c>
      <c r="V42" s="669"/>
      <c r="W42" s="669"/>
      <c r="X42" s="669"/>
      <c r="Y42" s="669"/>
      <c r="Z42" s="666">
        <v>46156</v>
      </c>
      <c r="AA42" s="667"/>
      <c r="AB42" s="667"/>
      <c r="AC42" s="667"/>
      <c r="AD42" s="667"/>
      <c r="AE42" s="668">
        <v>46157</v>
      </c>
      <c r="AF42" s="669"/>
      <c r="AG42" s="669"/>
      <c r="AH42" s="669"/>
      <c r="AI42" s="669"/>
      <c r="AJ42" s="656">
        <v>46158</v>
      </c>
      <c r="AK42" s="657"/>
      <c r="AL42" s="657"/>
      <c r="AM42" s="657"/>
      <c r="AN42" s="658"/>
      <c r="AO42" s="668">
        <v>46159</v>
      </c>
      <c r="AP42" s="669"/>
      <c r="AQ42" s="669"/>
      <c r="AR42" s="669"/>
      <c r="AS42" s="669"/>
      <c r="AT42" s="656">
        <v>46160</v>
      </c>
      <c r="AU42" s="657"/>
      <c r="AV42" s="657"/>
      <c r="AW42" s="657"/>
      <c r="AX42" s="658"/>
    </row>
    <row r="43" spans="2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65"/>
      <c r="O43" s="665"/>
      <c r="P43" s="659">
        <v>46154</v>
      </c>
      <c r="Q43" s="659"/>
      <c r="R43" s="659"/>
      <c r="S43" s="659"/>
      <c r="T43" s="659"/>
      <c r="U43" s="660">
        <v>46155</v>
      </c>
      <c r="V43" s="660"/>
      <c r="W43" s="660"/>
      <c r="X43" s="660"/>
      <c r="Y43" s="660"/>
      <c r="Z43" s="659">
        <v>46156</v>
      </c>
      <c r="AA43" s="659"/>
      <c r="AB43" s="659"/>
      <c r="AC43" s="659"/>
      <c r="AD43" s="659"/>
      <c r="AE43" s="660">
        <v>46157</v>
      </c>
      <c r="AF43" s="660"/>
      <c r="AG43" s="660"/>
      <c r="AH43" s="660"/>
      <c r="AI43" s="660"/>
      <c r="AJ43" s="661">
        <v>46158</v>
      </c>
      <c r="AK43" s="662"/>
      <c r="AL43" s="662"/>
      <c r="AM43" s="662"/>
      <c r="AN43" s="663"/>
      <c r="AO43" s="660">
        <v>46159</v>
      </c>
      <c r="AP43" s="660"/>
      <c r="AQ43" s="660"/>
      <c r="AR43" s="660"/>
      <c r="AS43" s="660"/>
      <c r="AT43" s="661">
        <v>46160</v>
      </c>
      <c r="AU43" s="662"/>
      <c r="AV43" s="662"/>
      <c r="AW43" s="662"/>
      <c r="AX43" s="663"/>
    </row>
    <row r="44" spans="2:50" ht="14.25" customHeight="1">
      <c r="B44" s="631" t="s">
        <v>162</v>
      </c>
      <c r="C44" s="631" t="s">
        <v>157</v>
      </c>
      <c r="D44" s="631"/>
      <c r="E44" s="631" t="s">
        <v>158</v>
      </c>
      <c r="F44" s="631"/>
      <c r="G44" s="631"/>
      <c r="H44" s="631" t="s">
        <v>163</v>
      </c>
      <c r="I44" s="635" t="s">
        <v>370</v>
      </c>
      <c r="J44" s="635"/>
      <c r="K44" s="635"/>
      <c r="L44" s="635" t="s">
        <v>163</v>
      </c>
      <c r="M44" s="635" t="s">
        <v>165</v>
      </c>
      <c r="N44" s="631"/>
      <c r="O44" s="631" t="s">
        <v>164</v>
      </c>
      <c r="P44" s="631" t="s">
        <v>160</v>
      </c>
      <c r="Q44" s="631"/>
      <c r="R44" s="631"/>
      <c r="S44" s="631"/>
      <c r="T44" s="631" t="s">
        <v>163</v>
      </c>
      <c r="U44" s="631" t="s">
        <v>160</v>
      </c>
      <c r="V44" s="631"/>
      <c r="W44" s="631"/>
      <c r="X44" s="631"/>
      <c r="Y44" s="631" t="s">
        <v>163</v>
      </c>
      <c r="Z44" s="631" t="s">
        <v>160</v>
      </c>
      <c r="AA44" s="631"/>
      <c r="AB44" s="631"/>
      <c r="AC44" s="631"/>
      <c r="AD44" s="631" t="s">
        <v>163</v>
      </c>
      <c r="AE44" s="631" t="s">
        <v>160</v>
      </c>
      <c r="AF44" s="631"/>
      <c r="AG44" s="631"/>
      <c r="AH44" s="631"/>
      <c r="AI44" s="631" t="s">
        <v>163</v>
      </c>
      <c r="AJ44" s="631" t="s">
        <v>160</v>
      </c>
      <c r="AK44" s="631"/>
      <c r="AL44" s="631"/>
      <c r="AM44" s="631"/>
      <c r="AN44" s="631" t="s">
        <v>163</v>
      </c>
      <c r="AO44" s="631" t="s">
        <v>160</v>
      </c>
      <c r="AP44" s="631"/>
      <c r="AQ44" s="631"/>
      <c r="AR44" s="631"/>
      <c r="AS44" s="631" t="s">
        <v>163</v>
      </c>
      <c r="AT44" s="631" t="s">
        <v>160</v>
      </c>
      <c r="AU44" s="631"/>
      <c r="AV44" s="631"/>
      <c r="AW44" s="631"/>
      <c r="AX44" s="631" t="s">
        <v>163</v>
      </c>
    </row>
    <row r="45" spans="2:50" ht="14.25" customHeight="1">
      <c r="B45" s="631"/>
      <c r="C45" s="631"/>
      <c r="D45" s="631"/>
      <c r="E45" s="631" t="s">
        <v>371</v>
      </c>
      <c r="F45" s="631"/>
      <c r="G45" s="631"/>
      <c r="H45" s="631"/>
      <c r="I45" s="635" t="s">
        <v>371</v>
      </c>
      <c r="J45" s="635"/>
      <c r="K45" s="635"/>
      <c r="L45" s="635"/>
      <c r="M45" s="635"/>
      <c r="N45" s="631"/>
      <c r="O45" s="631"/>
      <c r="P45" s="631" t="s">
        <v>372</v>
      </c>
      <c r="Q45" s="631"/>
      <c r="R45" s="631"/>
      <c r="S45" s="631"/>
      <c r="T45" s="631"/>
      <c r="U45" s="631" t="s">
        <v>372</v>
      </c>
      <c r="V45" s="631"/>
      <c r="W45" s="631"/>
      <c r="X45" s="631"/>
      <c r="Y45" s="631"/>
      <c r="Z45" s="631" t="s">
        <v>372</v>
      </c>
      <c r="AA45" s="631"/>
      <c r="AB45" s="631"/>
      <c r="AC45" s="631"/>
      <c r="AD45" s="631"/>
      <c r="AE45" s="631" t="s">
        <v>372</v>
      </c>
      <c r="AF45" s="631"/>
      <c r="AG45" s="631"/>
      <c r="AH45" s="631"/>
      <c r="AI45" s="631"/>
      <c r="AJ45" s="631" t="s">
        <v>372</v>
      </c>
      <c r="AK45" s="631"/>
      <c r="AL45" s="631"/>
      <c r="AM45" s="631"/>
      <c r="AN45" s="631"/>
      <c r="AO45" s="631" t="s">
        <v>372</v>
      </c>
      <c r="AP45" s="631"/>
      <c r="AQ45" s="631"/>
      <c r="AR45" s="631"/>
      <c r="AS45" s="631"/>
      <c r="AT45" s="631" t="s">
        <v>372</v>
      </c>
      <c r="AU45" s="631"/>
      <c r="AV45" s="631"/>
      <c r="AW45" s="631"/>
      <c r="AX45" s="631"/>
    </row>
    <row r="46" spans="2:50" ht="14.25" customHeight="1">
      <c r="B46" s="631"/>
      <c r="C46" s="631"/>
      <c r="D46" s="631"/>
      <c r="E46" s="180" t="s">
        <v>159</v>
      </c>
      <c r="F46" s="180" t="s">
        <v>373</v>
      </c>
      <c r="G46" s="180" t="s">
        <v>161</v>
      </c>
      <c r="H46" s="631"/>
      <c r="I46" s="181" t="s">
        <v>159</v>
      </c>
      <c r="J46" s="181" t="s">
        <v>373</v>
      </c>
      <c r="K46" s="181" t="s">
        <v>161</v>
      </c>
      <c r="L46" s="635"/>
      <c r="M46" s="635"/>
      <c r="N46" s="631"/>
      <c r="O46" s="631"/>
      <c r="P46" s="180" t="s">
        <v>159</v>
      </c>
      <c r="Q46" s="180" t="s">
        <v>373</v>
      </c>
      <c r="R46" s="180" t="s">
        <v>161</v>
      </c>
      <c r="S46" s="182" t="s">
        <v>165</v>
      </c>
      <c r="T46" s="631"/>
      <c r="U46" s="180" t="s">
        <v>159</v>
      </c>
      <c r="V46" s="180" t="s">
        <v>373</v>
      </c>
      <c r="W46" s="180" t="s">
        <v>161</v>
      </c>
      <c r="X46" s="182" t="s">
        <v>165</v>
      </c>
      <c r="Y46" s="631"/>
      <c r="Z46" s="180" t="s">
        <v>159</v>
      </c>
      <c r="AA46" s="180" t="s">
        <v>373</v>
      </c>
      <c r="AB46" s="180" t="s">
        <v>161</v>
      </c>
      <c r="AC46" s="182" t="s">
        <v>165</v>
      </c>
      <c r="AD46" s="631"/>
      <c r="AE46" s="180" t="s">
        <v>159</v>
      </c>
      <c r="AF46" s="180" t="s">
        <v>373</v>
      </c>
      <c r="AG46" s="180" t="s">
        <v>161</v>
      </c>
      <c r="AH46" s="182" t="s">
        <v>165</v>
      </c>
      <c r="AI46" s="631"/>
      <c r="AJ46" s="180" t="s">
        <v>159</v>
      </c>
      <c r="AK46" s="180" t="s">
        <v>373</v>
      </c>
      <c r="AL46" s="180" t="s">
        <v>161</v>
      </c>
      <c r="AM46" s="182" t="s">
        <v>165</v>
      </c>
      <c r="AN46" s="631"/>
      <c r="AO46" s="180" t="s">
        <v>159</v>
      </c>
      <c r="AP46" s="180" t="s">
        <v>373</v>
      </c>
      <c r="AQ46" s="180" t="s">
        <v>161</v>
      </c>
      <c r="AR46" s="182" t="s">
        <v>165</v>
      </c>
      <c r="AS46" s="631"/>
      <c r="AT46" s="180" t="s">
        <v>159</v>
      </c>
      <c r="AU46" s="180" t="s">
        <v>373</v>
      </c>
      <c r="AV46" s="180" t="s">
        <v>161</v>
      </c>
      <c r="AW46" s="182" t="s">
        <v>165</v>
      </c>
      <c r="AX46" s="631"/>
    </row>
    <row r="47" spans="2:50" ht="14.25" customHeight="1">
      <c r="B47" s="631" t="s">
        <v>375</v>
      </c>
      <c r="C47" s="180">
        <v>1</v>
      </c>
      <c r="D47" s="183" t="s">
        <v>348</v>
      </c>
      <c r="E47" s="180">
        <v>10</v>
      </c>
      <c r="F47" s="180">
        <v>3600</v>
      </c>
      <c r="G47" s="185">
        <f t="shared" ref="G47:G49" si="32">F47/E47</f>
        <v>360</v>
      </c>
      <c r="H47" s="632">
        <f>AVERAGE(G47:G61)</f>
        <v>338.18181818181819</v>
      </c>
      <c r="I47" s="186">
        <f>AVERAGE(P47,U47,Z47,AE47,AJ47,AO47,AT47)</f>
        <v>10</v>
      </c>
      <c r="J47" s="186">
        <f>AVERAGE(Q47,V47,AA47,AF47,AK47,AP47,AU47)</f>
        <v>3189.4718563459323</v>
      </c>
      <c r="K47" s="187">
        <f>AVERAGE(R47,W47,AB47,AG47,AL47,AQ47,AV47)</f>
        <v>318.94718563459321</v>
      </c>
      <c r="L47" s="633">
        <f>IFERROR(AVERAGE(K47:K61),"-")</f>
        <v>297.61797541816094</v>
      </c>
      <c r="M47" s="186">
        <f>RANK(K47, K$47:$K$61)</f>
        <v>1</v>
      </c>
      <c r="N47" s="631"/>
      <c r="O47" s="631"/>
      <c r="P47" s="188">
        <v>10</v>
      </c>
      <c r="Q47" s="188">
        <v>3187.0357450030965</v>
      </c>
      <c r="R47" s="185">
        <f>IFERROR(Q47/P47,"")</f>
        <v>318.70357450030963</v>
      </c>
      <c r="S47" s="182">
        <f>RANK(R47, R$47:R$61)</f>
        <v>1</v>
      </c>
      <c r="T47" s="632">
        <f>AVERAGE(R47:R61)</f>
        <v>297.54021556856736</v>
      </c>
      <c r="U47" s="188">
        <v>10</v>
      </c>
      <c r="V47" s="188">
        <v>3188.115745003096</v>
      </c>
      <c r="W47" s="185">
        <f t="shared" ref="W47:W49" si="33">IFERROR(V47/U47,"")</f>
        <v>318.81157450030958</v>
      </c>
      <c r="X47" s="182">
        <f>RANK(W47, W$47:W$61)</f>
        <v>1</v>
      </c>
      <c r="Y47" s="632">
        <f>AVERAGE(W47:W61)</f>
        <v>297.59803375038547</v>
      </c>
      <c r="Z47" s="188">
        <v>10</v>
      </c>
      <c r="AA47" s="188">
        <v>3189.7263008830673</v>
      </c>
      <c r="AB47" s="185">
        <f t="shared" ref="AB47:AB49" si="34">IFERROR(AA47/Z47,"")</f>
        <v>318.97263008830674</v>
      </c>
      <c r="AC47" s="182">
        <f>RANK(AB47, AB$47:AB$61)</f>
        <v>1</v>
      </c>
      <c r="AD47" s="632">
        <f>AVERAGE(AB47:AB61)</f>
        <v>297.66073922675429</v>
      </c>
      <c r="AE47" s="188">
        <v>10</v>
      </c>
      <c r="AF47" s="188">
        <v>3190.4463008830671</v>
      </c>
      <c r="AG47" s="185">
        <f>IFERROR(AF47/AE47,"")</f>
        <v>319.04463008830669</v>
      </c>
      <c r="AH47" s="182">
        <f>RANK(AG47, AG$47:AG$61)</f>
        <v>1</v>
      </c>
      <c r="AI47" s="632">
        <f>AVERAGE(AG47:AG61)</f>
        <v>297.71746649948153</v>
      </c>
      <c r="AJ47" s="188">
        <v>10</v>
      </c>
      <c r="AK47" s="188">
        <v>3190.086300883067</v>
      </c>
      <c r="AL47" s="185">
        <f t="shared" ref="AL47:AL49" si="35">IFERROR(AK47/AJ47,"")</f>
        <v>319.00863008830669</v>
      </c>
      <c r="AM47" s="182">
        <f>RANK(AL47, AL$47:AL$61)</f>
        <v>1</v>
      </c>
      <c r="AN47" s="632">
        <f>AVERAGE(AL47:AL61)</f>
        <v>297.62910286311791</v>
      </c>
      <c r="AO47" s="188">
        <v>10</v>
      </c>
      <c r="AP47" s="188">
        <v>3190.8063008830663</v>
      </c>
      <c r="AQ47" s="185">
        <f t="shared" ref="AQ47:AQ49" si="36">IFERROR(AP47/AO47,"")</f>
        <v>319.08063008830663</v>
      </c>
      <c r="AR47" s="182">
        <f>RANK(AQ47, AQ$47:AQ$61)</f>
        <v>1</v>
      </c>
      <c r="AS47" s="632">
        <f>AVERAGE(AQ47:AQ61)</f>
        <v>297.74037559039067</v>
      </c>
      <c r="AT47" s="188">
        <v>10</v>
      </c>
      <c r="AU47" s="188">
        <v>3190.0863008830661</v>
      </c>
      <c r="AV47" s="185">
        <f t="shared" ref="AV47:AV49" si="37">IFERROR(AU47/AT47,"")</f>
        <v>319.00863008830663</v>
      </c>
      <c r="AW47" s="182">
        <f>RANK(AV47, AV$47:AV$61)</f>
        <v>1</v>
      </c>
      <c r="AX47" s="632">
        <f>AVERAGE(AV47:AV61)</f>
        <v>297.43989442842934</v>
      </c>
    </row>
    <row r="48" spans="2:50" ht="14.25" customHeight="1">
      <c r="B48" s="631"/>
      <c r="C48" s="180">
        <v>2</v>
      </c>
      <c r="D48" s="183" t="s">
        <v>561</v>
      </c>
      <c r="E48" s="180">
        <v>11</v>
      </c>
      <c r="F48" s="180">
        <v>3600</v>
      </c>
      <c r="G48" s="185">
        <f t="shared" si="32"/>
        <v>327.27272727272725</v>
      </c>
      <c r="H48" s="632"/>
      <c r="I48" s="186">
        <f t="shared" ref="I48:K49" si="38">AVERAGE(P48,U48,Z48,AE48,AJ48,AO48,AT48)</f>
        <v>11</v>
      </c>
      <c r="J48" s="186">
        <f t="shared" si="38"/>
        <v>3156.2170075261929</v>
      </c>
      <c r="K48" s="187">
        <f t="shared" si="38"/>
        <v>286.92881886601754</v>
      </c>
      <c r="L48" s="633"/>
      <c r="M48" s="186">
        <f>RANK(K48, K$47:$K$61)</f>
        <v>3</v>
      </c>
      <c r="N48" s="631"/>
      <c r="O48" s="631"/>
      <c r="P48" s="188">
        <v>11</v>
      </c>
      <c r="Q48" s="188">
        <v>3156.2217309505795</v>
      </c>
      <c r="R48" s="185">
        <f t="shared" ref="R48:R49" si="39">IFERROR(Q48/P48,"")</f>
        <v>286.92924826823452</v>
      </c>
      <c r="S48" s="182">
        <f t="shared" ref="S48:S49" si="40">RANK(R48, R$47:R$61)</f>
        <v>3</v>
      </c>
      <c r="T48" s="632"/>
      <c r="U48" s="188">
        <v>11</v>
      </c>
      <c r="V48" s="188">
        <v>3156.22173095058</v>
      </c>
      <c r="W48" s="185">
        <f t="shared" si="33"/>
        <v>286.92924826823452</v>
      </c>
      <c r="X48" s="182">
        <f t="shared" ref="X48:X49" si="41">RANK(W48, W$47:W$61)</f>
        <v>3</v>
      </c>
      <c r="Y48" s="632"/>
      <c r="Z48" s="188">
        <v>11</v>
      </c>
      <c r="AA48" s="188">
        <v>3155.7994002027826</v>
      </c>
      <c r="AB48" s="185">
        <f t="shared" si="34"/>
        <v>286.89085456388932</v>
      </c>
      <c r="AC48" s="182">
        <f t="shared" ref="AC48:AC49" si="42">RANK(AB48, AB$47:AB$61)</f>
        <v>3</v>
      </c>
      <c r="AD48" s="632"/>
      <c r="AE48" s="188">
        <v>11</v>
      </c>
      <c r="AF48" s="188">
        <v>3157.5994002027824</v>
      </c>
      <c r="AG48" s="185">
        <f t="shared" ref="AG48:AG49" si="43">IFERROR(AF48/AE48,"")</f>
        <v>287.05449092752565</v>
      </c>
      <c r="AH48" s="182">
        <f t="shared" ref="AH48:AH49" si="44">RANK(AG48, AG$47:AG$61)</f>
        <v>2</v>
      </c>
      <c r="AI48" s="632"/>
      <c r="AJ48" s="188">
        <v>11</v>
      </c>
      <c r="AK48" s="188">
        <v>3156.5194002027824</v>
      </c>
      <c r="AL48" s="185">
        <f t="shared" si="35"/>
        <v>286.95630910934386</v>
      </c>
      <c r="AM48" s="182">
        <f t="shared" ref="AM48:AM49" si="45">RANK(AL48, AL$47:AL$61)</f>
        <v>2</v>
      </c>
      <c r="AN48" s="632"/>
      <c r="AO48" s="188">
        <v>11</v>
      </c>
      <c r="AP48" s="188">
        <v>3157.5994002027833</v>
      </c>
      <c r="AQ48" s="185">
        <f t="shared" si="36"/>
        <v>287.05449092752576</v>
      </c>
      <c r="AR48" s="182">
        <f t="shared" ref="AR48:AR49" si="46">RANK(AQ48, AQ$47:AQ$61)</f>
        <v>3</v>
      </c>
      <c r="AS48" s="632"/>
      <c r="AT48" s="188">
        <v>11</v>
      </c>
      <c r="AU48" s="188">
        <v>3153.5579899710606</v>
      </c>
      <c r="AV48" s="185">
        <f t="shared" si="37"/>
        <v>286.68708999736913</v>
      </c>
      <c r="AW48" s="182">
        <f t="shared" ref="AW48:AW49" si="47">RANK(AV48, AV$47:AV$61)</f>
        <v>2</v>
      </c>
      <c r="AX48" s="632"/>
    </row>
    <row r="49" spans="2:50" ht="14.25" customHeight="1">
      <c r="B49" s="631"/>
      <c r="C49" s="180">
        <v>3</v>
      </c>
      <c r="D49" s="183" t="s">
        <v>562</v>
      </c>
      <c r="E49" s="180">
        <v>11</v>
      </c>
      <c r="F49" s="180">
        <v>3600</v>
      </c>
      <c r="G49" s="185">
        <f t="shared" si="32"/>
        <v>327.27272727272725</v>
      </c>
      <c r="H49" s="632"/>
      <c r="I49" s="186">
        <f t="shared" si="38"/>
        <v>11</v>
      </c>
      <c r="J49" s="186">
        <f t="shared" si="38"/>
        <v>3156.7571392925929</v>
      </c>
      <c r="K49" s="187">
        <f t="shared" si="38"/>
        <v>286.97792175387207</v>
      </c>
      <c r="L49" s="633"/>
      <c r="M49" s="186">
        <f>RANK(K49, K$47:$K$61)</f>
        <v>2</v>
      </c>
      <c r="N49" s="631"/>
      <c r="O49" s="631"/>
      <c r="P49" s="188">
        <v>11</v>
      </c>
      <c r="Q49" s="188">
        <v>3156.8660633087361</v>
      </c>
      <c r="R49" s="185">
        <f t="shared" si="39"/>
        <v>286.98782393715783</v>
      </c>
      <c r="S49" s="182">
        <f t="shared" si="40"/>
        <v>2</v>
      </c>
      <c r="T49" s="632"/>
      <c r="U49" s="188">
        <v>11</v>
      </c>
      <c r="V49" s="188">
        <v>3157.5860633087364</v>
      </c>
      <c r="W49" s="185">
        <f t="shared" si="33"/>
        <v>287.05327848261237</v>
      </c>
      <c r="X49" s="182">
        <f t="shared" si="41"/>
        <v>2</v>
      </c>
      <c r="Y49" s="632"/>
      <c r="Z49" s="188">
        <v>11</v>
      </c>
      <c r="AA49" s="188">
        <v>3158.3060633087357</v>
      </c>
      <c r="AB49" s="185">
        <f t="shared" si="34"/>
        <v>287.11873302806686</v>
      </c>
      <c r="AC49" s="182">
        <f t="shared" si="42"/>
        <v>2</v>
      </c>
      <c r="AD49" s="632"/>
      <c r="AE49" s="188">
        <v>11</v>
      </c>
      <c r="AF49" s="188">
        <v>3157.5860633087354</v>
      </c>
      <c r="AG49" s="185">
        <f t="shared" si="43"/>
        <v>287.05327848261231</v>
      </c>
      <c r="AH49" s="182">
        <f t="shared" si="44"/>
        <v>3</v>
      </c>
      <c r="AI49" s="632"/>
      <c r="AJ49" s="188">
        <v>11</v>
      </c>
      <c r="AK49" s="188">
        <v>3156.1460633087354</v>
      </c>
      <c r="AL49" s="185">
        <f t="shared" si="35"/>
        <v>286.92236939170323</v>
      </c>
      <c r="AM49" s="182">
        <f t="shared" si="45"/>
        <v>3</v>
      </c>
      <c r="AN49" s="632"/>
      <c r="AO49" s="188">
        <v>11</v>
      </c>
      <c r="AP49" s="188">
        <v>3157.9460633087351</v>
      </c>
      <c r="AQ49" s="185">
        <f t="shared" si="36"/>
        <v>287.08600575533956</v>
      </c>
      <c r="AR49" s="182">
        <f t="shared" si="46"/>
        <v>2</v>
      </c>
      <c r="AS49" s="632"/>
      <c r="AT49" s="188">
        <v>11</v>
      </c>
      <c r="AU49" s="188">
        <v>3152.8635951957363</v>
      </c>
      <c r="AV49" s="185">
        <f t="shared" si="37"/>
        <v>286.62396319961238</v>
      </c>
      <c r="AW49" s="182">
        <f t="shared" si="47"/>
        <v>3</v>
      </c>
      <c r="AX49" s="632"/>
    </row>
    <row r="50" spans="2:50" ht="14.25" customHeight="1">
      <c r="B50" s="631"/>
      <c r="C50" s="180">
        <v>4</v>
      </c>
      <c r="D50" s="183"/>
      <c r="E50" s="180"/>
      <c r="F50" s="180"/>
      <c r="G50" s="185"/>
      <c r="H50" s="632"/>
      <c r="I50" s="186"/>
      <c r="J50" s="186"/>
      <c r="K50" s="187"/>
      <c r="L50" s="633"/>
      <c r="M50" s="186"/>
      <c r="N50" s="631"/>
      <c r="O50" s="631"/>
      <c r="P50" s="188"/>
      <c r="Q50" s="188"/>
      <c r="R50" s="185"/>
      <c r="S50" s="182"/>
      <c r="T50" s="632"/>
      <c r="U50" s="188"/>
      <c r="V50" s="188"/>
      <c r="W50" s="185"/>
      <c r="X50" s="182"/>
      <c r="Y50" s="632"/>
      <c r="Z50" s="188"/>
      <c r="AA50" s="188"/>
      <c r="AB50" s="185"/>
      <c r="AC50" s="182"/>
      <c r="AD50" s="632"/>
      <c r="AE50" s="188"/>
      <c r="AF50" s="188"/>
      <c r="AG50" s="185"/>
      <c r="AH50" s="182"/>
      <c r="AI50" s="632"/>
      <c r="AJ50" s="188"/>
      <c r="AK50" s="188"/>
      <c r="AL50" s="185"/>
      <c r="AM50" s="182"/>
      <c r="AN50" s="632"/>
      <c r="AO50" s="188"/>
      <c r="AP50" s="188"/>
      <c r="AQ50" s="185"/>
      <c r="AR50" s="182"/>
      <c r="AS50" s="632"/>
      <c r="AT50" s="188"/>
      <c r="AU50" s="188"/>
      <c r="AV50" s="185"/>
      <c r="AW50" s="182"/>
      <c r="AX50" s="632"/>
    </row>
    <row r="51" spans="2:50" ht="14.25" customHeight="1">
      <c r="B51" s="631"/>
      <c r="C51" s="180">
        <v>5</v>
      </c>
      <c r="D51" s="183"/>
      <c r="E51" s="180"/>
      <c r="F51" s="180"/>
      <c r="G51" s="185"/>
      <c r="H51" s="632"/>
      <c r="I51" s="186"/>
      <c r="J51" s="186"/>
      <c r="K51" s="187"/>
      <c r="L51" s="633"/>
      <c r="M51" s="186"/>
      <c r="N51" s="631"/>
      <c r="O51" s="631"/>
      <c r="P51" s="188"/>
      <c r="Q51" s="188"/>
      <c r="R51" s="185"/>
      <c r="S51" s="182"/>
      <c r="T51" s="632"/>
      <c r="U51" s="188"/>
      <c r="V51" s="188"/>
      <c r="W51" s="185"/>
      <c r="X51" s="182"/>
      <c r="Y51" s="632"/>
      <c r="Z51" s="188"/>
      <c r="AA51" s="188"/>
      <c r="AB51" s="185"/>
      <c r="AC51" s="182"/>
      <c r="AD51" s="632"/>
      <c r="AE51" s="188"/>
      <c r="AF51" s="188"/>
      <c r="AG51" s="185"/>
      <c r="AH51" s="182"/>
      <c r="AI51" s="632"/>
      <c r="AJ51" s="188"/>
      <c r="AK51" s="188"/>
      <c r="AL51" s="185"/>
      <c r="AM51" s="182"/>
      <c r="AN51" s="632"/>
      <c r="AO51" s="188"/>
      <c r="AP51" s="188"/>
      <c r="AQ51" s="185"/>
      <c r="AR51" s="182"/>
      <c r="AS51" s="632"/>
      <c r="AT51" s="188"/>
      <c r="AU51" s="188"/>
      <c r="AV51" s="185"/>
      <c r="AW51" s="182"/>
      <c r="AX51" s="632"/>
    </row>
    <row r="52" spans="2:50" ht="14.25" customHeight="1">
      <c r="B52" s="631"/>
      <c r="C52" s="180">
        <v>6</v>
      </c>
      <c r="D52" s="183"/>
      <c r="E52" s="180"/>
      <c r="F52" s="180"/>
      <c r="G52" s="185"/>
      <c r="H52" s="632"/>
      <c r="I52" s="186"/>
      <c r="J52" s="186"/>
      <c r="K52" s="187"/>
      <c r="L52" s="633"/>
      <c r="M52" s="186"/>
      <c r="N52" s="631"/>
      <c r="O52" s="631"/>
      <c r="P52" s="188"/>
      <c r="Q52" s="188"/>
      <c r="R52" s="185"/>
      <c r="S52" s="182"/>
      <c r="T52" s="632"/>
      <c r="U52" s="188"/>
      <c r="V52" s="188"/>
      <c r="W52" s="185"/>
      <c r="X52" s="182"/>
      <c r="Y52" s="632"/>
      <c r="Z52" s="188"/>
      <c r="AA52" s="188"/>
      <c r="AB52" s="185"/>
      <c r="AC52" s="182"/>
      <c r="AD52" s="632"/>
      <c r="AE52" s="188"/>
      <c r="AF52" s="188"/>
      <c r="AG52" s="185"/>
      <c r="AH52" s="182"/>
      <c r="AI52" s="632"/>
      <c r="AJ52" s="188"/>
      <c r="AK52" s="188"/>
      <c r="AL52" s="185"/>
      <c r="AM52" s="182"/>
      <c r="AN52" s="632"/>
      <c r="AO52" s="188"/>
      <c r="AP52" s="188"/>
      <c r="AQ52" s="185"/>
      <c r="AR52" s="182"/>
      <c r="AS52" s="632"/>
      <c r="AT52" s="188"/>
      <c r="AU52" s="188"/>
      <c r="AV52" s="185"/>
      <c r="AW52" s="182"/>
      <c r="AX52" s="632"/>
    </row>
    <row r="53" spans="2:50" ht="14.25" customHeight="1">
      <c r="B53" s="631"/>
      <c r="C53" s="180">
        <v>7</v>
      </c>
      <c r="D53" s="183"/>
      <c r="E53" s="180"/>
      <c r="F53" s="180"/>
      <c r="G53" s="185"/>
      <c r="H53" s="632"/>
      <c r="I53" s="186"/>
      <c r="J53" s="186"/>
      <c r="K53" s="187"/>
      <c r="L53" s="633"/>
      <c r="M53" s="186"/>
      <c r="N53" s="631"/>
      <c r="O53" s="631"/>
      <c r="P53" s="188"/>
      <c r="Q53" s="188"/>
      <c r="R53" s="185"/>
      <c r="S53" s="182"/>
      <c r="T53" s="632"/>
      <c r="U53" s="188"/>
      <c r="V53" s="188"/>
      <c r="W53" s="185"/>
      <c r="X53" s="182"/>
      <c r="Y53" s="632"/>
      <c r="Z53" s="188"/>
      <c r="AA53" s="188"/>
      <c r="AB53" s="185"/>
      <c r="AC53" s="182"/>
      <c r="AD53" s="632"/>
      <c r="AE53" s="188"/>
      <c r="AF53" s="188"/>
      <c r="AG53" s="185"/>
      <c r="AH53" s="182"/>
      <c r="AI53" s="632"/>
      <c r="AJ53" s="188"/>
      <c r="AK53" s="188"/>
      <c r="AL53" s="185"/>
      <c r="AM53" s="182"/>
      <c r="AN53" s="632"/>
      <c r="AO53" s="188"/>
      <c r="AP53" s="188"/>
      <c r="AQ53" s="185"/>
      <c r="AR53" s="182"/>
      <c r="AS53" s="632"/>
      <c r="AT53" s="188"/>
      <c r="AU53" s="188"/>
      <c r="AV53" s="185"/>
      <c r="AW53" s="182"/>
      <c r="AX53" s="632"/>
    </row>
    <row r="54" spans="2:50" ht="14.25" customHeight="1">
      <c r="B54" s="631"/>
      <c r="C54" s="180">
        <v>8</v>
      </c>
      <c r="D54" s="183"/>
      <c r="E54" s="180"/>
      <c r="F54" s="180"/>
      <c r="G54" s="185"/>
      <c r="H54" s="632"/>
      <c r="I54" s="186"/>
      <c r="J54" s="186"/>
      <c r="K54" s="187"/>
      <c r="L54" s="633"/>
      <c r="M54" s="186"/>
      <c r="N54" s="631"/>
      <c r="O54" s="631"/>
      <c r="P54" s="188"/>
      <c r="Q54" s="188"/>
      <c r="R54" s="185"/>
      <c r="S54" s="182"/>
      <c r="T54" s="632"/>
      <c r="U54" s="188"/>
      <c r="V54" s="188"/>
      <c r="W54" s="185"/>
      <c r="X54" s="182"/>
      <c r="Y54" s="632"/>
      <c r="Z54" s="188"/>
      <c r="AA54" s="188"/>
      <c r="AB54" s="185"/>
      <c r="AC54" s="182"/>
      <c r="AD54" s="632"/>
      <c r="AE54" s="188"/>
      <c r="AF54" s="188"/>
      <c r="AG54" s="185"/>
      <c r="AH54" s="182"/>
      <c r="AI54" s="632"/>
      <c r="AJ54" s="188"/>
      <c r="AK54" s="188"/>
      <c r="AL54" s="185"/>
      <c r="AM54" s="182"/>
      <c r="AN54" s="632"/>
      <c r="AO54" s="188"/>
      <c r="AP54" s="188"/>
      <c r="AQ54" s="185"/>
      <c r="AR54" s="182"/>
      <c r="AS54" s="632"/>
      <c r="AT54" s="188"/>
      <c r="AU54" s="188"/>
      <c r="AV54" s="185"/>
      <c r="AW54" s="182"/>
      <c r="AX54" s="632"/>
    </row>
    <row r="55" spans="2:50" ht="14.25" customHeight="1">
      <c r="B55" s="631"/>
      <c r="C55" s="180">
        <v>9</v>
      </c>
      <c r="D55" s="183"/>
      <c r="E55" s="180"/>
      <c r="F55" s="180"/>
      <c r="G55" s="185"/>
      <c r="H55" s="632"/>
      <c r="I55" s="186"/>
      <c r="J55" s="186"/>
      <c r="K55" s="187"/>
      <c r="L55" s="633"/>
      <c r="M55" s="186"/>
      <c r="N55" s="631"/>
      <c r="O55" s="631"/>
      <c r="P55" s="188"/>
      <c r="Q55" s="188"/>
      <c r="R55" s="185"/>
      <c r="S55" s="182"/>
      <c r="T55" s="632"/>
      <c r="U55" s="188"/>
      <c r="V55" s="188"/>
      <c r="W55" s="185"/>
      <c r="X55" s="182"/>
      <c r="Y55" s="632"/>
      <c r="Z55" s="188"/>
      <c r="AA55" s="188"/>
      <c r="AB55" s="185"/>
      <c r="AC55" s="182"/>
      <c r="AD55" s="632"/>
      <c r="AE55" s="188"/>
      <c r="AF55" s="188"/>
      <c r="AG55" s="185"/>
      <c r="AH55" s="182"/>
      <c r="AI55" s="632"/>
      <c r="AJ55" s="188"/>
      <c r="AK55" s="188"/>
      <c r="AL55" s="185"/>
      <c r="AM55" s="182"/>
      <c r="AN55" s="632"/>
      <c r="AO55" s="188"/>
      <c r="AP55" s="188"/>
      <c r="AQ55" s="185"/>
      <c r="AR55" s="182"/>
      <c r="AS55" s="632"/>
      <c r="AT55" s="188"/>
      <c r="AU55" s="188"/>
      <c r="AV55" s="185"/>
      <c r="AW55" s="182"/>
      <c r="AX55" s="632"/>
    </row>
    <row r="56" spans="2:50" ht="14.25" customHeight="1">
      <c r="B56" s="631"/>
      <c r="C56" s="180">
        <v>10</v>
      </c>
      <c r="D56" s="183"/>
      <c r="E56" s="180"/>
      <c r="F56" s="180"/>
      <c r="G56" s="185"/>
      <c r="H56" s="632"/>
      <c r="I56" s="186"/>
      <c r="J56" s="186"/>
      <c r="K56" s="187"/>
      <c r="L56" s="633"/>
      <c r="M56" s="186"/>
      <c r="N56" s="631"/>
      <c r="O56" s="631"/>
      <c r="P56" s="188"/>
      <c r="Q56" s="188"/>
      <c r="R56" s="185"/>
      <c r="S56" s="182"/>
      <c r="T56" s="632"/>
      <c r="U56" s="188"/>
      <c r="V56" s="188"/>
      <c r="W56" s="185"/>
      <c r="X56" s="182"/>
      <c r="Y56" s="632"/>
      <c r="Z56" s="188"/>
      <c r="AA56" s="188"/>
      <c r="AB56" s="185"/>
      <c r="AC56" s="182"/>
      <c r="AD56" s="632"/>
      <c r="AE56" s="188"/>
      <c r="AF56" s="188"/>
      <c r="AG56" s="185"/>
      <c r="AH56" s="182"/>
      <c r="AI56" s="632"/>
      <c r="AJ56" s="188"/>
      <c r="AK56" s="188"/>
      <c r="AL56" s="185"/>
      <c r="AM56" s="182"/>
      <c r="AN56" s="632"/>
      <c r="AO56" s="188"/>
      <c r="AP56" s="188"/>
      <c r="AQ56" s="185"/>
      <c r="AR56" s="182"/>
      <c r="AS56" s="632"/>
      <c r="AT56" s="188"/>
      <c r="AU56" s="188"/>
      <c r="AV56" s="185"/>
      <c r="AW56" s="182"/>
      <c r="AX56" s="632"/>
    </row>
    <row r="57" spans="2:50" ht="14.25" customHeight="1">
      <c r="B57" s="631"/>
      <c r="C57" s="180">
        <v>11</v>
      </c>
      <c r="D57" s="183"/>
      <c r="E57" s="180"/>
      <c r="F57" s="180"/>
      <c r="G57" s="185"/>
      <c r="H57" s="632"/>
      <c r="I57" s="186"/>
      <c r="J57" s="186"/>
      <c r="K57" s="187"/>
      <c r="L57" s="633"/>
      <c r="M57" s="186"/>
      <c r="N57" s="631"/>
      <c r="O57" s="631"/>
      <c r="P57" s="188"/>
      <c r="Q57" s="188"/>
      <c r="R57" s="185"/>
      <c r="S57" s="182"/>
      <c r="T57" s="632"/>
      <c r="U57" s="188"/>
      <c r="V57" s="188"/>
      <c r="W57" s="185"/>
      <c r="X57" s="182"/>
      <c r="Y57" s="632"/>
      <c r="Z57" s="188"/>
      <c r="AA57" s="188"/>
      <c r="AB57" s="185"/>
      <c r="AC57" s="182"/>
      <c r="AD57" s="632"/>
      <c r="AE57" s="188"/>
      <c r="AF57" s="188"/>
      <c r="AG57" s="185"/>
      <c r="AH57" s="182"/>
      <c r="AI57" s="632"/>
      <c r="AJ57" s="188"/>
      <c r="AK57" s="188"/>
      <c r="AL57" s="185"/>
      <c r="AM57" s="182"/>
      <c r="AN57" s="632"/>
      <c r="AO57" s="188"/>
      <c r="AP57" s="188"/>
      <c r="AQ57" s="185"/>
      <c r="AR57" s="182"/>
      <c r="AS57" s="632"/>
      <c r="AT57" s="188"/>
      <c r="AU57" s="188"/>
      <c r="AV57" s="185"/>
      <c r="AW57" s="182"/>
      <c r="AX57" s="632"/>
    </row>
    <row r="58" spans="2:50" ht="14.25" customHeight="1">
      <c r="B58" s="631"/>
      <c r="C58" s="180">
        <v>12</v>
      </c>
      <c r="D58" s="183"/>
      <c r="E58" s="180"/>
      <c r="F58" s="180"/>
      <c r="G58" s="185"/>
      <c r="H58" s="632"/>
      <c r="I58" s="186"/>
      <c r="J58" s="186"/>
      <c r="K58" s="187"/>
      <c r="L58" s="633"/>
      <c r="M58" s="186"/>
      <c r="N58" s="631"/>
      <c r="O58" s="631"/>
      <c r="P58" s="188"/>
      <c r="Q58" s="188"/>
      <c r="R58" s="185"/>
      <c r="S58" s="182"/>
      <c r="T58" s="632"/>
      <c r="U58" s="188"/>
      <c r="V58" s="188"/>
      <c r="W58" s="185"/>
      <c r="X58" s="182"/>
      <c r="Y58" s="632"/>
      <c r="Z58" s="188"/>
      <c r="AA58" s="188"/>
      <c r="AB58" s="185"/>
      <c r="AC58" s="182"/>
      <c r="AD58" s="632"/>
      <c r="AE58" s="188"/>
      <c r="AF58" s="188"/>
      <c r="AG58" s="185"/>
      <c r="AH58" s="182"/>
      <c r="AI58" s="632"/>
      <c r="AJ58" s="188"/>
      <c r="AK58" s="188"/>
      <c r="AL58" s="185"/>
      <c r="AM58" s="182"/>
      <c r="AN58" s="632"/>
      <c r="AO58" s="188"/>
      <c r="AP58" s="188"/>
      <c r="AQ58" s="185"/>
      <c r="AR58" s="182"/>
      <c r="AS58" s="632"/>
      <c r="AT58" s="188"/>
      <c r="AU58" s="188"/>
      <c r="AV58" s="185"/>
      <c r="AW58" s="182"/>
      <c r="AX58" s="632"/>
    </row>
    <row r="59" spans="2:50" ht="14.25" customHeight="1">
      <c r="B59" s="631"/>
      <c r="C59" s="180">
        <v>13</v>
      </c>
      <c r="D59" s="183"/>
      <c r="E59" s="180"/>
      <c r="F59" s="180"/>
      <c r="G59" s="185"/>
      <c r="H59" s="632"/>
      <c r="I59" s="186"/>
      <c r="J59" s="186"/>
      <c r="K59" s="187"/>
      <c r="L59" s="633"/>
      <c r="M59" s="186"/>
      <c r="N59" s="631"/>
      <c r="O59" s="631"/>
      <c r="P59" s="188"/>
      <c r="Q59" s="188"/>
      <c r="R59" s="185"/>
      <c r="S59" s="182"/>
      <c r="T59" s="632"/>
      <c r="U59" s="188"/>
      <c r="V59" s="188"/>
      <c r="W59" s="185"/>
      <c r="X59" s="182"/>
      <c r="Y59" s="632"/>
      <c r="Z59" s="188"/>
      <c r="AA59" s="188"/>
      <c r="AB59" s="185"/>
      <c r="AC59" s="182"/>
      <c r="AD59" s="632"/>
      <c r="AE59" s="188"/>
      <c r="AF59" s="188"/>
      <c r="AG59" s="185"/>
      <c r="AH59" s="182"/>
      <c r="AI59" s="632"/>
      <c r="AJ59" s="188"/>
      <c r="AK59" s="188"/>
      <c r="AL59" s="185"/>
      <c r="AM59" s="182"/>
      <c r="AN59" s="632"/>
      <c r="AO59" s="188"/>
      <c r="AP59" s="188"/>
      <c r="AQ59" s="185"/>
      <c r="AR59" s="182"/>
      <c r="AS59" s="632"/>
      <c r="AT59" s="188"/>
      <c r="AU59" s="188"/>
      <c r="AV59" s="185"/>
      <c r="AW59" s="182"/>
      <c r="AX59" s="632"/>
    </row>
    <row r="60" spans="2:50" ht="14.25" customHeight="1">
      <c r="B60" s="631"/>
      <c r="C60" s="180">
        <v>14</v>
      </c>
      <c r="D60" s="183"/>
      <c r="E60" s="180"/>
      <c r="F60" s="180"/>
      <c r="G60" s="185"/>
      <c r="H60" s="632"/>
      <c r="I60" s="186"/>
      <c r="J60" s="186"/>
      <c r="K60" s="187"/>
      <c r="L60" s="633"/>
      <c r="M60" s="186"/>
      <c r="N60" s="631"/>
      <c r="O60" s="631"/>
      <c r="P60" s="188"/>
      <c r="Q60" s="188"/>
      <c r="R60" s="185"/>
      <c r="S60" s="182"/>
      <c r="T60" s="632"/>
      <c r="U60" s="188"/>
      <c r="V60" s="188"/>
      <c r="W60" s="185"/>
      <c r="X60" s="182"/>
      <c r="Y60" s="632"/>
      <c r="Z60" s="188"/>
      <c r="AA60" s="188"/>
      <c r="AB60" s="185"/>
      <c r="AC60" s="182"/>
      <c r="AD60" s="632"/>
      <c r="AE60" s="188"/>
      <c r="AF60" s="188"/>
      <c r="AG60" s="185"/>
      <c r="AH60" s="182"/>
      <c r="AI60" s="632"/>
      <c r="AJ60" s="188"/>
      <c r="AK60" s="188"/>
      <c r="AL60" s="185"/>
      <c r="AM60" s="182"/>
      <c r="AN60" s="632"/>
      <c r="AO60" s="188"/>
      <c r="AP60" s="188"/>
      <c r="AQ60" s="185"/>
      <c r="AR60" s="182"/>
      <c r="AS60" s="632"/>
      <c r="AT60" s="188"/>
      <c r="AU60" s="188"/>
      <c r="AV60" s="185"/>
      <c r="AW60" s="182"/>
      <c r="AX60" s="632"/>
    </row>
    <row r="61" spans="2:50" ht="14.25" customHeight="1">
      <c r="B61" s="631"/>
      <c r="C61" s="180">
        <v>15</v>
      </c>
      <c r="D61" s="183"/>
      <c r="E61" s="180"/>
      <c r="F61" s="180"/>
      <c r="G61" s="185"/>
      <c r="H61" s="632"/>
      <c r="I61" s="186"/>
      <c r="J61" s="186"/>
      <c r="K61" s="187"/>
      <c r="L61" s="633"/>
      <c r="M61" s="186"/>
      <c r="N61" s="631"/>
      <c r="O61" s="631"/>
      <c r="P61" s="188"/>
      <c r="Q61" s="188"/>
      <c r="R61" s="185"/>
      <c r="S61" s="182"/>
      <c r="T61" s="632"/>
      <c r="U61" s="188"/>
      <c r="V61" s="188"/>
      <c r="W61" s="185"/>
      <c r="X61" s="182"/>
      <c r="Y61" s="632"/>
      <c r="Z61" s="188"/>
      <c r="AA61" s="188"/>
      <c r="AB61" s="185"/>
      <c r="AC61" s="182"/>
      <c r="AD61" s="632"/>
      <c r="AE61" s="188"/>
      <c r="AF61" s="188"/>
      <c r="AG61" s="185"/>
      <c r="AH61" s="182"/>
      <c r="AI61" s="632"/>
      <c r="AJ61" s="188"/>
      <c r="AK61" s="188"/>
      <c r="AL61" s="185"/>
      <c r="AM61" s="182"/>
      <c r="AN61" s="632"/>
      <c r="AO61" s="188"/>
      <c r="AP61" s="188"/>
      <c r="AQ61" s="185"/>
      <c r="AR61" s="182"/>
      <c r="AS61" s="632"/>
      <c r="AT61" s="188"/>
      <c r="AU61" s="188"/>
      <c r="AV61" s="185"/>
      <c r="AW61" s="182"/>
      <c r="AX61" s="632"/>
    </row>
    <row r="62" spans="2:50" ht="14.25" customHeight="1">
      <c r="B62" s="646" t="s">
        <v>783</v>
      </c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647"/>
      <c r="N62" s="664" t="s">
        <v>369</v>
      </c>
      <c r="O62" s="664" t="s">
        <v>105</v>
      </c>
      <c r="P62" s="666">
        <v>46161</v>
      </c>
      <c r="Q62" s="667"/>
      <c r="R62" s="667"/>
      <c r="S62" s="667"/>
      <c r="T62" s="667"/>
      <c r="U62" s="668">
        <v>46162</v>
      </c>
      <c r="V62" s="669"/>
      <c r="W62" s="669"/>
      <c r="X62" s="669"/>
      <c r="Y62" s="669"/>
      <c r="Z62" s="666">
        <v>46163</v>
      </c>
      <c r="AA62" s="667"/>
      <c r="AB62" s="667"/>
      <c r="AC62" s="667"/>
      <c r="AD62" s="667"/>
      <c r="AE62" s="668">
        <v>46164</v>
      </c>
      <c r="AF62" s="669"/>
      <c r="AG62" s="669"/>
      <c r="AH62" s="669"/>
      <c r="AI62" s="669"/>
      <c r="AJ62" s="656">
        <v>46165</v>
      </c>
      <c r="AK62" s="657"/>
      <c r="AL62" s="657"/>
      <c r="AM62" s="657"/>
      <c r="AN62" s="658"/>
      <c r="AO62" s="668">
        <v>46166</v>
      </c>
      <c r="AP62" s="669"/>
      <c r="AQ62" s="669"/>
      <c r="AR62" s="669"/>
      <c r="AS62" s="669"/>
      <c r="AT62" s="656">
        <v>46167</v>
      </c>
      <c r="AU62" s="657"/>
      <c r="AV62" s="657"/>
      <c r="AW62" s="657"/>
      <c r="AX62" s="65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65"/>
      <c r="O63" s="665"/>
      <c r="P63" s="659">
        <v>46161</v>
      </c>
      <c r="Q63" s="659"/>
      <c r="R63" s="659"/>
      <c r="S63" s="659"/>
      <c r="T63" s="659"/>
      <c r="U63" s="660">
        <v>46162</v>
      </c>
      <c r="V63" s="660"/>
      <c r="W63" s="660"/>
      <c r="X63" s="660"/>
      <c r="Y63" s="660"/>
      <c r="Z63" s="659">
        <v>46163</v>
      </c>
      <c r="AA63" s="659"/>
      <c r="AB63" s="659"/>
      <c r="AC63" s="659"/>
      <c r="AD63" s="659"/>
      <c r="AE63" s="660">
        <v>46164</v>
      </c>
      <c r="AF63" s="660"/>
      <c r="AG63" s="660"/>
      <c r="AH63" s="660"/>
      <c r="AI63" s="660"/>
      <c r="AJ63" s="661">
        <v>46165</v>
      </c>
      <c r="AK63" s="662"/>
      <c r="AL63" s="662"/>
      <c r="AM63" s="662"/>
      <c r="AN63" s="663"/>
      <c r="AO63" s="660">
        <v>46166</v>
      </c>
      <c r="AP63" s="660"/>
      <c r="AQ63" s="660"/>
      <c r="AR63" s="660"/>
      <c r="AS63" s="660"/>
      <c r="AT63" s="661">
        <v>46167</v>
      </c>
      <c r="AU63" s="662"/>
      <c r="AV63" s="662"/>
      <c r="AW63" s="662"/>
      <c r="AX63" s="663"/>
    </row>
    <row r="64" spans="2:50" ht="14.25" customHeight="1">
      <c r="B64" s="631" t="s">
        <v>162</v>
      </c>
      <c r="C64" s="631" t="s">
        <v>157</v>
      </c>
      <c r="D64" s="631"/>
      <c r="E64" s="631" t="s">
        <v>158</v>
      </c>
      <c r="F64" s="631"/>
      <c r="G64" s="631"/>
      <c r="H64" s="631" t="s">
        <v>163</v>
      </c>
      <c r="I64" s="635" t="s">
        <v>370</v>
      </c>
      <c r="J64" s="635"/>
      <c r="K64" s="635"/>
      <c r="L64" s="635" t="s">
        <v>163</v>
      </c>
      <c r="M64" s="635" t="s">
        <v>165</v>
      </c>
      <c r="N64" s="631"/>
      <c r="O64" s="631" t="s">
        <v>164</v>
      </c>
      <c r="P64" s="631" t="s">
        <v>160</v>
      </c>
      <c r="Q64" s="631"/>
      <c r="R64" s="631"/>
      <c r="S64" s="631"/>
      <c r="T64" s="631" t="s">
        <v>163</v>
      </c>
      <c r="U64" s="631" t="s">
        <v>160</v>
      </c>
      <c r="V64" s="631"/>
      <c r="W64" s="631"/>
      <c r="X64" s="631"/>
      <c r="Y64" s="631" t="s">
        <v>163</v>
      </c>
      <c r="Z64" s="631" t="s">
        <v>160</v>
      </c>
      <c r="AA64" s="631"/>
      <c r="AB64" s="631"/>
      <c r="AC64" s="631"/>
      <c r="AD64" s="631" t="s">
        <v>163</v>
      </c>
      <c r="AE64" s="631" t="s">
        <v>160</v>
      </c>
      <c r="AF64" s="631"/>
      <c r="AG64" s="631"/>
      <c r="AH64" s="631"/>
      <c r="AI64" s="631" t="s">
        <v>163</v>
      </c>
      <c r="AJ64" s="631" t="s">
        <v>160</v>
      </c>
      <c r="AK64" s="631"/>
      <c r="AL64" s="631"/>
      <c r="AM64" s="631"/>
      <c r="AN64" s="631" t="s">
        <v>163</v>
      </c>
      <c r="AO64" s="631" t="s">
        <v>160</v>
      </c>
      <c r="AP64" s="631"/>
      <c r="AQ64" s="631"/>
      <c r="AR64" s="631"/>
      <c r="AS64" s="631" t="s">
        <v>163</v>
      </c>
      <c r="AT64" s="631" t="s">
        <v>160</v>
      </c>
      <c r="AU64" s="631"/>
      <c r="AV64" s="631"/>
      <c r="AW64" s="631"/>
      <c r="AX64" s="631" t="s">
        <v>163</v>
      </c>
    </row>
    <row r="65" spans="2:50" ht="14.25" customHeight="1">
      <c r="B65" s="631"/>
      <c r="C65" s="631"/>
      <c r="D65" s="631"/>
      <c r="E65" s="631" t="s">
        <v>371</v>
      </c>
      <c r="F65" s="631"/>
      <c r="G65" s="631"/>
      <c r="H65" s="631"/>
      <c r="I65" s="635" t="s">
        <v>371</v>
      </c>
      <c r="J65" s="635"/>
      <c r="K65" s="635"/>
      <c r="L65" s="635"/>
      <c r="M65" s="635"/>
      <c r="N65" s="631"/>
      <c r="O65" s="631"/>
      <c r="P65" s="631" t="s">
        <v>372</v>
      </c>
      <c r="Q65" s="631"/>
      <c r="R65" s="631"/>
      <c r="S65" s="631"/>
      <c r="T65" s="631"/>
      <c r="U65" s="631" t="s">
        <v>372</v>
      </c>
      <c r="V65" s="631"/>
      <c r="W65" s="631"/>
      <c r="X65" s="631"/>
      <c r="Y65" s="631"/>
      <c r="Z65" s="631" t="s">
        <v>372</v>
      </c>
      <c r="AA65" s="631"/>
      <c r="AB65" s="631"/>
      <c r="AC65" s="631"/>
      <c r="AD65" s="631"/>
      <c r="AE65" s="631" t="s">
        <v>372</v>
      </c>
      <c r="AF65" s="631"/>
      <c r="AG65" s="631"/>
      <c r="AH65" s="631"/>
      <c r="AI65" s="631"/>
      <c r="AJ65" s="631" t="s">
        <v>372</v>
      </c>
      <c r="AK65" s="631"/>
      <c r="AL65" s="631"/>
      <c r="AM65" s="631"/>
      <c r="AN65" s="631"/>
      <c r="AO65" s="631" t="s">
        <v>372</v>
      </c>
      <c r="AP65" s="631"/>
      <c r="AQ65" s="631"/>
      <c r="AR65" s="631"/>
      <c r="AS65" s="631"/>
      <c r="AT65" s="631" t="s">
        <v>372</v>
      </c>
      <c r="AU65" s="631"/>
      <c r="AV65" s="631"/>
      <c r="AW65" s="631"/>
      <c r="AX65" s="631"/>
    </row>
    <row r="66" spans="2:50" ht="14.25" customHeight="1">
      <c r="B66" s="631"/>
      <c r="C66" s="631"/>
      <c r="D66" s="631"/>
      <c r="E66" s="180" t="s">
        <v>159</v>
      </c>
      <c r="F66" s="180" t="s">
        <v>373</v>
      </c>
      <c r="G66" s="180" t="s">
        <v>161</v>
      </c>
      <c r="H66" s="631"/>
      <c r="I66" s="181" t="s">
        <v>159</v>
      </c>
      <c r="J66" s="181" t="s">
        <v>373</v>
      </c>
      <c r="K66" s="181" t="s">
        <v>161</v>
      </c>
      <c r="L66" s="635"/>
      <c r="M66" s="635"/>
      <c r="N66" s="631"/>
      <c r="O66" s="631"/>
      <c r="P66" s="180" t="s">
        <v>159</v>
      </c>
      <c r="Q66" s="180" t="s">
        <v>373</v>
      </c>
      <c r="R66" s="180" t="s">
        <v>161</v>
      </c>
      <c r="S66" s="182" t="s">
        <v>165</v>
      </c>
      <c r="T66" s="631"/>
      <c r="U66" s="180" t="s">
        <v>159</v>
      </c>
      <c r="V66" s="180" t="s">
        <v>373</v>
      </c>
      <c r="W66" s="180" t="s">
        <v>161</v>
      </c>
      <c r="X66" s="182" t="s">
        <v>165</v>
      </c>
      <c r="Y66" s="631"/>
      <c r="Z66" s="180" t="s">
        <v>159</v>
      </c>
      <c r="AA66" s="180" t="s">
        <v>373</v>
      </c>
      <c r="AB66" s="180" t="s">
        <v>161</v>
      </c>
      <c r="AC66" s="182" t="s">
        <v>165</v>
      </c>
      <c r="AD66" s="631"/>
      <c r="AE66" s="180" t="s">
        <v>159</v>
      </c>
      <c r="AF66" s="180" t="s">
        <v>373</v>
      </c>
      <c r="AG66" s="180" t="s">
        <v>161</v>
      </c>
      <c r="AH66" s="182" t="s">
        <v>165</v>
      </c>
      <c r="AI66" s="631"/>
      <c r="AJ66" s="180" t="s">
        <v>159</v>
      </c>
      <c r="AK66" s="180" t="s">
        <v>373</v>
      </c>
      <c r="AL66" s="180" t="s">
        <v>161</v>
      </c>
      <c r="AM66" s="182" t="s">
        <v>165</v>
      </c>
      <c r="AN66" s="631"/>
      <c r="AO66" s="180" t="s">
        <v>159</v>
      </c>
      <c r="AP66" s="180" t="s">
        <v>373</v>
      </c>
      <c r="AQ66" s="180" t="s">
        <v>161</v>
      </c>
      <c r="AR66" s="182" t="s">
        <v>165</v>
      </c>
      <c r="AS66" s="631"/>
      <c r="AT66" s="180" t="s">
        <v>159</v>
      </c>
      <c r="AU66" s="180" t="s">
        <v>373</v>
      </c>
      <c r="AV66" s="180" t="s">
        <v>161</v>
      </c>
      <c r="AW66" s="182" t="s">
        <v>165</v>
      </c>
      <c r="AX66" s="631"/>
    </row>
    <row r="67" spans="2:50" ht="14.25" customHeight="1">
      <c r="B67" s="631" t="s">
        <v>375</v>
      </c>
      <c r="C67" s="180">
        <v>1</v>
      </c>
      <c r="D67" s="183" t="s">
        <v>348</v>
      </c>
      <c r="E67" s="180">
        <v>10</v>
      </c>
      <c r="F67" s="180">
        <v>3600</v>
      </c>
      <c r="G67" s="185">
        <f t="shared" ref="G67:G69" si="48">F67/E67</f>
        <v>360</v>
      </c>
      <c r="H67" s="632">
        <f>AVERAGE(G67:G81)</f>
        <v>338.18181818181819</v>
      </c>
      <c r="I67" s="186">
        <f>AVERAGE(P67,U67,Z67,AE67,AJ67,AO67,AT67)</f>
        <v>10</v>
      </c>
      <c r="J67" s="186">
        <f>AVERAGE(Q67,V67,AA67,AF67,AK67,AP67,AU67)</f>
        <v>3195.0255562299062</v>
      </c>
      <c r="K67" s="187">
        <f>AVERAGE(R67,W67,AB67,AG67,AL67,AQ67,AV67)</f>
        <v>319.50255562299066</v>
      </c>
      <c r="L67" s="633">
        <f>IFERROR(AVERAGE(K67:K81),"-")</f>
        <v>297.55154926033714</v>
      </c>
      <c r="M67" s="186">
        <f>RANK(K67, K$67:$K$81)</f>
        <v>1</v>
      </c>
      <c r="N67" s="631"/>
      <c r="O67" s="631"/>
      <c r="P67" s="188">
        <v>10</v>
      </c>
      <c r="Q67" s="188">
        <v>3190.4463008830667</v>
      </c>
      <c r="R67" s="185">
        <f>IFERROR(Q67/P67,"")</f>
        <v>319.04463008830669</v>
      </c>
      <c r="S67" s="182">
        <f>RANK(R67, R$67:R$81)</f>
        <v>1</v>
      </c>
      <c r="T67" s="632">
        <f>AVERAGE(R67:R81)</f>
        <v>297.40825806479307</v>
      </c>
      <c r="U67" s="188">
        <v>10</v>
      </c>
      <c r="V67" s="188">
        <v>3191.5263008830661</v>
      </c>
      <c r="W67" s="185">
        <f t="shared" ref="W67:W69" si="49">IFERROR(V67/U67,"")</f>
        <v>319.15263008830664</v>
      </c>
      <c r="X67" s="182">
        <f>RANK(W67, W$67:W$81)</f>
        <v>1</v>
      </c>
      <c r="Y67" s="632">
        <f>AVERAGE(W67:W81)</f>
        <v>297.44425806479308</v>
      </c>
      <c r="Z67" s="188">
        <v>10</v>
      </c>
      <c r="AA67" s="188">
        <v>3191.166300883066</v>
      </c>
      <c r="AB67" s="185">
        <f t="shared" ref="AB67:AB69" si="50">IFERROR(AA67/Z67,"")</f>
        <v>319.11663008830658</v>
      </c>
      <c r="AC67" s="182">
        <f>RANK(AB67, AB$67:AB$81)</f>
        <v>1</v>
      </c>
      <c r="AD67" s="632">
        <f>AVERAGE(AB67:AB81)</f>
        <v>297.44316715570221</v>
      </c>
      <c r="AE67" s="188">
        <v>10</v>
      </c>
      <c r="AF67" s="188">
        <v>3190.4463008830667</v>
      </c>
      <c r="AG67" s="185">
        <f>IFERROR(AF67/AE67,"")</f>
        <v>319.04463008830669</v>
      </c>
      <c r="AH67" s="182">
        <f>RANK(AG67, AG$67:AG$81)</f>
        <v>1</v>
      </c>
      <c r="AI67" s="632">
        <f>AVERAGE(AG67:AG81)</f>
        <v>297.46280351933859</v>
      </c>
      <c r="AJ67" s="188">
        <v>10</v>
      </c>
      <c r="AK67" s="188">
        <v>3192.2463008830669</v>
      </c>
      <c r="AL67" s="185">
        <f t="shared" ref="AL67:AL69" si="51">IFERROR(AK67/AJ67,"")</f>
        <v>319.2246300883067</v>
      </c>
      <c r="AM67" s="182">
        <f>RANK(AL67, AL$67:AL$81)</f>
        <v>1</v>
      </c>
      <c r="AN67" s="632">
        <f>AVERAGE(AL67:AL81)</f>
        <v>297.46825806479313</v>
      </c>
      <c r="AO67" s="188">
        <v>10</v>
      </c>
      <c r="AP67" s="188">
        <v>3205.3936945970067</v>
      </c>
      <c r="AQ67" s="185">
        <f t="shared" ref="AQ67:AQ69" si="52">IFERROR(AP67/AO67,"")</f>
        <v>320.53936945970065</v>
      </c>
      <c r="AR67" s="182">
        <f>RANK(AQ67, AQ$67:AQ$81)</f>
        <v>1</v>
      </c>
      <c r="AS67" s="632">
        <f>AVERAGE(AQ67:AQ81)</f>
        <v>297.87377724919719</v>
      </c>
      <c r="AT67" s="188">
        <v>10</v>
      </c>
      <c r="AU67" s="188">
        <v>3203.9536945970071</v>
      </c>
      <c r="AV67" s="185">
        <f t="shared" ref="AV67:AV69" si="53">IFERROR(AU67/AT67,"")</f>
        <v>320.3953694597007</v>
      </c>
      <c r="AW67" s="182">
        <f>RANK(AV67, AV$67:AV$81)</f>
        <v>1</v>
      </c>
      <c r="AX67" s="632">
        <f>AVERAGE(AV67:AV81)</f>
        <v>297.7603227037427</v>
      </c>
    </row>
    <row r="68" spans="2:50" ht="14.25" customHeight="1">
      <c r="B68" s="631"/>
      <c r="C68" s="180">
        <v>2</v>
      </c>
      <c r="D68" s="183" t="s">
        <v>561</v>
      </c>
      <c r="E68" s="180">
        <v>11</v>
      </c>
      <c r="F68" s="180">
        <v>3600</v>
      </c>
      <c r="G68" s="185">
        <f t="shared" si="48"/>
        <v>327.27272727272725</v>
      </c>
      <c r="H68" s="632"/>
      <c r="I68" s="186">
        <f t="shared" ref="I68:K69" si="54">AVERAGE(P68,U68,Z68,AE68,AJ68,AO68,AT68)</f>
        <v>11</v>
      </c>
      <c r="J68" s="186">
        <f t="shared" si="54"/>
        <v>3152.2208471139197</v>
      </c>
      <c r="K68" s="187">
        <f t="shared" si="54"/>
        <v>286.56553155581088</v>
      </c>
      <c r="L68" s="633"/>
      <c r="M68" s="186">
        <f>RANK(K68, K$67:$K$81)</f>
        <v>3</v>
      </c>
      <c r="N68" s="631"/>
      <c r="O68" s="631"/>
      <c r="P68" s="188">
        <v>11</v>
      </c>
      <c r="Q68" s="188">
        <v>3152.1179899710605</v>
      </c>
      <c r="R68" s="185">
        <f t="shared" ref="R68:R69" si="55">IFERROR(Q68/P68,"")</f>
        <v>286.55618090646004</v>
      </c>
      <c r="S68" s="182">
        <f t="shared" ref="S68:S69" si="56">RANK(R68, R$67:R$81)</f>
        <v>3</v>
      </c>
      <c r="T68" s="632"/>
      <c r="U68" s="188">
        <v>11</v>
      </c>
      <c r="V68" s="188">
        <v>3152.4779899710611</v>
      </c>
      <c r="W68" s="185">
        <f t="shared" si="49"/>
        <v>286.5889081791874</v>
      </c>
      <c r="X68" s="182">
        <f t="shared" ref="X68:X69" si="57">RANK(W68, W$67:W$81)</f>
        <v>3</v>
      </c>
      <c r="Y68" s="632"/>
      <c r="Z68" s="188">
        <v>11</v>
      </c>
      <c r="AA68" s="188">
        <v>3153.1979899710618</v>
      </c>
      <c r="AB68" s="185">
        <f t="shared" si="50"/>
        <v>286.654362724642</v>
      </c>
      <c r="AC68" s="182">
        <f t="shared" ref="AC68:AC69" si="58">RANK(AB68, AB$67:AB$81)</f>
        <v>2</v>
      </c>
      <c r="AD68" s="632"/>
      <c r="AE68" s="188">
        <v>11</v>
      </c>
      <c r="AF68" s="188">
        <v>3153.9179899710625</v>
      </c>
      <c r="AG68" s="185">
        <f t="shared" ref="AG68:AG69" si="59">IFERROR(AF68/AE68,"")</f>
        <v>286.7198172700966</v>
      </c>
      <c r="AH68" s="182">
        <f t="shared" ref="AH68:AH69" si="60">RANK(AG68, AG$67:AG$81)</f>
        <v>2</v>
      </c>
      <c r="AI68" s="632"/>
      <c r="AJ68" s="188">
        <v>11</v>
      </c>
      <c r="AK68" s="188">
        <v>3152.4779899710629</v>
      </c>
      <c r="AL68" s="185">
        <f t="shared" si="51"/>
        <v>286.58890817918751</v>
      </c>
      <c r="AM68" s="182">
        <f t="shared" ref="AM68:AM69" si="61">RANK(AL68, AL$67:AL$81)</f>
        <v>3</v>
      </c>
      <c r="AN68" s="632"/>
      <c r="AO68" s="188">
        <v>11</v>
      </c>
      <c r="AP68" s="188">
        <v>3151.0379899710633</v>
      </c>
      <c r="AQ68" s="185">
        <f t="shared" si="52"/>
        <v>286.45799908827848</v>
      </c>
      <c r="AR68" s="182">
        <f t="shared" ref="AR68:AR69" si="62">RANK(AQ68, AQ$67:AQ$81)</f>
        <v>3</v>
      </c>
      <c r="AS68" s="632"/>
      <c r="AT68" s="188">
        <v>11</v>
      </c>
      <c r="AU68" s="188">
        <v>3150.317989971064</v>
      </c>
      <c r="AV68" s="185">
        <f t="shared" si="53"/>
        <v>286.392544542824</v>
      </c>
      <c r="AW68" s="182">
        <f t="shared" ref="AW68:AW69" si="63">RANK(AV68, AV$67:AV$81)</f>
        <v>3</v>
      </c>
      <c r="AX68" s="632"/>
    </row>
    <row r="69" spans="2:50" ht="14.25" customHeight="1">
      <c r="B69" s="631"/>
      <c r="C69" s="180">
        <v>3</v>
      </c>
      <c r="D69" s="183" t="s">
        <v>562</v>
      </c>
      <c r="E69" s="180">
        <v>11</v>
      </c>
      <c r="F69" s="180">
        <v>3600</v>
      </c>
      <c r="G69" s="185">
        <f t="shared" si="48"/>
        <v>327.27272727272725</v>
      </c>
      <c r="H69" s="632"/>
      <c r="I69" s="186">
        <f t="shared" si="54"/>
        <v>11</v>
      </c>
      <c r="J69" s="186">
        <f t="shared" si="54"/>
        <v>3152.452166624309</v>
      </c>
      <c r="K69" s="187">
        <f t="shared" si="54"/>
        <v>286.58656060220989</v>
      </c>
      <c r="L69" s="633"/>
      <c r="M69" s="186">
        <f>RANK(K69, K$67:$K$81)</f>
        <v>2</v>
      </c>
      <c r="N69" s="631"/>
      <c r="O69" s="631"/>
      <c r="P69" s="188">
        <v>11</v>
      </c>
      <c r="Q69" s="188">
        <v>3152.8635951957367</v>
      </c>
      <c r="R69" s="185">
        <f t="shared" si="55"/>
        <v>286.62396319961243</v>
      </c>
      <c r="S69" s="182">
        <f t="shared" si="56"/>
        <v>2</v>
      </c>
      <c r="T69" s="632"/>
      <c r="U69" s="188">
        <v>11</v>
      </c>
      <c r="V69" s="188">
        <v>3152.5035951957375</v>
      </c>
      <c r="W69" s="185">
        <f t="shared" si="49"/>
        <v>286.59123592688525</v>
      </c>
      <c r="X69" s="182">
        <f t="shared" si="57"/>
        <v>2</v>
      </c>
      <c r="Y69" s="632"/>
      <c r="Z69" s="188">
        <v>11</v>
      </c>
      <c r="AA69" s="188">
        <v>3152.1435951957374</v>
      </c>
      <c r="AB69" s="185">
        <f t="shared" si="50"/>
        <v>286.55850865415795</v>
      </c>
      <c r="AC69" s="182">
        <f t="shared" si="58"/>
        <v>3</v>
      </c>
      <c r="AD69" s="632"/>
      <c r="AE69" s="188">
        <v>11</v>
      </c>
      <c r="AF69" s="188">
        <v>3152.8635951957376</v>
      </c>
      <c r="AG69" s="185">
        <f t="shared" si="59"/>
        <v>286.62396319961249</v>
      </c>
      <c r="AH69" s="182">
        <f t="shared" si="60"/>
        <v>3</v>
      </c>
      <c r="AI69" s="632"/>
      <c r="AJ69" s="188">
        <v>11</v>
      </c>
      <c r="AK69" s="188">
        <v>3152.5035951957375</v>
      </c>
      <c r="AL69" s="185">
        <f t="shared" si="51"/>
        <v>286.59123592688525</v>
      </c>
      <c r="AM69" s="182">
        <f t="shared" si="61"/>
        <v>2</v>
      </c>
      <c r="AN69" s="632"/>
      <c r="AO69" s="188">
        <v>11</v>
      </c>
      <c r="AP69" s="188">
        <v>3152.8635951957376</v>
      </c>
      <c r="AQ69" s="185">
        <f t="shared" si="52"/>
        <v>286.62396319961249</v>
      </c>
      <c r="AR69" s="182">
        <f t="shared" si="62"/>
        <v>2</v>
      </c>
      <c r="AS69" s="632"/>
      <c r="AT69" s="188">
        <v>11</v>
      </c>
      <c r="AU69" s="188">
        <v>3151.4235951957371</v>
      </c>
      <c r="AV69" s="185">
        <f t="shared" si="53"/>
        <v>286.49305410870335</v>
      </c>
      <c r="AW69" s="182">
        <f t="shared" si="63"/>
        <v>2</v>
      </c>
      <c r="AX69" s="632"/>
    </row>
    <row r="70" spans="2:50" ht="14.25" customHeight="1">
      <c r="B70" s="631"/>
      <c r="C70" s="180">
        <v>4</v>
      </c>
      <c r="D70" s="183"/>
      <c r="E70" s="180"/>
      <c r="F70" s="180"/>
      <c r="G70" s="185"/>
      <c r="H70" s="632"/>
      <c r="I70" s="186"/>
      <c r="J70" s="186"/>
      <c r="K70" s="187"/>
      <c r="L70" s="633"/>
      <c r="M70" s="186"/>
      <c r="N70" s="631"/>
      <c r="O70" s="631"/>
      <c r="P70" s="188"/>
      <c r="Q70" s="188"/>
      <c r="R70" s="185"/>
      <c r="S70" s="182"/>
      <c r="T70" s="632"/>
      <c r="U70" s="188"/>
      <c r="V70" s="188"/>
      <c r="W70" s="185"/>
      <c r="X70" s="182"/>
      <c r="Y70" s="632"/>
      <c r="Z70" s="188"/>
      <c r="AA70" s="188"/>
      <c r="AB70" s="185"/>
      <c r="AC70" s="182"/>
      <c r="AD70" s="632"/>
      <c r="AE70" s="188"/>
      <c r="AF70" s="188"/>
      <c r="AG70" s="185"/>
      <c r="AH70" s="182"/>
      <c r="AI70" s="632"/>
      <c r="AJ70" s="188"/>
      <c r="AK70" s="188"/>
      <c r="AL70" s="185"/>
      <c r="AM70" s="182"/>
      <c r="AN70" s="632"/>
      <c r="AO70" s="188"/>
      <c r="AP70" s="188"/>
      <c r="AQ70" s="185"/>
      <c r="AR70" s="182"/>
      <c r="AS70" s="632"/>
      <c r="AT70" s="188"/>
      <c r="AU70" s="188"/>
      <c r="AV70" s="185"/>
      <c r="AW70" s="182"/>
      <c r="AX70" s="632"/>
    </row>
    <row r="71" spans="2:50" ht="14.25" customHeight="1">
      <c r="B71" s="631"/>
      <c r="C71" s="180">
        <v>5</v>
      </c>
      <c r="D71" s="183"/>
      <c r="E71" s="180"/>
      <c r="F71" s="180"/>
      <c r="G71" s="185"/>
      <c r="H71" s="632"/>
      <c r="I71" s="186"/>
      <c r="J71" s="186"/>
      <c r="K71" s="187"/>
      <c r="L71" s="633"/>
      <c r="M71" s="186"/>
      <c r="N71" s="631"/>
      <c r="O71" s="631"/>
      <c r="P71" s="188"/>
      <c r="Q71" s="188"/>
      <c r="R71" s="185"/>
      <c r="S71" s="182"/>
      <c r="T71" s="632"/>
      <c r="U71" s="188"/>
      <c r="V71" s="188"/>
      <c r="W71" s="185"/>
      <c r="X71" s="182"/>
      <c r="Y71" s="632"/>
      <c r="Z71" s="188"/>
      <c r="AA71" s="188"/>
      <c r="AB71" s="185"/>
      <c r="AC71" s="182"/>
      <c r="AD71" s="632"/>
      <c r="AE71" s="188"/>
      <c r="AF71" s="188"/>
      <c r="AG71" s="185"/>
      <c r="AH71" s="182"/>
      <c r="AI71" s="632"/>
      <c r="AJ71" s="188"/>
      <c r="AK71" s="188"/>
      <c r="AL71" s="185"/>
      <c r="AM71" s="182"/>
      <c r="AN71" s="632"/>
      <c r="AO71" s="188"/>
      <c r="AP71" s="188"/>
      <c r="AQ71" s="185"/>
      <c r="AR71" s="182"/>
      <c r="AS71" s="632"/>
      <c r="AT71" s="188"/>
      <c r="AU71" s="188"/>
      <c r="AV71" s="185"/>
      <c r="AW71" s="182"/>
      <c r="AX71" s="632"/>
    </row>
    <row r="72" spans="2:50" ht="14.25" customHeight="1">
      <c r="B72" s="631"/>
      <c r="C72" s="180">
        <v>6</v>
      </c>
      <c r="D72" s="183"/>
      <c r="E72" s="180"/>
      <c r="F72" s="180"/>
      <c r="G72" s="185"/>
      <c r="H72" s="632"/>
      <c r="I72" s="186"/>
      <c r="J72" s="186"/>
      <c r="K72" s="187"/>
      <c r="L72" s="633"/>
      <c r="M72" s="186"/>
      <c r="N72" s="631"/>
      <c r="O72" s="631"/>
      <c r="P72" s="188"/>
      <c r="Q72" s="188"/>
      <c r="R72" s="185"/>
      <c r="S72" s="182"/>
      <c r="T72" s="632"/>
      <c r="U72" s="188"/>
      <c r="V72" s="188"/>
      <c r="W72" s="185"/>
      <c r="X72" s="182"/>
      <c r="Y72" s="632"/>
      <c r="Z72" s="188"/>
      <c r="AA72" s="188"/>
      <c r="AB72" s="185"/>
      <c r="AC72" s="182"/>
      <c r="AD72" s="632"/>
      <c r="AE72" s="188"/>
      <c r="AF72" s="188"/>
      <c r="AG72" s="185"/>
      <c r="AH72" s="182"/>
      <c r="AI72" s="632"/>
      <c r="AJ72" s="188"/>
      <c r="AK72" s="188"/>
      <c r="AL72" s="185"/>
      <c r="AM72" s="182"/>
      <c r="AN72" s="632"/>
      <c r="AO72" s="188"/>
      <c r="AP72" s="188"/>
      <c r="AQ72" s="185"/>
      <c r="AR72" s="182"/>
      <c r="AS72" s="632"/>
      <c r="AT72" s="188"/>
      <c r="AU72" s="188"/>
      <c r="AV72" s="185"/>
      <c r="AW72" s="182"/>
      <c r="AX72" s="632"/>
    </row>
    <row r="73" spans="2:50" ht="14.25" customHeight="1">
      <c r="B73" s="631"/>
      <c r="C73" s="180">
        <v>7</v>
      </c>
      <c r="D73" s="183"/>
      <c r="E73" s="180"/>
      <c r="F73" s="180"/>
      <c r="G73" s="185"/>
      <c r="H73" s="632"/>
      <c r="I73" s="186"/>
      <c r="J73" s="186"/>
      <c r="K73" s="187"/>
      <c r="L73" s="633"/>
      <c r="M73" s="186"/>
      <c r="N73" s="631"/>
      <c r="O73" s="631"/>
      <c r="P73" s="188"/>
      <c r="Q73" s="188"/>
      <c r="R73" s="185"/>
      <c r="S73" s="182"/>
      <c r="T73" s="632"/>
      <c r="U73" s="188"/>
      <c r="V73" s="188"/>
      <c r="W73" s="185"/>
      <c r="X73" s="182"/>
      <c r="Y73" s="632"/>
      <c r="Z73" s="188"/>
      <c r="AA73" s="188"/>
      <c r="AB73" s="185"/>
      <c r="AC73" s="182"/>
      <c r="AD73" s="632"/>
      <c r="AE73" s="188"/>
      <c r="AF73" s="188"/>
      <c r="AG73" s="185"/>
      <c r="AH73" s="182"/>
      <c r="AI73" s="632"/>
      <c r="AJ73" s="188"/>
      <c r="AK73" s="188"/>
      <c r="AL73" s="185"/>
      <c r="AM73" s="182"/>
      <c r="AN73" s="632"/>
      <c r="AO73" s="188"/>
      <c r="AP73" s="188"/>
      <c r="AQ73" s="185"/>
      <c r="AR73" s="182"/>
      <c r="AS73" s="632"/>
      <c r="AT73" s="188"/>
      <c r="AU73" s="188"/>
      <c r="AV73" s="185"/>
      <c r="AW73" s="182"/>
      <c r="AX73" s="632"/>
    </row>
    <row r="74" spans="2:50" ht="14.25" customHeight="1">
      <c r="B74" s="631"/>
      <c r="C74" s="180">
        <v>8</v>
      </c>
      <c r="D74" s="183"/>
      <c r="E74" s="180"/>
      <c r="F74" s="180"/>
      <c r="G74" s="185"/>
      <c r="H74" s="632"/>
      <c r="I74" s="186"/>
      <c r="J74" s="186"/>
      <c r="K74" s="187"/>
      <c r="L74" s="633"/>
      <c r="M74" s="186"/>
      <c r="N74" s="631"/>
      <c r="O74" s="631"/>
      <c r="P74" s="188"/>
      <c r="Q74" s="188"/>
      <c r="R74" s="185"/>
      <c r="S74" s="182"/>
      <c r="T74" s="632"/>
      <c r="U74" s="188"/>
      <c r="V74" s="188"/>
      <c r="W74" s="185"/>
      <c r="X74" s="182"/>
      <c r="Y74" s="632"/>
      <c r="Z74" s="188"/>
      <c r="AA74" s="188"/>
      <c r="AB74" s="185"/>
      <c r="AC74" s="182"/>
      <c r="AD74" s="632"/>
      <c r="AE74" s="188"/>
      <c r="AF74" s="188"/>
      <c r="AG74" s="185"/>
      <c r="AH74" s="182"/>
      <c r="AI74" s="632"/>
      <c r="AJ74" s="188"/>
      <c r="AK74" s="188"/>
      <c r="AL74" s="185"/>
      <c r="AM74" s="182"/>
      <c r="AN74" s="632"/>
      <c r="AO74" s="188"/>
      <c r="AP74" s="188"/>
      <c r="AQ74" s="185"/>
      <c r="AR74" s="182"/>
      <c r="AS74" s="632"/>
      <c r="AT74" s="188"/>
      <c r="AU74" s="188"/>
      <c r="AV74" s="185"/>
      <c r="AW74" s="182"/>
      <c r="AX74" s="632"/>
    </row>
    <row r="75" spans="2:50" ht="14.25" customHeight="1">
      <c r="B75" s="631"/>
      <c r="C75" s="180">
        <v>9</v>
      </c>
      <c r="D75" s="183"/>
      <c r="E75" s="180"/>
      <c r="F75" s="180"/>
      <c r="G75" s="185"/>
      <c r="H75" s="632"/>
      <c r="I75" s="186"/>
      <c r="J75" s="186"/>
      <c r="K75" s="187"/>
      <c r="L75" s="633"/>
      <c r="M75" s="186"/>
      <c r="N75" s="631"/>
      <c r="O75" s="631"/>
      <c r="P75" s="188"/>
      <c r="Q75" s="188"/>
      <c r="R75" s="185"/>
      <c r="S75" s="182"/>
      <c r="T75" s="632"/>
      <c r="U75" s="188"/>
      <c r="V75" s="188"/>
      <c r="W75" s="185"/>
      <c r="X75" s="182"/>
      <c r="Y75" s="632"/>
      <c r="Z75" s="188"/>
      <c r="AA75" s="188"/>
      <c r="AB75" s="185"/>
      <c r="AC75" s="182"/>
      <c r="AD75" s="632"/>
      <c r="AE75" s="188"/>
      <c r="AF75" s="188"/>
      <c r="AG75" s="185"/>
      <c r="AH75" s="182"/>
      <c r="AI75" s="632"/>
      <c r="AJ75" s="188"/>
      <c r="AK75" s="188"/>
      <c r="AL75" s="185"/>
      <c r="AM75" s="182"/>
      <c r="AN75" s="632"/>
      <c r="AO75" s="188"/>
      <c r="AP75" s="188"/>
      <c r="AQ75" s="185"/>
      <c r="AR75" s="182"/>
      <c r="AS75" s="632"/>
      <c r="AT75" s="188"/>
      <c r="AU75" s="188"/>
      <c r="AV75" s="185"/>
      <c r="AW75" s="182"/>
      <c r="AX75" s="632"/>
    </row>
    <row r="76" spans="2:50" ht="14.25" customHeight="1">
      <c r="B76" s="631"/>
      <c r="C76" s="180">
        <v>10</v>
      </c>
      <c r="D76" s="183"/>
      <c r="E76" s="180"/>
      <c r="F76" s="180"/>
      <c r="G76" s="185"/>
      <c r="H76" s="632"/>
      <c r="I76" s="186"/>
      <c r="J76" s="186"/>
      <c r="K76" s="187"/>
      <c r="L76" s="633"/>
      <c r="M76" s="186"/>
      <c r="N76" s="631"/>
      <c r="O76" s="631"/>
      <c r="P76" s="188"/>
      <c r="Q76" s="188"/>
      <c r="R76" s="185"/>
      <c r="S76" s="182"/>
      <c r="T76" s="632"/>
      <c r="U76" s="188"/>
      <c r="V76" s="188"/>
      <c r="W76" s="185"/>
      <c r="X76" s="182"/>
      <c r="Y76" s="632"/>
      <c r="Z76" s="188"/>
      <c r="AA76" s="188"/>
      <c r="AB76" s="185"/>
      <c r="AC76" s="182"/>
      <c r="AD76" s="632"/>
      <c r="AE76" s="188"/>
      <c r="AF76" s="188"/>
      <c r="AG76" s="185"/>
      <c r="AH76" s="182"/>
      <c r="AI76" s="632"/>
      <c r="AJ76" s="188"/>
      <c r="AK76" s="188"/>
      <c r="AL76" s="185"/>
      <c r="AM76" s="182"/>
      <c r="AN76" s="632"/>
      <c r="AO76" s="188"/>
      <c r="AP76" s="188"/>
      <c r="AQ76" s="185"/>
      <c r="AR76" s="182"/>
      <c r="AS76" s="632"/>
      <c r="AT76" s="188"/>
      <c r="AU76" s="188"/>
      <c r="AV76" s="185"/>
      <c r="AW76" s="182"/>
      <c r="AX76" s="632"/>
    </row>
    <row r="77" spans="2:50" ht="14.25" customHeight="1">
      <c r="B77" s="631"/>
      <c r="C77" s="180">
        <v>11</v>
      </c>
      <c r="D77" s="183"/>
      <c r="E77" s="180"/>
      <c r="F77" s="180"/>
      <c r="G77" s="185"/>
      <c r="H77" s="632"/>
      <c r="I77" s="186"/>
      <c r="J77" s="186"/>
      <c r="K77" s="187"/>
      <c r="L77" s="633"/>
      <c r="M77" s="186"/>
      <c r="N77" s="631"/>
      <c r="O77" s="631"/>
      <c r="P77" s="188"/>
      <c r="Q77" s="188"/>
      <c r="R77" s="185"/>
      <c r="S77" s="182"/>
      <c r="T77" s="632"/>
      <c r="U77" s="188"/>
      <c r="V77" s="188"/>
      <c r="W77" s="185"/>
      <c r="X77" s="182"/>
      <c r="Y77" s="632"/>
      <c r="Z77" s="188"/>
      <c r="AA77" s="188"/>
      <c r="AB77" s="185"/>
      <c r="AC77" s="182"/>
      <c r="AD77" s="632"/>
      <c r="AE77" s="188"/>
      <c r="AF77" s="188"/>
      <c r="AG77" s="185"/>
      <c r="AH77" s="182"/>
      <c r="AI77" s="632"/>
      <c r="AJ77" s="188"/>
      <c r="AK77" s="188"/>
      <c r="AL77" s="185"/>
      <c r="AM77" s="182"/>
      <c r="AN77" s="632"/>
      <c r="AO77" s="188"/>
      <c r="AP77" s="188"/>
      <c r="AQ77" s="185"/>
      <c r="AR77" s="182"/>
      <c r="AS77" s="632"/>
      <c r="AT77" s="188"/>
      <c r="AU77" s="188"/>
      <c r="AV77" s="185"/>
      <c r="AW77" s="182"/>
      <c r="AX77" s="632"/>
    </row>
    <row r="78" spans="2:50" ht="14.25" customHeight="1">
      <c r="B78" s="631"/>
      <c r="C78" s="180">
        <v>12</v>
      </c>
      <c r="D78" s="183"/>
      <c r="E78" s="180"/>
      <c r="F78" s="180"/>
      <c r="G78" s="185"/>
      <c r="H78" s="632"/>
      <c r="I78" s="186"/>
      <c r="J78" s="186"/>
      <c r="K78" s="187"/>
      <c r="L78" s="633"/>
      <c r="M78" s="186"/>
      <c r="N78" s="631"/>
      <c r="O78" s="631"/>
      <c r="P78" s="188"/>
      <c r="Q78" s="188"/>
      <c r="R78" s="185"/>
      <c r="S78" s="182"/>
      <c r="T78" s="632"/>
      <c r="U78" s="188"/>
      <c r="V78" s="188"/>
      <c r="W78" s="185"/>
      <c r="X78" s="182"/>
      <c r="Y78" s="632"/>
      <c r="Z78" s="188"/>
      <c r="AA78" s="188"/>
      <c r="AB78" s="185"/>
      <c r="AC78" s="182"/>
      <c r="AD78" s="632"/>
      <c r="AE78" s="188"/>
      <c r="AF78" s="188"/>
      <c r="AG78" s="185"/>
      <c r="AH78" s="182"/>
      <c r="AI78" s="632"/>
      <c r="AJ78" s="188"/>
      <c r="AK78" s="188"/>
      <c r="AL78" s="185"/>
      <c r="AM78" s="182"/>
      <c r="AN78" s="632"/>
      <c r="AO78" s="188"/>
      <c r="AP78" s="188"/>
      <c r="AQ78" s="185"/>
      <c r="AR78" s="182"/>
      <c r="AS78" s="632"/>
      <c r="AT78" s="188"/>
      <c r="AU78" s="188"/>
      <c r="AV78" s="185"/>
      <c r="AW78" s="182"/>
      <c r="AX78" s="632"/>
    </row>
    <row r="79" spans="2:50" ht="14.25" customHeight="1">
      <c r="B79" s="631"/>
      <c r="C79" s="180">
        <v>13</v>
      </c>
      <c r="D79" s="183"/>
      <c r="E79" s="180"/>
      <c r="F79" s="180"/>
      <c r="G79" s="185"/>
      <c r="H79" s="632"/>
      <c r="I79" s="186"/>
      <c r="J79" s="186"/>
      <c r="K79" s="187"/>
      <c r="L79" s="633"/>
      <c r="M79" s="186"/>
      <c r="N79" s="631"/>
      <c r="O79" s="631"/>
      <c r="P79" s="188"/>
      <c r="Q79" s="188"/>
      <c r="R79" s="185"/>
      <c r="S79" s="182"/>
      <c r="T79" s="632"/>
      <c r="U79" s="188"/>
      <c r="V79" s="188"/>
      <c r="W79" s="185"/>
      <c r="X79" s="182"/>
      <c r="Y79" s="632"/>
      <c r="Z79" s="188"/>
      <c r="AA79" s="188"/>
      <c r="AB79" s="185"/>
      <c r="AC79" s="182"/>
      <c r="AD79" s="632"/>
      <c r="AE79" s="188"/>
      <c r="AF79" s="188"/>
      <c r="AG79" s="185"/>
      <c r="AH79" s="182"/>
      <c r="AI79" s="632"/>
      <c r="AJ79" s="188"/>
      <c r="AK79" s="188"/>
      <c r="AL79" s="185"/>
      <c r="AM79" s="182"/>
      <c r="AN79" s="632"/>
      <c r="AO79" s="188"/>
      <c r="AP79" s="188"/>
      <c r="AQ79" s="185"/>
      <c r="AR79" s="182"/>
      <c r="AS79" s="632"/>
      <c r="AT79" s="188"/>
      <c r="AU79" s="188"/>
      <c r="AV79" s="185"/>
      <c r="AW79" s="182"/>
      <c r="AX79" s="632"/>
    </row>
    <row r="80" spans="2:50" ht="14.25" customHeight="1">
      <c r="B80" s="631"/>
      <c r="C80" s="180">
        <v>14</v>
      </c>
      <c r="D80" s="183"/>
      <c r="E80" s="180"/>
      <c r="F80" s="180"/>
      <c r="G80" s="185"/>
      <c r="H80" s="632"/>
      <c r="I80" s="186"/>
      <c r="J80" s="186"/>
      <c r="K80" s="187"/>
      <c r="L80" s="633"/>
      <c r="M80" s="186"/>
      <c r="N80" s="631"/>
      <c r="O80" s="631"/>
      <c r="P80" s="188"/>
      <c r="Q80" s="188"/>
      <c r="R80" s="185"/>
      <c r="S80" s="182"/>
      <c r="T80" s="632"/>
      <c r="U80" s="188"/>
      <c r="V80" s="188"/>
      <c r="W80" s="185"/>
      <c r="X80" s="182"/>
      <c r="Y80" s="632"/>
      <c r="Z80" s="188"/>
      <c r="AA80" s="188"/>
      <c r="AB80" s="185"/>
      <c r="AC80" s="182"/>
      <c r="AD80" s="632"/>
      <c r="AE80" s="188"/>
      <c r="AF80" s="188"/>
      <c r="AG80" s="185"/>
      <c r="AH80" s="182"/>
      <c r="AI80" s="632"/>
      <c r="AJ80" s="188"/>
      <c r="AK80" s="188"/>
      <c r="AL80" s="185"/>
      <c r="AM80" s="182"/>
      <c r="AN80" s="632"/>
      <c r="AO80" s="188"/>
      <c r="AP80" s="188"/>
      <c r="AQ80" s="185"/>
      <c r="AR80" s="182"/>
      <c r="AS80" s="632"/>
      <c r="AT80" s="188"/>
      <c r="AU80" s="188"/>
      <c r="AV80" s="185"/>
      <c r="AW80" s="182"/>
      <c r="AX80" s="632"/>
    </row>
    <row r="81" spans="2:50" ht="14.25" customHeight="1">
      <c r="B81" s="631"/>
      <c r="C81" s="180">
        <v>15</v>
      </c>
      <c r="D81" s="183"/>
      <c r="E81" s="180"/>
      <c r="F81" s="180"/>
      <c r="G81" s="185"/>
      <c r="H81" s="632"/>
      <c r="I81" s="186"/>
      <c r="J81" s="186"/>
      <c r="K81" s="187"/>
      <c r="L81" s="633"/>
      <c r="M81" s="186"/>
      <c r="N81" s="631"/>
      <c r="O81" s="631"/>
      <c r="P81" s="188"/>
      <c r="Q81" s="188"/>
      <c r="R81" s="185"/>
      <c r="S81" s="182"/>
      <c r="T81" s="632"/>
      <c r="U81" s="188"/>
      <c r="V81" s="188"/>
      <c r="W81" s="185"/>
      <c r="X81" s="182"/>
      <c r="Y81" s="632"/>
      <c r="Z81" s="188"/>
      <c r="AA81" s="188"/>
      <c r="AB81" s="185"/>
      <c r="AC81" s="182"/>
      <c r="AD81" s="632"/>
      <c r="AE81" s="188"/>
      <c r="AF81" s="188"/>
      <c r="AG81" s="185"/>
      <c r="AH81" s="182"/>
      <c r="AI81" s="632"/>
      <c r="AJ81" s="188"/>
      <c r="AK81" s="188"/>
      <c r="AL81" s="185"/>
      <c r="AM81" s="182"/>
      <c r="AN81" s="632"/>
      <c r="AO81" s="188"/>
      <c r="AP81" s="188"/>
      <c r="AQ81" s="185"/>
      <c r="AR81" s="182"/>
      <c r="AS81" s="632"/>
      <c r="AT81" s="188"/>
      <c r="AU81" s="188"/>
      <c r="AV81" s="185"/>
      <c r="AW81" s="182"/>
      <c r="AX81" s="632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81"/>
  <sheetViews>
    <sheetView zoomScaleNormal="100" workbookViewId="0">
      <pane xSplit="13" ySplit="1" topLeftCell="N47" activePane="bottomRight" state="frozen"/>
      <selection activeCell="L95" sqref="L95"/>
      <selection pane="topRight" activeCell="L95" sqref="L95"/>
      <selection pane="bottomLeft" activeCell="L95" sqref="L95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4" t="s">
        <v>696</v>
      </c>
      <c r="C1" s="175">
        <f>AVERAGE(L7,L27,L47,67)</f>
        <v>219.34228623545107</v>
      </c>
    </row>
    <row r="2" spans="1:50" ht="14.25" customHeight="1">
      <c r="B2" s="646" t="s">
        <v>619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7"/>
      <c r="N2" s="664" t="s">
        <v>369</v>
      </c>
      <c r="O2" s="664" t="s">
        <v>105</v>
      </c>
      <c r="P2" s="666">
        <v>46140</v>
      </c>
      <c r="Q2" s="667"/>
      <c r="R2" s="667"/>
      <c r="S2" s="667"/>
      <c r="T2" s="667"/>
      <c r="U2" s="668">
        <v>46141</v>
      </c>
      <c r="V2" s="669"/>
      <c r="W2" s="669"/>
      <c r="X2" s="669"/>
      <c r="Y2" s="669"/>
      <c r="Z2" s="666">
        <v>46142</v>
      </c>
      <c r="AA2" s="667"/>
      <c r="AB2" s="667"/>
      <c r="AC2" s="667"/>
      <c r="AD2" s="667"/>
      <c r="AE2" s="668">
        <v>46143</v>
      </c>
      <c r="AF2" s="669"/>
      <c r="AG2" s="669"/>
      <c r="AH2" s="669"/>
      <c r="AI2" s="669"/>
      <c r="AJ2" s="656">
        <v>46144</v>
      </c>
      <c r="AK2" s="657"/>
      <c r="AL2" s="657"/>
      <c r="AM2" s="657"/>
      <c r="AN2" s="658"/>
      <c r="AO2" s="668">
        <v>46145</v>
      </c>
      <c r="AP2" s="669"/>
      <c r="AQ2" s="669"/>
      <c r="AR2" s="669"/>
      <c r="AS2" s="669"/>
      <c r="AT2" s="656">
        <v>46146</v>
      </c>
      <c r="AU2" s="657"/>
      <c r="AV2" s="657"/>
      <c r="AW2" s="657"/>
      <c r="AX2" s="658"/>
    </row>
    <row r="3" spans="1:50" ht="14.25" customHeight="1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665"/>
      <c r="O3" s="665"/>
      <c r="P3" s="659">
        <v>46140</v>
      </c>
      <c r="Q3" s="659"/>
      <c r="R3" s="659"/>
      <c r="S3" s="659"/>
      <c r="T3" s="659"/>
      <c r="U3" s="660">
        <v>46141</v>
      </c>
      <c r="V3" s="660"/>
      <c r="W3" s="660"/>
      <c r="X3" s="660"/>
      <c r="Y3" s="660"/>
      <c r="Z3" s="659">
        <v>46142</v>
      </c>
      <c r="AA3" s="659"/>
      <c r="AB3" s="659"/>
      <c r="AC3" s="659"/>
      <c r="AD3" s="659"/>
      <c r="AE3" s="660">
        <v>46143</v>
      </c>
      <c r="AF3" s="660"/>
      <c r="AG3" s="660"/>
      <c r="AH3" s="660"/>
      <c r="AI3" s="660"/>
      <c r="AJ3" s="661">
        <v>46144</v>
      </c>
      <c r="AK3" s="662"/>
      <c r="AL3" s="662"/>
      <c r="AM3" s="662"/>
      <c r="AN3" s="663"/>
      <c r="AO3" s="660">
        <v>46145</v>
      </c>
      <c r="AP3" s="660"/>
      <c r="AQ3" s="660"/>
      <c r="AR3" s="660"/>
      <c r="AS3" s="660"/>
      <c r="AT3" s="661">
        <v>46146</v>
      </c>
      <c r="AU3" s="662"/>
      <c r="AV3" s="662"/>
      <c r="AW3" s="662"/>
      <c r="AX3" s="663"/>
    </row>
    <row r="4" spans="1:50" ht="14.25" customHeight="1">
      <c r="B4" s="631" t="s">
        <v>162</v>
      </c>
      <c r="C4" s="631" t="s">
        <v>157</v>
      </c>
      <c r="D4" s="631"/>
      <c r="E4" s="631" t="s">
        <v>158</v>
      </c>
      <c r="F4" s="631"/>
      <c r="G4" s="631"/>
      <c r="H4" s="631" t="s">
        <v>163</v>
      </c>
      <c r="I4" s="635" t="s">
        <v>370</v>
      </c>
      <c r="J4" s="635"/>
      <c r="K4" s="635"/>
      <c r="L4" s="635" t="s">
        <v>163</v>
      </c>
      <c r="M4" s="635" t="s">
        <v>165</v>
      </c>
      <c r="N4" s="631"/>
      <c r="O4" s="631" t="s">
        <v>164</v>
      </c>
      <c r="P4" s="631" t="s">
        <v>160</v>
      </c>
      <c r="Q4" s="631"/>
      <c r="R4" s="631"/>
      <c r="S4" s="631"/>
      <c r="T4" s="631" t="s">
        <v>163</v>
      </c>
      <c r="U4" s="631" t="s">
        <v>160</v>
      </c>
      <c r="V4" s="631"/>
      <c r="W4" s="631"/>
      <c r="X4" s="631"/>
      <c r="Y4" s="631" t="s">
        <v>163</v>
      </c>
      <c r="Z4" s="631" t="s">
        <v>160</v>
      </c>
      <c r="AA4" s="631"/>
      <c r="AB4" s="631"/>
      <c r="AC4" s="631"/>
      <c r="AD4" s="631" t="s">
        <v>163</v>
      </c>
      <c r="AE4" s="631" t="s">
        <v>160</v>
      </c>
      <c r="AF4" s="631"/>
      <c r="AG4" s="631"/>
      <c r="AH4" s="631"/>
      <c r="AI4" s="631" t="s">
        <v>163</v>
      </c>
      <c r="AJ4" s="631" t="s">
        <v>160</v>
      </c>
      <c r="AK4" s="631"/>
      <c r="AL4" s="631"/>
      <c r="AM4" s="631"/>
      <c r="AN4" s="631" t="s">
        <v>163</v>
      </c>
      <c r="AO4" s="631" t="s">
        <v>160</v>
      </c>
      <c r="AP4" s="631"/>
      <c r="AQ4" s="631"/>
      <c r="AR4" s="631"/>
      <c r="AS4" s="631" t="s">
        <v>163</v>
      </c>
      <c r="AT4" s="631" t="s">
        <v>160</v>
      </c>
      <c r="AU4" s="631"/>
      <c r="AV4" s="631"/>
      <c r="AW4" s="631"/>
      <c r="AX4" s="631" t="s">
        <v>163</v>
      </c>
    </row>
    <row r="5" spans="1:50" ht="14.25" customHeight="1">
      <c r="B5" s="631"/>
      <c r="C5" s="631"/>
      <c r="D5" s="631"/>
      <c r="E5" s="631" t="s">
        <v>371</v>
      </c>
      <c r="F5" s="631"/>
      <c r="G5" s="631"/>
      <c r="H5" s="631"/>
      <c r="I5" s="635" t="s">
        <v>371</v>
      </c>
      <c r="J5" s="635"/>
      <c r="K5" s="635"/>
      <c r="L5" s="635"/>
      <c r="M5" s="635"/>
      <c r="N5" s="631"/>
      <c r="O5" s="631"/>
      <c r="P5" s="631" t="s">
        <v>372</v>
      </c>
      <c r="Q5" s="631"/>
      <c r="R5" s="631"/>
      <c r="S5" s="631"/>
      <c r="T5" s="631"/>
      <c r="U5" s="631" t="s">
        <v>372</v>
      </c>
      <c r="V5" s="631"/>
      <c r="W5" s="631"/>
      <c r="X5" s="631"/>
      <c r="Y5" s="631"/>
      <c r="Z5" s="631" t="s">
        <v>372</v>
      </c>
      <c r="AA5" s="631"/>
      <c r="AB5" s="631"/>
      <c r="AC5" s="631"/>
      <c r="AD5" s="631"/>
      <c r="AE5" s="631" t="s">
        <v>372</v>
      </c>
      <c r="AF5" s="631"/>
      <c r="AG5" s="631"/>
      <c r="AH5" s="631"/>
      <c r="AI5" s="631"/>
      <c r="AJ5" s="631" t="s">
        <v>372</v>
      </c>
      <c r="AK5" s="631"/>
      <c r="AL5" s="631"/>
      <c r="AM5" s="631"/>
      <c r="AN5" s="631"/>
      <c r="AO5" s="631" t="s">
        <v>372</v>
      </c>
      <c r="AP5" s="631"/>
      <c r="AQ5" s="631"/>
      <c r="AR5" s="631"/>
      <c r="AS5" s="631"/>
      <c r="AT5" s="631" t="s">
        <v>372</v>
      </c>
      <c r="AU5" s="631"/>
      <c r="AV5" s="631"/>
      <c r="AW5" s="631"/>
      <c r="AX5" s="631"/>
    </row>
    <row r="6" spans="1:50" ht="14.25" customHeight="1">
      <c r="B6" s="631"/>
      <c r="C6" s="631"/>
      <c r="D6" s="631"/>
      <c r="E6" s="180" t="s">
        <v>159</v>
      </c>
      <c r="F6" s="180" t="s">
        <v>373</v>
      </c>
      <c r="G6" s="180" t="s">
        <v>161</v>
      </c>
      <c r="H6" s="631"/>
      <c r="I6" s="181" t="s">
        <v>159</v>
      </c>
      <c r="J6" s="181" t="s">
        <v>373</v>
      </c>
      <c r="K6" s="181" t="s">
        <v>161</v>
      </c>
      <c r="L6" s="635"/>
      <c r="M6" s="635"/>
      <c r="N6" s="631"/>
      <c r="O6" s="631"/>
      <c r="P6" s="180" t="s">
        <v>159</v>
      </c>
      <c r="Q6" s="180" t="s">
        <v>373</v>
      </c>
      <c r="R6" s="180" t="s">
        <v>161</v>
      </c>
      <c r="S6" s="182" t="s">
        <v>165</v>
      </c>
      <c r="T6" s="631"/>
      <c r="U6" s="180" t="s">
        <v>159</v>
      </c>
      <c r="V6" s="180" t="s">
        <v>373</v>
      </c>
      <c r="W6" s="180" t="s">
        <v>161</v>
      </c>
      <c r="X6" s="182" t="s">
        <v>165</v>
      </c>
      <c r="Y6" s="631"/>
      <c r="Z6" s="180" t="s">
        <v>159</v>
      </c>
      <c r="AA6" s="180" t="s">
        <v>373</v>
      </c>
      <c r="AB6" s="180" t="s">
        <v>161</v>
      </c>
      <c r="AC6" s="182" t="s">
        <v>165</v>
      </c>
      <c r="AD6" s="631"/>
      <c r="AE6" s="180" t="s">
        <v>159</v>
      </c>
      <c r="AF6" s="180" t="s">
        <v>373</v>
      </c>
      <c r="AG6" s="180" t="s">
        <v>161</v>
      </c>
      <c r="AH6" s="182" t="s">
        <v>165</v>
      </c>
      <c r="AI6" s="631"/>
      <c r="AJ6" s="180" t="s">
        <v>159</v>
      </c>
      <c r="AK6" s="180" t="s">
        <v>373</v>
      </c>
      <c r="AL6" s="180" t="s">
        <v>161</v>
      </c>
      <c r="AM6" s="182" t="s">
        <v>165</v>
      </c>
      <c r="AN6" s="631"/>
      <c r="AO6" s="180" t="s">
        <v>159</v>
      </c>
      <c r="AP6" s="180" t="s">
        <v>373</v>
      </c>
      <c r="AQ6" s="180" t="s">
        <v>161</v>
      </c>
      <c r="AR6" s="182" t="s">
        <v>165</v>
      </c>
      <c r="AS6" s="631"/>
      <c r="AT6" s="180" t="s">
        <v>159</v>
      </c>
      <c r="AU6" s="180" t="s">
        <v>373</v>
      </c>
      <c r="AV6" s="180" t="s">
        <v>161</v>
      </c>
      <c r="AW6" s="182" t="s">
        <v>165</v>
      </c>
      <c r="AX6" s="631"/>
    </row>
    <row r="7" spans="1:50" ht="14.25" customHeight="1">
      <c r="B7" s="676" t="s">
        <v>432</v>
      </c>
      <c r="C7" s="180">
        <v>1</v>
      </c>
      <c r="D7" s="183" t="s">
        <v>349</v>
      </c>
      <c r="E7" s="180">
        <v>21</v>
      </c>
      <c r="F7" s="180">
        <v>2790</v>
      </c>
      <c r="G7" s="185">
        <f t="shared" ref="G7:G8" si="0">F7/E7</f>
        <v>132.85714285714286</v>
      </c>
      <c r="H7" s="632">
        <f>AVERAGE(G7:G21)</f>
        <v>366.42857142857144</v>
      </c>
      <c r="I7" s="186">
        <f>AVERAGE(P7,U7,Z7,AE7,AJ7,AO7,AT7)</f>
        <v>21.714285714285715</v>
      </c>
      <c r="J7" s="186">
        <f>AVERAGE(Q7,V7,AA7,AF7,AK7,AP7,AU7)</f>
        <v>2585.9313186813188</v>
      </c>
      <c r="K7" s="187">
        <f>AVERAGE(R7,W7,AB7,AG7,AL7,AQ7,AV7)</f>
        <v>119.07861781076066</v>
      </c>
      <c r="L7" s="633">
        <f>IFERROR(AVERAGE(K7:K21),"-")</f>
        <v>330.92770848601748</v>
      </c>
      <c r="M7" s="186">
        <f>RANK(K7, K$7:$K$21)</f>
        <v>2</v>
      </c>
      <c r="N7" s="631"/>
      <c r="O7" s="631"/>
      <c r="P7" s="188">
        <v>22</v>
      </c>
      <c r="Q7" s="188">
        <v>2626.6346153846152</v>
      </c>
      <c r="R7" s="185">
        <f>IFERROR(Q7/P7,"")</f>
        <v>119.39248251748251</v>
      </c>
      <c r="S7" s="182">
        <f>RANK(R7, R$7:R$21)</f>
        <v>2</v>
      </c>
      <c r="T7" s="632">
        <f>AVERAGE(R7:R21)</f>
        <v>331.29464083937842</v>
      </c>
      <c r="U7" s="188">
        <v>22</v>
      </c>
      <c r="V7" s="188">
        <v>2626.6346153846152</v>
      </c>
      <c r="W7" s="185">
        <f t="shared" ref="W7:W8" si="1">IFERROR(V7/U7,"")</f>
        <v>119.39248251748251</v>
      </c>
      <c r="X7" s="182">
        <f>RANK(W7, W$7:W$21)</f>
        <v>2</v>
      </c>
      <c r="Y7" s="632">
        <f>AVERAGE(W7:W21)</f>
        <v>331.17464083937841</v>
      </c>
      <c r="Z7" s="188">
        <v>22</v>
      </c>
      <c r="AA7" s="188">
        <v>2626.6346153846152</v>
      </c>
      <c r="AB7" s="185">
        <f t="shared" ref="AB7:AB8" si="2">IFERROR(AA7/Z7,"")</f>
        <v>119.39248251748251</v>
      </c>
      <c r="AC7" s="182">
        <f>RANK(AB7, AB$7:AB$21)</f>
        <v>2</v>
      </c>
      <c r="AD7" s="632">
        <f>AVERAGE(AB7:AB21)</f>
        <v>331.02464083937843</v>
      </c>
      <c r="AE7" s="188">
        <v>22</v>
      </c>
      <c r="AF7" s="188">
        <v>2626.6346153846152</v>
      </c>
      <c r="AG7" s="185">
        <f>IFERROR(AF7/AE7,"")</f>
        <v>119.39248251748251</v>
      </c>
      <c r="AH7" s="182">
        <f>RANK(AG7, AG$7:AG$21)</f>
        <v>2</v>
      </c>
      <c r="AI7" s="632">
        <f>AVERAGE(AG7:AG21)</f>
        <v>331.02464083937843</v>
      </c>
      <c r="AJ7" s="188">
        <v>22</v>
      </c>
      <c r="AK7" s="188">
        <v>2626.6346153846152</v>
      </c>
      <c r="AL7" s="185">
        <f t="shared" ref="AL7:AL8" si="3">IFERROR(AK7/AJ7,"")</f>
        <v>119.39248251748251</v>
      </c>
      <c r="AM7" s="182">
        <f>RANK(AL7, AL$7:AL$21)</f>
        <v>2</v>
      </c>
      <c r="AN7" s="632">
        <f>AVERAGE(AL7:AL21)</f>
        <v>331.14464083937844</v>
      </c>
      <c r="AO7" s="188">
        <v>21</v>
      </c>
      <c r="AP7" s="188">
        <v>2484.1730769230767</v>
      </c>
      <c r="AQ7" s="185">
        <f t="shared" ref="AQ7:AQ8" si="4">IFERROR(AP7/AO7,"")</f>
        <v>118.29395604395603</v>
      </c>
      <c r="AR7" s="182">
        <f>RANK(AQ7, AQ$7:AQ$21)</f>
        <v>2</v>
      </c>
      <c r="AS7" s="632">
        <f>AVERAGE(AQ7:AQ21)</f>
        <v>330.47537760261514</v>
      </c>
      <c r="AT7" s="188">
        <v>21</v>
      </c>
      <c r="AU7" s="188">
        <v>2484.1730769230767</v>
      </c>
      <c r="AV7" s="185">
        <f t="shared" ref="AV7:AV8" si="5">IFERROR(AU7/AT7,"")</f>
        <v>118.29395604395603</v>
      </c>
      <c r="AW7" s="182">
        <f>RANK(AV7, AV$7:AV$21)</f>
        <v>2</v>
      </c>
      <c r="AX7" s="632">
        <f>AVERAGE(AV7:AV21)</f>
        <v>330.35537760261514</v>
      </c>
    </row>
    <row r="8" spans="1:50" ht="14.25" customHeight="1">
      <c r="B8" s="631"/>
      <c r="C8" s="180">
        <v>2</v>
      </c>
      <c r="D8" s="183" t="s">
        <v>491</v>
      </c>
      <c r="E8" s="180">
        <v>6</v>
      </c>
      <c r="F8" s="180">
        <v>3600</v>
      </c>
      <c r="G8" s="185">
        <f t="shared" si="0"/>
        <v>600</v>
      </c>
      <c r="H8" s="632"/>
      <c r="I8" s="186">
        <f t="shared" ref="I8:K8" si="6">AVERAGE(P8,U8,Z8,AE8,AJ8,AO8,AT8)</f>
        <v>6</v>
      </c>
      <c r="J8" s="186">
        <f t="shared" si="6"/>
        <v>3256.6607949676463</v>
      </c>
      <c r="K8" s="187">
        <f t="shared" si="6"/>
        <v>542.77679916127431</v>
      </c>
      <c r="L8" s="633"/>
      <c r="M8" s="186">
        <f>RANK(K8, K$7:$K$21)</f>
        <v>1</v>
      </c>
      <c r="N8" s="631"/>
      <c r="O8" s="631"/>
      <c r="P8" s="188">
        <v>6</v>
      </c>
      <c r="Q8" s="188">
        <v>3259.1807949676459</v>
      </c>
      <c r="R8" s="185">
        <f t="shared" ref="R8" si="7">IFERROR(Q8/P8,"")</f>
        <v>543.19679916127427</v>
      </c>
      <c r="S8" s="182">
        <f>RANK(R8, R$7:R$21)</f>
        <v>1</v>
      </c>
      <c r="T8" s="632"/>
      <c r="U8" s="188">
        <v>6</v>
      </c>
      <c r="V8" s="188">
        <v>3257.7407949676458</v>
      </c>
      <c r="W8" s="185">
        <f t="shared" si="1"/>
        <v>542.95679916127426</v>
      </c>
      <c r="X8" s="182">
        <f>RANK(W8, W$7:W$21)</f>
        <v>1</v>
      </c>
      <c r="Y8" s="632"/>
      <c r="Z8" s="188">
        <v>6</v>
      </c>
      <c r="AA8" s="188">
        <v>3255.9407949676461</v>
      </c>
      <c r="AB8" s="185">
        <f t="shared" si="2"/>
        <v>542.65679916127431</v>
      </c>
      <c r="AC8" s="182">
        <f>RANK(AB8, AB$7:AB$21)</f>
        <v>1</v>
      </c>
      <c r="AD8" s="632"/>
      <c r="AE8" s="188">
        <v>6</v>
      </c>
      <c r="AF8" s="188">
        <v>3255.9407949676461</v>
      </c>
      <c r="AG8" s="185">
        <f t="shared" ref="AG8" si="8">IFERROR(AF8/AE8,"")</f>
        <v>542.65679916127431</v>
      </c>
      <c r="AH8" s="182">
        <f>RANK(AG8, AG$7:AG$21)</f>
        <v>1</v>
      </c>
      <c r="AI8" s="632"/>
      <c r="AJ8" s="188">
        <v>6</v>
      </c>
      <c r="AK8" s="188">
        <v>3257.3807949676461</v>
      </c>
      <c r="AL8" s="185">
        <f t="shared" si="3"/>
        <v>542.89679916127432</v>
      </c>
      <c r="AM8" s="182">
        <f>RANK(AL8, AL$7:AL$21)</f>
        <v>1</v>
      </c>
      <c r="AN8" s="632"/>
      <c r="AO8" s="188">
        <v>6</v>
      </c>
      <c r="AP8" s="188">
        <v>3255.9407949676461</v>
      </c>
      <c r="AQ8" s="185">
        <f t="shared" si="4"/>
        <v>542.65679916127431</v>
      </c>
      <c r="AR8" s="182">
        <f>RANK(AQ8, AQ$7:AQ$21)</f>
        <v>1</v>
      </c>
      <c r="AS8" s="632"/>
      <c r="AT8" s="188">
        <v>6</v>
      </c>
      <c r="AU8" s="188">
        <v>3254.500794967646</v>
      </c>
      <c r="AV8" s="185">
        <f t="shared" si="5"/>
        <v>542.4167991612743</v>
      </c>
      <c r="AW8" s="182">
        <f>RANK(AV8, AV$7:AV$21)</f>
        <v>1</v>
      </c>
      <c r="AX8" s="632"/>
    </row>
    <row r="9" spans="1:50" ht="14.25" customHeight="1">
      <c r="B9" s="631"/>
      <c r="C9" s="180">
        <v>3</v>
      </c>
      <c r="D9" s="183"/>
      <c r="E9" s="180"/>
      <c r="F9" s="180"/>
      <c r="G9" s="185"/>
      <c r="H9" s="632"/>
      <c r="I9" s="186"/>
      <c r="J9" s="186"/>
      <c r="K9" s="187"/>
      <c r="L9" s="633"/>
      <c r="M9" s="186"/>
      <c r="N9" s="631"/>
      <c r="O9" s="631"/>
      <c r="P9" s="188"/>
      <c r="Q9" s="188"/>
      <c r="R9" s="185"/>
      <c r="S9" s="182"/>
      <c r="T9" s="632"/>
      <c r="U9" s="188"/>
      <c r="V9" s="188"/>
      <c r="W9" s="185"/>
      <c r="X9" s="182"/>
      <c r="Y9" s="632"/>
      <c r="Z9" s="188"/>
      <c r="AA9" s="188"/>
      <c r="AB9" s="185"/>
      <c r="AC9" s="182"/>
      <c r="AD9" s="632"/>
      <c r="AE9" s="188"/>
      <c r="AF9" s="188"/>
      <c r="AG9" s="185"/>
      <c r="AH9" s="182"/>
      <c r="AI9" s="632"/>
      <c r="AJ9" s="188"/>
      <c r="AK9" s="188"/>
      <c r="AL9" s="185"/>
      <c r="AM9" s="182"/>
      <c r="AN9" s="632"/>
      <c r="AO9" s="188"/>
      <c r="AP9" s="188"/>
      <c r="AQ9" s="185"/>
      <c r="AR9" s="182"/>
      <c r="AS9" s="632"/>
      <c r="AT9" s="188"/>
      <c r="AU9" s="188"/>
      <c r="AV9" s="185"/>
      <c r="AW9" s="182"/>
      <c r="AX9" s="632"/>
    </row>
    <row r="10" spans="1:50" ht="14.25" customHeight="1">
      <c r="B10" s="631"/>
      <c r="C10" s="180">
        <v>4</v>
      </c>
      <c r="D10" s="183"/>
      <c r="E10" s="180"/>
      <c r="F10" s="180"/>
      <c r="G10" s="185"/>
      <c r="H10" s="632"/>
      <c r="I10" s="186"/>
      <c r="J10" s="186"/>
      <c r="K10" s="187"/>
      <c r="L10" s="633"/>
      <c r="M10" s="186"/>
      <c r="N10" s="631"/>
      <c r="O10" s="631"/>
      <c r="P10" s="188"/>
      <c r="Q10" s="188"/>
      <c r="R10" s="185"/>
      <c r="S10" s="182"/>
      <c r="T10" s="632"/>
      <c r="U10" s="188"/>
      <c r="V10" s="188"/>
      <c r="W10" s="185"/>
      <c r="X10" s="182"/>
      <c r="Y10" s="632"/>
      <c r="Z10" s="188"/>
      <c r="AA10" s="188"/>
      <c r="AB10" s="185"/>
      <c r="AC10" s="182"/>
      <c r="AD10" s="632"/>
      <c r="AE10" s="188"/>
      <c r="AF10" s="188"/>
      <c r="AG10" s="185"/>
      <c r="AH10" s="182"/>
      <c r="AI10" s="632"/>
      <c r="AJ10" s="188"/>
      <c r="AK10" s="188"/>
      <c r="AL10" s="185"/>
      <c r="AM10" s="182"/>
      <c r="AN10" s="632"/>
      <c r="AO10" s="188"/>
      <c r="AP10" s="188"/>
      <c r="AQ10" s="185"/>
      <c r="AR10" s="182"/>
      <c r="AS10" s="632"/>
      <c r="AT10" s="188"/>
      <c r="AU10" s="188"/>
      <c r="AV10" s="185"/>
      <c r="AW10" s="182"/>
      <c r="AX10" s="632"/>
    </row>
    <row r="11" spans="1:50" ht="14.25" customHeight="1">
      <c r="B11" s="631"/>
      <c r="C11" s="180">
        <v>5</v>
      </c>
      <c r="D11" s="183"/>
      <c r="E11" s="180"/>
      <c r="F11" s="180"/>
      <c r="G11" s="185"/>
      <c r="H11" s="632"/>
      <c r="I11" s="186"/>
      <c r="J11" s="186"/>
      <c r="K11" s="187"/>
      <c r="L11" s="633"/>
      <c r="M11" s="186"/>
      <c r="N11" s="631"/>
      <c r="O11" s="631"/>
      <c r="P11" s="188"/>
      <c r="Q11" s="188"/>
      <c r="R11" s="185"/>
      <c r="S11" s="182"/>
      <c r="T11" s="632"/>
      <c r="U11" s="188"/>
      <c r="V11" s="188"/>
      <c r="W11" s="185"/>
      <c r="X11" s="182"/>
      <c r="Y11" s="632"/>
      <c r="Z11" s="188"/>
      <c r="AA11" s="188"/>
      <c r="AB11" s="185"/>
      <c r="AC11" s="182"/>
      <c r="AD11" s="632"/>
      <c r="AE11" s="188"/>
      <c r="AF11" s="188"/>
      <c r="AG11" s="185"/>
      <c r="AH11" s="182"/>
      <c r="AI11" s="632"/>
      <c r="AJ11" s="188"/>
      <c r="AK11" s="188"/>
      <c r="AL11" s="185"/>
      <c r="AM11" s="182"/>
      <c r="AN11" s="632"/>
      <c r="AO11" s="188"/>
      <c r="AP11" s="188"/>
      <c r="AQ11" s="185"/>
      <c r="AR11" s="182"/>
      <c r="AS11" s="632"/>
      <c r="AT11" s="188"/>
      <c r="AU11" s="188"/>
      <c r="AV11" s="185"/>
      <c r="AW11" s="182"/>
      <c r="AX11" s="632"/>
    </row>
    <row r="12" spans="1:50" ht="14.25" customHeight="1">
      <c r="B12" s="631"/>
      <c r="C12" s="180">
        <v>6</v>
      </c>
      <c r="D12" s="183"/>
      <c r="E12" s="180"/>
      <c r="F12" s="180"/>
      <c r="G12" s="185"/>
      <c r="H12" s="632"/>
      <c r="I12" s="186"/>
      <c r="J12" s="186"/>
      <c r="K12" s="187"/>
      <c r="L12" s="633"/>
      <c r="M12" s="186"/>
      <c r="N12" s="631"/>
      <c r="O12" s="631"/>
      <c r="P12" s="188"/>
      <c r="Q12" s="188"/>
      <c r="R12" s="185"/>
      <c r="S12" s="182"/>
      <c r="T12" s="632"/>
      <c r="U12" s="188"/>
      <c r="V12" s="188"/>
      <c r="W12" s="185"/>
      <c r="X12" s="182"/>
      <c r="Y12" s="632"/>
      <c r="Z12" s="188"/>
      <c r="AA12" s="188"/>
      <c r="AB12" s="185"/>
      <c r="AC12" s="182"/>
      <c r="AD12" s="632"/>
      <c r="AE12" s="188"/>
      <c r="AF12" s="188"/>
      <c r="AG12" s="185"/>
      <c r="AH12" s="182"/>
      <c r="AI12" s="632"/>
      <c r="AJ12" s="188"/>
      <c r="AK12" s="188"/>
      <c r="AL12" s="185"/>
      <c r="AM12" s="182"/>
      <c r="AN12" s="632"/>
      <c r="AO12" s="188"/>
      <c r="AP12" s="188"/>
      <c r="AQ12" s="185"/>
      <c r="AR12" s="182"/>
      <c r="AS12" s="632"/>
      <c r="AT12" s="188"/>
      <c r="AU12" s="188"/>
      <c r="AV12" s="185"/>
      <c r="AW12" s="182"/>
      <c r="AX12" s="632"/>
    </row>
    <row r="13" spans="1:50" ht="14.25" customHeight="1">
      <c r="B13" s="631"/>
      <c r="C13" s="180">
        <v>7</v>
      </c>
      <c r="D13" s="183"/>
      <c r="E13" s="180"/>
      <c r="F13" s="180"/>
      <c r="G13" s="185"/>
      <c r="H13" s="632"/>
      <c r="I13" s="186"/>
      <c r="J13" s="186"/>
      <c r="K13" s="187"/>
      <c r="L13" s="633"/>
      <c r="M13" s="186"/>
      <c r="N13" s="631"/>
      <c r="O13" s="631"/>
      <c r="P13" s="188"/>
      <c r="Q13" s="188"/>
      <c r="R13" s="185"/>
      <c r="S13" s="182"/>
      <c r="T13" s="632"/>
      <c r="U13" s="188"/>
      <c r="V13" s="188"/>
      <c r="W13" s="185"/>
      <c r="X13" s="182"/>
      <c r="Y13" s="632"/>
      <c r="Z13" s="188"/>
      <c r="AA13" s="188"/>
      <c r="AB13" s="185"/>
      <c r="AC13" s="182"/>
      <c r="AD13" s="632"/>
      <c r="AE13" s="188"/>
      <c r="AF13" s="188"/>
      <c r="AG13" s="185"/>
      <c r="AH13" s="182"/>
      <c r="AI13" s="632"/>
      <c r="AJ13" s="188"/>
      <c r="AK13" s="188"/>
      <c r="AL13" s="185"/>
      <c r="AM13" s="182"/>
      <c r="AN13" s="632"/>
      <c r="AO13" s="188"/>
      <c r="AP13" s="188"/>
      <c r="AQ13" s="185"/>
      <c r="AR13" s="182"/>
      <c r="AS13" s="632"/>
      <c r="AT13" s="188"/>
      <c r="AU13" s="188"/>
      <c r="AV13" s="185"/>
      <c r="AW13" s="182"/>
      <c r="AX13" s="632"/>
    </row>
    <row r="14" spans="1:50" ht="14.25" customHeight="1">
      <c r="B14" s="631"/>
      <c r="C14" s="180">
        <v>8</v>
      </c>
      <c r="D14" s="183"/>
      <c r="E14" s="180"/>
      <c r="F14" s="180"/>
      <c r="G14" s="185"/>
      <c r="H14" s="632"/>
      <c r="I14" s="186"/>
      <c r="J14" s="186"/>
      <c r="K14" s="187"/>
      <c r="L14" s="633"/>
      <c r="M14" s="186"/>
      <c r="N14" s="631"/>
      <c r="O14" s="631"/>
      <c r="P14" s="188"/>
      <c r="Q14" s="188"/>
      <c r="R14" s="185"/>
      <c r="S14" s="182"/>
      <c r="T14" s="632"/>
      <c r="U14" s="188"/>
      <c r="V14" s="188"/>
      <c r="W14" s="185"/>
      <c r="X14" s="182"/>
      <c r="Y14" s="632"/>
      <c r="Z14" s="188"/>
      <c r="AA14" s="188"/>
      <c r="AB14" s="185"/>
      <c r="AC14" s="182"/>
      <c r="AD14" s="632"/>
      <c r="AE14" s="188"/>
      <c r="AF14" s="188"/>
      <c r="AG14" s="185"/>
      <c r="AH14" s="182"/>
      <c r="AI14" s="632"/>
      <c r="AJ14" s="188"/>
      <c r="AK14" s="188"/>
      <c r="AL14" s="185"/>
      <c r="AM14" s="182"/>
      <c r="AN14" s="632"/>
      <c r="AO14" s="188"/>
      <c r="AP14" s="188"/>
      <c r="AQ14" s="185"/>
      <c r="AR14" s="182"/>
      <c r="AS14" s="632"/>
      <c r="AT14" s="188"/>
      <c r="AU14" s="188"/>
      <c r="AV14" s="185"/>
      <c r="AW14" s="182"/>
      <c r="AX14" s="632"/>
    </row>
    <row r="15" spans="1:50" ht="14.25" customHeight="1">
      <c r="B15" s="631"/>
      <c r="C15" s="180">
        <v>9</v>
      </c>
      <c r="D15" s="183"/>
      <c r="E15" s="180"/>
      <c r="F15" s="180"/>
      <c r="G15" s="185"/>
      <c r="H15" s="632"/>
      <c r="I15" s="186"/>
      <c r="J15" s="186"/>
      <c r="K15" s="187"/>
      <c r="L15" s="633"/>
      <c r="M15" s="186"/>
      <c r="N15" s="631"/>
      <c r="O15" s="631"/>
      <c r="P15" s="188"/>
      <c r="Q15" s="188"/>
      <c r="R15" s="185"/>
      <c r="S15" s="182"/>
      <c r="T15" s="632"/>
      <c r="U15" s="188"/>
      <c r="V15" s="188"/>
      <c r="W15" s="185"/>
      <c r="X15" s="182"/>
      <c r="Y15" s="632"/>
      <c r="Z15" s="188"/>
      <c r="AA15" s="188"/>
      <c r="AB15" s="185"/>
      <c r="AC15" s="182"/>
      <c r="AD15" s="632"/>
      <c r="AE15" s="188"/>
      <c r="AF15" s="188"/>
      <c r="AG15" s="185"/>
      <c r="AH15" s="182"/>
      <c r="AI15" s="632"/>
      <c r="AJ15" s="188"/>
      <c r="AK15" s="188"/>
      <c r="AL15" s="185"/>
      <c r="AM15" s="182"/>
      <c r="AN15" s="632"/>
      <c r="AO15" s="188"/>
      <c r="AP15" s="188"/>
      <c r="AQ15" s="185"/>
      <c r="AR15" s="182"/>
      <c r="AS15" s="632"/>
      <c r="AT15" s="188"/>
      <c r="AU15" s="188"/>
      <c r="AV15" s="185"/>
      <c r="AW15" s="182"/>
      <c r="AX15" s="632"/>
    </row>
    <row r="16" spans="1:50" ht="14.25" customHeight="1">
      <c r="B16" s="631"/>
      <c r="C16" s="180">
        <v>10</v>
      </c>
      <c r="D16" s="183"/>
      <c r="E16" s="180"/>
      <c r="F16" s="180"/>
      <c r="G16" s="185"/>
      <c r="H16" s="632"/>
      <c r="I16" s="186"/>
      <c r="J16" s="186"/>
      <c r="K16" s="187"/>
      <c r="L16" s="633"/>
      <c r="M16" s="186"/>
      <c r="N16" s="631"/>
      <c r="O16" s="631"/>
      <c r="P16" s="188"/>
      <c r="Q16" s="188"/>
      <c r="R16" s="185"/>
      <c r="S16" s="182"/>
      <c r="T16" s="632"/>
      <c r="U16" s="188"/>
      <c r="V16" s="188"/>
      <c r="W16" s="185"/>
      <c r="X16" s="182"/>
      <c r="Y16" s="632"/>
      <c r="Z16" s="188"/>
      <c r="AA16" s="188"/>
      <c r="AB16" s="185"/>
      <c r="AC16" s="182"/>
      <c r="AD16" s="632"/>
      <c r="AE16" s="188"/>
      <c r="AF16" s="188"/>
      <c r="AG16" s="185"/>
      <c r="AH16" s="182"/>
      <c r="AI16" s="632"/>
      <c r="AJ16" s="188"/>
      <c r="AK16" s="188"/>
      <c r="AL16" s="185"/>
      <c r="AM16" s="182"/>
      <c r="AN16" s="632"/>
      <c r="AO16" s="188"/>
      <c r="AP16" s="188"/>
      <c r="AQ16" s="185"/>
      <c r="AR16" s="182"/>
      <c r="AS16" s="632"/>
      <c r="AT16" s="188"/>
      <c r="AU16" s="188"/>
      <c r="AV16" s="185"/>
      <c r="AW16" s="182"/>
      <c r="AX16" s="632"/>
    </row>
    <row r="17" spans="2:50" ht="14.25" customHeight="1">
      <c r="B17" s="631"/>
      <c r="C17" s="180">
        <v>11</v>
      </c>
      <c r="D17" s="183"/>
      <c r="E17" s="180"/>
      <c r="F17" s="180"/>
      <c r="G17" s="185"/>
      <c r="H17" s="632"/>
      <c r="I17" s="186"/>
      <c r="J17" s="186"/>
      <c r="K17" s="187"/>
      <c r="L17" s="633"/>
      <c r="M17" s="186"/>
      <c r="N17" s="631"/>
      <c r="O17" s="631"/>
      <c r="P17" s="188"/>
      <c r="Q17" s="188"/>
      <c r="R17" s="185"/>
      <c r="S17" s="182"/>
      <c r="T17" s="632"/>
      <c r="U17" s="188"/>
      <c r="V17" s="188"/>
      <c r="W17" s="185"/>
      <c r="X17" s="182"/>
      <c r="Y17" s="632"/>
      <c r="Z17" s="188"/>
      <c r="AA17" s="188"/>
      <c r="AB17" s="185"/>
      <c r="AC17" s="182"/>
      <c r="AD17" s="632"/>
      <c r="AE17" s="188"/>
      <c r="AF17" s="188"/>
      <c r="AG17" s="185"/>
      <c r="AH17" s="182"/>
      <c r="AI17" s="632"/>
      <c r="AJ17" s="188"/>
      <c r="AK17" s="188"/>
      <c r="AL17" s="185"/>
      <c r="AM17" s="182"/>
      <c r="AN17" s="632"/>
      <c r="AO17" s="188"/>
      <c r="AP17" s="188"/>
      <c r="AQ17" s="185"/>
      <c r="AR17" s="182"/>
      <c r="AS17" s="632"/>
      <c r="AT17" s="188"/>
      <c r="AU17" s="188"/>
      <c r="AV17" s="185"/>
      <c r="AW17" s="182"/>
      <c r="AX17" s="632"/>
    </row>
    <row r="18" spans="2:50" ht="14.25" customHeight="1">
      <c r="B18" s="631"/>
      <c r="C18" s="180">
        <v>12</v>
      </c>
      <c r="D18" s="183"/>
      <c r="E18" s="180"/>
      <c r="F18" s="180"/>
      <c r="G18" s="185"/>
      <c r="H18" s="632"/>
      <c r="I18" s="186"/>
      <c r="J18" s="186"/>
      <c r="K18" s="187"/>
      <c r="L18" s="633"/>
      <c r="M18" s="186"/>
      <c r="N18" s="631"/>
      <c r="O18" s="631"/>
      <c r="P18" s="188"/>
      <c r="Q18" s="188"/>
      <c r="R18" s="185"/>
      <c r="S18" s="182"/>
      <c r="T18" s="632"/>
      <c r="U18" s="188"/>
      <c r="V18" s="188"/>
      <c r="W18" s="185"/>
      <c r="X18" s="182"/>
      <c r="Y18" s="632"/>
      <c r="Z18" s="188"/>
      <c r="AA18" s="188"/>
      <c r="AB18" s="185"/>
      <c r="AC18" s="182"/>
      <c r="AD18" s="632"/>
      <c r="AE18" s="188"/>
      <c r="AF18" s="188"/>
      <c r="AG18" s="185"/>
      <c r="AH18" s="182"/>
      <c r="AI18" s="632"/>
      <c r="AJ18" s="188"/>
      <c r="AK18" s="188"/>
      <c r="AL18" s="185"/>
      <c r="AM18" s="182"/>
      <c r="AN18" s="632"/>
      <c r="AO18" s="188"/>
      <c r="AP18" s="188"/>
      <c r="AQ18" s="185"/>
      <c r="AR18" s="182"/>
      <c r="AS18" s="632"/>
      <c r="AT18" s="188"/>
      <c r="AU18" s="188"/>
      <c r="AV18" s="185"/>
      <c r="AW18" s="182"/>
      <c r="AX18" s="632"/>
    </row>
    <row r="19" spans="2:50" ht="14.25" customHeight="1">
      <c r="B19" s="631"/>
      <c r="C19" s="180">
        <v>13</v>
      </c>
      <c r="D19" s="183"/>
      <c r="E19" s="180"/>
      <c r="F19" s="180"/>
      <c r="G19" s="185"/>
      <c r="H19" s="632"/>
      <c r="I19" s="186"/>
      <c r="J19" s="186"/>
      <c r="K19" s="187"/>
      <c r="L19" s="633"/>
      <c r="M19" s="186"/>
      <c r="N19" s="631"/>
      <c r="O19" s="631"/>
      <c r="P19" s="188"/>
      <c r="Q19" s="188"/>
      <c r="R19" s="185"/>
      <c r="S19" s="182"/>
      <c r="T19" s="632"/>
      <c r="U19" s="188"/>
      <c r="V19" s="188"/>
      <c r="W19" s="185"/>
      <c r="X19" s="182"/>
      <c r="Y19" s="632"/>
      <c r="Z19" s="188"/>
      <c r="AA19" s="188"/>
      <c r="AB19" s="185"/>
      <c r="AC19" s="182"/>
      <c r="AD19" s="632"/>
      <c r="AE19" s="188"/>
      <c r="AF19" s="188"/>
      <c r="AG19" s="185"/>
      <c r="AH19" s="182"/>
      <c r="AI19" s="632"/>
      <c r="AJ19" s="188"/>
      <c r="AK19" s="188"/>
      <c r="AL19" s="185"/>
      <c r="AM19" s="182"/>
      <c r="AN19" s="632"/>
      <c r="AO19" s="188"/>
      <c r="AP19" s="188"/>
      <c r="AQ19" s="185"/>
      <c r="AR19" s="182"/>
      <c r="AS19" s="632"/>
      <c r="AT19" s="188"/>
      <c r="AU19" s="188"/>
      <c r="AV19" s="185"/>
      <c r="AW19" s="182"/>
      <c r="AX19" s="632"/>
    </row>
    <row r="20" spans="2:50" ht="14.25" customHeight="1">
      <c r="B20" s="631"/>
      <c r="C20" s="180">
        <v>14</v>
      </c>
      <c r="D20" s="183"/>
      <c r="E20" s="180"/>
      <c r="F20" s="180"/>
      <c r="G20" s="185"/>
      <c r="H20" s="632"/>
      <c r="I20" s="186"/>
      <c r="J20" s="186"/>
      <c r="K20" s="187"/>
      <c r="L20" s="633"/>
      <c r="M20" s="186"/>
      <c r="N20" s="631"/>
      <c r="O20" s="631"/>
      <c r="P20" s="188"/>
      <c r="Q20" s="188"/>
      <c r="R20" s="185"/>
      <c r="S20" s="182"/>
      <c r="T20" s="632"/>
      <c r="U20" s="188"/>
      <c r="V20" s="188"/>
      <c r="W20" s="185"/>
      <c r="X20" s="182"/>
      <c r="Y20" s="632"/>
      <c r="Z20" s="188"/>
      <c r="AA20" s="188"/>
      <c r="AB20" s="185"/>
      <c r="AC20" s="182"/>
      <c r="AD20" s="632"/>
      <c r="AE20" s="188"/>
      <c r="AF20" s="188"/>
      <c r="AG20" s="185"/>
      <c r="AH20" s="182"/>
      <c r="AI20" s="632"/>
      <c r="AJ20" s="188"/>
      <c r="AK20" s="188"/>
      <c r="AL20" s="185"/>
      <c r="AM20" s="182"/>
      <c r="AN20" s="632"/>
      <c r="AO20" s="188"/>
      <c r="AP20" s="188"/>
      <c r="AQ20" s="185"/>
      <c r="AR20" s="182"/>
      <c r="AS20" s="632"/>
      <c r="AT20" s="188"/>
      <c r="AU20" s="188"/>
      <c r="AV20" s="185"/>
      <c r="AW20" s="182"/>
      <c r="AX20" s="632"/>
    </row>
    <row r="21" spans="2:50" ht="14.25" customHeight="1">
      <c r="B21" s="631"/>
      <c r="C21" s="180">
        <v>15</v>
      </c>
      <c r="D21" s="183"/>
      <c r="E21" s="180"/>
      <c r="F21" s="180"/>
      <c r="G21" s="185"/>
      <c r="H21" s="632"/>
      <c r="I21" s="186"/>
      <c r="J21" s="186"/>
      <c r="K21" s="187"/>
      <c r="L21" s="633"/>
      <c r="M21" s="186"/>
      <c r="N21" s="631"/>
      <c r="O21" s="631"/>
      <c r="P21" s="188"/>
      <c r="Q21" s="188"/>
      <c r="R21" s="185"/>
      <c r="S21" s="182"/>
      <c r="T21" s="632"/>
      <c r="U21" s="188"/>
      <c r="V21" s="188"/>
      <c r="W21" s="185"/>
      <c r="X21" s="182"/>
      <c r="Y21" s="632"/>
      <c r="Z21" s="188"/>
      <c r="AA21" s="188"/>
      <c r="AB21" s="185"/>
      <c r="AC21" s="182"/>
      <c r="AD21" s="632"/>
      <c r="AE21" s="188"/>
      <c r="AF21" s="188"/>
      <c r="AG21" s="185"/>
      <c r="AH21" s="182"/>
      <c r="AI21" s="632"/>
      <c r="AJ21" s="188"/>
      <c r="AK21" s="188"/>
      <c r="AL21" s="185"/>
      <c r="AM21" s="182"/>
      <c r="AN21" s="632"/>
      <c r="AO21" s="188"/>
      <c r="AP21" s="188"/>
      <c r="AQ21" s="185"/>
      <c r="AR21" s="182"/>
      <c r="AS21" s="632"/>
      <c r="AT21" s="188"/>
      <c r="AU21" s="188"/>
      <c r="AV21" s="185"/>
      <c r="AW21" s="182"/>
      <c r="AX21" s="632"/>
    </row>
    <row r="22" spans="2:50" ht="14.25" customHeight="1">
      <c r="B22" s="646" t="s">
        <v>695</v>
      </c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47"/>
      <c r="N22" s="664" t="s">
        <v>369</v>
      </c>
      <c r="O22" s="664" t="s">
        <v>105</v>
      </c>
      <c r="P22" s="666">
        <v>46147</v>
      </c>
      <c r="Q22" s="667"/>
      <c r="R22" s="667"/>
      <c r="S22" s="667"/>
      <c r="T22" s="667"/>
      <c r="U22" s="668">
        <v>46148</v>
      </c>
      <c r="V22" s="669"/>
      <c r="W22" s="669"/>
      <c r="X22" s="669"/>
      <c r="Y22" s="669"/>
      <c r="Z22" s="666">
        <v>46149</v>
      </c>
      <c r="AA22" s="667"/>
      <c r="AB22" s="667"/>
      <c r="AC22" s="667"/>
      <c r="AD22" s="667"/>
      <c r="AE22" s="668">
        <v>46150</v>
      </c>
      <c r="AF22" s="669"/>
      <c r="AG22" s="669"/>
      <c r="AH22" s="669"/>
      <c r="AI22" s="669"/>
      <c r="AJ22" s="656">
        <v>46151</v>
      </c>
      <c r="AK22" s="657"/>
      <c r="AL22" s="657"/>
      <c r="AM22" s="657"/>
      <c r="AN22" s="658"/>
      <c r="AO22" s="668">
        <v>46152</v>
      </c>
      <c r="AP22" s="669"/>
      <c r="AQ22" s="669"/>
      <c r="AR22" s="669"/>
      <c r="AS22" s="669"/>
      <c r="AT22" s="656">
        <v>46153</v>
      </c>
      <c r="AU22" s="657"/>
      <c r="AV22" s="657"/>
      <c r="AW22" s="657"/>
      <c r="AX22" s="658"/>
    </row>
    <row r="23" spans="2:50" ht="14.25" customHeight="1"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9"/>
      <c r="N23" s="665"/>
      <c r="O23" s="665"/>
      <c r="P23" s="659">
        <v>46147</v>
      </c>
      <c r="Q23" s="659"/>
      <c r="R23" s="659"/>
      <c r="S23" s="659"/>
      <c r="T23" s="659"/>
      <c r="U23" s="660">
        <v>46148</v>
      </c>
      <c r="V23" s="660"/>
      <c r="W23" s="660"/>
      <c r="X23" s="660"/>
      <c r="Y23" s="660"/>
      <c r="Z23" s="659">
        <v>46149</v>
      </c>
      <c r="AA23" s="659"/>
      <c r="AB23" s="659"/>
      <c r="AC23" s="659"/>
      <c r="AD23" s="659"/>
      <c r="AE23" s="660">
        <v>46150</v>
      </c>
      <c r="AF23" s="660"/>
      <c r="AG23" s="660"/>
      <c r="AH23" s="660"/>
      <c r="AI23" s="660"/>
      <c r="AJ23" s="661">
        <v>46151</v>
      </c>
      <c r="AK23" s="662"/>
      <c r="AL23" s="662"/>
      <c r="AM23" s="662"/>
      <c r="AN23" s="663"/>
      <c r="AO23" s="660">
        <v>46152</v>
      </c>
      <c r="AP23" s="660"/>
      <c r="AQ23" s="660"/>
      <c r="AR23" s="660"/>
      <c r="AS23" s="660"/>
      <c r="AT23" s="661">
        <v>46153</v>
      </c>
      <c r="AU23" s="662"/>
      <c r="AV23" s="662"/>
      <c r="AW23" s="662"/>
      <c r="AX23" s="663"/>
    </row>
    <row r="24" spans="2:50" ht="14.25" customHeight="1">
      <c r="B24" s="631" t="s">
        <v>162</v>
      </c>
      <c r="C24" s="631" t="s">
        <v>157</v>
      </c>
      <c r="D24" s="631"/>
      <c r="E24" s="631" t="s">
        <v>158</v>
      </c>
      <c r="F24" s="631"/>
      <c r="G24" s="631"/>
      <c r="H24" s="631" t="s">
        <v>163</v>
      </c>
      <c r="I24" s="635" t="s">
        <v>370</v>
      </c>
      <c r="J24" s="635"/>
      <c r="K24" s="635"/>
      <c r="L24" s="635" t="s">
        <v>163</v>
      </c>
      <c r="M24" s="635" t="s">
        <v>165</v>
      </c>
      <c r="N24" s="631"/>
      <c r="O24" s="631" t="s">
        <v>164</v>
      </c>
      <c r="P24" s="631" t="s">
        <v>160</v>
      </c>
      <c r="Q24" s="631"/>
      <c r="R24" s="631"/>
      <c r="S24" s="631"/>
      <c r="T24" s="631" t="s">
        <v>163</v>
      </c>
      <c r="U24" s="631" t="s">
        <v>160</v>
      </c>
      <c r="V24" s="631"/>
      <c r="W24" s="631"/>
      <c r="X24" s="631"/>
      <c r="Y24" s="631" t="s">
        <v>163</v>
      </c>
      <c r="Z24" s="631" t="s">
        <v>160</v>
      </c>
      <c r="AA24" s="631"/>
      <c r="AB24" s="631"/>
      <c r="AC24" s="631"/>
      <c r="AD24" s="631" t="s">
        <v>163</v>
      </c>
      <c r="AE24" s="631" t="s">
        <v>160</v>
      </c>
      <c r="AF24" s="631"/>
      <c r="AG24" s="631"/>
      <c r="AH24" s="631"/>
      <c r="AI24" s="631" t="s">
        <v>163</v>
      </c>
      <c r="AJ24" s="631" t="s">
        <v>160</v>
      </c>
      <c r="AK24" s="631"/>
      <c r="AL24" s="631"/>
      <c r="AM24" s="631"/>
      <c r="AN24" s="631" t="s">
        <v>163</v>
      </c>
      <c r="AO24" s="631" t="s">
        <v>160</v>
      </c>
      <c r="AP24" s="631"/>
      <c r="AQ24" s="631"/>
      <c r="AR24" s="631"/>
      <c r="AS24" s="631" t="s">
        <v>163</v>
      </c>
      <c r="AT24" s="631" t="s">
        <v>160</v>
      </c>
      <c r="AU24" s="631"/>
      <c r="AV24" s="631"/>
      <c r="AW24" s="631"/>
      <c r="AX24" s="631" t="s">
        <v>163</v>
      </c>
    </row>
    <row r="25" spans="2:50" ht="14.25" customHeight="1">
      <c r="B25" s="631"/>
      <c r="C25" s="631"/>
      <c r="D25" s="631"/>
      <c r="E25" s="631" t="s">
        <v>371</v>
      </c>
      <c r="F25" s="631"/>
      <c r="G25" s="631"/>
      <c r="H25" s="631"/>
      <c r="I25" s="635" t="s">
        <v>371</v>
      </c>
      <c r="J25" s="635"/>
      <c r="K25" s="635"/>
      <c r="L25" s="635"/>
      <c r="M25" s="635"/>
      <c r="N25" s="631"/>
      <c r="O25" s="631"/>
      <c r="P25" s="631" t="s">
        <v>372</v>
      </c>
      <c r="Q25" s="631"/>
      <c r="R25" s="631"/>
      <c r="S25" s="631"/>
      <c r="T25" s="631"/>
      <c r="U25" s="631" t="s">
        <v>372</v>
      </c>
      <c r="V25" s="631"/>
      <c r="W25" s="631"/>
      <c r="X25" s="631"/>
      <c r="Y25" s="631"/>
      <c r="Z25" s="631" t="s">
        <v>372</v>
      </c>
      <c r="AA25" s="631"/>
      <c r="AB25" s="631"/>
      <c r="AC25" s="631"/>
      <c r="AD25" s="631"/>
      <c r="AE25" s="631" t="s">
        <v>372</v>
      </c>
      <c r="AF25" s="631"/>
      <c r="AG25" s="631"/>
      <c r="AH25" s="631"/>
      <c r="AI25" s="631"/>
      <c r="AJ25" s="631" t="s">
        <v>372</v>
      </c>
      <c r="AK25" s="631"/>
      <c r="AL25" s="631"/>
      <c r="AM25" s="631"/>
      <c r="AN25" s="631"/>
      <c r="AO25" s="631" t="s">
        <v>372</v>
      </c>
      <c r="AP25" s="631"/>
      <c r="AQ25" s="631"/>
      <c r="AR25" s="631"/>
      <c r="AS25" s="631"/>
      <c r="AT25" s="631" t="s">
        <v>372</v>
      </c>
      <c r="AU25" s="631"/>
      <c r="AV25" s="631"/>
      <c r="AW25" s="631"/>
      <c r="AX25" s="631"/>
    </row>
    <row r="26" spans="2:50" ht="14.25" customHeight="1">
      <c r="B26" s="631"/>
      <c r="C26" s="631"/>
      <c r="D26" s="631"/>
      <c r="E26" s="180" t="s">
        <v>159</v>
      </c>
      <c r="F26" s="180" t="s">
        <v>373</v>
      </c>
      <c r="G26" s="180" t="s">
        <v>161</v>
      </c>
      <c r="H26" s="631"/>
      <c r="I26" s="181" t="s">
        <v>159</v>
      </c>
      <c r="J26" s="181" t="s">
        <v>373</v>
      </c>
      <c r="K26" s="181" t="s">
        <v>161</v>
      </c>
      <c r="L26" s="635"/>
      <c r="M26" s="635"/>
      <c r="N26" s="631"/>
      <c r="O26" s="631"/>
      <c r="P26" s="180" t="s">
        <v>159</v>
      </c>
      <c r="Q26" s="180" t="s">
        <v>373</v>
      </c>
      <c r="R26" s="180" t="s">
        <v>161</v>
      </c>
      <c r="S26" s="182" t="s">
        <v>165</v>
      </c>
      <c r="T26" s="631"/>
      <c r="U26" s="180" t="s">
        <v>159</v>
      </c>
      <c r="V26" s="180" t="s">
        <v>373</v>
      </c>
      <c r="W26" s="180" t="s">
        <v>161</v>
      </c>
      <c r="X26" s="182" t="s">
        <v>165</v>
      </c>
      <c r="Y26" s="631"/>
      <c r="Z26" s="180" t="s">
        <v>159</v>
      </c>
      <c r="AA26" s="180" t="s">
        <v>373</v>
      </c>
      <c r="AB26" s="180" t="s">
        <v>161</v>
      </c>
      <c r="AC26" s="182" t="s">
        <v>165</v>
      </c>
      <c r="AD26" s="631"/>
      <c r="AE26" s="180" t="s">
        <v>159</v>
      </c>
      <c r="AF26" s="180" t="s">
        <v>373</v>
      </c>
      <c r="AG26" s="180" t="s">
        <v>161</v>
      </c>
      <c r="AH26" s="182" t="s">
        <v>165</v>
      </c>
      <c r="AI26" s="631"/>
      <c r="AJ26" s="180" t="s">
        <v>159</v>
      </c>
      <c r="AK26" s="180" t="s">
        <v>373</v>
      </c>
      <c r="AL26" s="180" t="s">
        <v>161</v>
      </c>
      <c r="AM26" s="182" t="s">
        <v>165</v>
      </c>
      <c r="AN26" s="631"/>
      <c r="AO26" s="180" t="s">
        <v>159</v>
      </c>
      <c r="AP26" s="180" t="s">
        <v>373</v>
      </c>
      <c r="AQ26" s="180" t="s">
        <v>161</v>
      </c>
      <c r="AR26" s="182" t="s">
        <v>165</v>
      </c>
      <c r="AS26" s="631"/>
      <c r="AT26" s="180" t="s">
        <v>159</v>
      </c>
      <c r="AU26" s="180" t="s">
        <v>373</v>
      </c>
      <c r="AV26" s="180" t="s">
        <v>161</v>
      </c>
      <c r="AW26" s="182" t="s">
        <v>165</v>
      </c>
      <c r="AX26" s="631"/>
    </row>
    <row r="27" spans="2:50" ht="14.25" customHeight="1">
      <c r="B27" s="676" t="s">
        <v>432</v>
      </c>
      <c r="C27" s="180">
        <v>1</v>
      </c>
      <c r="D27" s="183" t="s">
        <v>349</v>
      </c>
      <c r="E27" s="180">
        <v>21</v>
      </c>
      <c r="F27" s="180">
        <v>2790</v>
      </c>
      <c r="G27" s="185">
        <f t="shared" ref="G27:G28" si="9">F27/E27</f>
        <v>132.85714285714286</v>
      </c>
      <c r="H27" s="632">
        <f>AVERAGE(G27:G41)</f>
        <v>366.42857142857144</v>
      </c>
      <c r="I27" s="186">
        <f>AVERAGE(P27,U27,Z27,AE27,AJ27,AO27,AT27)</f>
        <v>21</v>
      </c>
      <c r="J27" s="186">
        <f>AVERAGE(Q27,V27,AA27,AF27,AK27,AP27,AU27)</f>
        <v>2484.1730769230767</v>
      </c>
      <c r="K27" s="187">
        <f>AVERAGE(R27,W27,AB27,AG27,AL27,AQ27,AV27)</f>
        <v>118.29395604395602</v>
      </c>
      <c r="L27" s="633">
        <f>IFERROR(AVERAGE(K27:K41),"-")</f>
        <v>361.14748041183083</v>
      </c>
      <c r="M27" s="186">
        <f>RANK(K27, K$27:$K$41)</f>
        <v>2</v>
      </c>
      <c r="N27" s="631"/>
      <c r="O27" s="631"/>
      <c r="P27" s="188">
        <v>21</v>
      </c>
      <c r="Q27" s="188">
        <v>2484.1730769230767</v>
      </c>
      <c r="R27" s="185">
        <f>IFERROR(Q27/P27,"")</f>
        <v>118.29395604395603</v>
      </c>
      <c r="S27" s="182">
        <f>RANK(R27, R$27:R$41)</f>
        <v>2</v>
      </c>
      <c r="T27" s="632">
        <f>AVERAGE(R27:R41)</f>
        <v>330.32537760261516</v>
      </c>
      <c r="U27" s="188">
        <v>21</v>
      </c>
      <c r="V27" s="188">
        <v>2484.1730769230767</v>
      </c>
      <c r="W27" s="185">
        <f t="shared" ref="W27:W28" si="10">IFERROR(V27/U27,"")</f>
        <v>118.29395604395603</v>
      </c>
      <c r="X27" s="182">
        <f>RANK(W27, W$27:W$41)</f>
        <v>2</v>
      </c>
      <c r="Y27" s="632">
        <f>AVERAGE(W27:W41)</f>
        <v>330.20537760261516</v>
      </c>
      <c r="Z27" s="188">
        <v>21</v>
      </c>
      <c r="AA27" s="188">
        <v>2484.1730769230767</v>
      </c>
      <c r="AB27" s="185">
        <f t="shared" ref="AB27:AB28" si="11">IFERROR(AA27/Z27,"")</f>
        <v>118.29395604395603</v>
      </c>
      <c r="AC27" s="182">
        <f>RANK(AB27, AB$27:AB$41)</f>
        <v>2</v>
      </c>
      <c r="AD27" s="632">
        <f>AVERAGE(AB27:AB41)</f>
        <v>330.08537760261515</v>
      </c>
      <c r="AE27" s="188">
        <v>21</v>
      </c>
      <c r="AF27" s="188">
        <v>2484.1730769230767</v>
      </c>
      <c r="AG27" s="185">
        <f>IFERROR(AF27/AE27,"")</f>
        <v>118.29395604395603</v>
      </c>
      <c r="AH27" s="182">
        <f>RANK(AG27, AG$27:AG$41)</f>
        <v>2</v>
      </c>
      <c r="AI27" s="632">
        <f>AVERAGE(AG27:AG41)</f>
        <v>384.45305751874264</v>
      </c>
      <c r="AJ27" s="188">
        <v>21</v>
      </c>
      <c r="AK27" s="188">
        <v>2484.1730769230767</v>
      </c>
      <c r="AL27" s="185">
        <f t="shared" ref="AL27:AL28" si="12">IFERROR(AK27/AJ27,"")</f>
        <v>118.29395604395603</v>
      </c>
      <c r="AM27" s="182">
        <f>RANK(AL27, AL$27:AL$41)</f>
        <v>2</v>
      </c>
      <c r="AN27" s="632">
        <f>AVERAGE(AL27:AL41)</f>
        <v>384.38105751874264</v>
      </c>
      <c r="AO27" s="188">
        <v>21</v>
      </c>
      <c r="AP27" s="188">
        <v>2484.1730769230762</v>
      </c>
      <c r="AQ27" s="185">
        <f t="shared" ref="AQ27:AQ28" si="13">IFERROR(AP27/AO27,"")</f>
        <v>118.29395604395602</v>
      </c>
      <c r="AR27" s="182">
        <f>RANK(AQ27, AQ$27:AQ$41)</f>
        <v>2</v>
      </c>
      <c r="AS27" s="632">
        <f>AVERAGE(AQ27:AQ41)</f>
        <v>384.34505751874258</v>
      </c>
      <c r="AT27" s="188">
        <v>21</v>
      </c>
      <c r="AU27" s="188">
        <v>2484.1730769230767</v>
      </c>
      <c r="AV27" s="185">
        <f t="shared" ref="AV27:AV28" si="14">IFERROR(AU27/AT27,"")</f>
        <v>118.29395604395603</v>
      </c>
      <c r="AW27" s="182">
        <f>RANK(AV27, AV$27:AV$41)</f>
        <v>2</v>
      </c>
      <c r="AX27" s="632">
        <f>AVERAGE(AV27:AV41)</f>
        <v>384.23705751874263</v>
      </c>
    </row>
    <row r="28" spans="2:50" ht="14.25" customHeight="1">
      <c r="B28" s="631"/>
      <c r="C28" s="180">
        <v>2</v>
      </c>
      <c r="D28" s="183" t="s">
        <v>491</v>
      </c>
      <c r="E28" s="180">
        <v>6</v>
      </c>
      <c r="F28" s="180">
        <v>3600</v>
      </c>
      <c r="G28" s="185">
        <f t="shared" si="9"/>
        <v>600</v>
      </c>
      <c r="H28" s="632"/>
      <c r="I28" s="186">
        <f t="shared" ref="I28:K28" si="15">AVERAGE(P28,U28,Z28,AE28,AJ28,AO28,AT28)</f>
        <v>5.4285714285714288</v>
      </c>
      <c r="J28" s="186">
        <f t="shared" si="15"/>
        <v>3252.3407949676453</v>
      </c>
      <c r="K28" s="187">
        <f t="shared" si="15"/>
        <v>604.00100477970568</v>
      </c>
      <c r="L28" s="633"/>
      <c r="M28" s="186">
        <f>RANK(K28, K$27:$K$41)</f>
        <v>1</v>
      </c>
      <c r="N28" s="631"/>
      <c r="O28" s="631"/>
      <c r="P28" s="188">
        <v>6</v>
      </c>
      <c r="Q28" s="188">
        <v>3254.1407949676459</v>
      </c>
      <c r="R28" s="185">
        <f t="shared" ref="R28" si="16">IFERROR(Q28/P28,"")</f>
        <v>542.35679916127435</v>
      </c>
      <c r="S28" s="182">
        <f>RANK(R28, R$27:R$41)</f>
        <v>1</v>
      </c>
      <c r="T28" s="632"/>
      <c r="U28" s="188">
        <v>6</v>
      </c>
      <c r="V28" s="188">
        <v>3252.7007949676463</v>
      </c>
      <c r="W28" s="185">
        <f t="shared" si="10"/>
        <v>542.11679916127434</v>
      </c>
      <c r="X28" s="182">
        <f>RANK(W28, W$27:W$41)</f>
        <v>1</v>
      </c>
      <c r="Y28" s="632"/>
      <c r="Z28" s="188">
        <v>6</v>
      </c>
      <c r="AA28" s="188">
        <v>3251.2607949676458</v>
      </c>
      <c r="AB28" s="185">
        <f t="shared" si="11"/>
        <v>541.87679916127433</v>
      </c>
      <c r="AC28" s="182">
        <f>RANK(AB28, AB$27:AB$41)</f>
        <v>1</v>
      </c>
      <c r="AD28" s="632"/>
      <c r="AE28" s="188">
        <v>5</v>
      </c>
      <c r="AF28" s="188">
        <v>3253.060794967646</v>
      </c>
      <c r="AG28" s="185">
        <f t="shared" ref="AG28" si="17">IFERROR(AF28/AE28,"")</f>
        <v>650.61215899352919</v>
      </c>
      <c r="AH28" s="182">
        <f>RANK(AG28, AG$27:AG$41)</f>
        <v>1</v>
      </c>
      <c r="AI28" s="632"/>
      <c r="AJ28" s="188">
        <v>5</v>
      </c>
      <c r="AK28" s="188">
        <v>3252.3407949676457</v>
      </c>
      <c r="AL28" s="185">
        <f t="shared" si="12"/>
        <v>650.46815899352919</v>
      </c>
      <c r="AM28" s="182">
        <f>RANK(AL28, AL$27:AL$41)</f>
        <v>1</v>
      </c>
      <c r="AN28" s="632"/>
      <c r="AO28" s="188">
        <v>5</v>
      </c>
      <c r="AP28" s="188">
        <v>3251.980794967646</v>
      </c>
      <c r="AQ28" s="185">
        <f t="shared" si="13"/>
        <v>650.39615899352918</v>
      </c>
      <c r="AR28" s="182">
        <f>RANK(AQ28, AQ$27:AQ$41)</f>
        <v>1</v>
      </c>
      <c r="AS28" s="632"/>
      <c r="AT28" s="188">
        <v>5</v>
      </c>
      <c r="AU28" s="188">
        <v>3250.9007949676461</v>
      </c>
      <c r="AV28" s="185">
        <f t="shared" si="14"/>
        <v>650.18015899352918</v>
      </c>
      <c r="AW28" s="182">
        <f>RANK(AV28, AV$27:AV$41)</f>
        <v>1</v>
      </c>
      <c r="AX28" s="632"/>
    </row>
    <row r="29" spans="2:50" ht="14.25" customHeight="1">
      <c r="B29" s="631"/>
      <c r="C29" s="180">
        <v>3</v>
      </c>
      <c r="D29" s="183"/>
      <c r="E29" s="180"/>
      <c r="F29" s="180"/>
      <c r="G29" s="185"/>
      <c r="H29" s="632"/>
      <c r="I29" s="186"/>
      <c r="J29" s="186"/>
      <c r="K29" s="187"/>
      <c r="L29" s="633"/>
      <c r="M29" s="186"/>
      <c r="N29" s="631"/>
      <c r="O29" s="631"/>
      <c r="P29" s="188"/>
      <c r="Q29" s="188"/>
      <c r="R29" s="185"/>
      <c r="S29" s="182"/>
      <c r="T29" s="632"/>
      <c r="U29" s="188"/>
      <c r="V29" s="188"/>
      <c r="W29" s="185"/>
      <c r="X29" s="182"/>
      <c r="Y29" s="632"/>
      <c r="Z29" s="188"/>
      <c r="AA29" s="188"/>
      <c r="AB29" s="185"/>
      <c r="AC29" s="182"/>
      <c r="AD29" s="632"/>
      <c r="AE29" s="188"/>
      <c r="AF29" s="188"/>
      <c r="AG29" s="185"/>
      <c r="AH29" s="182"/>
      <c r="AI29" s="632"/>
      <c r="AJ29" s="188"/>
      <c r="AK29" s="188"/>
      <c r="AL29" s="185"/>
      <c r="AM29" s="182"/>
      <c r="AN29" s="632"/>
      <c r="AO29" s="188"/>
      <c r="AP29" s="188"/>
      <c r="AQ29" s="185"/>
      <c r="AR29" s="182"/>
      <c r="AS29" s="632"/>
      <c r="AT29" s="188"/>
      <c r="AU29" s="188"/>
      <c r="AV29" s="185"/>
      <c r="AW29" s="182"/>
      <c r="AX29" s="632"/>
    </row>
    <row r="30" spans="2:50" ht="14.25" customHeight="1">
      <c r="B30" s="631"/>
      <c r="C30" s="180">
        <v>4</v>
      </c>
      <c r="D30" s="183"/>
      <c r="E30" s="180"/>
      <c r="F30" s="180"/>
      <c r="G30" s="185"/>
      <c r="H30" s="632"/>
      <c r="I30" s="186"/>
      <c r="J30" s="186"/>
      <c r="K30" s="187"/>
      <c r="L30" s="633"/>
      <c r="M30" s="186"/>
      <c r="N30" s="631"/>
      <c r="O30" s="631"/>
      <c r="P30" s="188"/>
      <c r="Q30" s="188"/>
      <c r="R30" s="185"/>
      <c r="S30" s="182"/>
      <c r="T30" s="632"/>
      <c r="U30" s="188"/>
      <c r="V30" s="188"/>
      <c r="W30" s="185"/>
      <c r="X30" s="182"/>
      <c r="Y30" s="632"/>
      <c r="Z30" s="188"/>
      <c r="AA30" s="188"/>
      <c r="AB30" s="185"/>
      <c r="AC30" s="182"/>
      <c r="AD30" s="632"/>
      <c r="AE30" s="188"/>
      <c r="AF30" s="188"/>
      <c r="AG30" s="185"/>
      <c r="AH30" s="182"/>
      <c r="AI30" s="632"/>
      <c r="AJ30" s="188"/>
      <c r="AK30" s="188"/>
      <c r="AL30" s="185"/>
      <c r="AM30" s="182"/>
      <c r="AN30" s="632"/>
      <c r="AO30" s="188"/>
      <c r="AP30" s="188"/>
      <c r="AQ30" s="185"/>
      <c r="AR30" s="182"/>
      <c r="AS30" s="632"/>
      <c r="AT30" s="188"/>
      <c r="AU30" s="188"/>
      <c r="AV30" s="185"/>
      <c r="AW30" s="182"/>
      <c r="AX30" s="632"/>
    </row>
    <row r="31" spans="2:50" ht="14.25" customHeight="1">
      <c r="B31" s="631"/>
      <c r="C31" s="180">
        <v>5</v>
      </c>
      <c r="D31" s="183"/>
      <c r="E31" s="180"/>
      <c r="F31" s="180"/>
      <c r="G31" s="185"/>
      <c r="H31" s="632"/>
      <c r="I31" s="186"/>
      <c r="J31" s="186"/>
      <c r="K31" s="187"/>
      <c r="L31" s="633"/>
      <c r="M31" s="186"/>
      <c r="N31" s="631"/>
      <c r="O31" s="631"/>
      <c r="P31" s="188"/>
      <c r="Q31" s="188"/>
      <c r="R31" s="185"/>
      <c r="S31" s="182"/>
      <c r="T31" s="632"/>
      <c r="U31" s="188"/>
      <c r="V31" s="188"/>
      <c r="W31" s="185"/>
      <c r="X31" s="182"/>
      <c r="Y31" s="632"/>
      <c r="Z31" s="188"/>
      <c r="AA31" s="188"/>
      <c r="AB31" s="185"/>
      <c r="AC31" s="182"/>
      <c r="AD31" s="632"/>
      <c r="AE31" s="188"/>
      <c r="AF31" s="188"/>
      <c r="AG31" s="185"/>
      <c r="AH31" s="182"/>
      <c r="AI31" s="632"/>
      <c r="AJ31" s="188"/>
      <c r="AK31" s="188"/>
      <c r="AL31" s="185"/>
      <c r="AM31" s="182"/>
      <c r="AN31" s="632"/>
      <c r="AO31" s="188"/>
      <c r="AP31" s="188"/>
      <c r="AQ31" s="185"/>
      <c r="AR31" s="182"/>
      <c r="AS31" s="632"/>
      <c r="AT31" s="188"/>
      <c r="AU31" s="188"/>
      <c r="AV31" s="185"/>
      <c r="AW31" s="182"/>
      <c r="AX31" s="632"/>
    </row>
    <row r="32" spans="2:50" ht="14.25" customHeight="1">
      <c r="B32" s="631"/>
      <c r="C32" s="180">
        <v>6</v>
      </c>
      <c r="D32" s="183"/>
      <c r="E32" s="180"/>
      <c r="F32" s="180"/>
      <c r="G32" s="185"/>
      <c r="H32" s="632"/>
      <c r="I32" s="186"/>
      <c r="J32" s="186"/>
      <c r="K32" s="187"/>
      <c r="L32" s="633"/>
      <c r="M32" s="186"/>
      <c r="N32" s="631"/>
      <c r="O32" s="631"/>
      <c r="P32" s="188"/>
      <c r="Q32" s="188"/>
      <c r="R32" s="185"/>
      <c r="S32" s="182"/>
      <c r="T32" s="632"/>
      <c r="U32" s="188"/>
      <c r="V32" s="188"/>
      <c r="W32" s="185"/>
      <c r="X32" s="182"/>
      <c r="Y32" s="632"/>
      <c r="Z32" s="188"/>
      <c r="AA32" s="188"/>
      <c r="AB32" s="185"/>
      <c r="AC32" s="182"/>
      <c r="AD32" s="632"/>
      <c r="AE32" s="188"/>
      <c r="AF32" s="188"/>
      <c r="AG32" s="185"/>
      <c r="AH32" s="182"/>
      <c r="AI32" s="632"/>
      <c r="AJ32" s="188"/>
      <c r="AK32" s="188"/>
      <c r="AL32" s="185"/>
      <c r="AM32" s="182"/>
      <c r="AN32" s="632"/>
      <c r="AO32" s="188"/>
      <c r="AP32" s="188"/>
      <c r="AQ32" s="185"/>
      <c r="AR32" s="182"/>
      <c r="AS32" s="632"/>
      <c r="AT32" s="188"/>
      <c r="AU32" s="188"/>
      <c r="AV32" s="185"/>
      <c r="AW32" s="182"/>
      <c r="AX32" s="632"/>
    </row>
    <row r="33" spans="2:50" ht="14.25" customHeight="1">
      <c r="B33" s="631"/>
      <c r="C33" s="180">
        <v>7</v>
      </c>
      <c r="D33" s="183"/>
      <c r="E33" s="180"/>
      <c r="F33" s="180"/>
      <c r="G33" s="185"/>
      <c r="H33" s="632"/>
      <c r="I33" s="186"/>
      <c r="J33" s="186"/>
      <c r="K33" s="187"/>
      <c r="L33" s="633"/>
      <c r="M33" s="186"/>
      <c r="N33" s="631"/>
      <c r="O33" s="631"/>
      <c r="P33" s="188"/>
      <c r="Q33" s="188"/>
      <c r="R33" s="185"/>
      <c r="S33" s="182"/>
      <c r="T33" s="632"/>
      <c r="U33" s="188"/>
      <c r="V33" s="188"/>
      <c r="W33" s="185"/>
      <c r="X33" s="182"/>
      <c r="Y33" s="632"/>
      <c r="Z33" s="188"/>
      <c r="AA33" s="188"/>
      <c r="AB33" s="185"/>
      <c r="AC33" s="182"/>
      <c r="AD33" s="632"/>
      <c r="AE33" s="188"/>
      <c r="AF33" s="188"/>
      <c r="AG33" s="185"/>
      <c r="AH33" s="182"/>
      <c r="AI33" s="632"/>
      <c r="AJ33" s="188"/>
      <c r="AK33" s="188"/>
      <c r="AL33" s="185"/>
      <c r="AM33" s="182"/>
      <c r="AN33" s="632"/>
      <c r="AO33" s="188"/>
      <c r="AP33" s="188"/>
      <c r="AQ33" s="185"/>
      <c r="AR33" s="182"/>
      <c r="AS33" s="632"/>
      <c r="AT33" s="188"/>
      <c r="AU33" s="188"/>
      <c r="AV33" s="185"/>
      <c r="AW33" s="182"/>
      <c r="AX33" s="632"/>
    </row>
    <row r="34" spans="2:50" ht="14.25" customHeight="1">
      <c r="B34" s="631"/>
      <c r="C34" s="180">
        <v>8</v>
      </c>
      <c r="D34" s="183"/>
      <c r="E34" s="180"/>
      <c r="F34" s="180"/>
      <c r="G34" s="185"/>
      <c r="H34" s="632"/>
      <c r="I34" s="186"/>
      <c r="J34" s="186"/>
      <c r="K34" s="187"/>
      <c r="L34" s="633"/>
      <c r="M34" s="186"/>
      <c r="N34" s="631"/>
      <c r="O34" s="631"/>
      <c r="P34" s="188"/>
      <c r="Q34" s="188"/>
      <c r="R34" s="185"/>
      <c r="S34" s="182"/>
      <c r="T34" s="632"/>
      <c r="U34" s="188"/>
      <c r="V34" s="188"/>
      <c r="W34" s="185"/>
      <c r="X34" s="182"/>
      <c r="Y34" s="632"/>
      <c r="Z34" s="188"/>
      <c r="AA34" s="188"/>
      <c r="AB34" s="185"/>
      <c r="AC34" s="182"/>
      <c r="AD34" s="632"/>
      <c r="AE34" s="188"/>
      <c r="AF34" s="188"/>
      <c r="AG34" s="185"/>
      <c r="AH34" s="182"/>
      <c r="AI34" s="632"/>
      <c r="AJ34" s="188"/>
      <c r="AK34" s="188"/>
      <c r="AL34" s="185"/>
      <c r="AM34" s="182"/>
      <c r="AN34" s="632"/>
      <c r="AO34" s="188"/>
      <c r="AP34" s="188"/>
      <c r="AQ34" s="185"/>
      <c r="AR34" s="182"/>
      <c r="AS34" s="632"/>
      <c r="AT34" s="188"/>
      <c r="AU34" s="188"/>
      <c r="AV34" s="185"/>
      <c r="AW34" s="182"/>
      <c r="AX34" s="632"/>
    </row>
    <row r="35" spans="2:50" ht="14.25" customHeight="1">
      <c r="B35" s="631"/>
      <c r="C35" s="180">
        <v>9</v>
      </c>
      <c r="D35" s="183"/>
      <c r="E35" s="180"/>
      <c r="F35" s="180"/>
      <c r="G35" s="185"/>
      <c r="H35" s="632"/>
      <c r="I35" s="186"/>
      <c r="J35" s="186"/>
      <c r="K35" s="187"/>
      <c r="L35" s="633"/>
      <c r="M35" s="186"/>
      <c r="N35" s="631"/>
      <c r="O35" s="631"/>
      <c r="P35" s="188"/>
      <c r="Q35" s="188"/>
      <c r="R35" s="185"/>
      <c r="S35" s="182"/>
      <c r="T35" s="632"/>
      <c r="U35" s="188"/>
      <c r="V35" s="188"/>
      <c r="W35" s="185"/>
      <c r="X35" s="182"/>
      <c r="Y35" s="632"/>
      <c r="Z35" s="188"/>
      <c r="AA35" s="188"/>
      <c r="AB35" s="185"/>
      <c r="AC35" s="182"/>
      <c r="AD35" s="632"/>
      <c r="AE35" s="188"/>
      <c r="AF35" s="188"/>
      <c r="AG35" s="185"/>
      <c r="AH35" s="182"/>
      <c r="AI35" s="632"/>
      <c r="AJ35" s="188"/>
      <c r="AK35" s="188"/>
      <c r="AL35" s="185"/>
      <c r="AM35" s="182"/>
      <c r="AN35" s="632"/>
      <c r="AO35" s="188"/>
      <c r="AP35" s="188"/>
      <c r="AQ35" s="185"/>
      <c r="AR35" s="182"/>
      <c r="AS35" s="632"/>
      <c r="AT35" s="188"/>
      <c r="AU35" s="188"/>
      <c r="AV35" s="185"/>
      <c r="AW35" s="182"/>
      <c r="AX35" s="632"/>
    </row>
    <row r="36" spans="2:50" ht="14.25" customHeight="1">
      <c r="B36" s="631"/>
      <c r="C36" s="180">
        <v>10</v>
      </c>
      <c r="D36" s="183"/>
      <c r="E36" s="180"/>
      <c r="F36" s="180"/>
      <c r="G36" s="185"/>
      <c r="H36" s="632"/>
      <c r="I36" s="186"/>
      <c r="J36" s="186"/>
      <c r="K36" s="187"/>
      <c r="L36" s="633"/>
      <c r="M36" s="186"/>
      <c r="N36" s="631"/>
      <c r="O36" s="631"/>
      <c r="P36" s="188"/>
      <c r="Q36" s="188"/>
      <c r="R36" s="185"/>
      <c r="S36" s="182"/>
      <c r="T36" s="632"/>
      <c r="U36" s="188"/>
      <c r="V36" s="188"/>
      <c r="W36" s="185"/>
      <c r="X36" s="182"/>
      <c r="Y36" s="632"/>
      <c r="Z36" s="188"/>
      <c r="AA36" s="188"/>
      <c r="AB36" s="185"/>
      <c r="AC36" s="182"/>
      <c r="AD36" s="632"/>
      <c r="AE36" s="188"/>
      <c r="AF36" s="188"/>
      <c r="AG36" s="185"/>
      <c r="AH36" s="182"/>
      <c r="AI36" s="632"/>
      <c r="AJ36" s="188"/>
      <c r="AK36" s="188"/>
      <c r="AL36" s="185"/>
      <c r="AM36" s="182"/>
      <c r="AN36" s="632"/>
      <c r="AO36" s="188"/>
      <c r="AP36" s="188"/>
      <c r="AQ36" s="185"/>
      <c r="AR36" s="182"/>
      <c r="AS36" s="632"/>
      <c r="AT36" s="188"/>
      <c r="AU36" s="188"/>
      <c r="AV36" s="185"/>
      <c r="AW36" s="182"/>
      <c r="AX36" s="632"/>
    </row>
    <row r="37" spans="2:50" ht="14.25" customHeight="1">
      <c r="B37" s="631"/>
      <c r="C37" s="180">
        <v>11</v>
      </c>
      <c r="D37" s="183"/>
      <c r="E37" s="180"/>
      <c r="F37" s="180"/>
      <c r="G37" s="185"/>
      <c r="H37" s="632"/>
      <c r="I37" s="186"/>
      <c r="J37" s="186"/>
      <c r="K37" s="187"/>
      <c r="L37" s="633"/>
      <c r="M37" s="186"/>
      <c r="N37" s="631"/>
      <c r="O37" s="631"/>
      <c r="P37" s="188"/>
      <c r="Q37" s="188"/>
      <c r="R37" s="185"/>
      <c r="S37" s="182"/>
      <c r="T37" s="632"/>
      <c r="U37" s="188"/>
      <c r="V37" s="188"/>
      <c r="W37" s="185"/>
      <c r="X37" s="182"/>
      <c r="Y37" s="632"/>
      <c r="Z37" s="188"/>
      <c r="AA37" s="188"/>
      <c r="AB37" s="185"/>
      <c r="AC37" s="182"/>
      <c r="AD37" s="632"/>
      <c r="AE37" s="188"/>
      <c r="AF37" s="188"/>
      <c r="AG37" s="185"/>
      <c r="AH37" s="182"/>
      <c r="AI37" s="632"/>
      <c r="AJ37" s="188"/>
      <c r="AK37" s="188"/>
      <c r="AL37" s="185"/>
      <c r="AM37" s="182"/>
      <c r="AN37" s="632"/>
      <c r="AO37" s="188"/>
      <c r="AP37" s="188"/>
      <c r="AQ37" s="185"/>
      <c r="AR37" s="182"/>
      <c r="AS37" s="632"/>
      <c r="AT37" s="188"/>
      <c r="AU37" s="188"/>
      <c r="AV37" s="185"/>
      <c r="AW37" s="182"/>
      <c r="AX37" s="632"/>
    </row>
    <row r="38" spans="2:50" ht="14.25" customHeight="1">
      <c r="B38" s="631"/>
      <c r="C38" s="180">
        <v>12</v>
      </c>
      <c r="D38" s="183"/>
      <c r="E38" s="180"/>
      <c r="F38" s="180"/>
      <c r="G38" s="185"/>
      <c r="H38" s="632"/>
      <c r="I38" s="186"/>
      <c r="J38" s="186"/>
      <c r="K38" s="187"/>
      <c r="L38" s="633"/>
      <c r="M38" s="186"/>
      <c r="N38" s="631"/>
      <c r="O38" s="631"/>
      <c r="P38" s="188"/>
      <c r="Q38" s="188"/>
      <c r="R38" s="185"/>
      <c r="S38" s="182"/>
      <c r="T38" s="632"/>
      <c r="U38" s="188"/>
      <c r="V38" s="188"/>
      <c r="W38" s="185"/>
      <c r="X38" s="182"/>
      <c r="Y38" s="632"/>
      <c r="Z38" s="188"/>
      <c r="AA38" s="188"/>
      <c r="AB38" s="185"/>
      <c r="AC38" s="182"/>
      <c r="AD38" s="632"/>
      <c r="AE38" s="188"/>
      <c r="AF38" s="188"/>
      <c r="AG38" s="185"/>
      <c r="AH38" s="182"/>
      <c r="AI38" s="632"/>
      <c r="AJ38" s="188"/>
      <c r="AK38" s="188"/>
      <c r="AL38" s="185"/>
      <c r="AM38" s="182"/>
      <c r="AN38" s="632"/>
      <c r="AO38" s="188"/>
      <c r="AP38" s="188"/>
      <c r="AQ38" s="185"/>
      <c r="AR38" s="182"/>
      <c r="AS38" s="632"/>
      <c r="AT38" s="188"/>
      <c r="AU38" s="188"/>
      <c r="AV38" s="185"/>
      <c r="AW38" s="182"/>
      <c r="AX38" s="632"/>
    </row>
    <row r="39" spans="2:50" ht="14.25" customHeight="1">
      <c r="B39" s="631"/>
      <c r="C39" s="180">
        <v>13</v>
      </c>
      <c r="D39" s="183"/>
      <c r="E39" s="180"/>
      <c r="F39" s="180"/>
      <c r="G39" s="185"/>
      <c r="H39" s="632"/>
      <c r="I39" s="186"/>
      <c r="J39" s="186"/>
      <c r="K39" s="187"/>
      <c r="L39" s="633"/>
      <c r="M39" s="186"/>
      <c r="N39" s="631"/>
      <c r="O39" s="631"/>
      <c r="P39" s="188"/>
      <c r="Q39" s="188"/>
      <c r="R39" s="185"/>
      <c r="S39" s="182"/>
      <c r="T39" s="632"/>
      <c r="U39" s="188"/>
      <c r="V39" s="188"/>
      <c r="W39" s="185"/>
      <c r="X39" s="182"/>
      <c r="Y39" s="632"/>
      <c r="Z39" s="188"/>
      <c r="AA39" s="188"/>
      <c r="AB39" s="185"/>
      <c r="AC39" s="182"/>
      <c r="AD39" s="632"/>
      <c r="AE39" s="188"/>
      <c r="AF39" s="188"/>
      <c r="AG39" s="185"/>
      <c r="AH39" s="182"/>
      <c r="AI39" s="632"/>
      <c r="AJ39" s="188"/>
      <c r="AK39" s="188"/>
      <c r="AL39" s="185"/>
      <c r="AM39" s="182"/>
      <c r="AN39" s="632"/>
      <c r="AO39" s="188"/>
      <c r="AP39" s="188"/>
      <c r="AQ39" s="185"/>
      <c r="AR39" s="182"/>
      <c r="AS39" s="632"/>
      <c r="AT39" s="188"/>
      <c r="AU39" s="188"/>
      <c r="AV39" s="185"/>
      <c r="AW39" s="182"/>
      <c r="AX39" s="632"/>
    </row>
    <row r="40" spans="2:50" ht="14.25" customHeight="1">
      <c r="B40" s="631"/>
      <c r="C40" s="180">
        <v>14</v>
      </c>
      <c r="D40" s="183"/>
      <c r="E40" s="180"/>
      <c r="F40" s="180"/>
      <c r="G40" s="185"/>
      <c r="H40" s="632"/>
      <c r="I40" s="186"/>
      <c r="J40" s="186"/>
      <c r="K40" s="187"/>
      <c r="L40" s="633"/>
      <c r="M40" s="186"/>
      <c r="N40" s="631"/>
      <c r="O40" s="631"/>
      <c r="P40" s="188"/>
      <c r="Q40" s="188"/>
      <c r="R40" s="185"/>
      <c r="S40" s="182"/>
      <c r="T40" s="632"/>
      <c r="U40" s="188"/>
      <c r="V40" s="188"/>
      <c r="W40" s="185"/>
      <c r="X40" s="182"/>
      <c r="Y40" s="632"/>
      <c r="Z40" s="188"/>
      <c r="AA40" s="188"/>
      <c r="AB40" s="185"/>
      <c r="AC40" s="182"/>
      <c r="AD40" s="632"/>
      <c r="AE40" s="188"/>
      <c r="AF40" s="188"/>
      <c r="AG40" s="185"/>
      <c r="AH40" s="182"/>
      <c r="AI40" s="632"/>
      <c r="AJ40" s="188"/>
      <c r="AK40" s="188"/>
      <c r="AL40" s="185"/>
      <c r="AM40" s="182"/>
      <c r="AN40" s="632"/>
      <c r="AO40" s="188"/>
      <c r="AP40" s="188"/>
      <c r="AQ40" s="185"/>
      <c r="AR40" s="182"/>
      <c r="AS40" s="632"/>
      <c r="AT40" s="188"/>
      <c r="AU40" s="188"/>
      <c r="AV40" s="185"/>
      <c r="AW40" s="182"/>
      <c r="AX40" s="632"/>
    </row>
    <row r="41" spans="2:50" ht="14.25" customHeight="1">
      <c r="B41" s="631"/>
      <c r="C41" s="180">
        <v>15</v>
      </c>
      <c r="D41" s="183"/>
      <c r="E41" s="180"/>
      <c r="F41" s="180"/>
      <c r="G41" s="185"/>
      <c r="H41" s="632"/>
      <c r="I41" s="186"/>
      <c r="J41" s="186"/>
      <c r="K41" s="187"/>
      <c r="L41" s="633"/>
      <c r="M41" s="186"/>
      <c r="N41" s="631"/>
      <c r="O41" s="631"/>
      <c r="P41" s="188"/>
      <c r="Q41" s="188"/>
      <c r="R41" s="185"/>
      <c r="S41" s="182"/>
      <c r="T41" s="632"/>
      <c r="U41" s="188"/>
      <c r="V41" s="188"/>
      <c r="W41" s="185"/>
      <c r="X41" s="182"/>
      <c r="Y41" s="632"/>
      <c r="Z41" s="188"/>
      <c r="AA41" s="188"/>
      <c r="AB41" s="185"/>
      <c r="AC41" s="182"/>
      <c r="AD41" s="632"/>
      <c r="AE41" s="188"/>
      <c r="AF41" s="188"/>
      <c r="AG41" s="185"/>
      <c r="AH41" s="182"/>
      <c r="AI41" s="632"/>
      <c r="AJ41" s="188"/>
      <c r="AK41" s="188"/>
      <c r="AL41" s="185"/>
      <c r="AM41" s="182"/>
      <c r="AN41" s="632"/>
      <c r="AO41" s="188"/>
      <c r="AP41" s="188"/>
      <c r="AQ41" s="185"/>
      <c r="AR41" s="182"/>
      <c r="AS41" s="632"/>
      <c r="AT41" s="188"/>
      <c r="AU41" s="188"/>
      <c r="AV41" s="185"/>
      <c r="AW41" s="182"/>
      <c r="AX41" s="632"/>
    </row>
    <row r="42" spans="2:50" ht="14.25" customHeight="1">
      <c r="B42" s="645" t="s">
        <v>743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7"/>
      <c r="N42" s="664" t="s">
        <v>369</v>
      </c>
      <c r="O42" s="664" t="s">
        <v>105</v>
      </c>
      <c r="P42" s="666">
        <v>46154</v>
      </c>
      <c r="Q42" s="667"/>
      <c r="R42" s="667"/>
      <c r="S42" s="667"/>
      <c r="T42" s="667"/>
      <c r="U42" s="668">
        <v>46155</v>
      </c>
      <c r="V42" s="669"/>
      <c r="W42" s="669"/>
      <c r="X42" s="669"/>
      <c r="Y42" s="669"/>
      <c r="Z42" s="666">
        <v>46156</v>
      </c>
      <c r="AA42" s="667"/>
      <c r="AB42" s="667"/>
      <c r="AC42" s="667"/>
      <c r="AD42" s="667"/>
      <c r="AE42" s="668">
        <v>46157</v>
      </c>
      <c r="AF42" s="669"/>
      <c r="AG42" s="669"/>
      <c r="AH42" s="669"/>
      <c r="AI42" s="669"/>
      <c r="AJ42" s="656">
        <v>46158</v>
      </c>
      <c r="AK42" s="657"/>
      <c r="AL42" s="657"/>
      <c r="AM42" s="657"/>
      <c r="AN42" s="658"/>
      <c r="AO42" s="668">
        <v>46159</v>
      </c>
      <c r="AP42" s="669"/>
      <c r="AQ42" s="669"/>
      <c r="AR42" s="669"/>
      <c r="AS42" s="669"/>
      <c r="AT42" s="656">
        <v>46160</v>
      </c>
      <c r="AU42" s="657"/>
      <c r="AV42" s="657"/>
      <c r="AW42" s="657"/>
      <c r="AX42" s="658"/>
    </row>
    <row r="43" spans="2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65"/>
      <c r="O43" s="665"/>
      <c r="P43" s="659">
        <v>46154</v>
      </c>
      <c r="Q43" s="659"/>
      <c r="R43" s="659"/>
      <c r="S43" s="659"/>
      <c r="T43" s="659"/>
      <c r="U43" s="660">
        <v>46155</v>
      </c>
      <c r="V43" s="660"/>
      <c r="W43" s="660"/>
      <c r="X43" s="660"/>
      <c r="Y43" s="660"/>
      <c r="Z43" s="659">
        <v>46156</v>
      </c>
      <c r="AA43" s="659"/>
      <c r="AB43" s="659"/>
      <c r="AC43" s="659"/>
      <c r="AD43" s="659"/>
      <c r="AE43" s="660">
        <v>46157</v>
      </c>
      <c r="AF43" s="660"/>
      <c r="AG43" s="660"/>
      <c r="AH43" s="660"/>
      <c r="AI43" s="660"/>
      <c r="AJ43" s="661">
        <v>46158</v>
      </c>
      <c r="AK43" s="662"/>
      <c r="AL43" s="662"/>
      <c r="AM43" s="662"/>
      <c r="AN43" s="663"/>
      <c r="AO43" s="660">
        <v>46159</v>
      </c>
      <c r="AP43" s="660"/>
      <c r="AQ43" s="660"/>
      <c r="AR43" s="660"/>
      <c r="AS43" s="660"/>
      <c r="AT43" s="661">
        <v>46160</v>
      </c>
      <c r="AU43" s="662"/>
      <c r="AV43" s="662"/>
      <c r="AW43" s="662"/>
      <c r="AX43" s="663"/>
    </row>
    <row r="44" spans="2:50" ht="14.25" customHeight="1">
      <c r="B44" s="631" t="s">
        <v>162</v>
      </c>
      <c r="C44" s="631" t="s">
        <v>157</v>
      </c>
      <c r="D44" s="631"/>
      <c r="E44" s="631" t="s">
        <v>158</v>
      </c>
      <c r="F44" s="631"/>
      <c r="G44" s="631"/>
      <c r="H44" s="631" t="s">
        <v>163</v>
      </c>
      <c r="I44" s="635" t="s">
        <v>370</v>
      </c>
      <c r="J44" s="635"/>
      <c r="K44" s="635"/>
      <c r="L44" s="635" t="s">
        <v>163</v>
      </c>
      <c r="M44" s="635" t="s">
        <v>165</v>
      </c>
      <c r="N44" s="631"/>
      <c r="O44" s="631" t="s">
        <v>164</v>
      </c>
      <c r="P44" s="631" t="s">
        <v>160</v>
      </c>
      <c r="Q44" s="631"/>
      <c r="R44" s="631"/>
      <c r="S44" s="631"/>
      <c r="T44" s="631" t="s">
        <v>163</v>
      </c>
      <c r="U44" s="631" t="s">
        <v>160</v>
      </c>
      <c r="V44" s="631"/>
      <c r="W44" s="631"/>
      <c r="X44" s="631"/>
      <c r="Y44" s="631" t="s">
        <v>163</v>
      </c>
      <c r="Z44" s="631" t="s">
        <v>160</v>
      </c>
      <c r="AA44" s="631"/>
      <c r="AB44" s="631"/>
      <c r="AC44" s="631"/>
      <c r="AD44" s="631" t="s">
        <v>163</v>
      </c>
      <c r="AE44" s="631" t="s">
        <v>160</v>
      </c>
      <c r="AF44" s="631"/>
      <c r="AG44" s="631"/>
      <c r="AH44" s="631"/>
      <c r="AI44" s="631" t="s">
        <v>163</v>
      </c>
      <c r="AJ44" s="631" t="s">
        <v>160</v>
      </c>
      <c r="AK44" s="631"/>
      <c r="AL44" s="631"/>
      <c r="AM44" s="631"/>
      <c r="AN44" s="631" t="s">
        <v>163</v>
      </c>
      <c r="AO44" s="631" t="s">
        <v>160</v>
      </c>
      <c r="AP44" s="631"/>
      <c r="AQ44" s="631"/>
      <c r="AR44" s="631"/>
      <c r="AS44" s="631" t="s">
        <v>163</v>
      </c>
      <c r="AT44" s="631" t="s">
        <v>160</v>
      </c>
      <c r="AU44" s="631"/>
      <c r="AV44" s="631"/>
      <c r="AW44" s="631"/>
      <c r="AX44" s="631" t="s">
        <v>163</v>
      </c>
    </row>
    <row r="45" spans="2:50" ht="14.25" customHeight="1">
      <c r="B45" s="631"/>
      <c r="C45" s="631"/>
      <c r="D45" s="631"/>
      <c r="E45" s="631" t="s">
        <v>371</v>
      </c>
      <c r="F45" s="631"/>
      <c r="G45" s="631"/>
      <c r="H45" s="631"/>
      <c r="I45" s="635" t="s">
        <v>371</v>
      </c>
      <c r="J45" s="635"/>
      <c r="K45" s="635"/>
      <c r="L45" s="635"/>
      <c r="M45" s="635"/>
      <c r="N45" s="631"/>
      <c r="O45" s="631"/>
      <c r="P45" s="631" t="s">
        <v>372</v>
      </c>
      <c r="Q45" s="631"/>
      <c r="R45" s="631"/>
      <c r="S45" s="631"/>
      <c r="T45" s="631"/>
      <c r="U45" s="631" t="s">
        <v>372</v>
      </c>
      <c r="V45" s="631"/>
      <c r="W45" s="631"/>
      <c r="X45" s="631"/>
      <c r="Y45" s="631"/>
      <c r="Z45" s="631" t="s">
        <v>372</v>
      </c>
      <c r="AA45" s="631"/>
      <c r="AB45" s="631"/>
      <c r="AC45" s="631"/>
      <c r="AD45" s="631"/>
      <c r="AE45" s="631" t="s">
        <v>372</v>
      </c>
      <c r="AF45" s="631"/>
      <c r="AG45" s="631"/>
      <c r="AH45" s="631"/>
      <c r="AI45" s="631"/>
      <c r="AJ45" s="631" t="s">
        <v>372</v>
      </c>
      <c r="AK45" s="631"/>
      <c r="AL45" s="631"/>
      <c r="AM45" s="631"/>
      <c r="AN45" s="631"/>
      <c r="AO45" s="631" t="s">
        <v>372</v>
      </c>
      <c r="AP45" s="631"/>
      <c r="AQ45" s="631"/>
      <c r="AR45" s="631"/>
      <c r="AS45" s="631"/>
      <c r="AT45" s="631" t="s">
        <v>372</v>
      </c>
      <c r="AU45" s="631"/>
      <c r="AV45" s="631"/>
      <c r="AW45" s="631"/>
      <c r="AX45" s="631"/>
    </row>
    <row r="46" spans="2:50" ht="14.25" customHeight="1">
      <c r="B46" s="631"/>
      <c r="C46" s="631"/>
      <c r="D46" s="631"/>
      <c r="E46" s="180" t="s">
        <v>159</v>
      </c>
      <c r="F46" s="180" t="s">
        <v>373</v>
      </c>
      <c r="G46" s="180" t="s">
        <v>161</v>
      </c>
      <c r="H46" s="631"/>
      <c r="I46" s="181" t="s">
        <v>159</v>
      </c>
      <c r="J46" s="181" t="s">
        <v>373</v>
      </c>
      <c r="K46" s="181" t="s">
        <v>161</v>
      </c>
      <c r="L46" s="635"/>
      <c r="M46" s="635"/>
      <c r="N46" s="631"/>
      <c r="O46" s="631"/>
      <c r="P46" s="180" t="s">
        <v>159</v>
      </c>
      <c r="Q46" s="180" t="s">
        <v>373</v>
      </c>
      <c r="R46" s="180" t="s">
        <v>161</v>
      </c>
      <c r="S46" s="182" t="s">
        <v>165</v>
      </c>
      <c r="T46" s="631"/>
      <c r="U46" s="180" t="s">
        <v>159</v>
      </c>
      <c r="V46" s="180" t="s">
        <v>373</v>
      </c>
      <c r="W46" s="180" t="s">
        <v>161</v>
      </c>
      <c r="X46" s="182" t="s">
        <v>165</v>
      </c>
      <c r="Y46" s="631"/>
      <c r="Z46" s="180" t="s">
        <v>159</v>
      </c>
      <c r="AA46" s="180" t="s">
        <v>373</v>
      </c>
      <c r="AB46" s="180" t="s">
        <v>161</v>
      </c>
      <c r="AC46" s="182" t="s">
        <v>165</v>
      </c>
      <c r="AD46" s="631"/>
      <c r="AE46" s="180" t="s">
        <v>159</v>
      </c>
      <c r="AF46" s="180" t="s">
        <v>373</v>
      </c>
      <c r="AG46" s="180" t="s">
        <v>161</v>
      </c>
      <c r="AH46" s="182" t="s">
        <v>165</v>
      </c>
      <c r="AI46" s="631"/>
      <c r="AJ46" s="180" t="s">
        <v>159</v>
      </c>
      <c r="AK46" s="180" t="s">
        <v>373</v>
      </c>
      <c r="AL46" s="180" t="s">
        <v>161</v>
      </c>
      <c r="AM46" s="182" t="s">
        <v>165</v>
      </c>
      <c r="AN46" s="631"/>
      <c r="AO46" s="180" t="s">
        <v>159</v>
      </c>
      <c r="AP46" s="180" t="s">
        <v>373</v>
      </c>
      <c r="AQ46" s="180" t="s">
        <v>161</v>
      </c>
      <c r="AR46" s="182" t="s">
        <v>165</v>
      </c>
      <c r="AS46" s="631"/>
      <c r="AT46" s="180" t="s">
        <v>159</v>
      </c>
      <c r="AU46" s="180" t="s">
        <v>373</v>
      </c>
      <c r="AV46" s="180" t="s">
        <v>161</v>
      </c>
      <c r="AW46" s="182" t="s">
        <v>165</v>
      </c>
      <c r="AX46" s="631"/>
    </row>
    <row r="47" spans="2:50" ht="14.25" customHeight="1">
      <c r="B47" s="676" t="s">
        <v>432</v>
      </c>
      <c r="C47" s="180">
        <v>1</v>
      </c>
      <c r="D47" s="183" t="s">
        <v>349</v>
      </c>
      <c r="E47" s="180">
        <v>21</v>
      </c>
      <c r="F47" s="180">
        <v>2790</v>
      </c>
      <c r="G47" s="185">
        <f t="shared" ref="G47" si="18">F47/E47</f>
        <v>132.85714285714286</v>
      </c>
      <c r="H47" s="632">
        <f>AVERAGE(G47:G61)</f>
        <v>132.85714285714286</v>
      </c>
      <c r="I47" s="186">
        <f>AVERAGE(P47,U47,Z47,AE47,AJ47,AO47,AT47)</f>
        <v>21</v>
      </c>
      <c r="J47" s="186">
        <f>AVERAGE(Q47,V47,AA47,AF47,AK47,AP47,AU47)</f>
        <v>2484.1730769230767</v>
      </c>
      <c r="K47" s="187">
        <f>AVERAGE(R47,W47,AB47,AG47,AL47,AQ47,AV47)</f>
        <v>118.293956043956</v>
      </c>
      <c r="L47" s="633">
        <f>IFERROR(AVERAGE(K47:K61),"-")</f>
        <v>118.293956043956</v>
      </c>
      <c r="M47" s="186">
        <f>RANK(K47, K$47:$K$61)</f>
        <v>1</v>
      </c>
      <c r="N47" s="631"/>
      <c r="O47" s="631"/>
      <c r="P47" s="188">
        <v>21</v>
      </c>
      <c r="Q47" s="188">
        <v>2484.1730769230767</v>
      </c>
      <c r="R47" s="185">
        <f>IFERROR(Q47/P47,"")</f>
        <v>118.29395604395603</v>
      </c>
      <c r="S47" s="182">
        <f>RANK(R47, R$47:R$61)</f>
        <v>1</v>
      </c>
      <c r="T47" s="632">
        <f>AVERAGE(R47:R61)</f>
        <v>118.29395604395603</v>
      </c>
      <c r="U47" s="188">
        <v>21</v>
      </c>
      <c r="V47" s="188">
        <v>2484.1730769230767</v>
      </c>
      <c r="W47" s="185">
        <f t="shared" ref="W47" si="19">IFERROR(V47/U47,"")</f>
        <v>118.29395604395603</v>
      </c>
      <c r="X47" s="182">
        <f>RANK(W47, W$47:W$61)</f>
        <v>1</v>
      </c>
      <c r="Y47" s="632">
        <f>AVERAGE(W47:W61)</f>
        <v>118.29395604395603</v>
      </c>
      <c r="Z47" s="188">
        <v>21</v>
      </c>
      <c r="AA47" s="188">
        <v>2484.1730769230762</v>
      </c>
      <c r="AB47" s="185">
        <f t="shared" ref="AB47" si="20">IFERROR(AA47/Z47,"")</f>
        <v>118.29395604395602</v>
      </c>
      <c r="AC47" s="182">
        <f>RANK(AB47, AB$47:AB$61)</f>
        <v>1</v>
      </c>
      <c r="AD47" s="632">
        <f>AVERAGE(AB47:AB61)</f>
        <v>118.29395604395602</v>
      </c>
      <c r="AE47" s="188">
        <v>21</v>
      </c>
      <c r="AF47" s="188">
        <v>2484.1730769230767</v>
      </c>
      <c r="AG47" s="185">
        <f>IFERROR(AF47/AE47,"")</f>
        <v>118.29395604395603</v>
      </c>
      <c r="AH47" s="182">
        <f>RANK(AG47, AG$47:AG$61)</f>
        <v>1</v>
      </c>
      <c r="AI47" s="632">
        <f>AVERAGE(AG47:AG61)</f>
        <v>118.29395604395603</v>
      </c>
      <c r="AJ47" s="188">
        <v>21</v>
      </c>
      <c r="AK47" s="188">
        <v>2484.1730769230762</v>
      </c>
      <c r="AL47" s="185">
        <f t="shared" ref="AL47" si="21">IFERROR(AK47/AJ47,"")</f>
        <v>118.29395604395602</v>
      </c>
      <c r="AM47" s="182">
        <f>RANK(AL47, AL$47:AL$61)</f>
        <v>1</v>
      </c>
      <c r="AN47" s="632">
        <f>AVERAGE(AL47:AL61)</f>
        <v>118.29395604395602</v>
      </c>
      <c r="AO47" s="188">
        <v>21</v>
      </c>
      <c r="AP47" s="188">
        <v>2484.1730769230767</v>
      </c>
      <c r="AQ47" s="185">
        <f t="shared" ref="AQ47" si="22">IFERROR(AP47/AO47,"")</f>
        <v>118.29395604395603</v>
      </c>
      <c r="AR47" s="182">
        <f>RANK(AQ47, AQ$7:AQ$21)</f>
        <v>2</v>
      </c>
      <c r="AS47" s="632">
        <f>AVERAGE(AQ47:AQ61)</f>
        <v>118.29395604395603</v>
      </c>
      <c r="AT47" s="188">
        <v>21</v>
      </c>
      <c r="AU47" s="188">
        <v>2484.1730769230762</v>
      </c>
      <c r="AV47" s="185">
        <f t="shared" ref="AV47" si="23">IFERROR(AU47/AT47,"")</f>
        <v>118.29395604395602</v>
      </c>
      <c r="AW47" s="182">
        <f>RANK(AV47, AV$47:AV$61)</f>
        <v>1</v>
      </c>
      <c r="AX47" s="632">
        <f>AVERAGE(AV47:AV61)</f>
        <v>118.29395604395602</v>
      </c>
    </row>
    <row r="48" spans="2:50" ht="14.25" customHeight="1">
      <c r="B48" s="631"/>
      <c r="C48" s="180">
        <v>2</v>
      </c>
      <c r="D48" s="183"/>
      <c r="E48" s="180"/>
      <c r="F48" s="180"/>
      <c r="G48" s="185"/>
      <c r="H48" s="632"/>
      <c r="I48" s="186"/>
      <c r="J48" s="186"/>
      <c r="K48" s="187"/>
      <c r="L48" s="633"/>
      <c r="M48" s="186"/>
      <c r="N48" s="631"/>
      <c r="O48" s="631"/>
      <c r="P48" s="188"/>
      <c r="Q48" s="188"/>
      <c r="R48" s="185"/>
      <c r="S48" s="182"/>
      <c r="T48" s="632"/>
      <c r="U48" s="188"/>
      <c r="V48" s="188"/>
      <c r="W48" s="185"/>
      <c r="X48" s="182"/>
      <c r="Y48" s="632"/>
      <c r="Z48" s="188"/>
      <c r="AA48" s="188"/>
      <c r="AB48" s="185"/>
      <c r="AC48" s="182"/>
      <c r="AD48" s="632"/>
      <c r="AE48" s="188"/>
      <c r="AF48" s="188"/>
      <c r="AG48" s="185"/>
      <c r="AH48" s="182"/>
      <c r="AI48" s="632"/>
      <c r="AJ48" s="188"/>
      <c r="AK48" s="188"/>
      <c r="AL48" s="185"/>
      <c r="AM48" s="182"/>
      <c r="AN48" s="632"/>
      <c r="AO48" s="188"/>
      <c r="AP48" s="188"/>
      <c r="AQ48" s="185"/>
      <c r="AR48" s="182"/>
      <c r="AS48" s="632"/>
      <c r="AT48" s="188"/>
      <c r="AU48" s="188"/>
      <c r="AV48" s="185"/>
      <c r="AW48" s="182"/>
      <c r="AX48" s="632"/>
    </row>
    <row r="49" spans="2:50" ht="14.25" customHeight="1">
      <c r="B49" s="631"/>
      <c r="C49" s="180">
        <v>3</v>
      </c>
      <c r="D49" s="183"/>
      <c r="E49" s="180"/>
      <c r="F49" s="180"/>
      <c r="G49" s="185"/>
      <c r="H49" s="632"/>
      <c r="I49" s="186"/>
      <c r="J49" s="186"/>
      <c r="K49" s="187"/>
      <c r="L49" s="633"/>
      <c r="M49" s="186"/>
      <c r="N49" s="631"/>
      <c r="O49" s="631"/>
      <c r="P49" s="188"/>
      <c r="Q49" s="188"/>
      <c r="R49" s="185"/>
      <c r="S49" s="182"/>
      <c r="T49" s="632"/>
      <c r="U49" s="188"/>
      <c r="V49" s="188"/>
      <c r="W49" s="185"/>
      <c r="X49" s="182"/>
      <c r="Y49" s="632"/>
      <c r="Z49" s="188"/>
      <c r="AA49" s="188"/>
      <c r="AB49" s="185"/>
      <c r="AC49" s="182"/>
      <c r="AD49" s="632"/>
      <c r="AE49" s="188"/>
      <c r="AF49" s="188"/>
      <c r="AG49" s="185"/>
      <c r="AH49" s="182"/>
      <c r="AI49" s="632"/>
      <c r="AJ49" s="188"/>
      <c r="AK49" s="188"/>
      <c r="AL49" s="185"/>
      <c r="AM49" s="182"/>
      <c r="AN49" s="632"/>
      <c r="AO49" s="188"/>
      <c r="AP49" s="188"/>
      <c r="AQ49" s="185"/>
      <c r="AR49" s="182"/>
      <c r="AS49" s="632"/>
      <c r="AT49" s="188"/>
      <c r="AU49" s="188"/>
      <c r="AV49" s="185"/>
      <c r="AW49" s="182"/>
      <c r="AX49" s="632"/>
    </row>
    <row r="50" spans="2:50" ht="14.25" customHeight="1">
      <c r="B50" s="631"/>
      <c r="C50" s="180">
        <v>4</v>
      </c>
      <c r="D50" s="183"/>
      <c r="E50" s="180"/>
      <c r="F50" s="180"/>
      <c r="G50" s="185"/>
      <c r="H50" s="632"/>
      <c r="I50" s="186"/>
      <c r="J50" s="186"/>
      <c r="K50" s="187"/>
      <c r="L50" s="633"/>
      <c r="M50" s="186"/>
      <c r="N50" s="631"/>
      <c r="O50" s="631"/>
      <c r="P50" s="188"/>
      <c r="Q50" s="188"/>
      <c r="R50" s="185"/>
      <c r="S50" s="182"/>
      <c r="T50" s="632"/>
      <c r="U50" s="188"/>
      <c r="V50" s="188"/>
      <c r="W50" s="185"/>
      <c r="X50" s="182"/>
      <c r="Y50" s="632"/>
      <c r="Z50" s="188"/>
      <c r="AA50" s="188"/>
      <c r="AB50" s="185"/>
      <c r="AC50" s="182"/>
      <c r="AD50" s="632"/>
      <c r="AE50" s="188"/>
      <c r="AF50" s="188"/>
      <c r="AG50" s="185"/>
      <c r="AH50" s="182"/>
      <c r="AI50" s="632"/>
      <c r="AJ50" s="188"/>
      <c r="AK50" s="188"/>
      <c r="AL50" s="185"/>
      <c r="AM50" s="182"/>
      <c r="AN50" s="632"/>
      <c r="AO50" s="188"/>
      <c r="AP50" s="188"/>
      <c r="AQ50" s="185"/>
      <c r="AR50" s="182"/>
      <c r="AS50" s="632"/>
      <c r="AT50" s="188"/>
      <c r="AU50" s="188"/>
      <c r="AV50" s="185"/>
      <c r="AW50" s="182"/>
      <c r="AX50" s="632"/>
    </row>
    <row r="51" spans="2:50" ht="14.25" customHeight="1">
      <c r="B51" s="631"/>
      <c r="C51" s="180">
        <v>5</v>
      </c>
      <c r="D51" s="183"/>
      <c r="E51" s="180"/>
      <c r="F51" s="180"/>
      <c r="G51" s="185"/>
      <c r="H51" s="632"/>
      <c r="I51" s="186"/>
      <c r="J51" s="186"/>
      <c r="K51" s="187"/>
      <c r="L51" s="633"/>
      <c r="M51" s="186"/>
      <c r="N51" s="631"/>
      <c r="O51" s="631"/>
      <c r="P51" s="188"/>
      <c r="Q51" s="188"/>
      <c r="R51" s="185"/>
      <c r="S51" s="182"/>
      <c r="T51" s="632"/>
      <c r="U51" s="188"/>
      <c r="V51" s="188"/>
      <c r="W51" s="185"/>
      <c r="X51" s="182"/>
      <c r="Y51" s="632"/>
      <c r="Z51" s="188"/>
      <c r="AA51" s="188"/>
      <c r="AB51" s="185"/>
      <c r="AC51" s="182"/>
      <c r="AD51" s="632"/>
      <c r="AE51" s="188"/>
      <c r="AF51" s="188"/>
      <c r="AG51" s="185"/>
      <c r="AH51" s="182"/>
      <c r="AI51" s="632"/>
      <c r="AJ51" s="188"/>
      <c r="AK51" s="188"/>
      <c r="AL51" s="185"/>
      <c r="AM51" s="182"/>
      <c r="AN51" s="632"/>
      <c r="AO51" s="188"/>
      <c r="AP51" s="188"/>
      <c r="AQ51" s="185"/>
      <c r="AR51" s="182"/>
      <c r="AS51" s="632"/>
      <c r="AT51" s="188"/>
      <c r="AU51" s="188"/>
      <c r="AV51" s="185"/>
      <c r="AW51" s="182"/>
      <c r="AX51" s="632"/>
    </row>
    <row r="52" spans="2:50" ht="14.25" customHeight="1">
      <c r="B52" s="631"/>
      <c r="C52" s="180">
        <v>6</v>
      </c>
      <c r="D52" s="183"/>
      <c r="E52" s="180"/>
      <c r="F52" s="180"/>
      <c r="G52" s="185"/>
      <c r="H52" s="632"/>
      <c r="I52" s="186"/>
      <c r="J52" s="186"/>
      <c r="K52" s="187"/>
      <c r="L52" s="633"/>
      <c r="M52" s="186"/>
      <c r="N52" s="631"/>
      <c r="O52" s="631"/>
      <c r="P52" s="188"/>
      <c r="Q52" s="188"/>
      <c r="R52" s="185"/>
      <c r="S52" s="182"/>
      <c r="T52" s="632"/>
      <c r="U52" s="188"/>
      <c r="V52" s="188"/>
      <c r="W52" s="185"/>
      <c r="X52" s="182"/>
      <c r="Y52" s="632"/>
      <c r="Z52" s="188"/>
      <c r="AA52" s="188"/>
      <c r="AB52" s="185"/>
      <c r="AC52" s="182"/>
      <c r="AD52" s="632"/>
      <c r="AE52" s="188"/>
      <c r="AF52" s="188"/>
      <c r="AG52" s="185"/>
      <c r="AH52" s="182"/>
      <c r="AI52" s="632"/>
      <c r="AJ52" s="188"/>
      <c r="AK52" s="188"/>
      <c r="AL52" s="185"/>
      <c r="AM52" s="182"/>
      <c r="AN52" s="632"/>
      <c r="AO52" s="188"/>
      <c r="AP52" s="188"/>
      <c r="AQ52" s="185"/>
      <c r="AR52" s="182"/>
      <c r="AS52" s="632"/>
      <c r="AT52" s="188"/>
      <c r="AU52" s="188"/>
      <c r="AV52" s="185"/>
      <c r="AW52" s="182"/>
      <c r="AX52" s="632"/>
    </row>
    <row r="53" spans="2:50" ht="14.25" customHeight="1">
      <c r="B53" s="631"/>
      <c r="C53" s="180">
        <v>7</v>
      </c>
      <c r="D53" s="183"/>
      <c r="E53" s="180"/>
      <c r="F53" s="180"/>
      <c r="G53" s="185"/>
      <c r="H53" s="632"/>
      <c r="I53" s="186"/>
      <c r="J53" s="186"/>
      <c r="K53" s="187"/>
      <c r="L53" s="633"/>
      <c r="M53" s="186"/>
      <c r="N53" s="631"/>
      <c r="O53" s="631"/>
      <c r="P53" s="188"/>
      <c r="Q53" s="188"/>
      <c r="R53" s="185"/>
      <c r="S53" s="182"/>
      <c r="T53" s="632"/>
      <c r="U53" s="188"/>
      <c r="V53" s="188"/>
      <c r="W53" s="185"/>
      <c r="X53" s="182"/>
      <c r="Y53" s="632"/>
      <c r="Z53" s="188"/>
      <c r="AA53" s="188"/>
      <c r="AB53" s="185"/>
      <c r="AC53" s="182"/>
      <c r="AD53" s="632"/>
      <c r="AE53" s="188"/>
      <c r="AF53" s="188"/>
      <c r="AG53" s="185"/>
      <c r="AH53" s="182"/>
      <c r="AI53" s="632"/>
      <c r="AJ53" s="188"/>
      <c r="AK53" s="188"/>
      <c r="AL53" s="185"/>
      <c r="AM53" s="182"/>
      <c r="AN53" s="632"/>
      <c r="AO53" s="188"/>
      <c r="AP53" s="188"/>
      <c r="AQ53" s="185"/>
      <c r="AR53" s="182"/>
      <c r="AS53" s="632"/>
      <c r="AT53" s="188"/>
      <c r="AU53" s="188"/>
      <c r="AV53" s="185"/>
      <c r="AW53" s="182"/>
      <c r="AX53" s="632"/>
    </row>
    <row r="54" spans="2:50" ht="14.25" customHeight="1">
      <c r="B54" s="631"/>
      <c r="C54" s="180">
        <v>8</v>
      </c>
      <c r="D54" s="183"/>
      <c r="E54" s="180"/>
      <c r="F54" s="180"/>
      <c r="G54" s="185"/>
      <c r="H54" s="632"/>
      <c r="I54" s="186"/>
      <c r="J54" s="186"/>
      <c r="K54" s="187"/>
      <c r="L54" s="633"/>
      <c r="M54" s="186"/>
      <c r="N54" s="631"/>
      <c r="O54" s="631"/>
      <c r="P54" s="188"/>
      <c r="Q54" s="188"/>
      <c r="R54" s="185"/>
      <c r="S54" s="182"/>
      <c r="T54" s="632"/>
      <c r="U54" s="188"/>
      <c r="V54" s="188"/>
      <c r="W54" s="185"/>
      <c r="X54" s="182"/>
      <c r="Y54" s="632"/>
      <c r="Z54" s="188"/>
      <c r="AA54" s="188"/>
      <c r="AB54" s="185"/>
      <c r="AC54" s="182"/>
      <c r="AD54" s="632"/>
      <c r="AE54" s="188"/>
      <c r="AF54" s="188"/>
      <c r="AG54" s="185"/>
      <c r="AH54" s="182"/>
      <c r="AI54" s="632"/>
      <c r="AJ54" s="188"/>
      <c r="AK54" s="188"/>
      <c r="AL54" s="185"/>
      <c r="AM54" s="182"/>
      <c r="AN54" s="632"/>
      <c r="AO54" s="188"/>
      <c r="AP54" s="188"/>
      <c r="AQ54" s="185"/>
      <c r="AR54" s="182"/>
      <c r="AS54" s="632"/>
      <c r="AT54" s="188"/>
      <c r="AU54" s="188"/>
      <c r="AV54" s="185"/>
      <c r="AW54" s="182"/>
      <c r="AX54" s="632"/>
    </row>
    <row r="55" spans="2:50" ht="14.25" customHeight="1">
      <c r="B55" s="631"/>
      <c r="C55" s="180">
        <v>9</v>
      </c>
      <c r="D55" s="183"/>
      <c r="E55" s="180"/>
      <c r="F55" s="180"/>
      <c r="G55" s="185"/>
      <c r="H55" s="632"/>
      <c r="I55" s="186"/>
      <c r="J55" s="186"/>
      <c r="K55" s="187"/>
      <c r="L55" s="633"/>
      <c r="M55" s="186"/>
      <c r="N55" s="631"/>
      <c r="O55" s="631"/>
      <c r="P55" s="188"/>
      <c r="Q55" s="188"/>
      <c r="R55" s="185"/>
      <c r="S55" s="182"/>
      <c r="T55" s="632"/>
      <c r="U55" s="188"/>
      <c r="V55" s="188"/>
      <c r="W55" s="185"/>
      <c r="X55" s="182"/>
      <c r="Y55" s="632"/>
      <c r="Z55" s="188"/>
      <c r="AA55" s="188"/>
      <c r="AB55" s="185"/>
      <c r="AC55" s="182"/>
      <c r="AD55" s="632"/>
      <c r="AE55" s="188"/>
      <c r="AF55" s="188"/>
      <c r="AG55" s="185"/>
      <c r="AH55" s="182"/>
      <c r="AI55" s="632"/>
      <c r="AJ55" s="188"/>
      <c r="AK55" s="188"/>
      <c r="AL55" s="185"/>
      <c r="AM55" s="182"/>
      <c r="AN55" s="632"/>
      <c r="AO55" s="188"/>
      <c r="AP55" s="188"/>
      <c r="AQ55" s="185"/>
      <c r="AR55" s="182"/>
      <c r="AS55" s="632"/>
      <c r="AT55" s="188"/>
      <c r="AU55" s="188"/>
      <c r="AV55" s="185"/>
      <c r="AW55" s="182"/>
      <c r="AX55" s="632"/>
    </row>
    <row r="56" spans="2:50" ht="14.25" customHeight="1">
      <c r="B56" s="631"/>
      <c r="C56" s="180">
        <v>10</v>
      </c>
      <c r="D56" s="183"/>
      <c r="E56" s="180"/>
      <c r="F56" s="180"/>
      <c r="G56" s="185"/>
      <c r="H56" s="632"/>
      <c r="I56" s="186"/>
      <c r="J56" s="186"/>
      <c r="K56" s="187"/>
      <c r="L56" s="633"/>
      <c r="M56" s="186"/>
      <c r="N56" s="631"/>
      <c r="O56" s="631"/>
      <c r="P56" s="188"/>
      <c r="Q56" s="188"/>
      <c r="R56" s="185"/>
      <c r="S56" s="182"/>
      <c r="T56" s="632"/>
      <c r="U56" s="188"/>
      <c r="V56" s="188"/>
      <c r="W56" s="185"/>
      <c r="X56" s="182"/>
      <c r="Y56" s="632"/>
      <c r="Z56" s="188"/>
      <c r="AA56" s="188"/>
      <c r="AB56" s="185"/>
      <c r="AC56" s="182"/>
      <c r="AD56" s="632"/>
      <c r="AE56" s="188"/>
      <c r="AF56" s="188"/>
      <c r="AG56" s="185"/>
      <c r="AH56" s="182"/>
      <c r="AI56" s="632"/>
      <c r="AJ56" s="188"/>
      <c r="AK56" s="188"/>
      <c r="AL56" s="185"/>
      <c r="AM56" s="182"/>
      <c r="AN56" s="632"/>
      <c r="AO56" s="188"/>
      <c r="AP56" s="188"/>
      <c r="AQ56" s="185"/>
      <c r="AR56" s="182"/>
      <c r="AS56" s="632"/>
      <c r="AT56" s="188"/>
      <c r="AU56" s="188"/>
      <c r="AV56" s="185"/>
      <c r="AW56" s="182"/>
      <c r="AX56" s="632"/>
    </row>
    <row r="57" spans="2:50" ht="14.25" customHeight="1">
      <c r="B57" s="631"/>
      <c r="C57" s="180">
        <v>11</v>
      </c>
      <c r="D57" s="183"/>
      <c r="E57" s="180"/>
      <c r="F57" s="180"/>
      <c r="G57" s="185"/>
      <c r="H57" s="632"/>
      <c r="I57" s="186"/>
      <c r="J57" s="186"/>
      <c r="K57" s="187"/>
      <c r="L57" s="633"/>
      <c r="M57" s="186"/>
      <c r="N57" s="631"/>
      <c r="O57" s="631"/>
      <c r="P57" s="188"/>
      <c r="Q57" s="188"/>
      <c r="R57" s="185"/>
      <c r="S57" s="182"/>
      <c r="T57" s="632"/>
      <c r="U57" s="188"/>
      <c r="V57" s="188"/>
      <c r="W57" s="185"/>
      <c r="X57" s="182"/>
      <c r="Y57" s="632"/>
      <c r="Z57" s="188"/>
      <c r="AA57" s="188"/>
      <c r="AB57" s="185"/>
      <c r="AC57" s="182"/>
      <c r="AD57" s="632"/>
      <c r="AE57" s="188"/>
      <c r="AF57" s="188"/>
      <c r="AG57" s="185"/>
      <c r="AH57" s="182"/>
      <c r="AI57" s="632"/>
      <c r="AJ57" s="188"/>
      <c r="AK57" s="188"/>
      <c r="AL57" s="185"/>
      <c r="AM57" s="182"/>
      <c r="AN57" s="632"/>
      <c r="AO57" s="188"/>
      <c r="AP57" s="188"/>
      <c r="AQ57" s="185"/>
      <c r="AR57" s="182"/>
      <c r="AS57" s="632"/>
      <c r="AT57" s="188"/>
      <c r="AU57" s="188"/>
      <c r="AV57" s="185"/>
      <c r="AW57" s="182"/>
      <c r="AX57" s="632"/>
    </row>
    <row r="58" spans="2:50" ht="14.25" customHeight="1">
      <c r="B58" s="631"/>
      <c r="C58" s="180">
        <v>12</v>
      </c>
      <c r="D58" s="183"/>
      <c r="E58" s="180"/>
      <c r="F58" s="180"/>
      <c r="G58" s="185"/>
      <c r="H58" s="632"/>
      <c r="I58" s="186"/>
      <c r="J58" s="186"/>
      <c r="K58" s="187"/>
      <c r="L58" s="633"/>
      <c r="M58" s="186"/>
      <c r="N58" s="631"/>
      <c r="O58" s="631"/>
      <c r="P58" s="188"/>
      <c r="Q58" s="188"/>
      <c r="R58" s="185"/>
      <c r="S58" s="182"/>
      <c r="T58" s="632"/>
      <c r="U58" s="188"/>
      <c r="V58" s="188"/>
      <c r="W58" s="185"/>
      <c r="X58" s="182"/>
      <c r="Y58" s="632"/>
      <c r="Z58" s="188"/>
      <c r="AA58" s="188"/>
      <c r="AB58" s="185"/>
      <c r="AC58" s="182"/>
      <c r="AD58" s="632"/>
      <c r="AE58" s="188"/>
      <c r="AF58" s="188"/>
      <c r="AG58" s="185"/>
      <c r="AH58" s="182"/>
      <c r="AI58" s="632"/>
      <c r="AJ58" s="188"/>
      <c r="AK58" s="188"/>
      <c r="AL58" s="185"/>
      <c r="AM58" s="182"/>
      <c r="AN58" s="632"/>
      <c r="AO58" s="188"/>
      <c r="AP58" s="188"/>
      <c r="AQ58" s="185"/>
      <c r="AR58" s="182"/>
      <c r="AS58" s="632"/>
      <c r="AT58" s="188"/>
      <c r="AU58" s="188"/>
      <c r="AV58" s="185"/>
      <c r="AW58" s="182"/>
      <c r="AX58" s="632"/>
    </row>
    <row r="59" spans="2:50" ht="14.25" customHeight="1">
      <c r="B59" s="631"/>
      <c r="C59" s="180">
        <v>13</v>
      </c>
      <c r="D59" s="183"/>
      <c r="E59" s="180"/>
      <c r="F59" s="180"/>
      <c r="G59" s="185"/>
      <c r="H59" s="632"/>
      <c r="I59" s="186"/>
      <c r="J59" s="186"/>
      <c r="K59" s="187"/>
      <c r="L59" s="633"/>
      <c r="M59" s="186"/>
      <c r="N59" s="631"/>
      <c r="O59" s="631"/>
      <c r="P59" s="188"/>
      <c r="Q59" s="188"/>
      <c r="R59" s="185"/>
      <c r="S59" s="182"/>
      <c r="T59" s="632"/>
      <c r="U59" s="188"/>
      <c r="V59" s="188"/>
      <c r="W59" s="185"/>
      <c r="X59" s="182"/>
      <c r="Y59" s="632"/>
      <c r="Z59" s="188"/>
      <c r="AA59" s="188"/>
      <c r="AB59" s="185"/>
      <c r="AC59" s="182"/>
      <c r="AD59" s="632"/>
      <c r="AE59" s="188"/>
      <c r="AF59" s="188"/>
      <c r="AG59" s="185"/>
      <c r="AH59" s="182"/>
      <c r="AI59" s="632"/>
      <c r="AJ59" s="188"/>
      <c r="AK59" s="188"/>
      <c r="AL59" s="185"/>
      <c r="AM59" s="182"/>
      <c r="AN59" s="632"/>
      <c r="AO59" s="188"/>
      <c r="AP59" s="188"/>
      <c r="AQ59" s="185"/>
      <c r="AR59" s="182"/>
      <c r="AS59" s="632"/>
      <c r="AT59" s="188"/>
      <c r="AU59" s="188"/>
      <c r="AV59" s="185"/>
      <c r="AW59" s="182"/>
      <c r="AX59" s="632"/>
    </row>
    <row r="60" spans="2:50" ht="14.25" customHeight="1">
      <c r="B60" s="631"/>
      <c r="C60" s="180">
        <v>14</v>
      </c>
      <c r="D60" s="183"/>
      <c r="E60" s="180"/>
      <c r="F60" s="180"/>
      <c r="G60" s="185"/>
      <c r="H60" s="632"/>
      <c r="I60" s="186"/>
      <c r="J60" s="186"/>
      <c r="K60" s="187"/>
      <c r="L60" s="633"/>
      <c r="M60" s="186"/>
      <c r="N60" s="631"/>
      <c r="O60" s="631"/>
      <c r="P60" s="188"/>
      <c r="Q60" s="188"/>
      <c r="R60" s="185"/>
      <c r="S60" s="182"/>
      <c r="T60" s="632"/>
      <c r="U60" s="188"/>
      <c r="V60" s="188"/>
      <c r="W60" s="185"/>
      <c r="X60" s="182"/>
      <c r="Y60" s="632"/>
      <c r="Z60" s="188"/>
      <c r="AA60" s="188"/>
      <c r="AB60" s="185"/>
      <c r="AC60" s="182"/>
      <c r="AD60" s="632"/>
      <c r="AE60" s="188"/>
      <c r="AF60" s="188"/>
      <c r="AG60" s="185"/>
      <c r="AH60" s="182"/>
      <c r="AI60" s="632"/>
      <c r="AJ60" s="188"/>
      <c r="AK60" s="188"/>
      <c r="AL60" s="185"/>
      <c r="AM60" s="182"/>
      <c r="AN60" s="632"/>
      <c r="AO60" s="188"/>
      <c r="AP60" s="188"/>
      <c r="AQ60" s="185"/>
      <c r="AR60" s="182"/>
      <c r="AS60" s="632"/>
      <c r="AT60" s="188"/>
      <c r="AU60" s="188"/>
      <c r="AV60" s="185"/>
      <c r="AW60" s="182"/>
      <c r="AX60" s="632"/>
    </row>
    <row r="61" spans="2:50" ht="14.25" customHeight="1">
      <c r="B61" s="631"/>
      <c r="C61" s="180">
        <v>15</v>
      </c>
      <c r="D61" s="183"/>
      <c r="E61" s="180"/>
      <c r="F61" s="180"/>
      <c r="G61" s="185"/>
      <c r="H61" s="632"/>
      <c r="I61" s="186"/>
      <c r="J61" s="186"/>
      <c r="K61" s="187"/>
      <c r="L61" s="633"/>
      <c r="M61" s="186"/>
      <c r="N61" s="631"/>
      <c r="O61" s="631"/>
      <c r="P61" s="188"/>
      <c r="Q61" s="188"/>
      <c r="R61" s="185"/>
      <c r="S61" s="182"/>
      <c r="T61" s="632"/>
      <c r="U61" s="188"/>
      <c r="V61" s="188"/>
      <c r="W61" s="185"/>
      <c r="X61" s="182"/>
      <c r="Y61" s="632"/>
      <c r="Z61" s="188"/>
      <c r="AA61" s="188"/>
      <c r="AB61" s="185"/>
      <c r="AC61" s="182"/>
      <c r="AD61" s="632"/>
      <c r="AE61" s="188"/>
      <c r="AF61" s="188"/>
      <c r="AG61" s="185"/>
      <c r="AH61" s="182"/>
      <c r="AI61" s="632"/>
      <c r="AJ61" s="188"/>
      <c r="AK61" s="188"/>
      <c r="AL61" s="185"/>
      <c r="AM61" s="182"/>
      <c r="AN61" s="632"/>
      <c r="AO61" s="188"/>
      <c r="AP61" s="188"/>
      <c r="AQ61" s="185"/>
      <c r="AR61" s="182"/>
      <c r="AS61" s="632"/>
      <c r="AT61" s="188"/>
      <c r="AU61" s="188"/>
      <c r="AV61" s="185"/>
      <c r="AW61" s="182"/>
      <c r="AX61" s="632"/>
    </row>
    <row r="62" spans="2:50" ht="14.25" customHeight="1">
      <c r="B62" s="646" t="s">
        <v>783</v>
      </c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647"/>
      <c r="N62" s="664" t="s">
        <v>369</v>
      </c>
      <c r="O62" s="664" t="s">
        <v>105</v>
      </c>
      <c r="P62" s="666">
        <v>46161</v>
      </c>
      <c r="Q62" s="667"/>
      <c r="R62" s="667"/>
      <c r="S62" s="667"/>
      <c r="T62" s="667"/>
      <c r="U62" s="668">
        <v>46162</v>
      </c>
      <c r="V62" s="669"/>
      <c r="W62" s="669"/>
      <c r="X62" s="669"/>
      <c r="Y62" s="669"/>
      <c r="Z62" s="666">
        <v>46163</v>
      </c>
      <c r="AA62" s="667"/>
      <c r="AB62" s="667"/>
      <c r="AC62" s="667"/>
      <c r="AD62" s="667"/>
      <c r="AE62" s="668">
        <v>46164</v>
      </c>
      <c r="AF62" s="669"/>
      <c r="AG62" s="669"/>
      <c r="AH62" s="669"/>
      <c r="AI62" s="669"/>
      <c r="AJ62" s="656">
        <v>46165</v>
      </c>
      <c r="AK62" s="657"/>
      <c r="AL62" s="657"/>
      <c r="AM62" s="657"/>
      <c r="AN62" s="658"/>
      <c r="AO62" s="668">
        <v>46166</v>
      </c>
      <c r="AP62" s="669"/>
      <c r="AQ62" s="669"/>
      <c r="AR62" s="669"/>
      <c r="AS62" s="669"/>
      <c r="AT62" s="656">
        <v>46167</v>
      </c>
      <c r="AU62" s="657"/>
      <c r="AV62" s="657"/>
      <c r="AW62" s="657"/>
      <c r="AX62" s="65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65"/>
      <c r="O63" s="665"/>
      <c r="P63" s="659">
        <v>46161</v>
      </c>
      <c r="Q63" s="659"/>
      <c r="R63" s="659"/>
      <c r="S63" s="659"/>
      <c r="T63" s="659"/>
      <c r="U63" s="660">
        <v>46162</v>
      </c>
      <c r="V63" s="660"/>
      <c r="W63" s="660"/>
      <c r="X63" s="660"/>
      <c r="Y63" s="660"/>
      <c r="Z63" s="659">
        <v>46163</v>
      </c>
      <c r="AA63" s="659"/>
      <c r="AB63" s="659"/>
      <c r="AC63" s="659"/>
      <c r="AD63" s="659"/>
      <c r="AE63" s="660">
        <v>46164</v>
      </c>
      <c r="AF63" s="660"/>
      <c r="AG63" s="660"/>
      <c r="AH63" s="660"/>
      <c r="AI63" s="660"/>
      <c r="AJ63" s="661">
        <v>46165</v>
      </c>
      <c r="AK63" s="662"/>
      <c r="AL63" s="662"/>
      <c r="AM63" s="662"/>
      <c r="AN63" s="663"/>
      <c r="AO63" s="660">
        <v>46166</v>
      </c>
      <c r="AP63" s="660"/>
      <c r="AQ63" s="660"/>
      <c r="AR63" s="660"/>
      <c r="AS63" s="660"/>
      <c r="AT63" s="661">
        <v>46167</v>
      </c>
      <c r="AU63" s="662"/>
      <c r="AV63" s="662"/>
      <c r="AW63" s="662"/>
      <c r="AX63" s="663"/>
    </row>
    <row r="64" spans="2:50" ht="14.25" customHeight="1">
      <c r="B64" s="631" t="s">
        <v>162</v>
      </c>
      <c r="C64" s="631" t="s">
        <v>157</v>
      </c>
      <c r="D64" s="631"/>
      <c r="E64" s="631" t="s">
        <v>158</v>
      </c>
      <c r="F64" s="631"/>
      <c r="G64" s="631"/>
      <c r="H64" s="631" t="s">
        <v>163</v>
      </c>
      <c r="I64" s="635" t="s">
        <v>370</v>
      </c>
      <c r="J64" s="635"/>
      <c r="K64" s="635"/>
      <c r="L64" s="635" t="s">
        <v>163</v>
      </c>
      <c r="M64" s="635" t="s">
        <v>165</v>
      </c>
      <c r="N64" s="631"/>
      <c r="O64" s="631" t="s">
        <v>164</v>
      </c>
      <c r="P64" s="631" t="s">
        <v>160</v>
      </c>
      <c r="Q64" s="631"/>
      <c r="R64" s="631"/>
      <c r="S64" s="631"/>
      <c r="T64" s="631" t="s">
        <v>163</v>
      </c>
      <c r="U64" s="631" t="s">
        <v>160</v>
      </c>
      <c r="V64" s="631"/>
      <c r="W64" s="631"/>
      <c r="X64" s="631"/>
      <c r="Y64" s="631" t="s">
        <v>163</v>
      </c>
      <c r="Z64" s="631" t="s">
        <v>160</v>
      </c>
      <c r="AA64" s="631"/>
      <c r="AB64" s="631"/>
      <c r="AC64" s="631"/>
      <c r="AD64" s="631" t="s">
        <v>163</v>
      </c>
      <c r="AE64" s="631" t="s">
        <v>160</v>
      </c>
      <c r="AF64" s="631"/>
      <c r="AG64" s="631"/>
      <c r="AH64" s="631"/>
      <c r="AI64" s="631" t="s">
        <v>163</v>
      </c>
      <c r="AJ64" s="631" t="s">
        <v>160</v>
      </c>
      <c r="AK64" s="631"/>
      <c r="AL64" s="631"/>
      <c r="AM64" s="631"/>
      <c r="AN64" s="631" t="s">
        <v>163</v>
      </c>
      <c r="AO64" s="631" t="s">
        <v>160</v>
      </c>
      <c r="AP64" s="631"/>
      <c r="AQ64" s="631"/>
      <c r="AR64" s="631"/>
      <c r="AS64" s="631" t="s">
        <v>163</v>
      </c>
      <c r="AT64" s="631" t="s">
        <v>160</v>
      </c>
      <c r="AU64" s="631"/>
      <c r="AV64" s="631"/>
      <c r="AW64" s="631"/>
      <c r="AX64" s="631" t="s">
        <v>163</v>
      </c>
    </row>
    <row r="65" spans="2:50" ht="14.25" customHeight="1">
      <c r="B65" s="631"/>
      <c r="C65" s="631"/>
      <c r="D65" s="631"/>
      <c r="E65" s="631" t="s">
        <v>371</v>
      </c>
      <c r="F65" s="631"/>
      <c r="G65" s="631"/>
      <c r="H65" s="631"/>
      <c r="I65" s="635" t="s">
        <v>371</v>
      </c>
      <c r="J65" s="635"/>
      <c r="K65" s="635"/>
      <c r="L65" s="635"/>
      <c r="M65" s="635"/>
      <c r="N65" s="631"/>
      <c r="O65" s="631"/>
      <c r="P65" s="631" t="s">
        <v>372</v>
      </c>
      <c r="Q65" s="631"/>
      <c r="R65" s="631"/>
      <c r="S65" s="631"/>
      <c r="T65" s="631"/>
      <c r="U65" s="631" t="s">
        <v>372</v>
      </c>
      <c r="V65" s="631"/>
      <c r="W65" s="631"/>
      <c r="X65" s="631"/>
      <c r="Y65" s="631"/>
      <c r="Z65" s="631" t="s">
        <v>372</v>
      </c>
      <c r="AA65" s="631"/>
      <c r="AB65" s="631"/>
      <c r="AC65" s="631"/>
      <c r="AD65" s="631"/>
      <c r="AE65" s="631" t="s">
        <v>372</v>
      </c>
      <c r="AF65" s="631"/>
      <c r="AG65" s="631"/>
      <c r="AH65" s="631"/>
      <c r="AI65" s="631"/>
      <c r="AJ65" s="631" t="s">
        <v>372</v>
      </c>
      <c r="AK65" s="631"/>
      <c r="AL65" s="631"/>
      <c r="AM65" s="631"/>
      <c r="AN65" s="631"/>
      <c r="AO65" s="631" t="s">
        <v>372</v>
      </c>
      <c r="AP65" s="631"/>
      <c r="AQ65" s="631"/>
      <c r="AR65" s="631"/>
      <c r="AS65" s="631"/>
      <c r="AT65" s="631" t="s">
        <v>372</v>
      </c>
      <c r="AU65" s="631"/>
      <c r="AV65" s="631"/>
      <c r="AW65" s="631"/>
      <c r="AX65" s="631"/>
    </row>
    <row r="66" spans="2:50" ht="14.25" customHeight="1">
      <c r="B66" s="631"/>
      <c r="C66" s="631"/>
      <c r="D66" s="631"/>
      <c r="E66" s="180" t="s">
        <v>159</v>
      </c>
      <c r="F66" s="180" t="s">
        <v>373</v>
      </c>
      <c r="G66" s="180" t="s">
        <v>161</v>
      </c>
      <c r="H66" s="631"/>
      <c r="I66" s="181" t="s">
        <v>159</v>
      </c>
      <c r="J66" s="181" t="s">
        <v>373</v>
      </c>
      <c r="K66" s="181" t="s">
        <v>161</v>
      </c>
      <c r="L66" s="635"/>
      <c r="M66" s="635"/>
      <c r="N66" s="631"/>
      <c r="O66" s="631"/>
      <c r="P66" s="180" t="s">
        <v>159</v>
      </c>
      <c r="Q66" s="180" t="s">
        <v>373</v>
      </c>
      <c r="R66" s="180" t="s">
        <v>161</v>
      </c>
      <c r="S66" s="182" t="s">
        <v>165</v>
      </c>
      <c r="T66" s="631"/>
      <c r="U66" s="180" t="s">
        <v>159</v>
      </c>
      <c r="V66" s="180" t="s">
        <v>373</v>
      </c>
      <c r="W66" s="180" t="s">
        <v>161</v>
      </c>
      <c r="X66" s="182" t="s">
        <v>165</v>
      </c>
      <c r="Y66" s="631"/>
      <c r="Z66" s="180" t="s">
        <v>159</v>
      </c>
      <c r="AA66" s="180" t="s">
        <v>373</v>
      </c>
      <c r="AB66" s="180" t="s">
        <v>161</v>
      </c>
      <c r="AC66" s="182" t="s">
        <v>165</v>
      </c>
      <c r="AD66" s="631"/>
      <c r="AE66" s="180" t="s">
        <v>159</v>
      </c>
      <c r="AF66" s="180" t="s">
        <v>373</v>
      </c>
      <c r="AG66" s="180" t="s">
        <v>161</v>
      </c>
      <c r="AH66" s="182" t="s">
        <v>165</v>
      </c>
      <c r="AI66" s="631"/>
      <c r="AJ66" s="180" t="s">
        <v>159</v>
      </c>
      <c r="AK66" s="180" t="s">
        <v>373</v>
      </c>
      <c r="AL66" s="180" t="s">
        <v>161</v>
      </c>
      <c r="AM66" s="182" t="s">
        <v>165</v>
      </c>
      <c r="AN66" s="631"/>
      <c r="AO66" s="180" t="s">
        <v>159</v>
      </c>
      <c r="AP66" s="180" t="s">
        <v>373</v>
      </c>
      <c r="AQ66" s="180" t="s">
        <v>161</v>
      </c>
      <c r="AR66" s="182" t="s">
        <v>165</v>
      </c>
      <c r="AS66" s="631"/>
      <c r="AT66" s="180" t="s">
        <v>159</v>
      </c>
      <c r="AU66" s="180" t="s">
        <v>373</v>
      </c>
      <c r="AV66" s="180" t="s">
        <v>161</v>
      </c>
      <c r="AW66" s="182" t="s">
        <v>165</v>
      </c>
      <c r="AX66" s="631"/>
    </row>
    <row r="67" spans="2:50" ht="14.25" customHeight="1">
      <c r="B67" s="676" t="s">
        <v>432</v>
      </c>
      <c r="C67" s="180">
        <v>1</v>
      </c>
      <c r="D67" s="183" t="s">
        <v>349</v>
      </c>
      <c r="E67" s="180">
        <v>21</v>
      </c>
      <c r="F67" s="180">
        <v>2790</v>
      </c>
      <c r="G67" s="185">
        <f t="shared" ref="G67" si="24">F67/E67</f>
        <v>132.85714285714286</v>
      </c>
      <c r="H67" s="632">
        <f>AVERAGE(G67:G81)</f>
        <v>132.85714285714286</v>
      </c>
      <c r="I67" s="186">
        <f>AVERAGE(P67,U67,Z67,AE67,AJ67,AO67,AT67)</f>
        <v>24.714285714285715</v>
      </c>
      <c r="J67" s="186">
        <f>AVERAGE(Q67,V67,AA67,AF67,AK67,AP67,AU67)</f>
        <v>2939.5412087912091</v>
      </c>
      <c r="K67" s="187">
        <f>AVERAGE(R67,W67,AB67,AG67,AL67,AQ67,AV67)</f>
        <v>118.9664452938366</v>
      </c>
      <c r="L67" s="633">
        <f>IFERROR(AVERAGE(K67:K81),"-")</f>
        <v>118.9664452938366</v>
      </c>
      <c r="M67" s="186">
        <f>RANK(K67, K$67:$K$81)</f>
        <v>1</v>
      </c>
      <c r="N67" s="631"/>
      <c r="O67" s="631"/>
      <c r="P67" s="188">
        <v>23</v>
      </c>
      <c r="Q67" s="188">
        <v>2786.9038461538462</v>
      </c>
      <c r="R67" s="185">
        <f>IFERROR(Q67/P67,"")</f>
        <v>121.16973244147157</v>
      </c>
      <c r="S67" s="182">
        <f>RANK(R67, R$67:R$81)</f>
        <v>1</v>
      </c>
      <c r="T67" s="632">
        <f>AVERAGE(R67:R81)</f>
        <v>121.16973244147157</v>
      </c>
      <c r="U67" s="188">
        <v>25</v>
      </c>
      <c r="V67" s="188">
        <v>2964.9807692307695</v>
      </c>
      <c r="W67" s="185">
        <f t="shared" ref="W67" si="25">IFERROR(V67/U67,"")</f>
        <v>118.59923076923079</v>
      </c>
      <c r="X67" s="182">
        <f>RANK(W67, W$67:W$81)</f>
        <v>1</v>
      </c>
      <c r="Y67" s="632">
        <f>AVERAGE(W67:W81)</f>
        <v>118.59923076923079</v>
      </c>
      <c r="Z67" s="188">
        <v>25</v>
      </c>
      <c r="AA67" s="188">
        <v>2964.9807692307695</v>
      </c>
      <c r="AB67" s="185">
        <f t="shared" ref="AB67" si="26">IFERROR(AA67/Z67,"")</f>
        <v>118.59923076923079</v>
      </c>
      <c r="AC67" s="182">
        <f>RANK(AB67, AB$67:AB$81)</f>
        <v>1</v>
      </c>
      <c r="AD67" s="632">
        <f>AVERAGE(AB67:AB81)</f>
        <v>118.59923076923079</v>
      </c>
      <c r="AE67" s="188">
        <v>25</v>
      </c>
      <c r="AF67" s="188">
        <v>2964.9807692307691</v>
      </c>
      <c r="AG67" s="185">
        <f>IFERROR(AF67/AE67,"")</f>
        <v>118.59923076923076</v>
      </c>
      <c r="AH67" s="182">
        <f>RANK(AG67, AG$67:AG$81)</f>
        <v>1</v>
      </c>
      <c r="AI67" s="632">
        <f>AVERAGE(AG67:AG81)</f>
        <v>118.59923076923076</v>
      </c>
      <c r="AJ67" s="188">
        <v>25</v>
      </c>
      <c r="AK67" s="188">
        <v>2964.9807692307695</v>
      </c>
      <c r="AL67" s="185">
        <f t="shared" ref="AL67" si="27">IFERROR(AK67/AJ67,"")</f>
        <v>118.59923076923079</v>
      </c>
      <c r="AM67" s="182">
        <f>RANK(AL67, AL$67:AL$81)</f>
        <v>1</v>
      </c>
      <c r="AN67" s="632">
        <f>AVERAGE(AL67:AL81)</f>
        <v>118.59923076923079</v>
      </c>
      <c r="AO67" s="188">
        <v>25</v>
      </c>
      <c r="AP67" s="188">
        <v>2964.9807692307695</v>
      </c>
      <c r="AQ67" s="185">
        <f t="shared" ref="AQ67" si="28">IFERROR(AP67/AO67,"")</f>
        <v>118.59923076923079</v>
      </c>
      <c r="AR67" s="182">
        <f>RANK(AQ67, AQ$67:AQ$81)</f>
        <v>1</v>
      </c>
      <c r="AS67" s="632">
        <f>AVERAGE(AQ67:AQ81)</f>
        <v>118.59923076923079</v>
      </c>
      <c r="AT67" s="188">
        <v>25</v>
      </c>
      <c r="AU67" s="188">
        <v>2964.9807692307691</v>
      </c>
      <c r="AV67" s="185">
        <f t="shared" ref="AV67" si="29">IFERROR(AU67/AT67,"")</f>
        <v>118.59923076923076</v>
      </c>
      <c r="AW67" s="182">
        <f>RANK(AV67, AV$67:AV$81)</f>
        <v>1</v>
      </c>
      <c r="AX67" s="632">
        <f>AVERAGE(AV67:AV81)</f>
        <v>118.59923076923076</v>
      </c>
    </row>
    <row r="68" spans="2:50" ht="14.25" customHeight="1">
      <c r="B68" s="631"/>
      <c r="C68" s="180">
        <v>2</v>
      </c>
      <c r="D68" s="183"/>
      <c r="E68" s="180"/>
      <c r="F68" s="180"/>
      <c r="G68" s="185"/>
      <c r="H68" s="632"/>
      <c r="I68" s="186"/>
      <c r="J68" s="186"/>
      <c r="K68" s="187"/>
      <c r="L68" s="633"/>
      <c r="M68" s="186"/>
      <c r="N68" s="631"/>
      <c r="O68" s="631"/>
      <c r="P68" s="188"/>
      <c r="Q68" s="188"/>
      <c r="R68" s="185"/>
      <c r="S68" s="182"/>
      <c r="T68" s="632"/>
      <c r="U68" s="188"/>
      <c r="V68" s="188"/>
      <c r="W68" s="185"/>
      <c r="X68" s="182"/>
      <c r="Y68" s="632"/>
      <c r="Z68" s="188"/>
      <c r="AA68" s="188"/>
      <c r="AB68" s="185"/>
      <c r="AC68" s="182"/>
      <c r="AD68" s="632"/>
      <c r="AE68" s="188"/>
      <c r="AF68" s="188"/>
      <c r="AG68" s="185"/>
      <c r="AH68" s="182"/>
      <c r="AI68" s="632"/>
      <c r="AJ68" s="188"/>
      <c r="AK68" s="188"/>
      <c r="AL68" s="185"/>
      <c r="AM68" s="182"/>
      <c r="AN68" s="632"/>
      <c r="AO68" s="188"/>
      <c r="AP68" s="188"/>
      <c r="AQ68" s="185"/>
      <c r="AR68" s="182"/>
      <c r="AS68" s="632"/>
      <c r="AT68" s="188"/>
      <c r="AU68" s="188"/>
      <c r="AV68" s="185"/>
      <c r="AW68" s="182"/>
      <c r="AX68" s="632"/>
    </row>
    <row r="69" spans="2:50" ht="14.25" customHeight="1">
      <c r="B69" s="631"/>
      <c r="C69" s="180">
        <v>3</v>
      </c>
      <c r="D69" s="183"/>
      <c r="E69" s="180"/>
      <c r="F69" s="180"/>
      <c r="G69" s="185"/>
      <c r="H69" s="632"/>
      <c r="I69" s="186"/>
      <c r="J69" s="186"/>
      <c r="K69" s="187"/>
      <c r="L69" s="633"/>
      <c r="M69" s="186"/>
      <c r="N69" s="631"/>
      <c r="O69" s="631"/>
      <c r="P69" s="188"/>
      <c r="Q69" s="188"/>
      <c r="R69" s="185"/>
      <c r="S69" s="182"/>
      <c r="T69" s="632"/>
      <c r="U69" s="188"/>
      <c r="V69" s="188"/>
      <c r="W69" s="185"/>
      <c r="X69" s="182"/>
      <c r="Y69" s="632"/>
      <c r="Z69" s="188"/>
      <c r="AA69" s="188"/>
      <c r="AB69" s="185"/>
      <c r="AC69" s="182"/>
      <c r="AD69" s="632"/>
      <c r="AE69" s="188"/>
      <c r="AF69" s="188"/>
      <c r="AG69" s="185"/>
      <c r="AH69" s="182"/>
      <c r="AI69" s="632"/>
      <c r="AJ69" s="188"/>
      <c r="AK69" s="188"/>
      <c r="AL69" s="185"/>
      <c r="AM69" s="182"/>
      <c r="AN69" s="632"/>
      <c r="AO69" s="188"/>
      <c r="AP69" s="188"/>
      <c r="AQ69" s="185"/>
      <c r="AR69" s="182"/>
      <c r="AS69" s="632"/>
      <c r="AT69" s="188"/>
      <c r="AU69" s="188"/>
      <c r="AV69" s="185"/>
      <c r="AW69" s="182"/>
      <c r="AX69" s="632"/>
    </row>
    <row r="70" spans="2:50" ht="14.25" customHeight="1">
      <c r="B70" s="631"/>
      <c r="C70" s="180">
        <v>4</v>
      </c>
      <c r="D70" s="183"/>
      <c r="E70" s="180"/>
      <c r="F70" s="180"/>
      <c r="G70" s="185"/>
      <c r="H70" s="632"/>
      <c r="I70" s="186"/>
      <c r="J70" s="186"/>
      <c r="K70" s="187"/>
      <c r="L70" s="633"/>
      <c r="M70" s="186"/>
      <c r="N70" s="631"/>
      <c r="O70" s="631"/>
      <c r="P70" s="188"/>
      <c r="Q70" s="188"/>
      <c r="R70" s="185"/>
      <c r="S70" s="182"/>
      <c r="T70" s="632"/>
      <c r="U70" s="188"/>
      <c r="V70" s="188"/>
      <c r="W70" s="185"/>
      <c r="X70" s="182"/>
      <c r="Y70" s="632"/>
      <c r="Z70" s="188"/>
      <c r="AA70" s="188"/>
      <c r="AB70" s="185"/>
      <c r="AC70" s="182"/>
      <c r="AD70" s="632"/>
      <c r="AE70" s="188"/>
      <c r="AF70" s="188"/>
      <c r="AG70" s="185"/>
      <c r="AH70" s="182"/>
      <c r="AI70" s="632"/>
      <c r="AJ70" s="188"/>
      <c r="AK70" s="188"/>
      <c r="AL70" s="185"/>
      <c r="AM70" s="182"/>
      <c r="AN70" s="632"/>
      <c r="AO70" s="188"/>
      <c r="AP70" s="188"/>
      <c r="AQ70" s="185"/>
      <c r="AR70" s="182"/>
      <c r="AS70" s="632"/>
      <c r="AT70" s="188"/>
      <c r="AU70" s="188"/>
      <c r="AV70" s="185"/>
      <c r="AW70" s="182"/>
      <c r="AX70" s="632"/>
    </row>
    <row r="71" spans="2:50" ht="14.25" customHeight="1">
      <c r="B71" s="631"/>
      <c r="C71" s="180">
        <v>5</v>
      </c>
      <c r="D71" s="183"/>
      <c r="E71" s="180"/>
      <c r="F71" s="180"/>
      <c r="G71" s="185"/>
      <c r="H71" s="632"/>
      <c r="I71" s="186"/>
      <c r="J71" s="186"/>
      <c r="K71" s="187"/>
      <c r="L71" s="633"/>
      <c r="M71" s="186"/>
      <c r="N71" s="631"/>
      <c r="O71" s="631"/>
      <c r="P71" s="188"/>
      <c r="Q71" s="188"/>
      <c r="R71" s="185"/>
      <c r="S71" s="182"/>
      <c r="T71" s="632"/>
      <c r="U71" s="188"/>
      <c r="V71" s="188"/>
      <c r="W71" s="185"/>
      <c r="X71" s="182"/>
      <c r="Y71" s="632"/>
      <c r="Z71" s="188"/>
      <c r="AA71" s="188"/>
      <c r="AB71" s="185"/>
      <c r="AC71" s="182"/>
      <c r="AD71" s="632"/>
      <c r="AE71" s="188"/>
      <c r="AF71" s="188"/>
      <c r="AG71" s="185"/>
      <c r="AH71" s="182"/>
      <c r="AI71" s="632"/>
      <c r="AJ71" s="188"/>
      <c r="AK71" s="188"/>
      <c r="AL71" s="185"/>
      <c r="AM71" s="182"/>
      <c r="AN71" s="632"/>
      <c r="AO71" s="188"/>
      <c r="AP71" s="188"/>
      <c r="AQ71" s="185"/>
      <c r="AR71" s="182"/>
      <c r="AS71" s="632"/>
      <c r="AT71" s="188"/>
      <c r="AU71" s="188"/>
      <c r="AV71" s="185"/>
      <c r="AW71" s="182"/>
      <c r="AX71" s="632"/>
    </row>
    <row r="72" spans="2:50" ht="14.25" customHeight="1">
      <c r="B72" s="631"/>
      <c r="C72" s="180">
        <v>6</v>
      </c>
      <c r="D72" s="183"/>
      <c r="E72" s="180"/>
      <c r="F72" s="180"/>
      <c r="G72" s="185"/>
      <c r="H72" s="632"/>
      <c r="I72" s="186"/>
      <c r="J72" s="186"/>
      <c r="K72" s="187"/>
      <c r="L72" s="633"/>
      <c r="M72" s="186"/>
      <c r="N72" s="631"/>
      <c r="O72" s="631"/>
      <c r="P72" s="188"/>
      <c r="Q72" s="188"/>
      <c r="R72" s="185"/>
      <c r="S72" s="182"/>
      <c r="T72" s="632"/>
      <c r="U72" s="188"/>
      <c r="V72" s="188"/>
      <c r="W72" s="185"/>
      <c r="X72" s="182"/>
      <c r="Y72" s="632"/>
      <c r="Z72" s="188"/>
      <c r="AA72" s="188"/>
      <c r="AB72" s="185"/>
      <c r="AC72" s="182"/>
      <c r="AD72" s="632"/>
      <c r="AE72" s="188"/>
      <c r="AF72" s="188"/>
      <c r="AG72" s="185"/>
      <c r="AH72" s="182"/>
      <c r="AI72" s="632"/>
      <c r="AJ72" s="188"/>
      <c r="AK72" s="188"/>
      <c r="AL72" s="185"/>
      <c r="AM72" s="182"/>
      <c r="AN72" s="632"/>
      <c r="AO72" s="188"/>
      <c r="AP72" s="188"/>
      <c r="AQ72" s="185"/>
      <c r="AR72" s="182"/>
      <c r="AS72" s="632"/>
      <c r="AT72" s="188"/>
      <c r="AU72" s="188"/>
      <c r="AV72" s="185"/>
      <c r="AW72" s="182"/>
      <c r="AX72" s="632"/>
    </row>
    <row r="73" spans="2:50" ht="14.25" customHeight="1">
      <c r="B73" s="631"/>
      <c r="C73" s="180">
        <v>7</v>
      </c>
      <c r="D73" s="183"/>
      <c r="E73" s="180"/>
      <c r="F73" s="180"/>
      <c r="G73" s="185"/>
      <c r="H73" s="632"/>
      <c r="I73" s="186"/>
      <c r="J73" s="186"/>
      <c r="K73" s="187"/>
      <c r="L73" s="633"/>
      <c r="M73" s="186"/>
      <c r="N73" s="631"/>
      <c r="O73" s="631"/>
      <c r="P73" s="188"/>
      <c r="Q73" s="188"/>
      <c r="R73" s="185"/>
      <c r="S73" s="182"/>
      <c r="T73" s="632"/>
      <c r="U73" s="188"/>
      <c r="V73" s="188"/>
      <c r="W73" s="185"/>
      <c r="X73" s="182"/>
      <c r="Y73" s="632"/>
      <c r="Z73" s="188"/>
      <c r="AA73" s="188"/>
      <c r="AB73" s="185"/>
      <c r="AC73" s="182"/>
      <c r="AD73" s="632"/>
      <c r="AE73" s="188"/>
      <c r="AF73" s="188"/>
      <c r="AG73" s="185"/>
      <c r="AH73" s="182"/>
      <c r="AI73" s="632"/>
      <c r="AJ73" s="188"/>
      <c r="AK73" s="188"/>
      <c r="AL73" s="185"/>
      <c r="AM73" s="182"/>
      <c r="AN73" s="632"/>
      <c r="AO73" s="188"/>
      <c r="AP73" s="188"/>
      <c r="AQ73" s="185"/>
      <c r="AR73" s="182"/>
      <c r="AS73" s="632"/>
      <c r="AT73" s="188"/>
      <c r="AU73" s="188"/>
      <c r="AV73" s="185"/>
      <c r="AW73" s="182"/>
      <c r="AX73" s="632"/>
    </row>
    <row r="74" spans="2:50" ht="14.25" customHeight="1">
      <c r="B74" s="631"/>
      <c r="C74" s="180">
        <v>8</v>
      </c>
      <c r="D74" s="183"/>
      <c r="E74" s="180"/>
      <c r="F74" s="180"/>
      <c r="G74" s="185"/>
      <c r="H74" s="632"/>
      <c r="I74" s="186"/>
      <c r="J74" s="186"/>
      <c r="K74" s="187"/>
      <c r="L74" s="633"/>
      <c r="M74" s="186"/>
      <c r="N74" s="631"/>
      <c r="O74" s="631"/>
      <c r="P74" s="188"/>
      <c r="Q74" s="188"/>
      <c r="R74" s="185"/>
      <c r="S74" s="182"/>
      <c r="T74" s="632"/>
      <c r="U74" s="188"/>
      <c r="V74" s="188"/>
      <c r="W74" s="185"/>
      <c r="X74" s="182"/>
      <c r="Y74" s="632"/>
      <c r="Z74" s="188"/>
      <c r="AA74" s="188"/>
      <c r="AB74" s="185"/>
      <c r="AC74" s="182"/>
      <c r="AD74" s="632"/>
      <c r="AE74" s="188"/>
      <c r="AF74" s="188"/>
      <c r="AG74" s="185"/>
      <c r="AH74" s="182"/>
      <c r="AI74" s="632"/>
      <c r="AJ74" s="188"/>
      <c r="AK74" s="188"/>
      <c r="AL74" s="185"/>
      <c r="AM74" s="182"/>
      <c r="AN74" s="632"/>
      <c r="AO74" s="188"/>
      <c r="AP74" s="188"/>
      <c r="AQ74" s="185"/>
      <c r="AR74" s="182"/>
      <c r="AS74" s="632"/>
      <c r="AT74" s="188"/>
      <c r="AU74" s="188"/>
      <c r="AV74" s="185"/>
      <c r="AW74" s="182"/>
      <c r="AX74" s="632"/>
    </row>
    <row r="75" spans="2:50" ht="14.25" customHeight="1">
      <c r="B75" s="631"/>
      <c r="C75" s="180">
        <v>9</v>
      </c>
      <c r="D75" s="183"/>
      <c r="E75" s="180"/>
      <c r="F75" s="180"/>
      <c r="G75" s="185"/>
      <c r="H75" s="632"/>
      <c r="I75" s="186"/>
      <c r="J75" s="186"/>
      <c r="K75" s="187"/>
      <c r="L75" s="633"/>
      <c r="M75" s="186"/>
      <c r="N75" s="631"/>
      <c r="O75" s="631"/>
      <c r="P75" s="188"/>
      <c r="Q75" s="188"/>
      <c r="R75" s="185"/>
      <c r="S75" s="182"/>
      <c r="T75" s="632"/>
      <c r="U75" s="188"/>
      <c r="V75" s="188"/>
      <c r="W75" s="185"/>
      <c r="X75" s="182"/>
      <c r="Y75" s="632"/>
      <c r="Z75" s="188"/>
      <c r="AA75" s="188"/>
      <c r="AB75" s="185"/>
      <c r="AC75" s="182"/>
      <c r="AD75" s="632"/>
      <c r="AE75" s="188"/>
      <c r="AF75" s="188"/>
      <c r="AG75" s="185"/>
      <c r="AH75" s="182"/>
      <c r="AI75" s="632"/>
      <c r="AJ75" s="188"/>
      <c r="AK75" s="188"/>
      <c r="AL75" s="185"/>
      <c r="AM75" s="182"/>
      <c r="AN75" s="632"/>
      <c r="AO75" s="188"/>
      <c r="AP75" s="188"/>
      <c r="AQ75" s="185"/>
      <c r="AR75" s="182"/>
      <c r="AS75" s="632"/>
      <c r="AT75" s="188"/>
      <c r="AU75" s="188"/>
      <c r="AV75" s="185"/>
      <c r="AW75" s="182"/>
      <c r="AX75" s="632"/>
    </row>
    <row r="76" spans="2:50" ht="14.25" customHeight="1">
      <c r="B76" s="631"/>
      <c r="C76" s="180">
        <v>10</v>
      </c>
      <c r="D76" s="183"/>
      <c r="E76" s="180"/>
      <c r="F76" s="180"/>
      <c r="G76" s="185"/>
      <c r="H76" s="632"/>
      <c r="I76" s="186"/>
      <c r="J76" s="186"/>
      <c r="K76" s="187"/>
      <c r="L76" s="633"/>
      <c r="M76" s="186"/>
      <c r="N76" s="631"/>
      <c r="O76" s="631"/>
      <c r="P76" s="188"/>
      <c r="Q76" s="188"/>
      <c r="R76" s="185"/>
      <c r="S76" s="182"/>
      <c r="T76" s="632"/>
      <c r="U76" s="188"/>
      <c r="V76" s="188"/>
      <c r="W76" s="185"/>
      <c r="X76" s="182"/>
      <c r="Y76" s="632"/>
      <c r="Z76" s="188"/>
      <c r="AA76" s="188"/>
      <c r="AB76" s="185"/>
      <c r="AC76" s="182"/>
      <c r="AD76" s="632"/>
      <c r="AE76" s="188"/>
      <c r="AF76" s="188"/>
      <c r="AG76" s="185"/>
      <c r="AH76" s="182"/>
      <c r="AI76" s="632"/>
      <c r="AJ76" s="188"/>
      <c r="AK76" s="188"/>
      <c r="AL76" s="185"/>
      <c r="AM76" s="182"/>
      <c r="AN76" s="632"/>
      <c r="AO76" s="188"/>
      <c r="AP76" s="188"/>
      <c r="AQ76" s="185"/>
      <c r="AR76" s="182"/>
      <c r="AS76" s="632"/>
      <c r="AT76" s="188"/>
      <c r="AU76" s="188"/>
      <c r="AV76" s="185"/>
      <c r="AW76" s="182"/>
      <c r="AX76" s="632"/>
    </row>
    <row r="77" spans="2:50" ht="14.25" customHeight="1">
      <c r="B77" s="631"/>
      <c r="C77" s="180">
        <v>11</v>
      </c>
      <c r="D77" s="183"/>
      <c r="E77" s="180"/>
      <c r="F77" s="180"/>
      <c r="G77" s="185"/>
      <c r="H77" s="632"/>
      <c r="I77" s="186"/>
      <c r="J77" s="186"/>
      <c r="K77" s="187"/>
      <c r="L77" s="633"/>
      <c r="M77" s="186"/>
      <c r="N77" s="631"/>
      <c r="O77" s="631"/>
      <c r="P77" s="188"/>
      <c r="Q77" s="188"/>
      <c r="R77" s="185"/>
      <c r="S77" s="182"/>
      <c r="T77" s="632"/>
      <c r="U77" s="188"/>
      <c r="V77" s="188"/>
      <c r="W77" s="185"/>
      <c r="X77" s="182"/>
      <c r="Y77" s="632"/>
      <c r="Z77" s="188"/>
      <c r="AA77" s="188"/>
      <c r="AB77" s="185"/>
      <c r="AC77" s="182"/>
      <c r="AD77" s="632"/>
      <c r="AE77" s="188"/>
      <c r="AF77" s="188"/>
      <c r="AG77" s="185"/>
      <c r="AH77" s="182"/>
      <c r="AI77" s="632"/>
      <c r="AJ77" s="188"/>
      <c r="AK77" s="188"/>
      <c r="AL77" s="185"/>
      <c r="AM77" s="182"/>
      <c r="AN77" s="632"/>
      <c r="AO77" s="188"/>
      <c r="AP77" s="188"/>
      <c r="AQ77" s="185"/>
      <c r="AR77" s="182"/>
      <c r="AS77" s="632"/>
      <c r="AT77" s="188"/>
      <c r="AU77" s="188"/>
      <c r="AV77" s="185"/>
      <c r="AW77" s="182"/>
      <c r="AX77" s="632"/>
    </row>
    <row r="78" spans="2:50" ht="14.25" customHeight="1">
      <c r="B78" s="631"/>
      <c r="C78" s="180">
        <v>12</v>
      </c>
      <c r="D78" s="183"/>
      <c r="E78" s="180"/>
      <c r="F78" s="180"/>
      <c r="G78" s="185"/>
      <c r="H78" s="632"/>
      <c r="I78" s="186"/>
      <c r="J78" s="186"/>
      <c r="K78" s="187"/>
      <c r="L78" s="633"/>
      <c r="M78" s="186"/>
      <c r="N78" s="631"/>
      <c r="O78" s="631"/>
      <c r="P78" s="188"/>
      <c r="Q78" s="188"/>
      <c r="R78" s="185"/>
      <c r="S78" s="182"/>
      <c r="T78" s="632"/>
      <c r="U78" s="188"/>
      <c r="V78" s="188"/>
      <c r="W78" s="185"/>
      <c r="X78" s="182"/>
      <c r="Y78" s="632"/>
      <c r="Z78" s="188"/>
      <c r="AA78" s="188"/>
      <c r="AB78" s="185"/>
      <c r="AC78" s="182"/>
      <c r="AD78" s="632"/>
      <c r="AE78" s="188"/>
      <c r="AF78" s="188"/>
      <c r="AG78" s="185"/>
      <c r="AH78" s="182"/>
      <c r="AI78" s="632"/>
      <c r="AJ78" s="188"/>
      <c r="AK78" s="188"/>
      <c r="AL78" s="185"/>
      <c r="AM78" s="182"/>
      <c r="AN78" s="632"/>
      <c r="AO78" s="188"/>
      <c r="AP78" s="188"/>
      <c r="AQ78" s="185"/>
      <c r="AR78" s="182"/>
      <c r="AS78" s="632"/>
      <c r="AT78" s="188"/>
      <c r="AU78" s="188"/>
      <c r="AV78" s="185"/>
      <c r="AW78" s="182"/>
      <c r="AX78" s="632"/>
    </row>
    <row r="79" spans="2:50" ht="14.25" customHeight="1">
      <c r="B79" s="631"/>
      <c r="C79" s="180">
        <v>13</v>
      </c>
      <c r="D79" s="183"/>
      <c r="E79" s="180"/>
      <c r="F79" s="180"/>
      <c r="G79" s="185"/>
      <c r="H79" s="632"/>
      <c r="I79" s="186"/>
      <c r="J79" s="186"/>
      <c r="K79" s="187"/>
      <c r="L79" s="633"/>
      <c r="M79" s="186"/>
      <c r="N79" s="631"/>
      <c r="O79" s="631"/>
      <c r="P79" s="188"/>
      <c r="Q79" s="188"/>
      <c r="R79" s="185"/>
      <c r="S79" s="182"/>
      <c r="T79" s="632"/>
      <c r="U79" s="188"/>
      <c r="V79" s="188"/>
      <c r="W79" s="185"/>
      <c r="X79" s="182"/>
      <c r="Y79" s="632"/>
      <c r="Z79" s="188"/>
      <c r="AA79" s="188"/>
      <c r="AB79" s="185"/>
      <c r="AC79" s="182"/>
      <c r="AD79" s="632"/>
      <c r="AE79" s="188"/>
      <c r="AF79" s="188"/>
      <c r="AG79" s="185"/>
      <c r="AH79" s="182"/>
      <c r="AI79" s="632"/>
      <c r="AJ79" s="188"/>
      <c r="AK79" s="188"/>
      <c r="AL79" s="185"/>
      <c r="AM79" s="182"/>
      <c r="AN79" s="632"/>
      <c r="AO79" s="188"/>
      <c r="AP79" s="188"/>
      <c r="AQ79" s="185"/>
      <c r="AR79" s="182"/>
      <c r="AS79" s="632"/>
      <c r="AT79" s="188"/>
      <c r="AU79" s="188"/>
      <c r="AV79" s="185"/>
      <c r="AW79" s="182"/>
      <c r="AX79" s="632"/>
    </row>
    <row r="80" spans="2:50" ht="14.25" customHeight="1">
      <c r="B80" s="631"/>
      <c r="C80" s="180">
        <v>14</v>
      </c>
      <c r="D80" s="183"/>
      <c r="E80" s="180"/>
      <c r="F80" s="180"/>
      <c r="G80" s="185"/>
      <c r="H80" s="632"/>
      <c r="I80" s="186"/>
      <c r="J80" s="186"/>
      <c r="K80" s="187"/>
      <c r="L80" s="633"/>
      <c r="M80" s="186"/>
      <c r="N80" s="631"/>
      <c r="O80" s="631"/>
      <c r="P80" s="188"/>
      <c r="Q80" s="188"/>
      <c r="R80" s="185"/>
      <c r="S80" s="182"/>
      <c r="T80" s="632"/>
      <c r="U80" s="188"/>
      <c r="V80" s="188"/>
      <c r="W80" s="185"/>
      <c r="X80" s="182"/>
      <c r="Y80" s="632"/>
      <c r="Z80" s="188"/>
      <c r="AA80" s="188"/>
      <c r="AB80" s="185"/>
      <c r="AC80" s="182"/>
      <c r="AD80" s="632"/>
      <c r="AE80" s="188"/>
      <c r="AF80" s="188"/>
      <c r="AG80" s="185"/>
      <c r="AH80" s="182"/>
      <c r="AI80" s="632"/>
      <c r="AJ80" s="188"/>
      <c r="AK80" s="188"/>
      <c r="AL80" s="185"/>
      <c r="AM80" s="182"/>
      <c r="AN80" s="632"/>
      <c r="AO80" s="188"/>
      <c r="AP80" s="188"/>
      <c r="AQ80" s="185"/>
      <c r="AR80" s="182"/>
      <c r="AS80" s="632"/>
      <c r="AT80" s="188"/>
      <c r="AU80" s="188"/>
      <c r="AV80" s="185"/>
      <c r="AW80" s="182"/>
      <c r="AX80" s="632"/>
    </row>
    <row r="81" spans="2:50" ht="14.25" customHeight="1">
      <c r="B81" s="631"/>
      <c r="C81" s="180">
        <v>15</v>
      </c>
      <c r="D81" s="183"/>
      <c r="E81" s="180"/>
      <c r="F81" s="180"/>
      <c r="G81" s="185"/>
      <c r="H81" s="632"/>
      <c r="I81" s="186"/>
      <c r="J81" s="186"/>
      <c r="K81" s="187"/>
      <c r="L81" s="633"/>
      <c r="M81" s="186"/>
      <c r="N81" s="631"/>
      <c r="O81" s="631"/>
      <c r="P81" s="188"/>
      <c r="Q81" s="188"/>
      <c r="R81" s="185"/>
      <c r="S81" s="182"/>
      <c r="T81" s="632"/>
      <c r="U81" s="188"/>
      <c r="V81" s="188"/>
      <c r="W81" s="185"/>
      <c r="X81" s="182"/>
      <c r="Y81" s="632"/>
      <c r="Z81" s="188"/>
      <c r="AA81" s="188"/>
      <c r="AB81" s="185"/>
      <c r="AC81" s="182"/>
      <c r="AD81" s="632"/>
      <c r="AE81" s="188"/>
      <c r="AF81" s="188"/>
      <c r="AG81" s="185"/>
      <c r="AH81" s="182"/>
      <c r="AI81" s="632"/>
      <c r="AJ81" s="188"/>
      <c r="AK81" s="188"/>
      <c r="AL81" s="185"/>
      <c r="AM81" s="182"/>
      <c r="AN81" s="632"/>
      <c r="AO81" s="188"/>
      <c r="AP81" s="188"/>
      <c r="AQ81" s="185"/>
      <c r="AR81" s="182"/>
      <c r="AS81" s="632"/>
      <c r="AT81" s="188"/>
      <c r="AU81" s="188"/>
      <c r="AV81" s="185"/>
      <c r="AW81" s="182"/>
      <c r="AX81" s="632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81"/>
  <sheetViews>
    <sheetView zoomScaleNormal="100" workbookViewId="0">
      <pane xSplit="13" ySplit="1" topLeftCell="N59" activePane="bottomRight" state="frozen"/>
      <selection activeCell="L95" sqref="L95"/>
      <selection pane="topRight" activeCell="L95" sqref="L95"/>
      <selection pane="bottomLeft" activeCell="L95" sqref="L95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4" t="s">
        <v>696</v>
      </c>
      <c r="C1" s="175">
        <f>AVERAGE(L7,L27,L47,L67)</f>
        <v>371.22991640591522</v>
      </c>
    </row>
    <row r="2" spans="1:50" ht="14.25" customHeight="1" collapsed="1">
      <c r="B2" s="646" t="s">
        <v>619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7"/>
      <c r="N2" s="664" t="s">
        <v>369</v>
      </c>
      <c r="O2" s="664" t="s">
        <v>105</v>
      </c>
      <c r="P2" s="666">
        <v>46140</v>
      </c>
      <c r="Q2" s="667"/>
      <c r="R2" s="667"/>
      <c r="S2" s="667"/>
      <c r="T2" s="667"/>
      <c r="U2" s="668">
        <v>46141</v>
      </c>
      <c r="V2" s="669"/>
      <c r="W2" s="669"/>
      <c r="X2" s="669"/>
      <c r="Y2" s="669"/>
      <c r="Z2" s="666">
        <v>46142</v>
      </c>
      <c r="AA2" s="667"/>
      <c r="AB2" s="667"/>
      <c r="AC2" s="667"/>
      <c r="AD2" s="667"/>
      <c r="AE2" s="668">
        <v>46143</v>
      </c>
      <c r="AF2" s="669"/>
      <c r="AG2" s="669"/>
      <c r="AH2" s="669"/>
      <c r="AI2" s="669"/>
      <c r="AJ2" s="656">
        <v>46144</v>
      </c>
      <c r="AK2" s="657"/>
      <c r="AL2" s="657"/>
      <c r="AM2" s="657"/>
      <c r="AN2" s="658"/>
      <c r="AO2" s="668">
        <v>46145</v>
      </c>
      <c r="AP2" s="669"/>
      <c r="AQ2" s="669"/>
      <c r="AR2" s="669"/>
      <c r="AS2" s="669"/>
      <c r="AT2" s="656">
        <v>46146</v>
      </c>
      <c r="AU2" s="657"/>
      <c r="AV2" s="657"/>
      <c r="AW2" s="657"/>
      <c r="AX2" s="658"/>
    </row>
    <row r="3" spans="1:50" ht="14.25" customHeight="1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665"/>
      <c r="O3" s="665"/>
      <c r="P3" s="659">
        <v>46140</v>
      </c>
      <c r="Q3" s="659"/>
      <c r="R3" s="659"/>
      <c r="S3" s="659"/>
      <c r="T3" s="659"/>
      <c r="U3" s="660">
        <v>46141</v>
      </c>
      <c r="V3" s="660"/>
      <c r="W3" s="660"/>
      <c r="X3" s="660"/>
      <c r="Y3" s="660"/>
      <c r="Z3" s="659">
        <v>46142</v>
      </c>
      <c r="AA3" s="659"/>
      <c r="AB3" s="659"/>
      <c r="AC3" s="659"/>
      <c r="AD3" s="659"/>
      <c r="AE3" s="660">
        <v>46143</v>
      </c>
      <c r="AF3" s="660"/>
      <c r="AG3" s="660"/>
      <c r="AH3" s="660"/>
      <c r="AI3" s="660"/>
      <c r="AJ3" s="661">
        <v>46144</v>
      </c>
      <c r="AK3" s="662"/>
      <c r="AL3" s="662"/>
      <c r="AM3" s="662"/>
      <c r="AN3" s="663"/>
      <c r="AO3" s="660">
        <v>46145</v>
      </c>
      <c r="AP3" s="660"/>
      <c r="AQ3" s="660"/>
      <c r="AR3" s="660"/>
      <c r="AS3" s="660"/>
      <c r="AT3" s="661">
        <v>46146</v>
      </c>
      <c r="AU3" s="662"/>
      <c r="AV3" s="662"/>
      <c r="AW3" s="662"/>
      <c r="AX3" s="663"/>
    </row>
    <row r="4" spans="1:50" ht="14.25" customHeight="1">
      <c r="B4" s="631" t="s">
        <v>162</v>
      </c>
      <c r="C4" s="631" t="s">
        <v>157</v>
      </c>
      <c r="D4" s="631"/>
      <c r="E4" s="631" t="s">
        <v>158</v>
      </c>
      <c r="F4" s="631"/>
      <c r="G4" s="631"/>
      <c r="H4" s="631" t="s">
        <v>163</v>
      </c>
      <c r="I4" s="635" t="s">
        <v>370</v>
      </c>
      <c r="J4" s="635"/>
      <c r="K4" s="635"/>
      <c r="L4" s="635" t="s">
        <v>163</v>
      </c>
      <c r="M4" s="635" t="s">
        <v>165</v>
      </c>
      <c r="N4" s="631"/>
      <c r="O4" s="631" t="s">
        <v>164</v>
      </c>
      <c r="P4" s="631" t="s">
        <v>160</v>
      </c>
      <c r="Q4" s="631"/>
      <c r="R4" s="631"/>
      <c r="S4" s="631"/>
      <c r="T4" s="631" t="s">
        <v>163</v>
      </c>
      <c r="U4" s="631" t="s">
        <v>160</v>
      </c>
      <c r="V4" s="631"/>
      <c r="W4" s="631"/>
      <c r="X4" s="631"/>
      <c r="Y4" s="631" t="s">
        <v>163</v>
      </c>
      <c r="Z4" s="631" t="s">
        <v>160</v>
      </c>
      <c r="AA4" s="631"/>
      <c r="AB4" s="631"/>
      <c r="AC4" s="631"/>
      <c r="AD4" s="631" t="s">
        <v>163</v>
      </c>
      <c r="AE4" s="631" t="s">
        <v>160</v>
      </c>
      <c r="AF4" s="631"/>
      <c r="AG4" s="631"/>
      <c r="AH4" s="631"/>
      <c r="AI4" s="631" t="s">
        <v>163</v>
      </c>
      <c r="AJ4" s="631" t="s">
        <v>160</v>
      </c>
      <c r="AK4" s="631"/>
      <c r="AL4" s="631"/>
      <c r="AM4" s="631"/>
      <c r="AN4" s="631" t="s">
        <v>163</v>
      </c>
      <c r="AO4" s="631" t="s">
        <v>160</v>
      </c>
      <c r="AP4" s="631"/>
      <c r="AQ4" s="631"/>
      <c r="AR4" s="631"/>
      <c r="AS4" s="631" t="s">
        <v>163</v>
      </c>
      <c r="AT4" s="631" t="s">
        <v>160</v>
      </c>
      <c r="AU4" s="631"/>
      <c r="AV4" s="631"/>
      <c r="AW4" s="631"/>
      <c r="AX4" s="631" t="s">
        <v>163</v>
      </c>
    </row>
    <row r="5" spans="1:50" ht="14.25" customHeight="1">
      <c r="B5" s="631"/>
      <c r="C5" s="631"/>
      <c r="D5" s="631"/>
      <c r="E5" s="631" t="s">
        <v>371</v>
      </c>
      <c r="F5" s="631"/>
      <c r="G5" s="631"/>
      <c r="H5" s="631"/>
      <c r="I5" s="635" t="s">
        <v>371</v>
      </c>
      <c r="J5" s="635"/>
      <c r="K5" s="635"/>
      <c r="L5" s="635"/>
      <c r="M5" s="635"/>
      <c r="N5" s="631"/>
      <c r="O5" s="631"/>
      <c r="P5" s="631" t="s">
        <v>372</v>
      </c>
      <c r="Q5" s="631"/>
      <c r="R5" s="631"/>
      <c r="S5" s="631"/>
      <c r="T5" s="631"/>
      <c r="U5" s="631" t="s">
        <v>372</v>
      </c>
      <c r="V5" s="631"/>
      <c r="W5" s="631"/>
      <c r="X5" s="631"/>
      <c r="Y5" s="631"/>
      <c r="Z5" s="631" t="s">
        <v>372</v>
      </c>
      <c r="AA5" s="631"/>
      <c r="AB5" s="631"/>
      <c r="AC5" s="631"/>
      <c r="AD5" s="631"/>
      <c r="AE5" s="631" t="s">
        <v>372</v>
      </c>
      <c r="AF5" s="631"/>
      <c r="AG5" s="631"/>
      <c r="AH5" s="631"/>
      <c r="AI5" s="631"/>
      <c r="AJ5" s="631" t="s">
        <v>372</v>
      </c>
      <c r="AK5" s="631"/>
      <c r="AL5" s="631"/>
      <c r="AM5" s="631"/>
      <c r="AN5" s="631"/>
      <c r="AO5" s="631" t="s">
        <v>372</v>
      </c>
      <c r="AP5" s="631"/>
      <c r="AQ5" s="631"/>
      <c r="AR5" s="631"/>
      <c r="AS5" s="631"/>
      <c r="AT5" s="631" t="s">
        <v>372</v>
      </c>
      <c r="AU5" s="631"/>
      <c r="AV5" s="631"/>
      <c r="AW5" s="631"/>
      <c r="AX5" s="631"/>
    </row>
    <row r="6" spans="1:50" ht="14.25" customHeight="1">
      <c r="B6" s="631"/>
      <c r="C6" s="631"/>
      <c r="D6" s="631"/>
      <c r="E6" s="180" t="s">
        <v>159</v>
      </c>
      <c r="F6" s="180" t="s">
        <v>373</v>
      </c>
      <c r="G6" s="180" t="s">
        <v>161</v>
      </c>
      <c r="H6" s="631"/>
      <c r="I6" s="181" t="s">
        <v>159</v>
      </c>
      <c r="J6" s="181" t="s">
        <v>373</v>
      </c>
      <c r="K6" s="181" t="s">
        <v>161</v>
      </c>
      <c r="L6" s="635"/>
      <c r="M6" s="635"/>
      <c r="N6" s="631"/>
      <c r="O6" s="631"/>
      <c r="P6" s="180" t="s">
        <v>159</v>
      </c>
      <c r="Q6" s="180" t="s">
        <v>373</v>
      </c>
      <c r="R6" s="180" t="s">
        <v>161</v>
      </c>
      <c r="S6" s="182" t="s">
        <v>165</v>
      </c>
      <c r="T6" s="631"/>
      <c r="U6" s="180" t="s">
        <v>159</v>
      </c>
      <c r="V6" s="180" t="s">
        <v>373</v>
      </c>
      <c r="W6" s="180" t="s">
        <v>161</v>
      </c>
      <c r="X6" s="182" t="s">
        <v>165</v>
      </c>
      <c r="Y6" s="631"/>
      <c r="Z6" s="180" t="s">
        <v>159</v>
      </c>
      <c r="AA6" s="180" t="s">
        <v>373</v>
      </c>
      <c r="AB6" s="180" t="s">
        <v>161</v>
      </c>
      <c r="AC6" s="182" t="s">
        <v>165</v>
      </c>
      <c r="AD6" s="631"/>
      <c r="AE6" s="180" t="s">
        <v>159</v>
      </c>
      <c r="AF6" s="180" t="s">
        <v>373</v>
      </c>
      <c r="AG6" s="180" t="s">
        <v>161</v>
      </c>
      <c r="AH6" s="182" t="s">
        <v>165</v>
      </c>
      <c r="AI6" s="631"/>
      <c r="AJ6" s="180" t="s">
        <v>159</v>
      </c>
      <c r="AK6" s="180" t="s">
        <v>373</v>
      </c>
      <c r="AL6" s="180" t="s">
        <v>161</v>
      </c>
      <c r="AM6" s="182" t="s">
        <v>165</v>
      </c>
      <c r="AN6" s="631"/>
      <c r="AO6" s="180" t="s">
        <v>159</v>
      </c>
      <c r="AP6" s="180" t="s">
        <v>373</v>
      </c>
      <c r="AQ6" s="180" t="s">
        <v>161</v>
      </c>
      <c r="AR6" s="182" t="s">
        <v>165</v>
      </c>
      <c r="AS6" s="631"/>
      <c r="AT6" s="180" t="s">
        <v>159</v>
      </c>
      <c r="AU6" s="180" t="s">
        <v>373</v>
      </c>
      <c r="AV6" s="180" t="s">
        <v>161</v>
      </c>
      <c r="AW6" s="182" t="s">
        <v>165</v>
      </c>
      <c r="AX6" s="631"/>
    </row>
    <row r="7" spans="1:50" ht="14.25" customHeight="1">
      <c r="B7" s="631" t="s">
        <v>376</v>
      </c>
      <c r="C7" s="180">
        <v>1</v>
      </c>
      <c r="D7" s="183" t="s">
        <v>563</v>
      </c>
      <c r="E7" s="180">
        <v>11</v>
      </c>
      <c r="F7" s="180">
        <v>3000</v>
      </c>
      <c r="G7" s="185">
        <f t="shared" ref="G7:G9" si="0">F7/E7</f>
        <v>272.72727272727275</v>
      </c>
      <c r="H7" s="632">
        <f>AVERAGE(G7:G21)</f>
        <v>368.68686868686876</v>
      </c>
      <c r="I7" s="186">
        <f>AVERAGE(P7,U7,Z7,AE7,AJ7,AO7,AT7)</f>
        <v>11</v>
      </c>
      <c r="J7" s="186">
        <f>AVERAGE(Q7,V7,AA7,AF7,AK7,AP7,AU7)</f>
        <v>2652.1180131291808</v>
      </c>
      <c r="K7" s="187">
        <f>AVERAGE(R7,W7,AB7,AG7,AL7,AQ7,AV7)</f>
        <v>241.10163755719825</v>
      </c>
      <c r="L7" s="633">
        <f>IFERROR(AVERAGE(K7:K21),"-")</f>
        <v>330.46632943390705</v>
      </c>
      <c r="M7" s="186">
        <f>RANK(K7, K$7:$K$21)</f>
        <v>3</v>
      </c>
      <c r="N7" s="631"/>
      <c r="O7" s="631"/>
      <c r="P7" s="188">
        <v>11</v>
      </c>
      <c r="Q7" s="188">
        <v>2651.5180131291809</v>
      </c>
      <c r="R7" s="185">
        <f>IFERROR(Q7/P7,"")</f>
        <v>241.04709210265281</v>
      </c>
      <c r="S7" s="182">
        <f>RANK(R7, R$7:R$21)</f>
        <v>3</v>
      </c>
      <c r="T7" s="632">
        <f>AVERAGE(R7:R21)</f>
        <v>330.30737612028707</v>
      </c>
      <c r="U7" s="188">
        <v>11</v>
      </c>
      <c r="V7" s="188">
        <v>2651.8180131291811</v>
      </c>
      <c r="W7" s="185">
        <f t="shared" ref="W7:W9" si="1">IFERROR(V7/U7,"")</f>
        <v>241.07436482992554</v>
      </c>
      <c r="X7" s="182">
        <f>RANK(W7, W$7:W$21)</f>
        <v>3</v>
      </c>
      <c r="Y7" s="632">
        <f>AVERAGE(W7:W21)</f>
        <v>330.35813369604466</v>
      </c>
      <c r="Z7" s="188">
        <v>11</v>
      </c>
      <c r="AA7" s="188">
        <v>2653.0180131291804</v>
      </c>
      <c r="AB7" s="185">
        <f t="shared" ref="AB7:AB9" si="2">IFERROR(AA7/Z7,"")</f>
        <v>241.18345573901641</v>
      </c>
      <c r="AC7" s="182">
        <f>RANK(AB7, AB$7:AB$21)</f>
        <v>3</v>
      </c>
      <c r="AD7" s="632">
        <f>AVERAGE(AB7:AB21)</f>
        <v>330.43454478709486</v>
      </c>
      <c r="AE7" s="188"/>
      <c r="AF7" s="188"/>
      <c r="AG7" s="185"/>
      <c r="AH7" s="182"/>
      <c r="AI7" s="673">
        <f>AVERAGE(AG7:AG21)</f>
        <v>375.08092264446736</v>
      </c>
      <c r="AJ7" s="188"/>
      <c r="AK7" s="188"/>
      <c r="AL7" s="185"/>
      <c r="AM7" s="182"/>
      <c r="AN7" s="632">
        <f>AVERAGE(AL7:AL21)</f>
        <v>375.03925597780074</v>
      </c>
      <c r="AO7" s="188"/>
      <c r="AP7" s="188"/>
      <c r="AQ7" s="185"/>
      <c r="AR7" s="182"/>
      <c r="AS7" s="632">
        <f>AVERAGE(AQ7:AQ21)</f>
        <v>375.18508931113399</v>
      </c>
      <c r="AT7" s="188"/>
      <c r="AU7" s="188"/>
      <c r="AV7" s="185"/>
      <c r="AW7" s="182"/>
      <c r="AX7" s="632">
        <f>AVERAGE(AV7:AV21)</f>
        <v>375.73783410308505</v>
      </c>
    </row>
    <row r="8" spans="1:50" ht="14.25" customHeight="1">
      <c r="B8" s="631"/>
      <c r="C8" s="180">
        <v>2</v>
      </c>
      <c r="D8" s="183" t="s">
        <v>584</v>
      </c>
      <c r="E8" s="180">
        <v>6</v>
      </c>
      <c r="F8" s="180">
        <v>2500</v>
      </c>
      <c r="G8" s="185">
        <f t="shared" si="0"/>
        <v>416.66666666666669</v>
      </c>
      <c r="H8" s="632"/>
      <c r="I8" s="186">
        <f t="shared" ref="I8:K9" si="3">AVERAGE(P8,U8,Z8,AE8,AJ8,AO8,AT8)</f>
        <v>6</v>
      </c>
      <c r="J8" s="186">
        <f t="shared" si="3"/>
        <v>2250.7227073064419</v>
      </c>
      <c r="K8" s="187">
        <f t="shared" si="3"/>
        <v>375.12045121774042</v>
      </c>
      <c r="L8" s="633"/>
      <c r="M8" s="186">
        <f>RANK(K8, K$7:$K$21)</f>
        <v>2</v>
      </c>
      <c r="N8" s="631"/>
      <c r="O8" s="631"/>
      <c r="P8" s="188">
        <v>6</v>
      </c>
      <c r="Q8" s="188">
        <v>2249.181026309117</v>
      </c>
      <c r="R8" s="185">
        <f t="shared" ref="R8:R9" si="4">IFERROR(Q8/P8,"")</f>
        <v>374.86350438485283</v>
      </c>
      <c r="S8" s="182">
        <f>RANK(R8, R$7:R$21)</f>
        <v>2</v>
      </c>
      <c r="T8" s="632"/>
      <c r="U8" s="188">
        <v>6</v>
      </c>
      <c r="V8" s="188">
        <v>2249.181026309117</v>
      </c>
      <c r="W8" s="185">
        <f t="shared" si="1"/>
        <v>374.86350438485283</v>
      </c>
      <c r="X8" s="182">
        <f>RANK(W8, W$7:W$21)</f>
        <v>2</v>
      </c>
      <c r="Y8" s="632"/>
      <c r="Z8" s="188">
        <v>6</v>
      </c>
      <c r="AA8" s="188">
        <v>2250.1518804934758</v>
      </c>
      <c r="AB8" s="185">
        <f t="shared" si="2"/>
        <v>375.02531341557932</v>
      </c>
      <c r="AC8" s="182">
        <f>RANK(AB8, AB$7:AB$21)</f>
        <v>2</v>
      </c>
      <c r="AD8" s="632"/>
      <c r="AE8" s="188">
        <v>6</v>
      </c>
      <c r="AF8" s="188">
        <v>2250.4018804934758</v>
      </c>
      <c r="AG8" s="185">
        <f t="shared" ref="AG8:AG9" si="5">IFERROR(AF8/AE8,"")</f>
        <v>375.06698008224595</v>
      </c>
      <c r="AH8" s="182">
        <f>RANK(AG8, AG$7:AG$21)</f>
        <v>2</v>
      </c>
      <c r="AI8" s="674"/>
      <c r="AJ8" s="188">
        <v>6</v>
      </c>
      <c r="AK8" s="188">
        <v>2249.9018804934758</v>
      </c>
      <c r="AL8" s="185">
        <f t="shared" ref="AL8:AL9" si="6">IFERROR(AK8/AJ8,"")</f>
        <v>374.98364674891263</v>
      </c>
      <c r="AM8" s="182">
        <f>RANK(AL8, AL$7:AL$21)</f>
        <v>2</v>
      </c>
      <c r="AN8" s="632"/>
      <c r="AO8" s="188">
        <v>6</v>
      </c>
      <c r="AP8" s="188">
        <v>2251.1518804934753</v>
      </c>
      <c r="AQ8" s="185">
        <f t="shared" ref="AQ8:AQ9" si="7">IFERROR(AP8/AO8,"")</f>
        <v>375.19198008224589</v>
      </c>
      <c r="AR8" s="182">
        <f>RANK(AQ8, AQ$7:AQ$21)</f>
        <v>1</v>
      </c>
      <c r="AS8" s="632"/>
      <c r="AT8" s="188">
        <v>6</v>
      </c>
      <c r="AU8" s="188">
        <v>2255.0893765529581</v>
      </c>
      <c r="AV8" s="185">
        <f t="shared" ref="AV8:AV9" si="8">IFERROR(AU8/AT8,"")</f>
        <v>375.848229425493</v>
      </c>
      <c r="AW8" s="182">
        <f>RANK(AV8, AV$7:AV$21)</f>
        <v>1</v>
      </c>
      <c r="AX8" s="632"/>
    </row>
    <row r="9" spans="1:50" ht="14.25" customHeight="1">
      <c r="B9" s="631"/>
      <c r="C9" s="180">
        <v>3</v>
      </c>
      <c r="D9" s="183" t="s">
        <v>605</v>
      </c>
      <c r="E9" s="180">
        <v>6</v>
      </c>
      <c r="F9" s="180">
        <v>2500</v>
      </c>
      <c r="G9" s="185">
        <f t="shared" si="0"/>
        <v>416.66666666666669</v>
      </c>
      <c r="H9" s="632"/>
      <c r="I9" s="186">
        <f t="shared" si="3"/>
        <v>6</v>
      </c>
      <c r="J9" s="186">
        <f t="shared" si="3"/>
        <v>2251.061397160694</v>
      </c>
      <c r="K9" s="187">
        <f t="shared" si="3"/>
        <v>375.17689952678239</v>
      </c>
      <c r="L9" s="633"/>
      <c r="M9" s="186">
        <f>RANK(K9, K$7:$K$21)</f>
        <v>1</v>
      </c>
      <c r="N9" s="631"/>
      <c r="O9" s="631"/>
      <c r="P9" s="188">
        <v>6</v>
      </c>
      <c r="Q9" s="188">
        <v>2250.069191240133</v>
      </c>
      <c r="R9" s="185">
        <f t="shared" si="4"/>
        <v>375.01153187335552</v>
      </c>
      <c r="S9" s="182">
        <f>RANK(R9, R$7:R$21)</f>
        <v>1</v>
      </c>
      <c r="T9" s="632"/>
      <c r="U9" s="188">
        <v>6</v>
      </c>
      <c r="V9" s="188">
        <v>2250.819191240133</v>
      </c>
      <c r="W9" s="185">
        <f t="shared" si="1"/>
        <v>375.13653187335552</v>
      </c>
      <c r="X9" s="182">
        <f>RANK(W9, W$7:W$21)</f>
        <v>1</v>
      </c>
      <c r="Y9" s="632"/>
      <c r="Z9" s="188">
        <v>6</v>
      </c>
      <c r="AA9" s="188">
        <v>2250.5691912401326</v>
      </c>
      <c r="AB9" s="185">
        <f t="shared" si="2"/>
        <v>375.09486520668878</v>
      </c>
      <c r="AC9" s="182">
        <f>RANK(AB9, AB$7:AB$21)</f>
        <v>1</v>
      </c>
      <c r="AD9" s="632"/>
      <c r="AE9" s="188">
        <v>6</v>
      </c>
      <c r="AF9" s="188">
        <v>2250.5691912401326</v>
      </c>
      <c r="AG9" s="185">
        <f t="shared" si="5"/>
        <v>375.09486520668878</v>
      </c>
      <c r="AH9" s="182">
        <f>RANK(AG9, AG$7:AG$21)</f>
        <v>1</v>
      </c>
      <c r="AI9" s="674"/>
      <c r="AJ9" s="188">
        <v>6</v>
      </c>
      <c r="AK9" s="188">
        <v>2250.5691912401326</v>
      </c>
      <c r="AL9" s="185">
        <f t="shared" si="6"/>
        <v>375.09486520668878</v>
      </c>
      <c r="AM9" s="182">
        <f>RANK(AL9, AL$7:AL$21)</f>
        <v>1</v>
      </c>
      <c r="AN9" s="632"/>
      <c r="AO9" s="188">
        <v>6</v>
      </c>
      <c r="AP9" s="188">
        <v>2251.0691912401321</v>
      </c>
      <c r="AQ9" s="185">
        <f t="shared" si="7"/>
        <v>375.17819854002204</v>
      </c>
      <c r="AR9" s="182">
        <f>RANK(AQ9, AQ$7:AQ$21)</f>
        <v>2</v>
      </c>
      <c r="AS9" s="632"/>
      <c r="AT9" s="188">
        <v>6</v>
      </c>
      <c r="AU9" s="188">
        <v>2253.7646326840627</v>
      </c>
      <c r="AV9" s="185">
        <f t="shared" si="8"/>
        <v>375.6274387806771</v>
      </c>
      <c r="AW9" s="182">
        <f>RANK(AV9, AV$7:AV$21)</f>
        <v>2</v>
      </c>
      <c r="AX9" s="632"/>
    </row>
    <row r="10" spans="1:50" ht="14.25" customHeight="1">
      <c r="B10" s="631"/>
      <c r="C10" s="180">
        <v>4</v>
      </c>
      <c r="D10" s="183"/>
      <c r="E10" s="180"/>
      <c r="F10" s="180"/>
      <c r="G10" s="185"/>
      <c r="H10" s="632"/>
      <c r="I10" s="186"/>
      <c r="J10" s="186"/>
      <c r="K10" s="187"/>
      <c r="L10" s="633"/>
      <c r="M10" s="186"/>
      <c r="N10" s="631"/>
      <c r="O10" s="631"/>
      <c r="P10" s="188"/>
      <c r="Q10" s="188"/>
      <c r="R10" s="185"/>
      <c r="S10" s="182"/>
      <c r="T10" s="632"/>
      <c r="U10" s="188"/>
      <c r="V10" s="188"/>
      <c r="W10" s="185"/>
      <c r="X10" s="182"/>
      <c r="Y10" s="632"/>
      <c r="Z10" s="188"/>
      <c r="AA10" s="188"/>
      <c r="AB10" s="185"/>
      <c r="AC10" s="182"/>
      <c r="AD10" s="632"/>
      <c r="AE10" s="188"/>
      <c r="AF10" s="188"/>
      <c r="AG10" s="185"/>
      <c r="AH10" s="182"/>
      <c r="AI10" s="674"/>
      <c r="AJ10" s="188"/>
      <c r="AK10" s="188"/>
      <c r="AL10" s="185"/>
      <c r="AM10" s="182"/>
      <c r="AN10" s="632"/>
      <c r="AO10" s="188"/>
      <c r="AP10" s="188"/>
      <c r="AQ10" s="185"/>
      <c r="AR10" s="182"/>
      <c r="AS10" s="632"/>
      <c r="AT10" s="188"/>
      <c r="AU10" s="188"/>
      <c r="AV10" s="185"/>
      <c r="AW10" s="182"/>
      <c r="AX10" s="632"/>
    </row>
    <row r="11" spans="1:50" ht="14.25" customHeight="1">
      <c r="B11" s="631"/>
      <c r="C11" s="180">
        <v>5</v>
      </c>
      <c r="D11" s="183"/>
      <c r="E11" s="180"/>
      <c r="F11" s="180"/>
      <c r="G11" s="185"/>
      <c r="H11" s="632"/>
      <c r="I11" s="186"/>
      <c r="J11" s="186"/>
      <c r="K11" s="187"/>
      <c r="L11" s="633"/>
      <c r="M11" s="186"/>
      <c r="N11" s="631"/>
      <c r="O11" s="631"/>
      <c r="P11" s="188"/>
      <c r="Q11" s="188"/>
      <c r="R11" s="185"/>
      <c r="S11" s="182"/>
      <c r="T11" s="632"/>
      <c r="U11" s="188"/>
      <c r="V11" s="188"/>
      <c r="W11" s="185"/>
      <c r="X11" s="182"/>
      <c r="Y11" s="632"/>
      <c r="Z11" s="188"/>
      <c r="AA11" s="188"/>
      <c r="AB11" s="185"/>
      <c r="AC11" s="182"/>
      <c r="AD11" s="632"/>
      <c r="AE11" s="188"/>
      <c r="AF11" s="188"/>
      <c r="AG11" s="185"/>
      <c r="AH11" s="182"/>
      <c r="AI11" s="674"/>
      <c r="AJ11" s="188"/>
      <c r="AK11" s="188"/>
      <c r="AL11" s="185"/>
      <c r="AM11" s="182"/>
      <c r="AN11" s="632"/>
      <c r="AO11" s="188"/>
      <c r="AP11" s="188"/>
      <c r="AQ11" s="185"/>
      <c r="AR11" s="182"/>
      <c r="AS11" s="632"/>
      <c r="AT11" s="188"/>
      <c r="AU11" s="188"/>
      <c r="AV11" s="185"/>
      <c r="AW11" s="182"/>
      <c r="AX11" s="632"/>
    </row>
    <row r="12" spans="1:50" ht="14.25" customHeight="1">
      <c r="B12" s="631"/>
      <c r="C12" s="180">
        <v>6</v>
      </c>
      <c r="D12" s="183"/>
      <c r="E12" s="180"/>
      <c r="F12" s="180"/>
      <c r="G12" s="185"/>
      <c r="H12" s="632"/>
      <c r="I12" s="186"/>
      <c r="J12" s="186"/>
      <c r="K12" s="187"/>
      <c r="L12" s="633"/>
      <c r="M12" s="186"/>
      <c r="N12" s="631"/>
      <c r="O12" s="631"/>
      <c r="P12" s="188"/>
      <c r="Q12" s="188"/>
      <c r="R12" s="185"/>
      <c r="S12" s="182"/>
      <c r="T12" s="632"/>
      <c r="U12" s="188"/>
      <c r="V12" s="188"/>
      <c r="W12" s="185"/>
      <c r="X12" s="182"/>
      <c r="Y12" s="632"/>
      <c r="Z12" s="188"/>
      <c r="AA12" s="188"/>
      <c r="AB12" s="185"/>
      <c r="AC12" s="182"/>
      <c r="AD12" s="632"/>
      <c r="AE12" s="188"/>
      <c r="AF12" s="188"/>
      <c r="AG12" s="185"/>
      <c r="AH12" s="182"/>
      <c r="AI12" s="674"/>
      <c r="AJ12" s="188"/>
      <c r="AK12" s="188"/>
      <c r="AL12" s="185"/>
      <c r="AM12" s="182"/>
      <c r="AN12" s="632"/>
      <c r="AO12" s="188"/>
      <c r="AP12" s="188"/>
      <c r="AQ12" s="185"/>
      <c r="AR12" s="182"/>
      <c r="AS12" s="632"/>
      <c r="AT12" s="188"/>
      <c r="AU12" s="188"/>
      <c r="AV12" s="185"/>
      <c r="AW12" s="182"/>
      <c r="AX12" s="632"/>
    </row>
    <row r="13" spans="1:50" ht="14.25" customHeight="1">
      <c r="B13" s="631"/>
      <c r="C13" s="180">
        <v>7</v>
      </c>
      <c r="D13" s="183"/>
      <c r="E13" s="180"/>
      <c r="F13" s="180"/>
      <c r="G13" s="185"/>
      <c r="H13" s="632"/>
      <c r="I13" s="186"/>
      <c r="J13" s="186"/>
      <c r="K13" s="187"/>
      <c r="L13" s="633"/>
      <c r="M13" s="186"/>
      <c r="N13" s="631"/>
      <c r="O13" s="631"/>
      <c r="P13" s="188"/>
      <c r="Q13" s="188"/>
      <c r="R13" s="185"/>
      <c r="S13" s="182"/>
      <c r="T13" s="632"/>
      <c r="U13" s="188"/>
      <c r="V13" s="188"/>
      <c r="W13" s="185"/>
      <c r="X13" s="182"/>
      <c r="Y13" s="632"/>
      <c r="Z13" s="188"/>
      <c r="AA13" s="188"/>
      <c r="AB13" s="185"/>
      <c r="AC13" s="182"/>
      <c r="AD13" s="632"/>
      <c r="AE13" s="188"/>
      <c r="AF13" s="188"/>
      <c r="AG13" s="185"/>
      <c r="AH13" s="182"/>
      <c r="AI13" s="674"/>
      <c r="AJ13" s="188"/>
      <c r="AK13" s="188"/>
      <c r="AL13" s="185"/>
      <c r="AM13" s="182"/>
      <c r="AN13" s="632"/>
      <c r="AO13" s="188"/>
      <c r="AP13" s="188"/>
      <c r="AQ13" s="185"/>
      <c r="AR13" s="182"/>
      <c r="AS13" s="632"/>
      <c r="AT13" s="188"/>
      <c r="AU13" s="188"/>
      <c r="AV13" s="185"/>
      <c r="AW13" s="182"/>
      <c r="AX13" s="632"/>
    </row>
    <row r="14" spans="1:50" ht="14.25" customHeight="1">
      <c r="B14" s="631"/>
      <c r="C14" s="180">
        <v>8</v>
      </c>
      <c r="D14" s="183"/>
      <c r="E14" s="180"/>
      <c r="F14" s="180"/>
      <c r="G14" s="185"/>
      <c r="H14" s="632"/>
      <c r="I14" s="186"/>
      <c r="J14" s="186"/>
      <c r="K14" s="187"/>
      <c r="L14" s="633"/>
      <c r="M14" s="186"/>
      <c r="N14" s="631"/>
      <c r="O14" s="631"/>
      <c r="P14" s="188"/>
      <c r="Q14" s="188"/>
      <c r="R14" s="185"/>
      <c r="S14" s="182"/>
      <c r="T14" s="632"/>
      <c r="U14" s="188"/>
      <c r="V14" s="188"/>
      <c r="W14" s="185"/>
      <c r="X14" s="182"/>
      <c r="Y14" s="632"/>
      <c r="Z14" s="188"/>
      <c r="AA14" s="188"/>
      <c r="AB14" s="185"/>
      <c r="AC14" s="182"/>
      <c r="AD14" s="632"/>
      <c r="AE14" s="188"/>
      <c r="AF14" s="188"/>
      <c r="AG14" s="185"/>
      <c r="AH14" s="182"/>
      <c r="AI14" s="674"/>
      <c r="AJ14" s="188"/>
      <c r="AK14" s="188"/>
      <c r="AL14" s="185"/>
      <c r="AM14" s="182"/>
      <c r="AN14" s="632"/>
      <c r="AO14" s="188"/>
      <c r="AP14" s="188"/>
      <c r="AQ14" s="185"/>
      <c r="AR14" s="182"/>
      <c r="AS14" s="632"/>
      <c r="AT14" s="188"/>
      <c r="AU14" s="188"/>
      <c r="AV14" s="185"/>
      <c r="AW14" s="182"/>
      <c r="AX14" s="632"/>
    </row>
    <row r="15" spans="1:50" ht="14.25" customHeight="1">
      <c r="B15" s="631"/>
      <c r="C15" s="180">
        <v>9</v>
      </c>
      <c r="D15" s="183"/>
      <c r="E15" s="180"/>
      <c r="F15" s="180"/>
      <c r="G15" s="185"/>
      <c r="H15" s="632"/>
      <c r="I15" s="186"/>
      <c r="J15" s="186"/>
      <c r="K15" s="187"/>
      <c r="L15" s="633"/>
      <c r="M15" s="186"/>
      <c r="N15" s="631"/>
      <c r="O15" s="631"/>
      <c r="P15" s="188"/>
      <c r="Q15" s="188"/>
      <c r="R15" s="185"/>
      <c r="S15" s="182"/>
      <c r="T15" s="632"/>
      <c r="U15" s="188"/>
      <c r="V15" s="188"/>
      <c r="W15" s="185"/>
      <c r="X15" s="182"/>
      <c r="Y15" s="632"/>
      <c r="Z15" s="188"/>
      <c r="AA15" s="188"/>
      <c r="AB15" s="185"/>
      <c r="AC15" s="182"/>
      <c r="AD15" s="632"/>
      <c r="AE15" s="188"/>
      <c r="AF15" s="188"/>
      <c r="AG15" s="185"/>
      <c r="AH15" s="182"/>
      <c r="AI15" s="674"/>
      <c r="AJ15" s="188"/>
      <c r="AK15" s="188"/>
      <c r="AL15" s="185"/>
      <c r="AM15" s="182"/>
      <c r="AN15" s="632"/>
      <c r="AO15" s="188"/>
      <c r="AP15" s="188"/>
      <c r="AQ15" s="185"/>
      <c r="AR15" s="182"/>
      <c r="AS15" s="632"/>
      <c r="AT15" s="188"/>
      <c r="AU15" s="188"/>
      <c r="AV15" s="185"/>
      <c r="AW15" s="182"/>
      <c r="AX15" s="632"/>
    </row>
    <row r="16" spans="1:50" ht="14.25" customHeight="1">
      <c r="B16" s="631"/>
      <c r="C16" s="180">
        <v>10</v>
      </c>
      <c r="D16" s="183"/>
      <c r="E16" s="180"/>
      <c r="F16" s="180"/>
      <c r="G16" s="185"/>
      <c r="H16" s="632"/>
      <c r="I16" s="186"/>
      <c r="J16" s="186"/>
      <c r="K16" s="187"/>
      <c r="L16" s="633"/>
      <c r="M16" s="186"/>
      <c r="N16" s="631"/>
      <c r="O16" s="631"/>
      <c r="P16" s="188"/>
      <c r="Q16" s="188"/>
      <c r="R16" s="185"/>
      <c r="S16" s="182"/>
      <c r="T16" s="632"/>
      <c r="U16" s="188"/>
      <c r="V16" s="188"/>
      <c r="W16" s="185"/>
      <c r="X16" s="182"/>
      <c r="Y16" s="632"/>
      <c r="Z16" s="188"/>
      <c r="AA16" s="188"/>
      <c r="AB16" s="185"/>
      <c r="AC16" s="182"/>
      <c r="AD16" s="632"/>
      <c r="AE16" s="188"/>
      <c r="AF16" s="188"/>
      <c r="AG16" s="185"/>
      <c r="AH16" s="182"/>
      <c r="AI16" s="674"/>
      <c r="AJ16" s="188"/>
      <c r="AK16" s="188"/>
      <c r="AL16" s="185"/>
      <c r="AM16" s="182"/>
      <c r="AN16" s="632"/>
      <c r="AO16" s="188"/>
      <c r="AP16" s="188"/>
      <c r="AQ16" s="185"/>
      <c r="AR16" s="182"/>
      <c r="AS16" s="632"/>
      <c r="AT16" s="188"/>
      <c r="AU16" s="188"/>
      <c r="AV16" s="185"/>
      <c r="AW16" s="182"/>
      <c r="AX16" s="632"/>
    </row>
    <row r="17" spans="2:50" ht="14.25" customHeight="1">
      <c r="B17" s="631"/>
      <c r="C17" s="180">
        <v>11</v>
      </c>
      <c r="D17" s="183"/>
      <c r="E17" s="180"/>
      <c r="F17" s="180"/>
      <c r="G17" s="185"/>
      <c r="H17" s="632"/>
      <c r="I17" s="186"/>
      <c r="J17" s="186"/>
      <c r="K17" s="187"/>
      <c r="L17" s="633"/>
      <c r="M17" s="186"/>
      <c r="N17" s="631"/>
      <c r="O17" s="631"/>
      <c r="P17" s="188"/>
      <c r="Q17" s="188"/>
      <c r="R17" s="185"/>
      <c r="S17" s="182"/>
      <c r="T17" s="632"/>
      <c r="U17" s="188"/>
      <c r="V17" s="188"/>
      <c r="W17" s="185"/>
      <c r="X17" s="182"/>
      <c r="Y17" s="632"/>
      <c r="Z17" s="188"/>
      <c r="AA17" s="188"/>
      <c r="AB17" s="185"/>
      <c r="AC17" s="182"/>
      <c r="AD17" s="632"/>
      <c r="AE17" s="188"/>
      <c r="AF17" s="188"/>
      <c r="AG17" s="185"/>
      <c r="AH17" s="182"/>
      <c r="AI17" s="674"/>
      <c r="AJ17" s="188"/>
      <c r="AK17" s="188"/>
      <c r="AL17" s="185"/>
      <c r="AM17" s="182"/>
      <c r="AN17" s="632"/>
      <c r="AO17" s="188"/>
      <c r="AP17" s="188"/>
      <c r="AQ17" s="185"/>
      <c r="AR17" s="182"/>
      <c r="AS17" s="632"/>
      <c r="AT17" s="188"/>
      <c r="AU17" s="188"/>
      <c r="AV17" s="185"/>
      <c r="AW17" s="182"/>
      <c r="AX17" s="632"/>
    </row>
    <row r="18" spans="2:50" ht="14.25" customHeight="1">
      <c r="B18" s="631"/>
      <c r="C18" s="180">
        <v>12</v>
      </c>
      <c r="D18" s="183"/>
      <c r="E18" s="180"/>
      <c r="F18" s="180"/>
      <c r="G18" s="185"/>
      <c r="H18" s="632"/>
      <c r="I18" s="186"/>
      <c r="J18" s="186"/>
      <c r="K18" s="187"/>
      <c r="L18" s="633"/>
      <c r="M18" s="186"/>
      <c r="N18" s="631"/>
      <c r="O18" s="631"/>
      <c r="P18" s="188"/>
      <c r="Q18" s="188"/>
      <c r="R18" s="185"/>
      <c r="S18" s="182"/>
      <c r="T18" s="632"/>
      <c r="U18" s="188"/>
      <c r="V18" s="188"/>
      <c r="W18" s="185"/>
      <c r="X18" s="182"/>
      <c r="Y18" s="632"/>
      <c r="Z18" s="188"/>
      <c r="AA18" s="188"/>
      <c r="AB18" s="185"/>
      <c r="AC18" s="182"/>
      <c r="AD18" s="632"/>
      <c r="AE18" s="188"/>
      <c r="AF18" s="188"/>
      <c r="AG18" s="185"/>
      <c r="AH18" s="182"/>
      <c r="AI18" s="674"/>
      <c r="AJ18" s="188"/>
      <c r="AK18" s="188"/>
      <c r="AL18" s="185"/>
      <c r="AM18" s="182"/>
      <c r="AN18" s="632"/>
      <c r="AO18" s="188"/>
      <c r="AP18" s="188"/>
      <c r="AQ18" s="185"/>
      <c r="AR18" s="182"/>
      <c r="AS18" s="632"/>
      <c r="AT18" s="188"/>
      <c r="AU18" s="188"/>
      <c r="AV18" s="185"/>
      <c r="AW18" s="182"/>
      <c r="AX18" s="632"/>
    </row>
    <row r="19" spans="2:50" ht="14.25" customHeight="1">
      <c r="B19" s="631"/>
      <c r="C19" s="180">
        <v>13</v>
      </c>
      <c r="D19" s="183"/>
      <c r="E19" s="180"/>
      <c r="F19" s="180"/>
      <c r="G19" s="185"/>
      <c r="H19" s="632"/>
      <c r="I19" s="186"/>
      <c r="J19" s="186"/>
      <c r="K19" s="187"/>
      <c r="L19" s="633"/>
      <c r="M19" s="186"/>
      <c r="N19" s="631"/>
      <c r="O19" s="631"/>
      <c r="P19" s="188"/>
      <c r="Q19" s="188"/>
      <c r="R19" s="185"/>
      <c r="S19" s="182"/>
      <c r="T19" s="632"/>
      <c r="U19" s="188"/>
      <c r="V19" s="188"/>
      <c r="W19" s="185"/>
      <c r="X19" s="182"/>
      <c r="Y19" s="632"/>
      <c r="Z19" s="188"/>
      <c r="AA19" s="188"/>
      <c r="AB19" s="185"/>
      <c r="AC19" s="182"/>
      <c r="AD19" s="632"/>
      <c r="AE19" s="188"/>
      <c r="AF19" s="188"/>
      <c r="AG19" s="185"/>
      <c r="AH19" s="182"/>
      <c r="AI19" s="674"/>
      <c r="AJ19" s="188"/>
      <c r="AK19" s="188"/>
      <c r="AL19" s="185"/>
      <c r="AM19" s="182"/>
      <c r="AN19" s="632"/>
      <c r="AO19" s="188"/>
      <c r="AP19" s="188"/>
      <c r="AQ19" s="185"/>
      <c r="AR19" s="182"/>
      <c r="AS19" s="632"/>
      <c r="AT19" s="188"/>
      <c r="AU19" s="188"/>
      <c r="AV19" s="185"/>
      <c r="AW19" s="182"/>
      <c r="AX19" s="632"/>
    </row>
    <row r="20" spans="2:50" ht="14.25" customHeight="1">
      <c r="B20" s="631"/>
      <c r="C20" s="180">
        <v>14</v>
      </c>
      <c r="D20" s="183"/>
      <c r="E20" s="180"/>
      <c r="F20" s="180"/>
      <c r="G20" s="185"/>
      <c r="H20" s="632"/>
      <c r="I20" s="186"/>
      <c r="J20" s="186"/>
      <c r="K20" s="187"/>
      <c r="L20" s="633"/>
      <c r="M20" s="186"/>
      <c r="N20" s="631"/>
      <c r="O20" s="631"/>
      <c r="P20" s="188"/>
      <c r="Q20" s="188"/>
      <c r="R20" s="185"/>
      <c r="S20" s="182"/>
      <c r="T20" s="632"/>
      <c r="U20" s="188"/>
      <c r="V20" s="188"/>
      <c r="W20" s="185"/>
      <c r="X20" s="182"/>
      <c r="Y20" s="632"/>
      <c r="Z20" s="188"/>
      <c r="AA20" s="188"/>
      <c r="AB20" s="185"/>
      <c r="AC20" s="182"/>
      <c r="AD20" s="632"/>
      <c r="AE20" s="188"/>
      <c r="AF20" s="188"/>
      <c r="AG20" s="185"/>
      <c r="AH20" s="182"/>
      <c r="AI20" s="674"/>
      <c r="AJ20" s="188"/>
      <c r="AK20" s="188"/>
      <c r="AL20" s="185"/>
      <c r="AM20" s="182"/>
      <c r="AN20" s="632"/>
      <c r="AO20" s="188"/>
      <c r="AP20" s="188"/>
      <c r="AQ20" s="185"/>
      <c r="AR20" s="182"/>
      <c r="AS20" s="632"/>
      <c r="AT20" s="188"/>
      <c r="AU20" s="188"/>
      <c r="AV20" s="185"/>
      <c r="AW20" s="182"/>
      <c r="AX20" s="632"/>
    </row>
    <row r="21" spans="2:50" ht="14.25" customHeight="1">
      <c r="B21" s="631"/>
      <c r="C21" s="180">
        <v>15</v>
      </c>
      <c r="D21" s="183"/>
      <c r="E21" s="180"/>
      <c r="F21" s="180"/>
      <c r="G21" s="185"/>
      <c r="H21" s="632"/>
      <c r="I21" s="186"/>
      <c r="J21" s="186"/>
      <c r="K21" s="187"/>
      <c r="L21" s="633"/>
      <c r="M21" s="186"/>
      <c r="N21" s="631"/>
      <c r="O21" s="631"/>
      <c r="P21" s="188"/>
      <c r="Q21" s="188"/>
      <c r="R21" s="185"/>
      <c r="S21" s="182"/>
      <c r="T21" s="632"/>
      <c r="U21" s="188"/>
      <c r="V21" s="188"/>
      <c r="W21" s="185"/>
      <c r="X21" s="182"/>
      <c r="Y21" s="632"/>
      <c r="Z21" s="188"/>
      <c r="AA21" s="188"/>
      <c r="AB21" s="185"/>
      <c r="AC21" s="182"/>
      <c r="AD21" s="632"/>
      <c r="AE21" s="188"/>
      <c r="AF21" s="188"/>
      <c r="AG21" s="185"/>
      <c r="AH21" s="182"/>
      <c r="AI21" s="675"/>
      <c r="AJ21" s="188"/>
      <c r="AK21" s="188"/>
      <c r="AL21" s="185"/>
      <c r="AM21" s="182"/>
      <c r="AN21" s="632"/>
      <c r="AO21" s="188"/>
      <c r="AP21" s="188"/>
      <c r="AQ21" s="185"/>
      <c r="AR21" s="182"/>
      <c r="AS21" s="632"/>
      <c r="AT21" s="188"/>
      <c r="AU21" s="188"/>
      <c r="AV21" s="185"/>
      <c r="AW21" s="182"/>
      <c r="AX21" s="632"/>
    </row>
    <row r="22" spans="2:50" ht="14.25" customHeight="1" collapsed="1">
      <c r="B22" s="646" t="s">
        <v>695</v>
      </c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47"/>
      <c r="N22" s="664" t="s">
        <v>369</v>
      </c>
      <c r="O22" s="664" t="s">
        <v>105</v>
      </c>
      <c r="P22" s="666">
        <v>46147</v>
      </c>
      <c r="Q22" s="667"/>
      <c r="R22" s="667"/>
      <c r="S22" s="667"/>
      <c r="T22" s="667"/>
      <c r="U22" s="668">
        <v>46148</v>
      </c>
      <c r="V22" s="669"/>
      <c r="W22" s="669"/>
      <c r="X22" s="669"/>
      <c r="Y22" s="669"/>
      <c r="Z22" s="666">
        <v>46149</v>
      </c>
      <c r="AA22" s="667"/>
      <c r="AB22" s="667"/>
      <c r="AC22" s="667"/>
      <c r="AD22" s="667"/>
      <c r="AE22" s="668">
        <v>46150</v>
      </c>
      <c r="AF22" s="669"/>
      <c r="AG22" s="669"/>
      <c r="AH22" s="669"/>
      <c r="AI22" s="669"/>
      <c r="AJ22" s="656">
        <v>46151</v>
      </c>
      <c r="AK22" s="657"/>
      <c r="AL22" s="657"/>
      <c r="AM22" s="657"/>
      <c r="AN22" s="658"/>
      <c r="AO22" s="668">
        <v>46152</v>
      </c>
      <c r="AP22" s="669"/>
      <c r="AQ22" s="669"/>
      <c r="AR22" s="669"/>
      <c r="AS22" s="669"/>
      <c r="AT22" s="656">
        <v>46153</v>
      </c>
      <c r="AU22" s="657"/>
      <c r="AV22" s="657"/>
      <c r="AW22" s="657"/>
      <c r="AX22" s="658"/>
    </row>
    <row r="23" spans="2:50" ht="14.25" customHeight="1"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9"/>
      <c r="N23" s="665"/>
      <c r="O23" s="665"/>
      <c r="P23" s="659">
        <v>46147</v>
      </c>
      <c r="Q23" s="659"/>
      <c r="R23" s="659"/>
      <c r="S23" s="659"/>
      <c r="T23" s="659"/>
      <c r="U23" s="660">
        <v>46148</v>
      </c>
      <c r="V23" s="660"/>
      <c r="W23" s="660"/>
      <c r="X23" s="660"/>
      <c r="Y23" s="660"/>
      <c r="Z23" s="659">
        <v>46149</v>
      </c>
      <c r="AA23" s="659"/>
      <c r="AB23" s="659"/>
      <c r="AC23" s="659"/>
      <c r="AD23" s="659"/>
      <c r="AE23" s="660">
        <v>46150</v>
      </c>
      <c r="AF23" s="660"/>
      <c r="AG23" s="660"/>
      <c r="AH23" s="660"/>
      <c r="AI23" s="660"/>
      <c r="AJ23" s="661">
        <v>46151</v>
      </c>
      <c r="AK23" s="662"/>
      <c r="AL23" s="662"/>
      <c r="AM23" s="662"/>
      <c r="AN23" s="663"/>
      <c r="AO23" s="660">
        <v>46152</v>
      </c>
      <c r="AP23" s="660"/>
      <c r="AQ23" s="660"/>
      <c r="AR23" s="660"/>
      <c r="AS23" s="660"/>
      <c r="AT23" s="661">
        <v>46153</v>
      </c>
      <c r="AU23" s="662"/>
      <c r="AV23" s="662"/>
      <c r="AW23" s="662"/>
      <c r="AX23" s="663"/>
    </row>
    <row r="24" spans="2:50" ht="14.25" customHeight="1">
      <c r="B24" s="631" t="s">
        <v>162</v>
      </c>
      <c r="C24" s="631" t="s">
        <v>157</v>
      </c>
      <c r="D24" s="631"/>
      <c r="E24" s="631" t="s">
        <v>158</v>
      </c>
      <c r="F24" s="631"/>
      <c r="G24" s="631"/>
      <c r="H24" s="631" t="s">
        <v>163</v>
      </c>
      <c r="I24" s="635" t="s">
        <v>370</v>
      </c>
      <c r="J24" s="635"/>
      <c r="K24" s="635"/>
      <c r="L24" s="635" t="s">
        <v>163</v>
      </c>
      <c r="M24" s="635" t="s">
        <v>165</v>
      </c>
      <c r="N24" s="631"/>
      <c r="O24" s="631" t="s">
        <v>164</v>
      </c>
      <c r="P24" s="631" t="s">
        <v>160</v>
      </c>
      <c r="Q24" s="631"/>
      <c r="R24" s="631"/>
      <c r="S24" s="631"/>
      <c r="T24" s="631" t="s">
        <v>163</v>
      </c>
      <c r="U24" s="631" t="s">
        <v>160</v>
      </c>
      <c r="V24" s="631"/>
      <c r="W24" s="631"/>
      <c r="X24" s="631"/>
      <c r="Y24" s="631" t="s">
        <v>163</v>
      </c>
      <c r="Z24" s="631" t="s">
        <v>160</v>
      </c>
      <c r="AA24" s="631"/>
      <c r="AB24" s="631"/>
      <c r="AC24" s="631"/>
      <c r="AD24" s="631" t="s">
        <v>163</v>
      </c>
      <c r="AE24" s="631" t="s">
        <v>160</v>
      </c>
      <c r="AF24" s="631"/>
      <c r="AG24" s="631"/>
      <c r="AH24" s="631"/>
      <c r="AI24" s="631" t="s">
        <v>163</v>
      </c>
      <c r="AJ24" s="631" t="s">
        <v>160</v>
      </c>
      <c r="AK24" s="631"/>
      <c r="AL24" s="631"/>
      <c r="AM24" s="631"/>
      <c r="AN24" s="631" t="s">
        <v>163</v>
      </c>
      <c r="AO24" s="631" t="s">
        <v>160</v>
      </c>
      <c r="AP24" s="631"/>
      <c r="AQ24" s="631"/>
      <c r="AR24" s="631"/>
      <c r="AS24" s="631" t="s">
        <v>163</v>
      </c>
      <c r="AT24" s="631" t="s">
        <v>160</v>
      </c>
      <c r="AU24" s="631"/>
      <c r="AV24" s="631"/>
      <c r="AW24" s="631"/>
      <c r="AX24" s="631" t="s">
        <v>163</v>
      </c>
    </row>
    <row r="25" spans="2:50" ht="14.25" customHeight="1">
      <c r="B25" s="631"/>
      <c r="C25" s="631"/>
      <c r="D25" s="631"/>
      <c r="E25" s="631" t="s">
        <v>371</v>
      </c>
      <c r="F25" s="631"/>
      <c r="G25" s="631"/>
      <c r="H25" s="631"/>
      <c r="I25" s="635" t="s">
        <v>371</v>
      </c>
      <c r="J25" s="635"/>
      <c r="K25" s="635"/>
      <c r="L25" s="635"/>
      <c r="M25" s="635"/>
      <c r="N25" s="631"/>
      <c r="O25" s="631"/>
      <c r="P25" s="631" t="s">
        <v>372</v>
      </c>
      <c r="Q25" s="631"/>
      <c r="R25" s="631"/>
      <c r="S25" s="631"/>
      <c r="T25" s="631"/>
      <c r="U25" s="631" t="s">
        <v>372</v>
      </c>
      <c r="V25" s="631"/>
      <c r="W25" s="631"/>
      <c r="X25" s="631"/>
      <c r="Y25" s="631"/>
      <c r="Z25" s="631" t="s">
        <v>372</v>
      </c>
      <c r="AA25" s="631"/>
      <c r="AB25" s="631"/>
      <c r="AC25" s="631"/>
      <c r="AD25" s="631"/>
      <c r="AE25" s="631" t="s">
        <v>372</v>
      </c>
      <c r="AF25" s="631"/>
      <c r="AG25" s="631"/>
      <c r="AH25" s="631"/>
      <c r="AI25" s="631"/>
      <c r="AJ25" s="631" t="s">
        <v>372</v>
      </c>
      <c r="AK25" s="631"/>
      <c r="AL25" s="631"/>
      <c r="AM25" s="631"/>
      <c r="AN25" s="631"/>
      <c r="AO25" s="631" t="s">
        <v>372</v>
      </c>
      <c r="AP25" s="631"/>
      <c r="AQ25" s="631"/>
      <c r="AR25" s="631"/>
      <c r="AS25" s="631"/>
      <c r="AT25" s="631" t="s">
        <v>372</v>
      </c>
      <c r="AU25" s="631"/>
      <c r="AV25" s="631"/>
      <c r="AW25" s="631"/>
      <c r="AX25" s="631"/>
    </row>
    <row r="26" spans="2:50" ht="14.25" customHeight="1">
      <c r="B26" s="631"/>
      <c r="C26" s="631"/>
      <c r="D26" s="631"/>
      <c r="E26" s="180" t="s">
        <v>159</v>
      </c>
      <c r="F26" s="180" t="s">
        <v>373</v>
      </c>
      <c r="G26" s="180" t="s">
        <v>161</v>
      </c>
      <c r="H26" s="631"/>
      <c r="I26" s="181" t="s">
        <v>159</v>
      </c>
      <c r="J26" s="181" t="s">
        <v>373</v>
      </c>
      <c r="K26" s="181" t="s">
        <v>161</v>
      </c>
      <c r="L26" s="635"/>
      <c r="M26" s="635"/>
      <c r="N26" s="631"/>
      <c r="O26" s="631"/>
      <c r="P26" s="180" t="s">
        <v>159</v>
      </c>
      <c r="Q26" s="180" t="s">
        <v>373</v>
      </c>
      <c r="R26" s="180" t="s">
        <v>161</v>
      </c>
      <c r="S26" s="182" t="s">
        <v>165</v>
      </c>
      <c r="T26" s="631"/>
      <c r="U26" s="180" t="s">
        <v>159</v>
      </c>
      <c r="V26" s="180" t="s">
        <v>373</v>
      </c>
      <c r="W26" s="180" t="s">
        <v>161</v>
      </c>
      <c r="X26" s="182" t="s">
        <v>165</v>
      </c>
      <c r="Y26" s="631"/>
      <c r="Z26" s="180" t="s">
        <v>159</v>
      </c>
      <c r="AA26" s="180" t="s">
        <v>373</v>
      </c>
      <c r="AB26" s="180" t="s">
        <v>161</v>
      </c>
      <c r="AC26" s="182" t="s">
        <v>165</v>
      </c>
      <c r="AD26" s="631"/>
      <c r="AE26" s="180" t="s">
        <v>159</v>
      </c>
      <c r="AF26" s="180" t="s">
        <v>373</v>
      </c>
      <c r="AG26" s="180" t="s">
        <v>161</v>
      </c>
      <c r="AH26" s="182" t="s">
        <v>165</v>
      </c>
      <c r="AI26" s="631"/>
      <c r="AJ26" s="180" t="s">
        <v>159</v>
      </c>
      <c r="AK26" s="180" t="s">
        <v>373</v>
      </c>
      <c r="AL26" s="180" t="s">
        <v>161</v>
      </c>
      <c r="AM26" s="182" t="s">
        <v>165</v>
      </c>
      <c r="AN26" s="631"/>
      <c r="AO26" s="180" t="s">
        <v>159</v>
      </c>
      <c r="AP26" s="180" t="s">
        <v>373</v>
      </c>
      <c r="AQ26" s="180" t="s">
        <v>161</v>
      </c>
      <c r="AR26" s="182" t="s">
        <v>165</v>
      </c>
      <c r="AS26" s="631"/>
      <c r="AT26" s="180" t="s">
        <v>159</v>
      </c>
      <c r="AU26" s="180" t="s">
        <v>373</v>
      </c>
      <c r="AV26" s="180" t="s">
        <v>161</v>
      </c>
      <c r="AW26" s="182" t="s">
        <v>165</v>
      </c>
      <c r="AX26" s="631"/>
    </row>
    <row r="27" spans="2:50" ht="14.25" customHeight="1">
      <c r="B27" s="631" t="s">
        <v>376</v>
      </c>
      <c r="C27" s="180">
        <v>1</v>
      </c>
      <c r="D27" s="183" t="s">
        <v>584</v>
      </c>
      <c r="E27" s="180">
        <v>6</v>
      </c>
      <c r="F27" s="180">
        <v>2500</v>
      </c>
      <c r="G27" s="185">
        <f t="shared" ref="G27:G28" si="9">F27/E27</f>
        <v>416.66666666666669</v>
      </c>
      <c r="H27" s="632">
        <f>AVERAGE(G27:G41)</f>
        <v>416.66666666666669</v>
      </c>
      <c r="I27" s="186">
        <f>AVERAGE(P27,U27,Z27,AE27,AJ27,AO27,AT27)</f>
        <v>6</v>
      </c>
      <c r="J27" s="186">
        <f>AVERAGE(Q27,V27,AA27,AF27,AK27,AP27,AU27)</f>
        <v>2255.375090838671</v>
      </c>
      <c r="K27" s="187">
        <f>AVERAGE(R27,W27,AB27,AG27,AL27,AQ27,AV27)</f>
        <v>375.89584847311187</v>
      </c>
      <c r="L27" s="633">
        <f>IFERROR(AVERAGE(K27:K41),"-")</f>
        <v>375.84262164674169</v>
      </c>
      <c r="M27" s="186">
        <f>RANK(K27, K$27:$K$41)</f>
        <v>1</v>
      </c>
      <c r="N27" s="631"/>
      <c r="O27" s="631"/>
      <c r="P27" s="188">
        <v>6</v>
      </c>
      <c r="Q27" s="188">
        <v>2255.8393765529577</v>
      </c>
      <c r="R27" s="185">
        <f>IFERROR(Q27/P27,"")</f>
        <v>375.97322942549295</v>
      </c>
      <c r="S27" s="182">
        <f>RANK(R27, R$27:R$41)</f>
        <v>1</v>
      </c>
      <c r="T27" s="632">
        <f>AVERAGE(R27:R41)</f>
        <v>375.80033410308499</v>
      </c>
      <c r="U27" s="188">
        <v>6</v>
      </c>
      <c r="V27" s="188">
        <v>2255.0893765529577</v>
      </c>
      <c r="W27" s="185">
        <f t="shared" ref="W27:W28" si="10">IFERROR(V27/U27,"")</f>
        <v>375.84822942549295</v>
      </c>
      <c r="X27" s="182">
        <f>RANK(W27, W$27:W$41)</f>
        <v>1</v>
      </c>
      <c r="Y27" s="632">
        <f>AVERAGE(W27:W41)</f>
        <v>375.80033410308499</v>
      </c>
      <c r="Z27" s="188">
        <v>6</v>
      </c>
      <c r="AA27" s="188">
        <v>2255.0893765529572</v>
      </c>
      <c r="AB27" s="185">
        <f t="shared" ref="AB27:AB28" si="11">IFERROR(AA27/Z27,"")</f>
        <v>375.84822942549289</v>
      </c>
      <c r="AC27" s="182">
        <f>RANK(AB27, AB$27:AB$41)</f>
        <v>1</v>
      </c>
      <c r="AD27" s="632">
        <f>AVERAGE(AB27:AB41)</f>
        <v>375.77950076975162</v>
      </c>
      <c r="AE27" s="188">
        <v>6</v>
      </c>
      <c r="AF27" s="188">
        <v>2255.3393765529572</v>
      </c>
      <c r="AG27" s="185">
        <f>IFERROR(AF27/AE27,"")</f>
        <v>375.88989609215952</v>
      </c>
      <c r="AH27" s="182">
        <f>RANK(AG27, AG$27:AG$41)</f>
        <v>1</v>
      </c>
      <c r="AI27" s="632">
        <f>AVERAGE(AG27:AG41)</f>
        <v>375.75866743641825</v>
      </c>
      <c r="AJ27" s="188">
        <v>6</v>
      </c>
      <c r="AK27" s="188">
        <v>2256.0893765529568</v>
      </c>
      <c r="AL27" s="185">
        <f t="shared" ref="AL27:AL28" si="12">IFERROR(AK27/AJ27,"")</f>
        <v>376.01489609215946</v>
      </c>
      <c r="AM27" s="182">
        <f>RANK(AL27, AL$27:AL$41)</f>
        <v>1</v>
      </c>
      <c r="AN27" s="632">
        <f>AVERAGE(AL27:AL41)</f>
        <v>375.96150503828403</v>
      </c>
      <c r="AO27" s="188">
        <v>6</v>
      </c>
      <c r="AP27" s="188">
        <v>2254.8393765529568</v>
      </c>
      <c r="AQ27" s="185">
        <f t="shared" ref="AQ27:AQ28" si="13">IFERROR(AP27/AO27,"")</f>
        <v>375.80656275882615</v>
      </c>
      <c r="AR27" s="182">
        <f>RANK(AQ27, AQ$27:AQ$41)</f>
        <v>2</v>
      </c>
      <c r="AS27" s="632">
        <f>AVERAGE(AQ27:AQ41)</f>
        <v>375.83650503828409</v>
      </c>
      <c r="AT27" s="188">
        <v>6</v>
      </c>
      <c r="AU27" s="188">
        <v>2255.3393765529568</v>
      </c>
      <c r="AV27" s="185">
        <f t="shared" ref="AV27:AV28" si="14">IFERROR(AU27/AT27,"")</f>
        <v>375.88989609215946</v>
      </c>
      <c r="AW27" s="182">
        <f>RANK(AV27, AV$27:AV$41)</f>
        <v>2</v>
      </c>
      <c r="AX27" s="632">
        <f>AVERAGE(AV27:AV41)</f>
        <v>375.96150503828403</v>
      </c>
    </row>
    <row r="28" spans="2:50" ht="14.25" customHeight="1">
      <c r="B28" s="631"/>
      <c r="C28" s="180">
        <v>2</v>
      </c>
      <c r="D28" s="183" t="s">
        <v>605</v>
      </c>
      <c r="E28" s="180">
        <v>6</v>
      </c>
      <c r="F28" s="180">
        <v>2500</v>
      </c>
      <c r="G28" s="185">
        <f t="shared" si="9"/>
        <v>416.66666666666669</v>
      </c>
      <c r="H28" s="632"/>
      <c r="I28" s="186">
        <f t="shared" ref="I28:K28" si="15">AVERAGE(P28,U28,Z28,AE28,AJ28,AO28,AT28)</f>
        <v>6</v>
      </c>
      <c r="J28" s="186">
        <f t="shared" si="15"/>
        <v>2254.7363689222293</v>
      </c>
      <c r="K28" s="187">
        <f t="shared" si="15"/>
        <v>375.78939482037151</v>
      </c>
      <c r="L28" s="633"/>
      <c r="M28" s="186">
        <f>RANK(K28, K$27:$K$41)</f>
        <v>2</v>
      </c>
      <c r="N28" s="631"/>
      <c r="O28" s="631"/>
      <c r="P28" s="188">
        <v>6</v>
      </c>
      <c r="Q28" s="188">
        <v>2253.7646326840622</v>
      </c>
      <c r="R28" s="185">
        <f t="shared" ref="R28" si="16">IFERROR(Q28/P28,"")</f>
        <v>375.62743878067704</v>
      </c>
      <c r="S28" s="182">
        <f>RANK(R28, R$27:R$41)</f>
        <v>2</v>
      </c>
      <c r="T28" s="632"/>
      <c r="U28" s="188">
        <v>6</v>
      </c>
      <c r="V28" s="188">
        <v>2254.5146326840618</v>
      </c>
      <c r="W28" s="185">
        <f t="shared" si="10"/>
        <v>375.75243878067698</v>
      </c>
      <c r="X28" s="182">
        <f>RANK(W28, W$27:W$41)</f>
        <v>2</v>
      </c>
      <c r="Y28" s="632"/>
      <c r="Z28" s="188">
        <v>6</v>
      </c>
      <c r="AA28" s="188">
        <v>2254.2646326840618</v>
      </c>
      <c r="AB28" s="185">
        <f t="shared" si="11"/>
        <v>375.7107721140103</v>
      </c>
      <c r="AC28" s="182">
        <f>RANK(AB28, AB$27:AB$41)</f>
        <v>2</v>
      </c>
      <c r="AD28" s="632"/>
      <c r="AE28" s="188">
        <v>6</v>
      </c>
      <c r="AF28" s="188">
        <v>2253.7646326840618</v>
      </c>
      <c r="AG28" s="185">
        <f t="shared" ref="AG28" si="17">IFERROR(AF28/AE28,"")</f>
        <v>375.62743878067698</v>
      </c>
      <c r="AH28" s="182">
        <f>RANK(AG28, AG$27:AG$41)</f>
        <v>2</v>
      </c>
      <c r="AI28" s="632"/>
      <c r="AJ28" s="188">
        <v>6</v>
      </c>
      <c r="AK28" s="188">
        <v>2255.4486839064516</v>
      </c>
      <c r="AL28" s="185">
        <f t="shared" si="12"/>
        <v>375.9081139844086</v>
      </c>
      <c r="AM28" s="182">
        <f>RANK(AL28, AL$27:AL$41)</f>
        <v>2</v>
      </c>
      <c r="AN28" s="632"/>
      <c r="AO28" s="188">
        <v>6</v>
      </c>
      <c r="AP28" s="188">
        <v>2255.1986839064521</v>
      </c>
      <c r="AQ28" s="185">
        <f t="shared" si="13"/>
        <v>375.86644731774203</v>
      </c>
      <c r="AR28" s="182">
        <f>RANK(AQ28, AQ$27:AQ$41)</f>
        <v>1</v>
      </c>
      <c r="AS28" s="632"/>
      <c r="AT28" s="188">
        <v>6</v>
      </c>
      <c r="AU28" s="188">
        <v>2256.1986839064521</v>
      </c>
      <c r="AV28" s="185">
        <f t="shared" si="14"/>
        <v>376.03311398440866</v>
      </c>
      <c r="AW28" s="182">
        <f>RANK(AV28, AV$27:AV$41)</f>
        <v>1</v>
      </c>
      <c r="AX28" s="632"/>
    </row>
    <row r="29" spans="2:50" ht="14.25" customHeight="1">
      <c r="B29" s="631"/>
      <c r="C29" s="180">
        <v>3</v>
      </c>
      <c r="D29" s="183"/>
      <c r="E29" s="180"/>
      <c r="F29" s="180"/>
      <c r="G29" s="185"/>
      <c r="H29" s="632"/>
      <c r="I29" s="186"/>
      <c r="J29" s="186"/>
      <c r="K29" s="187"/>
      <c r="L29" s="633"/>
      <c r="M29" s="186"/>
      <c r="N29" s="631"/>
      <c r="O29" s="631"/>
      <c r="P29" s="188"/>
      <c r="Q29" s="188"/>
      <c r="R29" s="185"/>
      <c r="S29" s="182"/>
      <c r="T29" s="632"/>
      <c r="U29" s="188"/>
      <c r="V29" s="188"/>
      <c r="W29" s="185"/>
      <c r="X29" s="182"/>
      <c r="Y29" s="632"/>
      <c r="Z29" s="188"/>
      <c r="AA29" s="188"/>
      <c r="AB29" s="185"/>
      <c r="AC29" s="182"/>
      <c r="AD29" s="632"/>
      <c r="AE29" s="188"/>
      <c r="AF29" s="188"/>
      <c r="AG29" s="185"/>
      <c r="AH29" s="182"/>
      <c r="AI29" s="632"/>
      <c r="AJ29" s="188"/>
      <c r="AK29" s="188"/>
      <c r="AL29" s="185"/>
      <c r="AM29" s="182"/>
      <c r="AN29" s="632"/>
      <c r="AO29" s="188"/>
      <c r="AP29" s="188"/>
      <c r="AQ29" s="185"/>
      <c r="AR29" s="182"/>
      <c r="AS29" s="632"/>
      <c r="AT29" s="188"/>
      <c r="AU29" s="188"/>
      <c r="AV29" s="185"/>
      <c r="AW29" s="182"/>
      <c r="AX29" s="632"/>
    </row>
    <row r="30" spans="2:50" ht="14.25" customHeight="1">
      <c r="B30" s="631"/>
      <c r="C30" s="180">
        <v>4</v>
      </c>
      <c r="D30" s="183"/>
      <c r="E30" s="180"/>
      <c r="F30" s="180"/>
      <c r="G30" s="185"/>
      <c r="H30" s="632"/>
      <c r="I30" s="186"/>
      <c r="J30" s="186"/>
      <c r="K30" s="187"/>
      <c r="L30" s="633"/>
      <c r="M30" s="186"/>
      <c r="N30" s="631"/>
      <c r="O30" s="631"/>
      <c r="P30" s="188"/>
      <c r="Q30" s="188"/>
      <c r="R30" s="185"/>
      <c r="S30" s="182"/>
      <c r="T30" s="632"/>
      <c r="U30" s="188"/>
      <c r="V30" s="188"/>
      <c r="W30" s="185"/>
      <c r="X30" s="182"/>
      <c r="Y30" s="632"/>
      <c r="Z30" s="188"/>
      <c r="AA30" s="188"/>
      <c r="AB30" s="185"/>
      <c r="AC30" s="182"/>
      <c r="AD30" s="632"/>
      <c r="AE30" s="188"/>
      <c r="AF30" s="188"/>
      <c r="AG30" s="185"/>
      <c r="AH30" s="182"/>
      <c r="AI30" s="632"/>
      <c r="AJ30" s="188"/>
      <c r="AK30" s="188"/>
      <c r="AL30" s="185"/>
      <c r="AM30" s="182"/>
      <c r="AN30" s="632"/>
      <c r="AO30" s="188"/>
      <c r="AP30" s="188"/>
      <c r="AQ30" s="185"/>
      <c r="AR30" s="182"/>
      <c r="AS30" s="632"/>
      <c r="AT30" s="188"/>
      <c r="AU30" s="188"/>
      <c r="AV30" s="185"/>
      <c r="AW30" s="182"/>
      <c r="AX30" s="632"/>
    </row>
    <row r="31" spans="2:50" ht="14.25" customHeight="1">
      <c r="B31" s="631"/>
      <c r="C31" s="180">
        <v>5</v>
      </c>
      <c r="D31" s="183"/>
      <c r="E31" s="180"/>
      <c r="F31" s="180"/>
      <c r="G31" s="185"/>
      <c r="H31" s="632"/>
      <c r="I31" s="186"/>
      <c r="J31" s="186"/>
      <c r="K31" s="187"/>
      <c r="L31" s="633"/>
      <c r="M31" s="186"/>
      <c r="N31" s="631"/>
      <c r="O31" s="631"/>
      <c r="P31" s="188"/>
      <c r="Q31" s="188"/>
      <c r="R31" s="185"/>
      <c r="S31" s="182"/>
      <c r="T31" s="632"/>
      <c r="U31" s="188"/>
      <c r="V31" s="188"/>
      <c r="W31" s="185"/>
      <c r="X31" s="182"/>
      <c r="Y31" s="632"/>
      <c r="Z31" s="188"/>
      <c r="AA31" s="188"/>
      <c r="AB31" s="185"/>
      <c r="AC31" s="182"/>
      <c r="AD31" s="632"/>
      <c r="AE31" s="188"/>
      <c r="AF31" s="188"/>
      <c r="AG31" s="185"/>
      <c r="AH31" s="182"/>
      <c r="AI31" s="632"/>
      <c r="AJ31" s="188"/>
      <c r="AK31" s="188"/>
      <c r="AL31" s="185"/>
      <c r="AM31" s="182"/>
      <c r="AN31" s="632"/>
      <c r="AO31" s="188"/>
      <c r="AP31" s="188"/>
      <c r="AQ31" s="185"/>
      <c r="AR31" s="182"/>
      <c r="AS31" s="632"/>
      <c r="AT31" s="188"/>
      <c r="AU31" s="188"/>
      <c r="AV31" s="185"/>
      <c r="AW31" s="182"/>
      <c r="AX31" s="632"/>
    </row>
    <row r="32" spans="2:50" ht="14.25" customHeight="1">
      <c r="B32" s="631"/>
      <c r="C32" s="180">
        <v>6</v>
      </c>
      <c r="D32" s="183"/>
      <c r="E32" s="180"/>
      <c r="F32" s="180"/>
      <c r="G32" s="185"/>
      <c r="H32" s="632"/>
      <c r="I32" s="186"/>
      <c r="J32" s="186"/>
      <c r="K32" s="187"/>
      <c r="L32" s="633"/>
      <c r="M32" s="186"/>
      <c r="N32" s="631"/>
      <c r="O32" s="631"/>
      <c r="P32" s="188"/>
      <c r="Q32" s="188"/>
      <c r="R32" s="185"/>
      <c r="S32" s="182"/>
      <c r="T32" s="632"/>
      <c r="U32" s="188"/>
      <c r="V32" s="188"/>
      <c r="W32" s="185"/>
      <c r="X32" s="182"/>
      <c r="Y32" s="632"/>
      <c r="Z32" s="188"/>
      <c r="AA32" s="188"/>
      <c r="AB32" s="185"/>
      <c r="AC32" s="182"/>
      <c r="AD32" s="632"/>
      <c r="AE32" s="188"/>
      <c r="AF32" s="188"/>
      <c r="AG32" s="185"/>
      <c r="AH32" s="182"/>
      <c r="AI32" s="632"/>
      <c r="AJ32" s="188"/>
      <c r="AK32" s="188"/>
      <c r="AL32" s="185"/>
      <c r="AM32" s="182"/>
      <c r="AN32" s="632"/>
      <c r="AO32" s="188"/>
      <c r="AP32" s="188"/>
      <c r="AQ32" s="185"/>
      <c r="AR32" s="182"/>
      <c r="AS32" s="632"/>
      <c r="AT32" s="188"/>
      <c r="AU32" s="188"/>
      <c r="AV32" s="185"/>
      <c r="AW32" s="182"/>
      <c r="AX32" s="632"/>
    </row>
    <row r="33" spans="2:50" ht="14.25" customHeight="1">
      <c r="B33" s="631"/>
      <c r="C33" s="180">
        <v>7</v>
      </c>
      <c r="D33" s="183"/>
      <c r="E33" s="180"/>
      <c r="F33" s="180"/>
      <c r="G33" s="185"/>
      <c r="H33" s="632"/>
      <c r="I33" s="186"/>
      <c r="J33" s="186"/>
      <c r="K33" s="187"/>
      <c r="L33" s="633"/>
      <c r="M33" s="186"/>
      <c r="N33" s="631"/>
      <c r="O33" s="631"/>
      <c r="P33" s="188"/>
      <c r="Q33" s="188"/>
      <c r="R33" s="185"/>
      <c r="S33" s="182"/>
      <c r="T33" s="632"/>
      <c r="U33" s="188"/>
      <c r="V33" s="188"/>
      <c r="W33" s="185"/>
      <c r="X33" s="182"/>
      <c r="Y33" s="632"/>
      <c r="Z33" s="188"/>
      <c r="AA33" s="188"/>
      <c r="AB33" s="185"/>
      <c r="AC33" s="182"/>
      <c r="AD33" s="632"/>
      <c r="AE33" s="188"/>
      <c r="AF33" s="188"/>
      <c r="AG33" s="185"/>
      <c r="AH33" s="182"/>
      <c r="AI33" s="632"/>
      <c r="AJ33" s="188"/>
      <c r="AK33" s="188"/>
      <c r="AL33" s="185"/>
      <c r="AM33" s="182"/>
      <c r="AN33" s="632"/>
      <c r="AO33" s="188"/>
      <c r="AP33" s="188"/>
      <c r="AQ33" s="185"/>
      <c r="AR33" s="182"/>
      <c r="AS33" s="632"/>
      <c r="AT33" s="188"/>
      <c r="AU33" s="188"/>
      <c r="AV33" s="185"/>
      <c r="AW33" s="182"/>
      <c r="AX33" s="632"/>
    </row>
    <row r="34" spans="2:50" ht="14.25" customHeight="1">
      <c r="B34" s="631"/>
      <c r="C34" s="180">
        <v>8</v>
      </c>
      <c r="D34" s="183"/>
      <c r="E34" s="180"/>
      <c r="F34" s="180"/>
      <c r="G34" s="185"/>
      <c r="H34" s="632"/>
      <c r="I34" s="186"/>
      <c r="J34" s="186"/>
      <c r="K34" s="187"/>
      <c r="L34" s="633"/>
      <c r="M34" s="186"/>
      <c r="N34" s="631"/>
      <c r="O34" s="631"/>
      <c r="P34" s="188"/>
      <c r="Q34" s="188"/>
      <c r="R34" s="185"/>
      <c r="S34" s="182"/>
      <c r="T34" s="632"/>
      <c r="U34" s="188"/>
      <c r="V34" s="188"/>
      <c r="W34" s="185"/>
      <c r="X34" s="182"/>
      <c r="Y34" s="632"/>
      <c r="Z34" s="188"/>
      <c r="AA34" s="188"/>
      <c r="AB34" s="185"/>
      <c r="AC34" s="182"/>
      <c r="AD34" s="632"/>
      <c r="AE34" s="188"/>
      <c r="AF34" s="188"/>
      <c r="AG34" s="185"/>
      <c r="AH34" s="182"/>
      <c r="AI34" s="632"/>
      <c r="AJ34" s="188"/>
      <c r="AK34" s="188"/>
      <c r="AL34" s="185"/>
      <c r="AM34" s="182"/>
      <c r="AN34" s="632"/>
      <c r="AO34" s="188"/>
      <c r="AP34" s="188"/>
      <c r="AQ34" s="185"/>
      <c r="AR34" s="182"/>
      <c r="AS34" s="632"/>
      <c r="AT34" s="188"/>
      <c r="AU34" s="188"/>
      <c r="AV34" s="185"/>
      <c r="AW34" s="182"/>
      <c r="AX34" s="632"/>
    </row>
    <row r="35" spans="2:50" ht="14.25" customHeight="1">
      <c r="B35" s="631"/>
      <c r="C35" s="180">
        <v>9</v>
      </c>
      <c r="D35" s="183"/>
      <c r="E35" s="180"/>
      <c r="F35" s="180"/>
      <c r="G35" s="185"/>
      <c r="H35" s="632"/>
      <c r="I35" s="186"/>
      <c r="J35" s="186"/>
      <c r="K35" s="187"/>
      <c r="L35" s="633"/>
      <c r="M35" s="186"/>
      <c r="N35" s="631"/>
      <c r="O35" s="631"/>
      <c r="P35" s="188"/>
      <c r="Q35" s="188"/>
      <c r="R35" s="185"/>
      <c r="S35" s="182"/>
      <c r="T35" s="632"/>
      <c r="U35" s="188"/>
      <c r="V35" s="188"/>
      <c r="W35" s="185"/>
      <c r="X35" s="182"/>
      <c r="Y35" s="632"/>
      <c r="Z35" s="188"/>
      <c r="AA35" s="188"/>
      <c r="AB35" s="185"/>
      <c r="AC35" s="182"/>
      <c r="AD35" s="632"/>
      <c r="AE35" s="188"/>
      <c r="AF35" s="188"/>
      <c r="AG35" s="185"/>
      <c r="AH35" s="182"/>
      <c r="AI35" s="632"/>
      <c r="AJ35" s="188"/>
      <c r="AK35" s="188"/>
      <c r="AL35" s="185"/>
      <c r="AM35" s="182"/>
      <c r="AN35" s="632"/>
      <c r="AO35" s="188"/>
      <c r="AP35" s="188"/>
      <c r="AQ35" s="185"/>
      <c r="AR35" s="182"/>
      <c r="AS35" s="632"/>
      <c r="AT35" s="188"/>
      <c r="AU35" s="188"/>
      <c r="AV35" s="185"/>
      <c r="AW35" s="182"/>
      <c r="AX35" s="632"/>
    </row>
    <row r="36" spans="2:50" ht="14.25" customHeight="1">
      <c r="B36" s="631"/>
      <c r="C36" s="180">
        <v>10</v>
      </c>
      <c r="D36" s="183"/>
      <c r="E36" s="180"/>
      <c r="F36" s="180"/>
      <c r="G36" s="185"/>
      <c r="H36" s="632"/>
      <c r="I36" s="186"/>
      <c r="J36" s="186"/>
      <c r="K36" s="187"/>
      <c r="L36" s="633"/>
      <c r="M36" s="186"/>
      <c r="N36" s="631"/>
      <c r="O36" s="631"/>
      <c r="P36" s="188"/>
      <c r="Q36" s="188"/>
      <c r="R36" s="185"/>
      <c r="S36" s="182"/>
      <c r="T36" s="632"/>
      <c r="U36" s="188"/>
      <c r="V36" s="188"/>
      <c r="W36" s="185"/>
      <c r="X36" s="182"/>
      <c r="Y36" s="632"/>
      <c r="Z36" s="188"/>
      <c r="AA36" s="188"/>
      <c r="AB36" s="185"/>
      <c r="AC36" s="182"/>
      <c r="AD36" s="632"/>
      <c r="AE36" s="188"/>
      <c r="AF36" s="188"/>
      <c r="AG36" s="185"/>
      <c r="AH36" s="182"/>
      <c r="AI36" s="632"/>
      <c r="AJ36" s="188"/>
      <c r="AK36" s="188"/>
      <c r="AL36" s="185"/>
      <c r="AM36" s="182"/>
      <c r="AN36" s="632"/>
      <c r="AO36" s="188"/>
      <c r="AP36" s="188"/>
      <c r="AQ36" s="185"/>
      <c r="AR36" s="182"/>
      <c r="AS36" s="632"/>
      <c r="AT36" s="188"/>
      <c r="AU36" s="188"/>
      <c r="AV36" s="185"/>
      <c r="AW36" s="182"/>
      <c r="AX36" s="632"/>
    </row>
    <row r="37" spans="2:50" ht="14.25" customHeight="1">
      <c r="B37" s="631"/>
      <c r="C37" s="180">
        <v>11</v>
      </c>
      <c r="D37" s="183"/>
      <c r="E37" s="180"/>
      <c r="F37" s="180"/>
      <c r="G37" s="185"/>
      <c r="H37" s="632"/>
      <c r="I37" s="186"/>
      <c r="J37" s="186"/>
      <c r="K37" s="187"/>
      <c r="L37" s="633"/>
      <c r="M37" s="186"/>
      <c r="N37" s="631"/>
      <c r="O37" s="631"/>
      <c r="P37" s="188"/>
      <c r="Q37" s="188"/>
      <c r="R37" s="185"/>
      <c r="S37" s="182"/>
      <c r="T37" s="632"/>
      <c r="U37" s="188"/>
      <c r="V37" s="188"/>
      <c r="W37" s="185"/>
      <c r="X37" s="182"/>
      <c r="Y37" s="632"/>
      <c r="Z37" s="188"/>
      <c r="AA37" s="188"/>
      <c r="AB37" s="185"/>
      <c r="AC37" s="182"/>
      <c r="AD37" s="632"/>
      <c r="AE37" s="188"/>
      <c r="AF37" s="188"/>
      <c r="AG37" s="185"/>
      <c r="AH37" s="182"/>
      <c r="AI37" s="632"/>
      <c r="AJ37" s="188"/>
      <c r="AK37" s="188"/>
      <c r="AL37" s="185"/>
      <c r="AM37" s="182"/>
      <c r="AN37" s="632"/>
      <c r="AO37" s="188"/>
      <c r="AP37" s="188"/>
      <c r="AQ37" s="185"/>
      <c r="AR37" s="182"/>
      <c r="AS37" s="632"/>
      <c r="AT37" s="188"/>
      <c r="AU37" s="188"/>
      <c r="AV37" s="185"/>
      <c r="AW37" s="182"/>
      <c r="AX37" s="632"/>
    </row>
    <row r="38" spans="2:50" ht="14.25" customHeight="1">
      <c r="B38" s="631"/>
      <c r="C38" s="180">
        <v>12</v>
      </c>
      <c r="D38" s="183"/>
      <c r="E38" s="180"/>
      <c r="F38" s="180"/>
      <c r="G38" s="185"/>
      <c r="H38" s="632"/>
      <c r="I38" s="186"/>
      <c r="J38" s="186"/>
      <c r="K38" s="187"/>
      <c r="L38" s="633"/>
      <c r="M38" s="186"/>
      <c r="N38" s="631"/>
      <c r="O38" s="631"/>
      <c r="P38" s="188"/>
      <c r="Q38" s="188"/>
      <c r="R38" s="185"/>
      <c r="S38" s="182"/>
      <c r="T38" s="632"/>
      <c r="U38" s="188"/>
      <c r="V38" s="188"/>
      <c r="W38" s="185"/>
      <c r="X38" s="182"/>
      <c r="Y38" s="632"/>
      <c r="Z38" s="188"/>
      <c r="AA38" s="188"/>
      <c r="AB38" s="185"/>
      <c r="AC38" s="182"/>
      <c r="AD38" s="632"/>
      <c r="AE38" s="188"/>
      <c r="AF38" s="188"/>
      <c r="AG38" s="185"/>
      <c r="AH38" s="182"/>
      <c r="AI38" s="632"/>
      <c r="AJ38" s="188"/>
      <c r="AK38" s="188"/>
      <c r="AL38" s="185"/>
      <c r="AM38" s="182"/>
      <c r="AN38" s="632"/>
      <c r="AO38" s="188"/>
      <c r="AP38" s="188"/>
      <c r="AQ38" s="185"/>
      <c r="AR38" s="182"/>
      <c r="AS38" s="632"/>
      <c r="AT38" s="188"/>
      <c r="AU38" s="188"/>
      <c r="AV38" s="185"/>
      <c r="AW38" s="182"/>
      <c r="AX38" s="632"/>
    </row>
    <row r="39" spans="2:50" ht="14.25" customHeight="1">
      <c r="B39" s="631"/>
      <c r="C39" s="180">
        <v>13</v>
      </c>
      <c r="D39" s="183"/>
      <c r="E39" s="180"/>
      <c r="F39" s="180"/>
      <c r="G39" s="185"/>
      <c r="H39" s="632"/>
      <c r="I39" s="186"/>
      <c r="J39" s="186"/>
      <c r="K39" s="187"/>
      <c r="L39" s="633"/>
      <c r="M39" s="186"/>
      <c r="N39" s="631"/>
      <c r="O39" s="631"/>
      <c r="P39" s="188"/>
      <c r="Q39" s="188"/>
      <c r="R39" s="185"/>
      <c r="S39" s="182"/>
      <c r="T39" s="632"/>
      <c r="U39" s="188"/>
      <c r="V39" s="188"/>
      <c r="W39" s="185"/>
      <c r="X39" s="182"/>
      <c r="Y39" s="632"/>
      <c r="Z39" s="188"/>
      <c r="AA39" s="188"/>
      <c r="AB39" s="185"/>
      <c r="AC39" s="182"/>
      <c r="AD39" s="632"/>
      <c r="AE39" s="188"/>
      <c r="AF39" s="188"/>
      <c r="AG39" s="185"/>
      <c r="AH39" s="182"/>
      <c r="AI39" s="632"/>
      <c r="AJ39" s="188"/>
      <c r="AK39" s="188"/>
      <c r="AL39" s="185"/>
      <c r="AM39" s="182"/>
      <c r="AN39" s="632"/>
      <c r="AO39" s="188"/>
      <c r="AP39" s="188"/>
      <c r="AQ39" s="185"/>
      <c r="AR39" s="182"/>
      <c r="AS39" s="632"/>
      <c r="AT39" s="188"/>
      <c r="AU39" s="188"/>
      <c r="AV39" s="185"/>
      <c r="AW39" s="182"/>
      <c r="AX39" s="632"/>
    </row>
    <row r="40" spans="2:50" ht="14.25" customHeight="1">
      <c r="B40" s="631"/>
      <c r="C40" s="180">
        <v>14</v>
      </c>
      <c r="D40" s="183"/>
      <c r="E40" s="180"/>
      <c r="F40" s="180"/>
      <c r="G40" s="185"/>
      <c r="H40" s="632"/>
      <c r="I40" s="186"/>
      <c r="J40" s="186"/>
      <c r="K40" s="187"/>
      <c r="L40" s="633"/>
      <c r="M40" s="186"/>
      <c r="N40" s="631"/>
      <c r="O40" s="631"/>
      <c r="P40" s="188"/>
      <c r="Q40" s="188"/>
      <c r="R40" s="185"/>
      <c r="S40" s="182"/>
      <c r="T40" s="632"/>
      <c r="U40" s="188"/>
      <c r="V40" s="188"/>
      <c r="W40" s="185"/>
      <c r="X40" s="182"/>
      <c r="Y40" s="632"/>
      <c r="Z40" s="188"/>
      <c r="AA40" s="188"/>
      <c r="AB40" s="185"/>
      <c r="AC40" s="182"/>
      <c r="AD40" s="632"/>
      <c r="AE40" s="188"/>
      <c r="AF40" s="188"/>
      <c r="AG40" s="185"/>
      <c r="AH40" s="182"/>
      <c r="AI40" s="632"/>
      <c r="AJ40" s="188"/>
      <c r="AK40" s="188"/>
      <c r="AL40" s="185"/>
      <c r="AM40" s="182"/>
      <c r="AN40" s="632"/>
      <c r="AO40" s="188"/>
      <c r="AP40" s="188"/>
      <c r="AQ40" s="185"/>
      <c r="AR40" s="182"/>
      <c r="AS40" s="632"/>
      <c r="AT40" s="188"/>
      <c r="AU40" s="188"/>
      <c r="AV40" s="185"/>
      <c r="AW40" s="182"/>
      <c r="AX40" s="632"/>
    </row>
    <row r="41" spans="2:50" ht="14.25" customHeight="1">
      <c r="B41" s="631"/>
      <c r="C41" s="180">
        <v>15</v>
      </c>
      <c r="D41" s="183"/>
      <c r="E41" s="180"/>
      <c r="F41" s="180"/>
      <c r="G41" s="185"/>
      <c r="H41" s="632"/>
      <c r="I41" s="186"/>
      <c r="J41" s="186"/>
      <c r="K41" s="187"/>
      <c r="L41" s="633"/>
      <c r="M41" s="186"/>
      <c r="N41" s="631"/>
      <c r="O41" s="631"/>
      <c r="P41" s="188"/>
      <c r="Q41" s="188"/>
      <c r="R41" s="185"/>
      <c r="S41" s="182"/>
      <c r="T41" s="632"/>
      <c r="U41" s="188"/>
      <c r="V41" s="188"/>
      <c r="W41" s="185"/>
      <c r="X41" s="182"/>
      <c r="Y41" s="632"/>
      <c r="Z41" s="188"/>
      <c r="AA41" s="188"/>
      <c r="AB41" s="185"/>
      <c r="AC41" s="182"/>
      <c r="AD41" s="632"/>
      <c r="AE41" s="188"/>
      <c r="AF41" s="188"/>
      <c r="AG41" s="185"/>
      <c r="AH41" s="182"/>
      <c r="AI41" s="632"/>
      <c r="AJ41" s="188"/>
      <c r="AK41" s="188"/>
      <c r="AL41" s="185"/>
      <c r="AM41" s="182"/>
      <c r="AN41" s="632"/>
      <c r="AO41" s="188"/>
      <c r="AP41" s="188"/>
      <c r="AQ41" s="185"/>
      <c r="AR41" s="182"/>
      <c r="AS41" s="632"/>
      <c r="AT41" s="188"/>
      <c r="AU41" s="188"/>
      <c r="AV41" s="185"/>
      <c r="AW41" s="182"/>
      <c r="AX41" s="632"/>
    </row>
    <row r="42" spans="2:50" ht="14.25" customHeight="1" collapsed="1">
      <c r="B42" s="645" t="s">
        <v>743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7"/>
      <c r="N42" s="664" t="s">
        <v>369</v>
      </c>
      <c r="O42" s="664" t="s">
        <v>105</v>
      </c>
      <c r="P42" s="666">
        <v>46154</v>
      </c>
      <c r="Q42" s="667"/>
      <c r="R42" s="667"/>
      <c r="S42" s="667"/>
      <c r="T42" s="667"/>
      <c r="U42" s="668">
        <v>46155</v>
      </c>
      <c r="V42" s="669"/>
      <c r="W42" s="669"/>
      <c r="X42" s="669"/>
      <c r="Y42" s="669"/>
      <c r="Z42" s="666">
        <v>46156</v>
      </c>
      <c r="AA42" s="667"/>
      <c r="AB42" s="667"/>
      <c r="AC42" s="667"/>
      <c r="AD42" s="667"/>
      <c r="AE42" s="668">
        <v>46157</v>
      </c>
      <c r="AF42" s="669"/>
      <c r="AG42" s="669"/>
      <c r="AH42" s="669"/>
      <c r="AI42" s="669"/>
      <c r="AJ42" s="656">
        <v>46158</v>
      </c>
      <c r="AK42" s="657"/>
      <c r="AL42" s="657"/>
      <c r="AM42" s="657"/>
      <c r="AN42" s="658"/>
      <c r="AO42" s="668">
        <v>46159</v>
      </c>
      <c r="AP42" s="669"/>
      <c r="AQ42" s="669"/>
      <c r="AR42" s="669"/>
      <c r="AS42" s="669"/>
      <c r="AT42" s="656">
        <v>46160</v>
      </c>
      <c r="AU42" s="657"/>
      <c r="AV42" s="657"/>
      <c r="AW42" s="657"/>
      <c r="AX42" s="658"/>
    </row>
    <row r="43" spans="2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65"/>
      <c r="O43" s="665"/>
      <c r="P43" s="659">
        <v>46154</v>
      </c>
      <c r="Q43" s="659"/>
      <c r="R43" s="659"/>
      <c r="S43" s="659"/>
      <c r="T43" s="659"/>
      <c r="U43" s="660">
        <v>46155</v>
      </c>
      <c r="V43" s="660"/>
      <c r="W43" s="660"/>
      <c r="X43" s="660"/>
      <c r="Y43" s="660"/>
      <c r="Z43" s="659">
        <v>46156</v>
      </c>
      <c r="AA43" s="659"/>
      <c r="AB43" s="659"/>
      <c r="AC43" s="659"/>
      <c r="AD43" s="659"/>
      <c r="AE43" s="660">
        <v>46157</v>
      </c>
      <c r="AF43" s="660"/>
      <c r="AG43" s="660"/>
      <c r="AH43" s="660"/>
      <c r="AI43" s="660"/>
      <c r="AJ43" s="661">
        <v>46158</v>
      </c>
      <c r="AK43" s="662"/>
      <c r="AL43" s="662"/>
      <c r="AM43" s="662"/>
      <c r="AN43" s="663"/>
      <c r="AO43" s="660">
        <v>46159</v>
      </c>
      <c r="AP43" s="660"/>
      <c r="AQ43" s="660"/>
      <c r="AR43" s="660"/>
      <c r="AS43" s="660"/>
      <c r="AT43" s="661">
        <v>46160</v>
      </c>
      <c r="AU43" s="662"/>
      <c r="AV43" s="662"/>
      <c r="AW43" s="662"/>
      <c r="AX43" s="663"/>
    </row>
    <row r="44" spans="2:50" ht="14.25" customHeight="1">
      <c r="B44" s="631" t="s">
        <v>162</v>
      </c>
      <c r="C44" s="631" t="s">
        <v>157</v>
      </c>
      <c r="D44" s="631"/>
      <c r="E44" s="631" t="s">
        <v>158</v>
      </c>
      <c r="F44" s="631"/>
      <c r="G44" s="631"/>
      <c r="H44" s="631" t="s">
        <v>163</v>
      </c>
      <c r="I44" s="635" t="s">
        <v>370</v>
      </c>
      <c r="J44" s="635"/>
      <c r="K44" s="635"/>
      <c r="L44" s="635" t="s">
        <v>163</v>
      </c>
      <c r="M44" s="635" t="s">
        <v>165</v>
      </c>
      <c r="N44" s="631"/>
      <c r="O44" s="631" t="s">
        <v>164</v>
      </c>
      <c r="P44" s="631" t="s">
        <v>160</v>
      </c>
      <c r="Q44" s="631"/>
      <c r="R44" s="631"/>
      <c r="S44" s="631"/>
      <c r="T44" s="631" t="s">
        <v>163</v>
      </c>
      <c r="U44" s="631" t="s">
        <v>160</v>
      </c>
      <c r="V44" s="631"/>
      <c r="W44" s="631"/>
      <c r="X44" s="631"/>
      <c r="Y44" s="631" t="s">
        <v>163</v>
      </c>
      <c r="Z44" s="631" t="s">
        <v>160</v>
      </c>
      <c r="AA44" s="631"/>
      <c r="AB44" s="631"/>
      <c r="AC44" s="631"/>
      <c r="AD44" s="631" t="s">
        <v>163</v>
      </c>
      <c r="AE44" s="631" t="s">
        <v>160</v>
      </c>
      <c r="AF44" s="631"/>
      <c r="AG44" s="631"/>
      <c r="AH44" s="631"/>
      <c r="AI44" s="631" t="s">
        <v>163</v>
      </c>
      <c r="AJ44" s="631" t="s">
        <v>160</v>
      </c>
      <c r="AK44" s="631"/>
      <c r="AL44" s="631"/>
      <c r="AM44" s="631"/>
      <c r="AN44" s="631" t="s">
        <v>163</v>
      </c>
      <c r="AO44" s="631" t="s">
        <v>160</v>
      </c>
      <c r="AP44" s="631"/>
      <c r="AQ44" s="631"/>
      <c r="AR44" s="631"/>
      <c r="AS44" s="631" t="s">
        <v>163</v>
      </c>
      <c r="AT44" s="631" t="s">
        <v>160</v>
      </c>
      <c r="AU44" s="631"/>
      <c r="AV44" s="631"/>
      <c r="AW44" s="631"/>
      <c r="AX44" s="631" t="s">
        <v>163</v>
      </c>
    </row>
    <row r="45" spans="2:50" ht="14.25" customHeight="1">
      <c r="B45" s="631"/>
      <c r="C45" s="631"/>
      <c r="D45" s="631"/>
      <c r="E45" s="631" t="s">
        <v>371</v>
      </c>
      <c r="F45" s="631"/>
      <c r="G45" s="631"/>
      <c r="H45" s="631"/>
      <c r="I45" s="635" t="s">
        <v>371</v>
      </c>
      <c r="J45" s="635"/>
      <c r="K45" s="635"/>
      <c r="L45" s="635"/>
      <c r="M45" s="635"/>
      <c r="N45" s="631"/>
      <c r="O45" s="631"/>
      <c r="P45" s="631" t="s">
        <v>372</v>
      </c>
      <c r="Q45" s="631"/>
      <c r="R45" s="631"/>
      <c r="S45" s="631"/>
      <c r="T45" s="631"/>
      <c r="U45" s="631" t="s">
        <v>372</v>
      </c>
      <c r="V45" s="631"/>
      <c r="W45" s="631"/>
      <c r="X45" s="631"/>
      <c r="Y45" s="631"/>
      <c r="Z45" s="631" t="s">
        <v>372</v>
      </c>
      <c r="AA45" s="631"/>
      <c r="AB45" s="631"/>
      <c r="AC45" s="631"/>
      <c r="AD45" s="631"/>
      <c r="AE45" s="631" t="s">
        <v>372</v>
      </c>
      <c r="AF45" s="631"/>
      <c r="AG45" s="631"/>
      <c r="AH45" s="631"/>
      <c r="AI45" s="631"/>
      <c r="AJ45" s="631" t="s">
        <v>372</v>
      </c>
      <c r="AK45" s="631"/>
      <c r="AL45" s="631"/>
      <c r="AM45" s="631"/>
      <c r="AN45" s="631"/>
      <c r="AO45" s="631" t="s">
        <v>372</v>
      </c>
      <c r="AP45" s="631"/>
      <c r="AQ45" s="631"/>
      <c r="AR45" s="631"/>
      <c r="AS45" s="631"/>
      <c r="AT45" s="631" t="s">
        <v>372</v>
      </c>
      <c r="AU45" s="631"/>
      <c r="AV45" s="631"/>
      <c r="AW45" s="631"/>
      <c r="AX45" s="631"/>
    </row>
    <row r="46" spans="2:50" ht="14.25" customHeight="1">
      <c r="B46" s="631"/>
      <c r="C46" s="631"/>
      <c r="D46" s="631"/>
      <c r="E46" s="180" t="s">
        <v>159</v>
      </c>
      <c r="F46" s="180" t="s">
        <v>373</v>
      </c>
      <c r="G46" s="180" t="s">
        <v>161</v>
      </c>
      <c r="H46" s="631"/>
      <c r="I46" s="181" t="s">
        <v>159</v>
      </c>
      <c r="J46" s="181" t="s">
        <v>373</v>
      </c>
      <c r="K46" s="181" t="s">
        <v>161</v>
      </c>
      <c r="L46" s="635"/>
      <c r="M46" s="635"/>
      <c r="N46" s="631"/>
      <c r="O46" s="631"/>
      <c r="P46" s="180" t="s">
        <v>159</v>
      </c>
      <c r="Q46" s="180" t="s">
        <v>373</v>
      </c>
      <c r="R46" s="180" t="s">
        <v>161</v>
      </c>
      <c r="S46" s="182" t="s">
        <v>165</v>
      </c>
      <c r="T46" s="631"/>
      <c r="U46" s="180" t="s">
        <v>159</v>
      </c>
      <c r="V46" s="180" t="s">
        <v>373</v>
      </c>
      <c r="W46" s="180" t="s">
        <v>161</v>
      </c>
      <c r="X46" s="182" t="s">
        <v>165</v>
      </c>
      <c r="Y46" s="631"/>
      <c r="Z46" s="180" t="s">
        <v>159</v>
      </c>
      <c r="AA46" s="180" t="s">
        <v>373</v>
      </c>
      <c r="AB46" s="180" t="s">
        <v>161</v>
      </c>
      <c r="AC46" s="182" t="s">
        <v>165</v>
      </c>
      <c r="AD46" s="631"/>
      <c r="AE46" s="180" t="s">
        <v>159</v>
      </c>
      <c r="AF46" s="180" t="s">
        <v>373</v>
      </c>
      <c r="AG46" s="180" t="s">
        <v>161</v>
      </c>
      <c r="AH46" s="182" t="s">
        <v>165</v>
      </c>
      <c r="AI46" s="631"/>
      <c r="AJ46" s="180" t="s">
        <v>159</v>
      </c>
      <c r="AK46" s="180" t="s">
        <v>373</v>
      </c>
      <c r="AL46" s="180" t="s">
        <v>161</v>
      </c>
      <c r="AM46" s="182" t="s">
        <v>165</v>
      </c>
      <c r="AN46" s="631"/>
      <c r="AO46" s="180" t="s">
        <v>159</v>
      </c>
      <c r="AP46" s="180" t="s">
        <v>373</v>
      </c>
      <c r="AQ46" s="180" t="s">
        <v>161</v>
      </c>
      <c r="AR46" s="182" t="s">
        <v>165</v>
      </c>
      <c r="AS46" s="631"/>
      <c r="AT46" s="180" t="s">
        <v>159</v>
      </c>
      <c r="AU46" s="180" t="s">
        <v>373</v>
      </c>
      <c r="AV46" s="180" t="s">
        <v>161</v>
      </c>
      <c r="AW46" s="182" t="s">
        <v>165</v>
      </c>
      <c r="AX46" s="631"/>
    </row>
    <row r="47" spans="2:50" ht="14.25" customHeight="1">
      <c r="B47" s="631" t="s">
        <v>376</v>
      </c>
      <c r="C47" s="180">
        <v>1</v>
      </c>
      <c r="D47" s="183" t="s">
        <v>584</v>
      </c>
      <c r="E47" s="180">
        <v>6</v>
      </c>
      <c r="F47" s="180">
        <v>2500</v>
      </c>
      <c r="G47" s="185">
        <f t="shared" ref="G47:G50" si="18">F47/E47</f>
        <v>416.66666666666669</v>
      </c>
      <c r="H47" s="632">
        <f>AVERAGE(G47:G61)</f>
        <v>425</v>
      </c>
      <c r="I47" s="186">
        <f>AVERAGE(P47,U47,Z47,AE47,AJ47,AO47,AT47)</f>
        <v>6</v>
      </c>
      <c r="J47" s="186">
        <f>AVERAGE(Q47,V47,AA47,AF47,AK47,AP47,AU47)</f>
        <v>2258.8418407560575</v>
      </c>
      <c r="K47" s="187">
        <f>AVERAGE(R47,W47,AB47,AG47,AL47,AQ47,AV47)</f>
        <v>376.47364012600957</v>
      </c>
      <c r="L47" s="633">
        <f>IFERROR(AVERAGE(K47:K61),"-")</f>
        <v>376.16331532543052</v>
      </c>
      <c r="M47" s="186">
        <f>RANK(K47, K$47:$K$61)</f>
        <v>1</v>
      </c>
      <c r="N47" s="631"/>
      <c r="O47" s="631"/>
      <c r="P47" s="188">
        <v>6</v>
      </c>
      <c r="Q47" s="188">
        <v>2257.4584701208237</v>
      </c>
      <c r="R47" s="185">
        <f>IFERROR(Q47/P47,"")</f>
        <v>376.24307835347059</v>
      </c>
      <c r="S47" s="182">
        <f>RANK(R47, R$47:R$61)</f>
        <v>1</v>
      </c>
      <c r="T47" s="632">
        <f>AVERAGE(R47:R61)</f>
        <v>364.9819042114525</v>
      </c>
      <c r="U47" s="188">
        <v>6</v>
      </c>
      <c r="V47" s="188">
        <v>2257.6711667444888</v>
      </c>
      <c r="W47" s="185">
        <f t="shared" ref="W47:W50" si="19">IFERROR(V47/U47,"")</f>
        <v>376.27852779074811</v>
      </c>
      <c r="X47" s="182">
        <f>RANK(W47, W$47:W$61)</f>
        <v>1</v>
      </c>
      <c r="Y47" s="632">
        <f>AVERAGE(W47:W61)</f>
        <v>368.27116449266572</v>
      </c>
      <c r="Z47" s="188">
        <v>6</v>
      </c>
      <c r="AA47" s="188">
        <v>2257.6711667444879</v>
      </c>
      <c r="AB47" s="185">
        <f t="shared" ref="AB47:AB50" si="20">IFERROR(AA47/Z47,"")</f>
        <v>376.278527790748</v>
      </c>
      <c r="AC47" s="182">
        <f>RANK(AB47, AB$47:AB$61)</f>
        <v>1</v>
      </c>
      <c r="AD47" s="632">
        <f>AVERAGE(AB47:AB61)</f>
        <v>372.65748490860148</v>
      </c>
      <c r="AE47" s="188">
        <v>6</v>
      </c>
      <c r="AF47" s="188">
        <v>2258.4211667444879</v>
      </c>
      <c r="AG47" s="185">
        <f>IFERROR(AF47/AE47,"")</f>
        <v>376.403527790748</v>
      </c>
      <c r="AH47" s="182">
        <f>RANK(AG47, AG$47:AG$61)</f>
        <v>3</v>
      </c>
      <c r="AI47" s="632">
        <f>AVERAGE(AG47:AG61)</f>
        <v>377.1149380290903</v>
      </c>
      <c r="AJ47" s="188">
        <v>6</v>
      </c>
      <c r="AK47" s="188">
        <v>2259.4211667444879</v>
      </c>
      <c r="AL47" s="185">
        <f t="shared" ref="AL47:AL50" si="21">IFERROR(AK47/AJ47,"")</f>
        <v>376.57019445741463</v>
      </c>
      <c r="AM47" s="182">
        <f>RANK(AL47, AL$47:AL$61)</f>
        <v>4</v>
      </c>
      <c r="AN47" s="632">
        <f>AVERAGE(AL47:AL61)</f>
        <v>381.43468839031073</v>
      </c>
      <c r="AO47" s="188">
        <v>6</v>
      </c>
      <c r="AP47" s="188">
        <v>2260.9998740968126</v>
      </c>
      <c r="AQ47" s="185">
        <f t="shared" ref="AQ47:AQ50" si="22">IFERROR(AP47/AO47,"")</f>
        <v>376.83331234946877</v>
      </c>
      <c r="AR47" s="182">
        <f>RANK(AQ47, AQ$47:AQ$61)</f>
        <v>3</v>
      </c>
      <c r="AS47" s="632">
        <f>AVERAGE(AQ47:AQ61)</f>
        <v>384.33373799129686</v>
      </c>
      <c r="AT47" s="188">
        <v>6</v>
      </c>
      <c r="AU47" s="188">
        <v>2260.2498740968131</v>
      </c>
      <c r="AV47" s="185">
        <f t="shared" ref="AV47:AV50" si="23">IFERROR(AU47/AT47,"")</f>
        <v>376.70831234946883</v>
      </c>
      <c r="AW47" s="182">
        <f>RANK(AV47, AV$47:AV$61)</f>
        <v>3</v>
      </c>
      <c r="AX47" s="632">
        <f>AVERAGE(AV47:AV61)</f>
        <v>384.34928925459599</v>
      </c>
    </row>
    <row r="48" spans="2:50" ht="14.25" customHeight="1">
      <c r="B48" s="631"/>
      <c r="C48" s="180">
        <v>2</v>
      </c>
      <c r="D48" s="183" t="s">
        <v>605</v>
      </c>
      <c r="E48" s="180">
        <v>6</v>
      </c>
      <c r="F48" s="180">
        <v>2500</v>
      </c>
      <c r="G48" s="185">
        <f t="shared" si="18"/>
        <v>416.66666666666669</v>
      </c>
      <c r="H48" s="632"/>
      <c r="I48" s="186">
        <f t="shared" ref="I48:K50" si="24">AVERAGE(P48,U48,Z48,AE48,AJ48,AO48,AT48)</f>
        <v>6</v>
      </c>
      <c r="J48" s="186">
        <f t="shared" si="24"/>
        <v>2258.1174550323085</v>
      </c>
      <c r="K48" s="187">
        <f t="shared" si="24"/>
        <v>376.3529091720514</v>
      </c>
      <c r="L48" s="633"/>
      <c r="M48" s="186">
        <f>RANK(K48, K$47:$K$61)</f>
        <v>2</v>
      </c>
      <c r="N48" s="631"/>
      <c r="O48" s="631"/>
      <c r="P48" s="188">
        <v>6</v>
      </c>
      <c r="Q48" s="188">
        <v>2257.1986839064521</v>
      </c>
      <c r="R48" s="185">
        <f t="shared" ref="R48:R50" si="25">IFERROR(Q48/P48,"")</f>
        <v>376.19978065107534</v>
      </c>
      <c r="S48" s="182">
        <f t="shared" ref="S48:S50" si="26">RANK(R48, R$47:R$61)</f>
        <v>2</v>
      </c>
      <c r="T48" s="632"/>
      <c r="U48" s="188">
        <v>6</v>
      </c>
      <c r="V48" s="188">
        <v>2256.4486839064521</v>
      </c>
      <c r="W48" s="185">
        <f t="shared" si="19"/>
        <v>376.07478065107534</v>
      </c>
      <c r="X48" s="182">
        <f t="shared" ref="X48:X50" si="27">RANK(W48, W$47:W$61)</f>
        <v>2</v>
      </c>
      <c r="Y48" s="632"/>
      <c r="Z48" s="188">
        <v>6</v>
      </c>
      <c r="AA48" s="188">
        <v>2257.1986839064525</v>
      </c>
      <c r="AB48" s="185">
        <f t="shared" si="20"/>
        <v>376.1997806510754</v>
      </c>
      <c r="AC48" s="182">
        <f t="shared" ref="AC48:AC50" si="28">RANK(AB48, AB$47:AB$61)</f>
        <v>2</v>
      </c>
      <c r="AD48" s="632"/>
      <c r="AE48" s="188">
        <v>6</v>
      </c>
      <c r="AF48" s="188">
        <v>2258.1986839064521</v>
      </c>
      <c r="AG48" s="185">
        <f t="shared" ref="AG48:AG50" si="29">IFERROR(AF48/AE48,"")</f>
        <v>376.36644731774203</v>
      </c>
      <c r="AH48" s="182">
        <f t="shared" ref="AH48:AH50" si="30">RANK(AG48, AG$47:AG$61)</f>
        <v>4</v>
      </c>
      <c r="AI48" s="632"/>
      <c r="AJ48" s="188">
        <v>6</v>
      </c>
      <c r="AK48" s="188">
        <v>2259.9258165334495</v>
      </c>
      <c r="AL48" s="185">
        <f t="shared" si="21"/>
        <v>376.65430275557492</v>
      </c>
      <c r="AM48" s="182">
        <f t="shared" ref="AM48:AM50" si="31">RANK(AL48, AL$47:AL$61)</f>
        <v>3</v>
      </c>
      <c r="AN48" s="632"/>
      <c r="AO48" s="188">
        <v>6</v>
      </c>
      <c r="AP48" s="188">
        <v>2258.9258165334495</v>
      </c>
      <c r="AQ48" s="185">
        <f t="shared" si="22"/>
        <v>376.48763608890823</v>
      </c>
      <c r="AR48" s="182">
        <f t="shared" ref="AR48:AR50" si="32">RANK(AQ48, AQ$47:AQ$61)</f>
        <v>4</v>
      </c>
      <c r="AS48" s="632"/>
      <c r="AT48" s="188">
        <v>6</v>
      </c>
      <c r="AU48" s="188">
        <v>2258.9258165334495</v>
      </c>
      <c r="AV48" s="185">
        <f t="shared" si="23"/>
        <v>376.48763608890823</v>
      </c>
      <c r="AW48" s="182">
        <f t="shared" ref="AW48:AW50" si="33">RANK(AV48, AV$47:AV$61)</f>
        <v>4</v>
      </c>
      <c r="AX48" s="632"/>
    </row>
    <row r="49" spans="2:50" ht="14.25" customHeight="1">
      <c r="B49" s="631"/>
      <c r="C49" s="180">
        <v>3</v>
      </c>
      <c r="D49" s="183" t="s">
        <v>744</v>
      </c>
      <c r="E49" s="180">
        <v>6</v>
      </c>
      <c r="F49" s="180">
        <v>2600</v>
      </c>
      <c r="G49" s="185">
        <f t="shared" si="18"/>
        <v>433.33333333333331</v>
      </c>
      <c r="H49" s="632"/>
      <c r="I49" s="186">
        <f t="shared" si="24"/>
        <v>6</v>
      </c>
      <c r="J49" s="186">
        <f t="shared" si="24"/>
        <v>2255.9546645030323</v>
      </c>
      <c r="K49" s="187">
        <f t="shared" si="24"/>
        <v>375.99244408383868</v>
      </c>
      <c r="L49" s="633"/>
      <c r="M49" s="186">
        <f>RANK(K49, K$47:$K$61)</f>
        <v>3</v>
      </c>
      <c r="N49" s="631"/>
      <c r="O49" s="631"/>
      <c r="P49" s="188">
        <v>6</v>
      </c>
      <c r="Q49" s="188">
        <v>2124.4394790955316</v>
      </c>
      <c r="R49" s="185">
        <f t="shared" si="25"/>
        <v>354.07324651592194</v>
      </c>
      <c r="S49" s="182">
        <f t="shared" si="26"/>
        <v>3</v>
      </c>
      <c r="T49" s="632"/>
      <c r="U49" s="188">
        <v>6</v>
      </c>
      <c r="V49" s="188">
        <v>2162.3052478619425</v>
      </c>
      <c r="W49" s="185">
        <f t="shared" si="19"/>
        <v>360.38420797699041</v>
      </c>
      <c r="X49" s="182">
        <f t="shared" si="27"/>
        <v>3</v>
      </c>
      <c r="Y49" s="632"/>
      <c r="Z49" s="188">
        <v>6</v>
      </c>
      <c r="AA49" s="188">
        <v>2214.7330538106289</v>
      </c>
      <c r="AB49" s="185">
        <f t="shared" si="20"/>
        <v>369.12217563510484</v>
      </c>
      <c r="AC49" s="182">
        <f t="shared" si="28"/>
        <v>3</v>
      </c>
      <c r="AD49" s="632"/>
      <c r="AE49" s="188">
        <v>6</v>
      </c>
      <c r="AF49" s="188">
        <v>2266.8216871020836</v>
      </c>
      <c r="AG49" s="185">
        <f t="shared" si="29"/>
        <v>377.80361451701395</v>
      </c>
      <c r="AH49" s="182">
        <f t="shared" si="30"/>
        <v>2</v>
      </c>
      <c r="AI49" s="632"/>
      <c r="AJ49" s="188">
        <v>6</v>
      </c>
      <c r="AK49" s="188">
        <v>2317.4256711719595</v>
      </c>
      <c r="AL49" s="185">
        <f t="shared" si="21"/>
        <v>386.23761186199323</v>
      </c>
      <c r="AM49" s="182">
        <f t="shared" si="31"/>
        <v>2</v>
      </c>
      <c r="AN49" s="632"/>
      <c r="AO49" s="188">
        <v>6</v>
      </c>
      <c r="AP49" s="188">
        <v>2352.9787562395391</v>
      </c>
      <c r="AQ49" s="185">
        <f t="shared" si="22"/>
        <v>392.16312603992316</v>
      </c>
      <c r="AR49" s="182">
        <f t="shared" si="32"/>
        <v>1</v>
      </c>
      <c r="AS49" s="632"/>
      <c r="AT49" s="188">
        <v>6</v>
      </c>
      <c r="AU49" s="188">
        <v>2352.9787562395395</v>
      </c>
      <c r="AV49" s="185">
        <f t="shared" si="23"/>
        <v>392.16312603992327</v>
      </c>
      <c r="AW49" s="182">
        <f t="shared" si="33"/>
        <v>1</v>
      </c>
      <c r="AX49" s="632"/>
    </row>
    <row r="50" spans="2:50" ht="14.25" customHeight="1">
      <c r="B50" s="631"/>
      <c r="C50" s="180">
        <v>4</v>
      </c>
      <c r="D50" s="183" t="s">
        <v>745</v>
      </c>
      <c r="E50" s="180">
        <v>6</v>
      </c>
      <c r="F50" s="180">
        <v>2600</v>
      </c>
      <c r="G50" s="185">
        <f t="shared" si="18"/>
        <v>433.33333333333331</v>
      </c>
      <c r="H50" s="632"/>
      <c r="I50" s="186">
        <f t="shared" si="24"/>
        <v>6</v>
      </c>
      <c r="J50" s="186">
        <f t="shared" si="24"/>
        <v>2255.0056075189345</v>
      </c>
      <c r="K50" s="187">
        <f t="shared" si="24"/>
        <v>375.83426791982254</v>
      </c>
      <c r="L50" s="633"/>
      <c r="M50" s="186">
        <f>RANK(K50, K$47:$K$61)</f>
        <v>4</v>
      </c>
      <c r="N50" s="631"/>
      <c r="O50" s="631"/>
      <c r="P50" s="188">
        <v>6</v>
      </c>
      <c r="Q50" s="188">
        <v>2120.4690679520527</v>
      </c>
      <c r="R50" s="185">
        <f t="shared" si="25"/>
        <v>353.41151132534213</v>
      </c>
      <c r="S50" s="182">
        <f t="shared" si="26"/>
        <v>4</v>
      </c>
      <c r="T50" s="632"/>
      <c r="U50" s="188">
        <v>6</v>
      </c>
      <c r="V50" s="188">
        <v>2162.0828493110939</v>
      </c>
      <c r="W50" s="185">
        <f t="shared" si="19"/>
        <v>360.34714155184901</v>
      </c>
      <c r="X50" s="182">
        <f t="shared" si="27"/>
        <v>4</v>
      </c>
      <c r="Y50" s="632"/>
      <c r="Z50" s="188">
        <v>6</v>
      </c>
      <c r="AA50" s="188">
        <v>2214.1767333448661</v>
      </c>
      <c r="AB50" s="185">
        <f t="shared" si="20"/>
        <v>369.02945555747766</v>
      </c>
      <c r="AC50" s="182">
        <f t="shared" si="28"/>
        <v>4</v>
      </c>
      <c r="AD50" s="632"/>
      <c r="AE50" s="188">
        <v>6</v>
      </c>
      <c r="AF50" s="188">
        <v>2267.3169749451431</v>
      </c>
      <c r="AG50" s="185">
        <f t="shared" si="29"/>
        <v>377.8861624908572</v>
      </c>
      <c r="AH50" s="182">
        <f t="shared" si="30"/>
        <v>1</v>
      </c>
      <c r="AI50" s="632"/>
      <c r="AJ50" s="188">
        <v>6</v>
      </c>
      <c r="AK50" s="188">
        <v>2317.659866917561</v>
      </c>
      <c r="AL50" s="185">
        <f t="shared" si="21"/>
        <v>386.27664448626018</v>
      </c>
      <c r="AM50" s="182">
        <f t="shared" si="31"/>
        <v>1</v>
      </c>
      <c r="AN50" s="632"/>
      <c r="AO50" s="188">
        <v>6</v>
      </c>
      <c r="AP50" s="188">
        <v>2351.1052649213243</v>
      </c>
      <c r="AQ50" s="185">
        <f t="shared" si="22"/>
        <v>391.85087748688738</v>
      </c>
      <c r="AR50" s="182">
        <f t="shared" si="32"/>
        <v>2</v>
      </c>
      <c r="AS50" s="632"/>
      <c r="AT50" s="188">
        <v>6</v>
      </c>
      <c r="AU50" s="188">
        <v>2352.2284952405025</v>
      </c>
      <c r="AV50" s="185">
        <f t="shared" si="23"/>
        <v>392.03808254008374</v>
      </c>
      <c r="AW50" s="182">
        <f t="shared" si="33"/>
        <v>2</v>
      </c>
      <c r="AX50" s="632"/>
    </row>
    <row r="51" spans="2:50" ht="14.25" customHeight="1">
      <c r="B51" s="631"/>
      <c r="C51" s="180">
        <v>5</v>
      </c>
      <c r="D51" s="183"/>
      <c r="E51" s="180"/>
      <c r="F51" s="180"/>
      <c r="G51" s="185"/>
      <c r="H51" s="632"/>
      <c r="I51" s="186"/>
      <c r="J51" s="186"/>
      <c r="K51" s="187"/>
      <c r="L51" s="633"/>
      <c r="M51" s="186"/>
      <c r="N51" s="631"/>
      <c r="O51" s="631"/>
      <c r="P51" s="188"/>
      <c r="Q51" s="188"/>
      <c r="R51" s="185"/>
      <c r="S51" s="182"/>
      <c r="T51" s="632"/>
      <c r="U51" s="188"/>
      <c r="V51" s="188"/>
      <c r="W51" s="185"/>
      <c r="X51" s="182"/>
      <c r="Y51" s="632"/>
      <c r="Z51" s="188"/>
      <c r="AA51" s="188"/>
      <c r="AB51" s="185"/>
      <c r="AC51" s="182"/>
      <c r="AD51" s="632"/>
      <c r="AE51" s="188"/>
      <c r="AF51" s="188"/>
      <c r="AG51" s="185"/>
      <c r="AH51" s="182"/>
      <c r="AI51" s="632"/>
      <c r="AJ51" s="188"/>
      <c r="AK51" s="188"/>
      <c r="AL51" s="185"/>
      <c r="AM51" s="182"/>
      <c r="AN51" s="632"/>
      <c r="AO51" s="188"/>
      <c r="AP51" s="188"/>
      <c r="AQ51" s="185"/>
      <c r="AR51" s="182"/>
      <c r="AS51" s="632"/>
      <c r="AT51" s="188"/>
      <c r="AU51" s="188"/>
      <c r="AV51" s="185"/>
      <c r="AW51" s="182"/>
      <c r="AX51" s="632"/>
    </row>
    <row r="52" spans="2:50" ht="14.25" customHeight="1">
      <c r="B52" s="631"/>
      <c r="C52" s="180">
        <v>6</v>
      </c>
      <c r="D52" s="183"/>
      <c r="E52" s="180"/>
      <c r="F52" s="180"/>
      <c r="G52" s="185"/>
      <c r="H52" s="632"/>
      <c r="I52" s="186"/>
      <c r="J52" s="186"/>
      <c r="K52" s="187"/>
      <c r="L52" s="633"/>
      <c r="M52" s="186"/>
      <c r="N52" s="631"/>
      <c r="O52" s="631"/>
      <c r="P52" s="188"/>
      <c r="Q52" s="188"/>
      <c r="R52" s="185"/>
      <c r="S52" s="182"/>
      <c r="T52" s="632"/>
      <c r="U52" s="188"/>
      <c r="V52" s="188"/>
      <c r="W52" s="185"/>
      <c r="X52" s="182"/>
      <c r="Y52" s="632"/>
      <c r="Z52" s="188"/>
      <c r="AA52" s="188"/>
      <c r="AB52" s="185"/>
      <c r="AC52" s="182"/>
      <c r="AD52" s="632"/>
      <c r="AE52" s="188"/>
      <c r="AF52" s="188"/>
      <c r="AG52" s="185"/>
      <c r="AH52" s="182"/>
      <c r="AI52" s="632"/>
      <c r="AJ52" s="188"/>
      <c r="AK52" s="188"/>
      <c r="AL52" s="185"/>
      <c r="AM52" s="182"/>
      <c r="AN52" s="632"/>
      <c r="AO52" s="188"/>
      <c r="AP52" s="188"/>
      <c r="AQ52" s="185"/>
      <c r="AR52" s="182"/>
      <c r="AS52" s="632"/>
      <c r="AT52" s="188"/>
      <c r="AU52" s="188"/>
      <c r="AV52" s="185"/>
      <c r="AW52" s="182"/>
      <c r="AX52" s="632"/>
    </row>
    <row r="53" spans="2:50" ht="14.25" customHeight="1">
      <c r="B53" s="631"/>
      <c r="C53" s="180">
        <v>7</v>
      </c>
      <c r="D53" s="183"/>
      <c r="E53" s="180"/>
      <c r="F53" s="180"/>
      <c r="G53" s="185"/>
      <c r="H53" s="632"/>
      <c r="I53" s="186"/>
      <c r="J53" s="186"/>
      <c r="K53" s="187"/>
      <c r="L53" s="633"/>
      <c r="M53" s="186"/>
      <c r="N53" s="631"/>
      <c r="O53" s="631"/>
      <c r="P53" s="188"/>
      <c r="Q53" s="188"/>
      <c r="R53" s="185"/>
      <c r="S53" s="182"/>
      <c r="T53" s="632"/>
      <c r="U53" s="188"/>
      <c r="V53" s="188"/>
      <c r="W53" s="185"/>
      <c r="X53" s="182"/>
      <c r="Y53" s="632"/>
      <c r="Z53" s="188"/>
      <c r="AA53" s="188"/>
      <c r="AB53" s="185"/>
      <c r="AC53" s="182"/>
      <c r="AD53" s="632"/>
      <c r="AE53" s="188"/>
      <c r="AF53" s="188"/>
      <c r="AG53" s="185"/>
      <c r="AH53" s="182"/>
      <c r="AI53" s="632"/>
      <c r="AJ53" s="188"/>
      <c r="AK53" s="188"/>
      <c r="AL53" s="185"/>
      <c r="AM53" s="182"/>
      <c r="AN53" s="632"/>
      <c r="AO53" s="188"/>
      <c r="AP53" s="188"/>
      <c r="AQ53" s="185"/>
      <c r="AR53" s="182"/>
      <c r="AS53" s="632"/>
      <c r="AT53" s="188"/>
      <c r="AU53" s="188"/>
      <c r="AV53" s="185"/>
      <c r="AW53" s="182"/>
      <c r="AX53" s="632"/>
    </row>
    <row r="54" spans="2:50" ht="14.25" customHeight="1">
      <c r="B54" s="631"/>
      <c r="C54" s="180">
        <v>8</v>
      </c>
      <c r="D54" s="183"/>
      <c r="E54" s="180"/>
      <c r="F54" s="180"/>
      <c r="G54" s="185"/>
      <c r="H54" s="632"/>
      <c r="I54" s="186"/>
      <c r="J54" s="186"/>
      <c r="K54" s="187"/>
      <c r="L54" s="633"/>
      <c r="M54" s="186"/>
      <c r="N54" s="631"/>
      <c r="O54" s="631"/>
      <c r="P54" s="188"/>
      <c r="Q54" s="188"/>
      <c r="R54" s="185"/>
      <c r="S54" s="182"/>
      <c r="T54" s="632"/>
      <c r="U54" s="188"/>
      <c r="V54" s="188"/>
      <c r="W54" s="185"/>
      <c r="X54" s="182"/>
      <c r="Y54" s="632"/>
      <c r="Z54" s="188"/>
      <c r="AA54" s="188"/>
      <c r="AB54" s="185"/>
      <c r="AC54" s="182"/>
      <c r="AD54" s="632"/>
      <c r="AE54" s="188"/>
      <c r="AF54" s="188"/>
      <c r="AG54" s="185"/>
      <c r="AH54" s="182"/>
      <c r="AI54" s="632"/>
      <c r="AJ54" s="188"/>
      <c r="AK54" s="188"/>
      <c r="AL54" s="185"/>
      <c r="AM54" s="182"/>
      <c r="AN54" s="632"/>
      <c r="AO54" s="188"/>
      <c r="AP54" s="188"/>
      <c r="AQ54" s="185"/>
      <c r="AR54" s="182"/>
      <c r="AS54" s="632"/>
      <c r="AT54" s="188"/>
      <c r="AU54" s="188"/>
      <c r="AV54" s="185"/>
      <c r="AW54" s="182"/>
      <c r="AX54" s="632"/>
    </row>
    <row r="55" spans="2:50" ht="14.25" customHeight="1">
      <c r="B55" s="631"/>
      <c r="C55" s="180">
        <v>9</v>
      </c>
      <c r="D55" s="183"/>
      <c r="E55" s="180"/>
      <c r="F55" s="180"/>
      <c r="G55" s="185"/>
      <c r="H55" s="632"/>
      <c r="I55" s="186"/>
      <c r="J55" s="186"/>
      <c r="K55" s="187"/>
      <c r="L55" s="633"/>
      <c r="M55" s="186"/>
      <c r="N55" s="631"/>
      <c r="O55" s="631"/>
      <c r="P55" s="188"/>
      <c r="Q55" s="188"/>
      <c r="R55" s="185"/>
      <c r="S55" s="182"/>
      <c r="T55" s="632"/>
      <c r="U55" s="188"/>
      <c r="V55" s="188"/>
      <c r="W55" s="185"/>
      <c r="X55" s="182"/>
      <c r="Y55" s="632"/>
      <c r="Z55" s="188"/>
      <c r="AA55" s="188"/>
      <c r="AB55" s="185"/>
      <c r="AC55" s="182"/>
      <c r="AD55" s="632"/>
      <c r="AE55" s="188"/>
      <c r="AF55" s="188"/>
      <c r="AG55" s="185"/>
      <c r="AH55" s="182"/>
      <c r="AI55" s="632"/>
      <c r="AJ55" s="188"/>
      <c r="AK55" s="188"/>
      <c r="AL55" s="185"/>
      <c r="AM55" s="182"/>
      <c r="AN55" s="632"/>
      <c r="AO55" s="188"/>
      <c r="AP55" s="188"/>
      <c r="AQ55" s="185"/>
      <c r="AR55" s="182"/>
      <c r="AS55" s="632"/>
      <c r="AT55" s="188"/>
      <c r="AU55" s="188"/>
      <c r="AV55" s="185"/>
      <c r="AW55" s="182"/>
      <c r="AX55" s="632"/>
    </row>
    <row r="56" spans="2:50" ht="14.25" customHeight="1">
      <c r="B56" s="631"/>
      <c r="C56" s="180">
        <v>10</v>
      </c>
      <c r="D56" s="183"/>
      <c r="E56" s="180"/>
      <c r="F56" s="180"/>
      <c r="G56" s="185"/>
      <c r="H56" s="632"/>
      <c r="I56" s="186"/>
      <c r="J56" s="186"/>
      <c r="K56" s="187"/>
      <c r="L56" s="633"/>
      <c r="M56" s="186"/>
      <c r="N56" s="631"/>
      <c r="O56" s="631"/>
      <c r="P56" s="188"/>
      <c r="Q56" s="188"/>
      <c r="R56" s="185"/>
      <c r="S56" s="182"/>
      <c r="T56" s="632"/>
      <c r="U56" s="188"/>
      <c r="V56" s="188"/>
      <c r="W56" s="185"/>
      <c r="X56" s="182"/>
      <c r="Y56" s="632"/>
      <c r="Z56" s="188"/>
      <c r="AA56" s="188"/>
      <c r="AB56" s="185"/>
      <c r="AC56" s="182"/>
      <c r="AD56" s="632"/>
      <c r="AE56" s="188"/>
      <c r="AF56" s="188"/>
      <c r="AG56" s="185"/>
      <c r="AH56" s="182"/>
      <c r="AI56" s="632"/>
      <c r="AJ56" s="188"/>
      <c r="AK56" s="188"/>
      <c r="AL56" s="185"/>
      <c r="AM56" s="182"/>
      <c r="AN56" s="632"/>
      <c r="AO56" s="188"/>
      <c r="AP56" s="188"/>
      <c r="AQ56" s="185"/>
      <c r="AR56" s="182"/>
      <c r="AS56" s="632"/>
      <c r="AT56" s="188"/>
      <c r="AU56" s="188"/>
      <c r="AV56" s="185"/>
      <c r="AW56" s="182"/>
      <c r="AX56" s="632"/>
    </row>
    <row r="57" spans="2:50" ht="14.25" customHeight="1">
      <c r="B57" s="631"/>
      <c r="C57" s="180">
        <v>11</v>
      </c>
      <c r="D57" s="183"/>
      <c r="E57" s="180"/>
      <c r="F57" s="180"/>
      <c r="G57" s="185"/>
      <c r="H57" s="632"/>
      <c r="I57" s="186"/>
      <c r="J57" s="186"/>
      <c r="K57" s="187"/>
      <c r="L57" s="633"/>
      <c r="M57" s="186"/>
      <c r="N57" s="631"/>
      <c r="O57" s="631"/>
      <c r="P57" s="188"/>
      <c r="Q57" s="188"/>
      <c r="R57" s="185"/>
      <c r="S57" s="182"/>
      <c r="T57" s="632"/>
      <c r="U57" s="188"/>
      <c r="V57" s="188"/>
      <c r="W57" s="185"/>
      <c r="X57" s="182"/>
      <c r="Y57" s="632"/>
      <c r="Z57" s="188"/>
      <c r="AA57" s="188"/>
      <c r="AB57" s="185"/>
      <c r="AC57" s="182"/>
      <c r="AD57" s="632"/>
      <c r="AE57" s="188"/>
      <c r="AF57" s="188"/>
      <c r="AG57" s="185"/>
      <c r="AH57" s="182"/>
      <c r="AI57" s="632"/>
      <c r="AJ57" s="188"/>
      <c r="AK57" s="188"/>
      <c r="AL57" s="185"/>
      <c r="AM57" s="182"/>
      <c r="AN57" s="632"/>
      <c r="AO57" s="188"/>
      <c r="AP57" s="188"/>
      <c r="AQ57" s="185"/>
      <c r="AR57" s="182"/>
      <c r="AS57" s="632"/>
      <c r="AT57" s="188"/>
      <c r="AU57" s="188"/>
      <c r="AV57" s="185"/>
      <c r="AW57" s="182"/>
      <c r="AX57" s="632"/>
    </row>
    <row r="58" spans="2:50" ht="14.25" customHeight="1">
      <c r="B58" s="631"/>
      <c r="C58" s="180">
        <v>12</v>
      </c>
      <c r="D58" s="183"/>
      <c r="E58" s="180"/>
      <c r="F58" s="180"/>
      <c r="G58" s="185"/>
      <c r="H58" s="632"/>
      <c r="I58" s="186"/>
      <c r="J58" s="186"/>
      <c r="K58" s="187"/>
      <c r="L58" s="633"/>
      <c r="M58" s="186"/>
      <c r="N58" s="631"/>
      <c r="O58" s="631"/>
      <c r="P58" s="188"/>
      <c r="Q58" s="188"/>
      <c r="R58" s="185"/>
      <c r="S58" s="182"/>
      <c r="T58" s="632"/>
      <c r="U58" s="188"/>
      <c r="V58" s="188"/>
      <c r="W58" s="185"/>
      <c r="X58" s="182"/>
      <c r="Y58" s="632"/>
      <c r="Z58" s="188"/>
      <c r="AA58" s="188"/>
      <c r="AB58" s="185"/>
      <c r="AC58" s="182"/>
      <c r="AD58" s="632"/>
      <c r="AE58" s="188"/>
      <c r="AF58" s="188"/>
      <c r="AG58" s="185"/>
      <c r="AH58" s="182"/>
      <c r="AI58" s="632"/>
      <c r="AJ58" s="188"/>
      <c r="AK58" s="188"/>
      <c r="AL58" s="185"/>
      <c r="AM58" s="182"/>
      <c r="AN58" s="632"/>
      <c r="AO58" s="188"/>
      <c r="AP58" s="188"/>
      <c r="AQ58" s="185"/>
      <c r="AR58" s="182"/>
      <c r="AS58" s="632"/>
      <c r="AT58" s="188"/>
      <c r="AU58" s="188"/>
      <c r="AV58" s="185"/>
      <c r="AW58" s="182"/>
      <c r="AX58" s="632"/>
    </row>
    <row r="59" spans="2:50" ht="14.25" customHeight="1">
      <c r="B59" s="631"/>
      <c r="C59" s="180">
        <v>13</v>
      </c>
      <c r="D59" s="183"/>
      <c r="E59" s="180"/>
      <c r="F59" s="180"/>
      <c r="G59" s="185"/>
      <c r="H59" s="632"/>
      <c r="I59" s="186"/>
      <c r="J59" s="186"/>
      <c r="K59" s="187"/>
      <c r="L59" s="633"/>
      <c r="M59" s="186"/>
      <c r="N59" s="631"/>
      <c r="O59" s="631"/>
      <c r="P59" s="188"/>
      <c r="Q59" s="188"/>
      <c r="R59" s="185"/>
      <c r="S59" s="182"/>
      <c r="T59" s="632"/>
      <c r="U59" s="188"/>
      <c r="V59" s="188"/>
      <c r="W59" s="185"/>
      <c r="X59" s="182"/>
      <c r="Y59" s="632"/>
      <c r="Z59" s="188"/>
      <c r="AA59" s="188"/>
      <c r="AB59" s="185"/>
      <c r="AC59" s="182"/>
      <c r="AD59" s="632"/>
      <c r="AE59" s="188"/>
      <c r="AF59" s="188"/>
      <c r="AG59" s="185"/>
      <c r="AH59" s="182"/>
      <c r="AI59" s="632"/>
      <c r="AJ59" s="188"/>
      <c r="AK59" s="188"/>
      <c r="AL59" s="185"/>
      <c r="AM59" s="182"/>
      <c r="AN59" s="632"/>
      <c r="AO59" s="188"/>
      <c r="AP59" s="188"/>
      <c r="AQ59" s="185"/>
      <c r="AR59" s="182"/>
      <c r="AS59" s="632"/>
      <c r="AT59" s="188"/>
      <c r="AU59" s="188"/>
      <c r="AV59" s="185"/>
      <c r="AW59" s="182"/>
      <c r="AX59" s="632"/>
    </row>
    <row r="60" spans="2:50" ht="14.25" customHeight="1">
      <c r="B60" s="631"/>
      <c r="C60" s="180">
        <v>14</v>
      </c>
      <c r="D60" s="183"/>
      <c r="E60" s="180"/>
      <c r="F60" s="180"/>
      <c r="G60" s="185"/>
      <c r="H60" s="632"/>
      <c r="I60" s="186"/>
      <c r="J60" s="186"/>
      <c r="K60" s="187"/>
      <c r="L60" s="633"/>
      <c r="M60" s="186"/>
      <c r="N60" s="631"/>
      <c r="O60" s="631"/>
      <c r="P60" s="188"/>
      <c r="Q60" s="188"/>
      <c r="R60" s="185"/>
      <c r="S60" s="182"/>
      <c r="T60" s="632"/>
      <c r="U60" s="188"/>
      <c r="V60" s="188"/>
      <c r="W60" s="185"/>
      <c r="X60" s="182"/>
      <c r="Y60" s="632"/>
      <c r="Z60" s="188"/>
      <c r="AA60" s="188"/>
      <c r="AB60" s="185"/>
      <c r="AC60" s="182"/>
      <c r="AD60" s="632"/>
      <c r="AE60" s="188"/>
      <c r="AF60" s="188"/>
      <c r="AG60" s="185"/>
      <c r="AH60" s="182"/>
      <c r="AI60" s="632"/>
      <c r="AJ60" s="188"/>
      <c r="AK60" s="188"/>
      <c r="AL60" s="185"/>
      <c r="AM60" s="182"/>
      <c r="AN60" s="632"/>
      <c r="AO60" s="188"/>
      <c r="AP60" s="188"/>
      <c r="AQ60" s="185"/>
      <c r="AR60" s="182"/>
      <c r="AS60" s="632"/>
      <c r="AT60" s="188"/>
      <c r="AU60" s="188"/>
      <c r="AV60" s="185"/>
      <c r="AW60" s="182"/>
      <c r="AX60" s="632"/>
    </row>
    <row r="61" spans="2:50" ht="14.25" customHeight="1">
      <c r="B61" s="631"/>
      <c r="C61" s="180">
        <v>15</v>
      </c>
      <c r="D61" s="183"/>
      <c r="E61" s="180"/>
      <c r="F61" s="180"/>
      <c r="G61" s="185"/>
      <c r="H61" s="632"/>
      <c r="I61" s="186"/>
      <c r="J61" s="186"/>
      <c r="K61" s="187"/>
      <c r="L61" s="633"/>
      <c r="M61" s="186"/>
      <c r="N61" s="631"/>
      <c r="O61" s="631"/>
      <c r="P61" s="188"/>
      <c r="Q61" s="188"/>
      <c r="R61" s="185"/>
      <c r="S61" s="182"/>
      <c r="T61" s="632"/>
      <c r="U61" s="188"/>
      <c r="V61" s="188"/>
      <c r="W61" s="185"/>
      <c r="X61" s="182"/>
      <c r="Y61" s="632"/>
      <c r="Z61" s="188"/>
      <c r="AA61" s="188"/>
      <c r="AB61" s="185"/>
      <c r="AC61" s="182"/>
      <c r="AD61" s="632"/>
      <c r="AE61" s="188"/>
      <c r="AF61" s="188"/>
      <c r="AG61" s="185"/>
      <c r="AH61" s="182"/>
      <c r="AI61" s="632"/>
      <c r="AJ61" s="188"/>
      <c r="AK61" s="188"/>
      <c r="AL61" s="185"/>
      <c r="AM61" s="182"/>
      <c r="AN61" s="632"/>
      <c r="AO61" s="188"/>
      <c r="AP61" s="188"/>
      <c r="AQ61" s="185"/>
      <c r="AR61" s="182"/>
      <c r="AS61" s="632"/>
      <c r="AT61" s="188"/>
      <c r="AU61" s="188"/>
      <c r="AV61" s="185"/>
      <c r="AW61" s="182"/>
      <c r="AX61" s="632"/>
    </row>
    <row r="62" spans="2:50" ht="14.25" customHeight="1" collapsed="1">
      <c r="B62" s="646" t="s">
        <v>783</v>
      </c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647"/>
      <c r="N62" s="664" t="s">
        <v>369</v>
      </c>
      <c r="O62" s="664" t="s">
        <v>105</v>
      </c>
      <c r="P62" s="666">
        <v>46161</v>
      </c>
      <c r="Q62" s="667"/>
      <c r="R62" s="667"/>
      <c r="S62" s="667"/>
      <c r="T62" s="667"/>
      <c r="U62" s="668">
        <v>46162</v>
      </c>
      <c r="V62" s="669"/>
      <c r="W62" s="669"/>
      <c r="X62" s="669"/>
      <c r="Y62" s="669"/>
      <c r="Z62" s="666">
        <v>46163</v>
      </c>
      <c r="AA62" s="667"/>
      <c r="AB62" s="667"/>
      <c r="AC62" s="667"/>
      <c r="AD62" s="667"/>
      <c r="AE62" s="668">
        <v>46164</v>
      </c>
      <c r="AF62" s="669"/>
      <c r="AG62" s="669"/>
      <c r="AH62" s="669"/>
      <c r="AI62" s="669"/>
      <c r="AJ62" s="656">
        <v>46165</v>
      </c>
      <c r="AK62" s="657"/>
      <c r="AL62" s="657"/>
      <c r="AM62" s="657"/>
      <c r="AN62" s="658"/>
      <c r="AO62" s="668">
        <v>46166</v>
      </c>
      <c r="AP62" s="669"/>
      <c r="AQ62" s="669"/>
      <c r="AR62" s="669"/>
      <c r="AS62" s="669"/>
      <c r="AT62" s="656">
        <v>46167</v>
      </c>
      <c r="AU62" s="657"/>
      <c r="AV62" s="657"/>
      <c r="AW62" s="657"/>
      <c r="AX62" s="65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65"/>
      <c r="O63" s="665"/>
      <c r="P63" s="659">
        <v>46161</v>
      </c>
      <c r="Q63" s="659"/>
      <c r="R63" s="659"/>
      <c r="S63" s="659"/>
      <c r="T63" s="659"/>
      <c r="U63" s="660">
        <v>46162</v>
      </c>
      <c r="V63" s="660"/>
      <c r="W63" s="660"/>
      <c r="X63" s="660"/>
      <c r="Y63" s="660"/>
      <c r="Z63" s="659">
        <v>46163</v>
      </c>
      <c r="AA63" s="659"/>
      <c r="AB63" s="659"/>
      <c r="AC63" s="659"/>
      <c r="AD63" s="659"/>
      <c r="AE63" s="660">
        <v>46164</v>
      </c>
      <c r="AF63" s="660"/>
      <c r="AG63" s="660"/>
      <c r="AH63" s="660"/>
      <c r="AI63" s="660"/>
      <c r="AJ63" s="661">
        <v>46165</v>
      </c>
      <c r="AK63" s="662"/>
      <c r="AL63" s="662"/>
      <c r="AM63" s="662"/>
      <c r="AN63" s="663"/>
      <c r="AO63" s="660">
        <v>46166</v>
      </c>
      <c r="AP63" s="660"/>
      <c r="AQ63" s="660"/>
      <c r="AR63" s="660"/>
      <c r="AS63" s="660"/>
      <c r="AT63" s="661">
        <v>46167</v>
      </c>
      <c r="AU63" s="662"/>
      <c r="AV63" s="662"/>
      <c r="AW63" s="662"/>
      <c r="AX63" s="663"/>
    </row>
    <row r="64" spans="2:50" ht="14.25" customHeight="1">
      <c r="B64" s="631" t="s">
        <v>162</v>
      </c>
      <c r="C64" s="631" t="s">
        <v>157</v>
      </c>
      <c r="D64" s="631"/>
      <c r="E64" s="631" t="s">
        <v>158</v>
      </c>
      <c r="F64" s="631"/>
      <c r="G64" s="631"/>
      <c r="H64" s="631" t="s">
        <v>163</v>
      </c>
      <c r="I64" s="635" t="s">
        <v>370</v>
      </c>
      <c r="J64" s="635"/>
      <c r="K64" s="635"/>
      <c r="L64" s="635" t="s">
        <v>163</v>
      </c>
      <c r="M64" s="635" t="s">
        <v>165</v>
      </c>
      <c r="N64" s="631"/>
      <c r="O64" s="631" t="s">
        <v>164</v>
      </c>
      <c r="P64" s="631" t="s">
        <v>160</v>
      </c>
      <c r="Q64" s="631"/>
      <c r="R64" s="631"/>
      <c r="S64" s="631"/>
      <c r="T64" s="631" t="s">
        <v>163</v>
      </c>
      <c r="U64" s="631" t="s">
        <v>160</v>
      </c>
      <c r="V64" s="631"/>
      <c r="W64" s="631"/>
      <c r="X64" s="631"/>
      <c r="Y64" s="631" t="s">
        <v>163</v>
      </c>
      <c r="Z64" s="631" t="s">
        <v>160</v>
      </c>
      <c r="AA64" s="631"/>
      <c r="AB64" s="631"/>
      <c r="AC64" s="631"/>
      <c r="AD64" s="631" t="s">
        <v>163</v>
      </c>
      <c r="AE64" s="631" t="s">
        <v>160</v>
      </c>
      <c r="AF64" s="631"/>
      <c r="AG64" s="631"/>
      <c r="AH64" s="631"/>
      <c r="AI64" s="631" t="s">
        <v>163</v>
      </c>
      <c r="AJ64" s="631" t="s">
        <v>160</v>
      </c>
      <c r="AK64" s="631"/>
      <c r="AL64" s="631"/>
      <c r="AM64" s="631"/>
      <c r="AN64" s="631" t="s">
        <v>163</v>
      </c>
      <c r="AO64" s="631" t="s">
        <v>160</v>
      </c>
      <c r="AP64" s="631"/>
      <c r="AQ64" s="631"/>
      <c r="AR64" s="631"/>
      <c r="AS64" s="631" t="s">
        <v>163</v>
      </c>
      <c r="AT64" s="631" t="s">
        <v>160</v>
      </c>
      <c r="AU64" s="631"/>
      <c r="AV64" s="631"/>
      <c r="AW64" s="631"/>
      <c r="AX64" s="631" t="s">
        <v>163</v>
      </c>
    </row>
    <row r="65" spans="2:50" ht="14.25" customHeight="1">
      <c r="B65" s="631"/>
      <c r="C65" s="631"/>
      <c r="D65" s="631"/>
      <c r="E65" s="631" t="s">
        <v>371</v>
      </c>
      <c r="F65" s="631"/>
      <c r="G65" s="631"/>
      <c r="H65" s="631"/>
      <c r="I65" s="635" t="s">
        <v>371</v>
      </c>
      <c r="J65" s="635"/>
      <c r="K65" s="635"/>
      <c r="L65" s="635"/>
      <c r="M65" s="635"/>
      <c r="N65" s="631"/>
      <c r="O65" s="631"/>
      <c r="P65" s="631" t="s">
        <v>372</v>
      </c>
      <c r="Q65" s="631"/>
      <c r="R65" s="631"/>
      <c r="S65" s="631"/>
      <c r="T65" s="631"/>
      <c r="U65" s="631" t="s">
        <v>372</v>
      </c>
      <c r="V65" s="631"/>
      <c r="W65" s="631"/>
      <c r="X65" s="631"/>
      <c r="Y65" s="631"/>
      <c r="Z65" s="631" t="s">
        <v>372</v>
      </c>
      <c r="AA65" s="631"/>
      <c r="AB65" s="631"/>
      <c r="AC65" s="631"/>
      <c r="AD65" s="631"/>
      <c r="AE65" s="631" t="s">
        <v>372</v>
      </c>
      <c r="AF65" s="631"/>
      <c r="AG65" s="631"/>
      <c r="AH65" s="631"/>
      <c r="AI65" s="631"/>
      <c r="AJ65" s="631" t="s">
        <v>372</v>
      </c>
      <c r="AK65" s="631"/>
      <c r="AL65" s="631"/>
      <c r="AM65" s="631"/>
      <c r="AN65" s="631"/>
      <c r="AO65" s="631" t="s">
        <v>372</v>
      </c>
      <c r="AP65" s="631"/>
      <c r="AQ65" s="631"/>
      <c r="AR65" s="631"/>
      <c r="AS65" s="631"/>
      <c r="AT65" s="631" t="s">
        <v>372</v>
      </c>
      <c r="AU65" s="631"/>
      <c r="AV65" s="631"/>
      <c r="AW65" s="631"/>
      <c r="AX65" s="631"/>
    </row>
    <row r="66" spans="2:50" ht="14.25" customHeight="1">
      <c r="B66" s="631"/>
      <c r="C66" s="631"/>
      <c r="D66" s="631"/>
      <c r="E66" s="180" t="s">
        <v>159</v>
      </c>
      <c r="F66" s="180" t="s">
        <v>373</v>
      </c>
      <c r="G66" s="180" t="s">
        <v>161</v>
      </c>
      <c r="H66" s="631"/>
      <c r="I66" s="181" t="s">
        <v>159</v>
      </c>
      <c r="J66" s="181" t="s">
        <v>373</v>
      </c>
      <c r="K66" s="181" t="s">
        <v>161</v>
      </c>
      <c r="L66" s="635"/>
      <c r="M66" s="635"/>
      <c r="N66" s="631"/>
      <c r="O66" s="631"/>
      <c r="P66" s="180" t="s">
        <v>159</v>
      </c>
      <c r="Q66" s="180" t="s">
        <v>373</v>
      </c>
      <c r="R66" s="180" t="s">
        <v>161</v>
      </c>
      <c r="S66" s="182" t="s">
        <v>165</v>
      </c>
      <c r="T66" s="631"/>
      <c r="U66" s="180" t="s">
        <v>159</v>
      </c>
      <c r="V66" s="180" t="s">
        <v>373</v>
      </c>
      <c r="W66" s="180" t="s">
        <v>161</v>
      </c>
      <c r="X66" s="182" t="s">
        <v>165</v>
      </c>
      <c r="Y66" s="631"/>
      <c r="Z66" s="180" t="s">
        <v>159</v>
      </c>
      <c r="AA66" s="180" t="s">
        <v>373</v>
      </c>
      <c r="AB66" s="180" t="s">
        <v>161</v>
      </c>
      <c r="AC66" s="182" t="s">
        <v>165</v>
      </c>
      <c r="AD66" s="631"/>
      <c r="AE66" s="180" t="s">
        <v>159</v>
      </c>
      <c r="AF66" s="180" t="s">
        <v>373</v>
      </c>
      <c r="AG66" s="180" t="s">
        <v>161</v>
      </c>
      <c r="AH66" s="182" t="s">
        <v>165</v>
      </c>
      <c r="AI66" s="631"/>
      <c r="AJ66" s="180" t="s">
        <v>159</v>
      </c>
      <c r="AK66" s="180" t="s">
        <v>373</v>
      </c>
      <c r="AL66" s="180" t="s">
        <v>161</v>
      </c>
      <c r="AM66" s="182" t="s">
        <v>165</v>
      </c>
      <c r="AN66" s="631"/>
      <c r="AO66" s="180" t="s">
        <v>159</v>
      </c>
      <c r="AP66" s="180" t="s">
        <v>373</v>
      </c>
      <c r="AQ66" s="180" t="s">
        <v>161</v>
      </c>
      <c r="AR66" s="182" t="s">
        <v>165</v>
      </c>
      <c r="AS66" s="631"/>
      <c r="AT66" s="180" t="s">
        <v>159</v>
      </c>
      <c r="AU66" s="180" t="s">
        <v>373</v>
      </c>
      <c r="AV66" s="180" t="s">
        <v>161</v>
      </c>
      <c r="AW66" s="182" t="s">
        <v>165</v>
      </c>
      <c r="AX66" s="631"/>
    </row>
    <row r="67" spans="2:50" ht="14.25" customHeight="1">
      <c r="B67" s="631" t="s">
        <v>376</v>
      </c>
      <c r="C67" s="180">
        <v>1</v>
      </c>
      <c r="D67" s="183" t="s">
        <v>784</v>
      </c>
      <c r="E67" s="180">
        <v>6</v>
      </c>
      <c r="F67" s="180">
        <v>3273</v>
      </c>
      <c r="G67" s="185">
        <f t="shared" ref="G67:G71" si="34">F67/E67</f>
        <v>545.5</v>
      </c>
      <c r="H67" s="632">
        <f>AVERAGE(G67:G81)</f>
        <v>449.1</v>
      </c>
      <c r="I67" s="186">
        <f>AVERAGE(P67,U67,Z67,AE67,AJ67,AO67,AT67)</f>
        <v>6</v>
      </c>
      <c r="J67" s="186">
        <f>AVERAGE(Q67,V67,AA67,AF67,AK67,AP67,AU67)</f>
        <v>2846.5797080482662</v>
      </c>
      <c r="K67" s="187">
        <f>AVERAGE(R67,W67,AB67,AG67,AL67,AQ67,AV67)</f>
        <v>474.42995134137766</v>
      </c>
      <c r="L67" s="633">
        <f>IFERROR(AVERAGE(K67:K81),"-")</f>
        <v>402.44739921758162</v>
      </c>
      <c r="M67" s="186">
        <f>RANK(K67, K$67:$K$81)</f>
        <v>1</v>
      </c>
      <c r="N67" s="631"/>
      <c r="O67" s="631"/>
      <c r="P67" s="188">
        <v>6</v>
      </c>
      <c r="Q67" s="188">
        <v>2679.7682766513099</v>
      </c>
      <c r="R67" s="185">
        <f>IFERROR(Q67/P67,"")</f>
        <v>446.62804610855164</v>
      </c>
      <c r="S67" s="182">
        <f>RANK(R67, R$67:R$81)</f>
        <v>1</v>
      </c>
      <c r="T67" s="632">
        <f>AVERAGE(R67:R81)</f>
        <v>396.74474444405195</v>
      </c>
      <c r="U67" s="188">
        <v>6</v>
      </c>
      <c r="V67" s="188">
        <v>2738.2290620970871</v>
      </c>
      <c r="W67" s="185">
        <f t="shared" ref="W67:W71" si="35">IFERROR(V67/U67,"")</f>
        <v>456.37151034951449</v>
      </c>
      <c r="X67" s="182">
        <f>RANK(W67, W$67:W$81)</f>
        <v>1</v>
      </c>
      <c r="Y67" s="632">
        <f>AVERAGE(W67:W81)</f>
        <v>398.79619272426021</v>
      </c>
      <c r="Z67" s="188">
        <v>6</v>
      </c>
      <c r="AA67" s="188">
        <v>2807.907392878411</v>
      </c>
      <c r="AB67" s="185">
        <f t="shared" ref="AB67:AB71" si="36">IFERROR(AA67/Z67,"")</f>
        <v>467.98456547973518</v>
      </c>
      <c r="AC67" s="182">
        <f>RANK(AB67, AB$67:AB$81)</f>
        <v>1</v>
      </c>
      <c r="AD67" s="632">
        <f>AVERAGE(AB67:AB81)</f>
        <v>401.18434711630249</v>
      </c>
      <c r="AE67" s="188">
        <v>6</v>
      </c>
      <c r="AF67" s="188">
        <v>2863.06400273598</v>
      </c>
      <c r="AG67" s="185">
        <f>IFERROR(AF67/AE67,"")</f>
        <v>477.17733378933002</v>
      </c>
      <c r="AH67" s="182">
        <f>RANK(AG67, AG$67:AG$81)</f>
        <v>1</v>
      </c>
      <c r="AI67" s="632">
        <f>AVERAGE(AG67:AG81)</f>
        <v>403.01190077822139</v>
      </c>
      <c r="AJ67" s="188">
        <v>6</v>
      </c>
      <c r="AK67" s="188">
        <v>2921.6606667906995</v>
      </c>
      <c r="AL67" s="185">
        <f t="shared" ref="AL67:AL71" si="37">IFERROR(AK67/AJ67,"")</f>
        <v>486.94344446511656</v>
      </c>
      <c r="AM67" s="182">
        <f>RANK(AL67, AL$67:AL$81)</f>
        <v>1</v>
      </c>
      <c r="AN67" s="632">
        <f>AVERAGE(AL67:AL81)</f>
        <v>404.93812291337866</v>
      </c>
      <c r="AO67" s="188">
        <v>6</v>
      </c>
      <c r="AP67" s="188">
        <v>2957.714277592187</v>
      </c>
      <c r="AQ67" s="185">
        <f t="shared" ref="AQ67:AQ71" si="38">IFERROR(AP67/AO67,"")</f>
        <v>492.95237959869786</v>
      </c>
      <c r="AR67" s="182">
        <f>RANK(AQ67, AQ$67:AQ$81)</f>
        <v>1</v>
      </c>
      <c r="AS67" s="632">
        <f>AVERAGE(AQ67:AQ81)</f>
        <v>406.20757660676162</v>
      </c>
      <c r="AT67" s="188">
        <v>6</v>
      </c>
      <c r="AU67" s="188">
        <v>2957.7142775921875</v>
      </c>
      <c r="AV67" s="185">
        <f t="shared" ref="AV67:AV71" si="39">IFERROR(AU67/AT67,"")</f>
        <v>492.95237959869792</v>
      </c>
      <c r="AW67" s="182">
        <f>RANK(AV67, AV$67:AV$81)</f>
        <v>1</v>
      </c>
      <c r="AX67" s="632">
        <f>AVERAGE(AV67:AV81)</f>
        <v>406.2489099400949</v>
      </c>
    </row>
    <row r="68" spans="2:50" ht="14.25" customHeight="1">
      <c r="B68" s="631"/>
      <c r="C68" s="180">
        <v>2</v>
      </c>
      <c r="D68" s="183" t="s">
        <v>584</v>
      </c>
      <c r="E68" s="180">
        <v>6</v>
      </c>
      <c r="F68" s="180">
        <v>2500</v>
      </c>
      <c r="G68" s="185">
        <f t="shared" si="34"/>
        <v>416.66666666666669</v>
      </c>
      <c r="H68" s="632"/>
      <c r="I68" s="186">
        <f t="shared" ref="I68:K71" si="40">AVERAGE(P68,U68,Z68,AE68,AJ68,AO68,AT68)</f>
        <v>6</v>
      </c>
      <c r="J68" s="186">
        <f t="shared" si="40"/>
        <v>2262.3570169539553</v>
      </c>
      <c r="K68" s="187">
        <f t="shared" si="40"/>
        <v>377.05950282565919</v>
      </c>
      <c r="L68" s="633"/>
      <c r="M68" s="186">
        <f>RANK(K68, K$67:$K$81)</f>
        <v>5</v>
      </c>
      <c r="N68" s="631"/>
      <c r="O68" s="631"/>
      <c r="P68" s="188">
        <v>6</v>
      </c>
      <c r="Q68" s="188">
        <v>2260.2498740968131</v>
      </c>
      <c r="R68" s="185">
        <f t="shared" ref="R68:R71" si="41">IFERROR(Q68/P68,"")</f>
        <v>376.70831234946883</v>
      </c>
      <c r="S68" s="182">
        <f t="shared" ref="S68:S71" si="42">RANK(R68, R$67:R$81)</f>
        <v>4</v>
      </c>
      <c r="T68" s="632"/>
      <c r="U68" s="188">
        <v>6</v>
      </c>
      <c r="V68" s="188">
        <v>2260.9998740968131</v>
      </c>
      <c r="W68" s="185">
        <f t="shared" si="35"/>
        <v>376.83331234946883</v>
      </c>
      <c r="X68" s="182">
        <f t="shared" ref="X68:X71" si="43">RANK(W68, W$67:W$81)</f>
        <v>4</v>
      </c>
      <c r="Y68" s="632"/>
      <c r="Z68" s="188">
        <v>6</v>
      </c>
      <c r="AA68" s="188">
        <v>2261.4998740968131</v>
      </c>
      <c r="AB68" s="185">
        <f t="shared" si="36"/>
        <v>376.9166456828022</v>
      </c>
      <c r="AC68" s="182">
        <f t="shared" ref="AC68:AC71" si="44">RANK(AB68, AB$67:AB$81)</f>
        <v>5</v>
      </c>
      <c r="AD68" s="632"/>
      <c r="AE68" s="188">
        <v>6</v>
      </c>
      <c r="AF68" s="188">
        <v>2262.2498740968126</v>
      </c>
      <c r="AG68" s="185">
        <f t="shared" ref="AG68:AG71" si="45">IFERROR(AF68/AE68,"")</f>
        <v>377.04164568280208</v>
      </c>
      <c r="AH68" s="182">
        <f t="shared" ref="AH68:AH71" si="46">RANK(AG68, AG$67:AG$81)</f>
        <v>5</v>
      </c>
      <c r="AI68" s="632"/>
      <c r="AJ68" s="188">
        <v>6</v>
      </c>
      <c r="AK68" s="188">
        <v>2263.2498740968117</v>
      </c>
      <c r="AL68" s="185">
        <f t="shared" si="37"/>
        <v>377.2083123494686</v>
      </c>
      <c r="AM68" s="182">
        <f t="shared" ref="AM68:AM71" si="47">RANK(AL68, AL$67:AL$81)</f>
        <v>5</v>
      </c>
      <c r="AN68" s="632"/>
      <c r="AO68" s="188">
        <v>6</v>
      </c>
      <c r="AP68" s="188">
        <v>2263.9998740968113</v>
      </c>
      <c r="AQ68" s="185">
        <f t="shared" si="38"/>
        <v>377.33331234946854</v>
      </c>
      <c r="AR68" s="182">
        <f t="shared" ref="AR68:AR71" si="48">RANK(AQ68, AQ$67:AQ$81)</f>
        <v>5</v>
      </c>
      <c r="AS68" s="632"/>
      <c r="AT68" s="188">
        <v>6</v>
      </c>
      <c r="AU68" s="188">
        <v>2264.2498740968108</v>
      </c>
      <c r="AV68" s="185">
        <f t="shared" si="39"/>
        <v>377.37497901613511</v>
      </c>
      <c r="AW68" s="182">
        <f t="shared" ref="AW68:AW71" si="49">RANK(AV68, AV$67:AV$81)</f>
        <v>5</v>
      </c>
      <c r="AX68" s="632"/>
    </row>
    <row r="69" spans="2:50" ht="14.25" customHeight="1">
      <c r="B69" s="631"/>
      <c r="C69" s="180">
        <v>3</v>
      </c>
      <c r="D69" s="183" t="s">
        <v>605</v>
      </c>
      <c r="E69" s="180">
        <v>6</v>
      </c>
      <c r="F69" s="180">
        <v>2500</v>
      </c>
      <c r="G69" s="185">
        <f t="shared" si="34"/>
        <v>416.66666666666669</v>
      </c>
      <c r="H69" s="632"/>
      <c r="I69" s="186">
        <f t="shared" si="40"/>
        <v>6</v>
      </c>
      <c r="J69" s="186">
        <f t="shared" si="40"/>
        <v>2262.684288936211</v>
      </c>
      <c r="K69" s="187">
        <f t="shared" si="40"/>
        <v>377.1140481560351</v>
      </c>
      <c r="L69" s="633"/>
      <c r="M69" s="186">
        <f>RANK(K69, K$67:$K$81)</f>
        <v>4</v>
      </c>
      <c r="N69" s="631"/>
      <c r="O69" s="631"/>
      <c r="P69" s="188">
        <v>6</v>
      </c>
      <c r="Q69" s="188">
        <v>2258.9369310933944</v>
      </c>
      <c r="R69" s="185">
        <f t="shared" si="41"/>
        <v>376.48948851556571</v>
      </c>
      <c r="S69" s="182">
        <f t="shared" si="42"/>
        <v>5</v>
      </c>
      <c r="T69" s="632"/>
      <c r="U69" s="188">
        <v>6</v>
      </c>
      <c r="V69" s="188">
        <v>2259.4369310933939</v>
      </c>
      <c r="W69" s="185">
        <f t="shared" si="35"/>
        <v>376.57282184889897</v>
      </c>
      <c r="X69" s="182">
        <f t="shared" si="43"/>
        <v>5</v>
      </c>
      <c r="Y69" s="632"/>
      <c r="Z69" s="188">
        <v>6</v>
      </c>
      <c r="AA69" s="188">
        <v>2262.9832320733376</v>
      </c>
      <c r="AB69" s="185">
        <f t="shared" si="36"/>
        <v>377.16387201222295</v>
      </c>
      <c r="AC69" s="182">
        <f t="shared" si="44"/>
        <v>4</v>
      </c>
      <c r="AD69" s="632"/>
      <c r="AE69" s="188">
        <v>6</v>
      </c>
      <c r="AF69" s="188">
        <v>2263.9832320733376</v>
      </c>
      <c r="AG69" s="185">
        <f t="shared" si="45"/>
        <v>377.33053867888958</v>
      </c>
      <c r="AH69" s="182">
        <f t="shared" si="46"/>
        <v>4</v>
      </c>
      <c r="AI69" s="632"/>
      <c r="AJ69" s="188">
        <v>6</v>
      </c>
      <c r="AK69" s="188">
        <v>2263.7332320733376</v>
      </c>
      <c r="AL69" s="185">
        <f t="shared" si="37"/>
        <v>377.28887201222295</v>
      </c>
      <c r="AM69" s="182">
        <f t="shared" si="47"/>
        <v>4</v>
      </c>
      <c r="AN69" s="632"/>
      <c r="AO69" s="188">
        <v>6</v>
      </c>
      <c r="AP69" s="188">
        <v>2264.2332320733376</v>
      </c>
      <c r="AQ69" s="185">
        <f t="shared" si="38"/>
        <v>377.37220534555627</v>
      </c>
      <c r="AR69" s="182">
        <f t="shared" si="48"/>
        <v>4</v>
      </c>
      <c r="AS69" s="632"/>
      <c r="AT69" s="188">
        <v>6</v>
      </c>
      <c r="AU69" s="188">
        <v>2265.4832320733371</v>
      </c>
      <c r="AV69" s="185">
        <f t="shared" si="39"/>
        <v>377.58053867888952</v>
      </c>
      <c r="AW69" s="182">
        <f t="shared" si="49"/>
        <v>4</v>
      </c>
      <c r="AX69" s="632"/>
    </row>
    <row r="70" spans="2:50" ht="14.25" customHeight="1">
      <c r="B70" s="631"/>
      <c r="C70" s="180">
        <v>4</v>
      </c>
      <c r="D70" s="183" t="s">
        <v>744</v>
      </c>
      <c r="E70" s="180">
        <v>6</v>
      </c>
      <c r="F70" s="180">
        <v>2600</v>
      </c>
      <c r="G70" s="185">
        <f t="shared" si="34"/>
        <v>433.33333333333331</v>
      </c>
      <c r="H70" s="632"/>
      <c r="I70" s="186">
        <f t="shared" si="40"/>
        <v>6</v>
      </c>
      <c r="J70" s="186">
        <f t="shared" si="40"/>
        <v>2351.1958990966828</v>
      </c>
      <c r="K70" s="187">
        <f t="shared" si="40"/>
        <v>391.86598318278044</v>
      </c>
      <c r="L70" s="633"/>
      <c r="M70" s="186">
        <f>RANK(K70, K$67:$K$81)</f>
        <v>2</v>
      </c>
      <c r="N70" s="631"/>
      <c r="O70" s="631"/>
      <c r="P70" s="188">
        <v>6</v>
      </c>
      <c r="Q70" s="188">
        <v>2351.93875623954</v>
      </c>
      <c r="R70" s="185">
        <f t="shared" si="41"/>
        <v>391.98979270658998</v>
      </c>
      <c r="S70" s="182">
        <f t="shared" si="42"/>
        <v>2</v>
      </c>
      <c r="T70" s="632"/>
      <c r="U70" s="188">
        <v>6</v>
      </c>
      <c r="V70" s="188">
        <v>2352.7187562395397</v>
      </c>
      <c r="W70" s="185">
        <f t="shared" si="35"/>
        <v>392.11979270658998</v>
      </c>
      <c r="X70" s="182">
        <f t="shared" si="43"/>
        <v>2</v>
      </c>
      <c r="Y70" s="632"/>
      <c r="Z70" s="188">
        <v>6</v>
      </c>
      <c r="AA70" s="188">
        <v>2351.6787562395402</v>
      </c>
      <c r="AB70" s="185">
        <f t="shared" si="36"/>
        <v>391.94645937325669</v>
      </c>
      <c r="AC70" s="182">
        <f t="shared" si="44"/>
        <v>2</v>
      </c>
      <c r="AD70" s="632"/>
      <c r="AE70" s="188">
        <v>6</v>
      </c>
      <c r="AF70" s="188">
        <v>2350.8987562395396</v>
      </c>
      <c r="AG70" s="185">
        <f t="shared" si="45"/>
        <v>391.81645937325658</v>
      </c>
      <c r="AH70" s="182">
        <f t="shared" si="46"/>
        <v>2</v>
      </c>
      <c r="AI70" s="632"/>
      <c r="AJ70" s="188">
        <v>6</v>
      </c>
      <c r="AK70" s="188">
        <v>2350.1187562395398</v>
      </c>
      <c r="AL70" s="185">
        <f t="shared" si="37"/>
        <v>391.68645937325664</v>
      </c>
      <c r="AM70" s="182">
        <f t="shared" si="47"/>
        <v>2</v>
      </c>
      <c r="AN70" s="632"/>
      <c r="AO70" s="188">
        <v>6</v>
      </c>
      <c r="AP70" s="188">
        <v>2350.6387562395398</v>
      </c>
      <c r="AQ70" s="185">
        <f t="shared" si="38"/>
        <v>391.77312603992328</v>
      </c>
      <c r="AR70" s="182">
        <f t="shared" si="48"/>
        <v>2</v>
      </c>
      <c r="AS70" s="632"/>
      <c r="AT70" s="188">
        <v>6</v>
      </c>
      <c r="AU70" s="188">
        <v>2350.3787562395396</v>
      </c>
      <c r="AV70" s="185">
        <f t="shared" si="39"/>
        <v>391.72979270658993</v>
      </c>
      <c r="AW70" s="182">
        <f t="shared" si="49"/>
        <v>2</v>
      </c>
      <c r="AX70" s="632"/>
    </row>
    <row r="71" spans="2:50" ht="14.25" customHeight="1">
      <c r="B71" s="631"/>
      <c r="C71" s="180">
        <v>5</v>
      </c>
      <c r="D71" s="183" t="s">
        <v>745</v>
      </c>
      <c r="E71" s="180">
        <v>6</v>
      </c>
      <c r="F71" s="180">
        <v>2600</v>
      </c>
      <c r="G71" s="185">
        <f t="shared" si="34"/>
        <v>433.33333333333331</v>
      </c>
      <c r="H71" s="632"/>
      <c r="I71" s="186">
        <f t="shared" si="40"/>
        <v>6</v>
      </c>
      <c r="J71" s="186">
        <f t="shared" si="40"/>
        <v>2350.605063492334</v>
      </c>
      <c r="K71" s="187">
        <f t="shared" si="40"/>
        <v>391.76751058205571</v>
      </c>
      <c r="L71" s="633"/>
      <c r="M71" s="186">
        <f>RANK(K71, K$67:$K$81)</f>
        <v>3</v>
      </c>
      <c r="N71" s="631"/>
      <c r="O71" s="631"/>
      <c r="P71" s="188">
        <v>6</v>
      </c>
      <c r="Q71" s="188">
        <v>2351.4484952405023</v>
      </c>
      <c r="R71" s="185">
        <f t="shared" si="41"/>
        <v>391.90808254008374</v>
      </c>
      <c r="S71" s="182">
        <f t="shared" si="42"/>
        <v>3</v>
      </c>
      <c r="T71" s="632"/>
      <c r="U71" s="188">
        <v>6</v>
      </c>
      <c r="V71" s="188">
        <v>2352.501158200972</v>
      </c>
      <c r="W71" s="185">
        <f t="shared" si="35"/>
        <v>392.08352636682866</v>
      </c>
      <c r="X71" s="182">
        <f t="shared" si="43"/>
        <v>3</v>
      </c>
      <c r="Y71" s="632"/>
      <c r="Z71" s="188">
        <v>6</v>
      </c>
      <c r="AA71" s="188">
        <v>2351.4611582009725</v>
      </c>
      <c r="AB71" s="185">
        <f t="shared" si="36"/>
        <v>391.91019303349543</v>
      </c>
      <c r="AC71" s="182">
        <f t="shared" si="44"/>
        <v>3</v>
      </c>
      <c r="AD71" s="632"/>
      <c r="AE71" s="188">
        <v>6</v>
      </c>
      <c r="AF71" s="188">
        <v>2350.1611582009723</v>
      </c>
      <c r="AG71" s="185">
        <f t="shared" si="45"/>
        <v>391.69352636682873</v>
      </c>
      <c r="AH71" s="182">
        <f t="shared" si="46"/>
        <v>3</v>
      </c>
      <c r="AI71" s="632"/>
      <c r="AJ71" s="188">
        <v>6</v>
      </c>
      <c r="AK71" s="188">
        <v>2349.3811582009721</v>
      </c>
      <c r="AL71" s="185">
        <f t="shared" si="37"/>
        <v>391.56352636682868</v>
      </c>
      <c r="AM71" s="182">
        <f t="shared" si="47"/>
        <v>3</v>
      </c>
      <c r="AN71" s="632"/>
      <c r="AO71" s="188">
        <v>6</v>
      </c>
      <c r="AP71" s="188">
        <v>2349.6411582009728</v>
      </c>
      <c r="AQ71" s="185">
        <f t="shared" si="38"/>
        <v>391.60685970016215</v>
      </c>
      <c r="AR71" s="182">
        <f t="shared" si="48"/>
        <v>3</v>
      </c>
      <c r="AS71" s="632"/>
      <c r="AT71" s="188">
        <v>6</v>
      </c>
      <c r="AU71" s="188">
        <v>2349.6411582009737</v>
      </c>
      <c r="AV71" s="185">
        <f t="shared" si="39"/>
        <v>391.60685970016226</v>
      </c>
      <c r="AW71" s="182">
        <f t="shared" si="49"/>
        <v>3</v>
      </c>
      <c r="AX71" s="632"/>
    </row>
    <row r="72" spans="2:50" ht="14.25" customHeight="1">
      <c r="B72" s="631"/>
      <c r="C72" s="180">
        <v>6</v>
      </c>
      <c r="D72" s="183"/>
      <c r="E72" s="180"/>
      <c r="F72" s="180"/>
      <c r="G72" s="185"/>
      <c r="H72" s="632"/>
      <c r="I72" s="186"/>
      <c r="J72" s="186"/>
      <c r="K72" s="187"/>
      <c r="L72" s="633"/>
      <c r="M72" s="186"/>
      <c r="N72" s="631"/>
      <c r="O72" s="631"/>
      <c r="P72" s="188"/>
      <c r="Q72" s="188"/>
      <c r="R72" s="185"/>
      <c r="S72" s="182"/>
      <c r="T72" s="632"/>
      <c r="U72" s="188"/>
      <c r="V72" s="188"/>
      <c r="W72" s="185"/>
      <c r="X72" s="182"/>
      <c r="Y72" s="632"/>
      <c r="Z72" s="188"/>
      <c r="AA72" s="188"/>
      <c r="AB72" s="185"/>
      <c r="AC72" s="182"/>
      <c r="AD72" s="632"/>
      <c r="AE72" s="188"/>
      <c r="AF72" s="188"/>
      <c r="AG72" s="185"/>
      <c r="AH72" s="182"/>
      <c r="AI72" s="632"/>
      <c r="AJ72" s="188"/>
      <c r="AK72" s="188"/>
      <c r="AL72" s="185"/>
      <c r="AM72" s="182"/>
      <c r="AN72" s="632"/>
      <c r="AO72" s="188"/>
      <c r="AP72" s="188"/>
      <c r="AQ72" s="185"/>
      <c r="AR72" s="182"/>
      <c r="AS72" s="632"/>
      <c r="AT72" s="188"/>
      <c r="AU72" s="188"/>
      <c r="AV72" s="185"/>
      <c r="AW72" s="182"/>
      <c r="AX72" s="632"/>
    </row>
    <row r="73" spans="2:50" ht="14.25" customHeight="1">
      <c r="B73" s="631"/>
      <c r="C73" s="180">
        <v>7</v>
      </c>
      <c r="D73" s="183"/>
      <c r="E73" s="180"/>
      <c r="F73" s="180"/>
      <c r="G73" s="185"/>
      <c r="H73" s="632"/>
      <c r="I73" s="186"/>
      <c r="J73" s="186"/>
      <c r="K73" s="187"/>
      <c r="L73" s="633"/>
      <c r="M73" s="186"/>
      <c r="N73" s="631"/>
      <c r="O73" s="631"/>
      <c r="P73" s="188"/>
      <c r="Q73" s="188"/>
      <c r="R73" s="185"/>
      <c r="S73" s="182"/>
      <c r="T73" s="632"/>
      <c r="U73" s="188"/>
      <c r="V73" s="188"/>
      <c r="W73" s="185"/>
      <c r="X73" s="182"/>
      <c r="Y73" s="632"/>
      <c r="Z73" s="188"/>
      <c r="AA73" s="188"/>
      <c r="AB73" s="185"/>
      <c r="AC73" s="182"/>
      <c r="AD73" s="632"/>
      <c r="AE73" s="188"/>
      <c r="AF73" s="188"/>
      <c r="AG73" s="185"/>
      <c r="AH73" s="182"/>
      <c r="AI73" s="632"/>
      <c r="AJ73" s="188"/>
      <c r="AK73" s="188"/>
      <c r="AL73" s="185"/>
      <c r="AM73" s="182"/>
      <c r="AN73" s="632"/>
      <c r="AO73" s="188"/>
      <c r="AP73" s="188"/>
      <c r="AQ73" s="185"/>
      <c r="AR73" s="182"/>
      <c r="AS73" s="632"/>
      <c r="AT73" s="188"/>
      <c r="AU73" s="188"/>
      <c r="AV73" s="185"/>
      <c r="AW73" s="182"/>
      <c r="AX73" s="632"/>
    </row>
    <row r="74" spans="2:50" ht="14.25" customHeight="1">
      <c r="B74" s="631"/>
      <c r="C74" s="180">
        <v>8</v>
      </c>
      <c r="D74" s="183"/>
      <c r="E74" s="180"/>
      <c r="F74" s="180"/>
      <c r="G74" s="185"/>
      <c r="H74" s="632"/>
      <c r="I74" s="186"/>
      <c r="J74" s="186"/>
      <c r="K74" s="187"/>
      <c r="L74" s="633"/>
      <c r="M74" s="186"/>
      <c r="N74" s="631"/>
      <c r="O74" s="631"/>
      <c r="P74" s="188"/>
      <c r="Q74" s="188"/>
      <c r="R74" s="185"/>
      <c r="S74" s="182"/>
      <c r="T74" s="632"/>
      <c r="U74" s="188"/>
      <c r="V74" s="188"/>
      <c r="W74" s="185"/>
      <c r="X74" s="182"/>
      <c r="Y74" s="632"/>
      <c r="Z74" s="188"/>
      <c r="AA74" s="188"/>
      <c r="AB74" s="185"/>
      <c r="AC74" s="182"/>
      <c r="AD74" s="632"/>
      <c r="AE74" s="188"/>
      <c r="AF74" s="188"/>
      <c r="AG74" s="185"/>
      <c r="AH74" s="182"/>
      <c r="AI74" s="632"/>
      <c r="AJ74" s="188"/>
      <c r="AK74" s="188"/>
      <c r="AL74" s="185"/>
      <c r="AM74" s="182"/>
      <c r="AN74" s="632"/>
      <c r="AO74" s="188"/>
      <c r="AP74" s="188"/>
      <c r="AQ74" s="185"/>
      <c r="AR74" s="182"/>
      <c r="AS74" s="632"/>
      <c r="AT74" s="188"/>
      <c r="AU74" s="188"/>
      <c r="AV74" s="185"/>
      <c r="AW74" s="182"/>
      <c r="AX74" s="632"/>
    </row>
    <row r="75" spans="2:50" ht="14.25" customHeight="1">
      <c r="B75" s="631"/>
      <c r="C75" s="180">
        <v>9</v>
      </c>
      <c r="D75" s="183"/>
      <c r="E75" s="180"/>
      <c r="F75" s="180"/>
      <c r="G75" s="185"/>
      <c r="H75" s="632"/>
      <c r="I75" s="186"/>
      <c r="J75" s="186"/>
      <c r="K75" s="187"/>
      <c r="L75" s="633"/>
      <c r="M75" s="186"/>
      <c r="N75" s="631"/>
      <c r="O75" s="631"/>
      <c r="P75" s="188"/>
      <c r="Q75" s="188"/>
      <c r="R75" s="185"/>
      <c r="S75" s="182"/>
      <c r="T75" s="632"/>
      <c r="U75" s="188"/>
      <c r="V75" s="188"/>
      <c r="W75" s="185"/>
      <c r="X75" s="182"/>
      <c r="Y75" s="632"/>
      <c r="Z75" s="188"/>
      <c r="AA75" s="188"/>
      <c r="AB75" s="185"/>
      <c r="AC75" s="182"/>
      <c r="AD75" s="632"/>
      <c r="AE75" s="188"/>
      <c r="AF75" s="188"/>
      <c r="AG75" s="185"/>
      <c r="AH75" s="182"/>
      <c r="AI75" s="632"/>
      <c r="AJ75" s="188"/>
      <c r="AK75" s="188"/>
      <c r="AL75" s="185"/>
      <c r="AM75" s="182"/>
      <c r="AN75" s="632"/>
      <c r="AO75" s="188"/>
      <c r="AP75" s="188"/>
      <c r="AQ75" s="185"/>
      <c r="AR75" s="182"/>
      <c r="AS75" s="632"/>
      <c r="AT75" s="188"/>
      <c r="AU75" s="188"/>
      <c r="AV75" s="185"/>
      <c r="AW75" s="182"/>
      <c r="AX75" s="632"/>
    </row>
    <row r="76" spans="2:50" ht="14.25" customHeight="1">
      <c r="B76" s="631"/>
      <c r="C76" s="180">
        <v>10</v>
      </c>
      <c r="D76" s="183"/>
      <c r="E76" s="180"/>
      <c r="F76" s="180"/>
      <c r="G76" s="185"/>
      <c r="H76" s="632"/>
      <c r="I76" s="186"/>
      <c r="J76" s="186"/>
      <c r="K76" s="187"/>
      <c r="L76" s="633"/>
      <c r="M76" s="186"/>
      <c r="N76" s="631"/>
      <c r="O76" s="631"/>
      <c r="P76" s="188"/>
      <c r="Q76" s="188"/>
      <c r="R76" s="185"/>
      <c r="S76" s="182"/>
      <c r="T76" s="632"/>
      <c r="U76" s="188"/>
      <c r="V76" s="188"/>
      <c r="W76" s="185"/>
      <c r="X76" s="182"/>
      <c r="Y76" s="632"/>
      <c r="Z76" s="188"/>
      <c r="AA76" s="188"/>
      <c r="AB76" s="185"/>
      <c r="AC76" s="182"/>
      <c r="AD76" s="632"/>
      <c r="AE76" s="188"/>
      <c r="AF76" s="188"/>
      <c r="AG76" s="185"/>
      <c r="AH76" s="182"/>
      <c r="AI76" s="632"/>
      <c r="AJ76" s="188"/>
      <c r="AK76" s="188"/>
      <c r="AL76" s="185"/>
      <c r="AM76" s="182"/>
      <c r="AN76" s="632"/>
      <c r="AO76" s="188"/>
      <c r="AP76" s="188"/>
      <c r="AQ76" s="185"/>
      <c r="AR76" s="182"/>
      <c r="AS76" s="632"/>
      <c r="AT76" s="188"/>
      <c r="AU76" s="188"/>
      <c r="AV76" s="185"/>
      <c r="AW76" s="182"/>
      <c r="AX76" s="632"/>
    </row>
    <row r="77" spans="2:50" ht="14.25" customHeight="1">
      <c r="B77" s="631"/>
      <c r="C77" s="180">
        <v>11</v>
      </c>
      <c r="D77" s="183"/>
      <c r="E77" s="180"/>
      <c r="F77" s="180"/>
      <c r="G77" s="185"/>
      <c r="H77" s="632"/>
      <c r="I77" s="186"/>
      <c r="J77" s="186"/>
      <c r="K77" s="187"/>
      <c r="L77" s="633"/>
      <c r="M77" s="186"/>
      <c r="N77" s="631"/>
      <c r="O77" s="631"/>
      <c r="P77" s="188"/>
      <c r="Q77" s="188"/>
      <c r="R77" s="185"/>
      <c r="S77" s="182"/>
      <c r="T77" s="632"/>
      <c r="U77" s="188"/>
      <c r="V77" s="188"/>
      <c r="W77" s="185"/>
      <c r="X77" s="182"/>
      <c r="Y77" s="632"/>
      <c r="Z77" s="188"/>
      <c r="AA77" s="188"/>
      <c r="AB77" s="185"/>
      <c r="AC77" s="182"/>
      <c r="AD77" s="632"/>
      <c r="AE77" s="188"/>
      <c r="AF77" s="188"/>
      <c r="AG77" s="185"/>
      <c r="AH77" s="182"/>
      <c r="AI77" s="632"/>
      <c r="AJ77" s="188"/>
      <c r="AK77" s="188"/>
      <c r="AL77" s="185"/>
      <c r="AM77" s="182"/>
      <c r="AN77" s="632"/>
      <c r="AO77" s="188"/>
      <c r="AP77" s="188"/>
      <c r="AQ77" s="185"/>
      <c r="AR77" s="182"/>
      <c r="AS77" s="632"/>
      <c r="AT77" s="188"/>
      <c r="AU77" s="188"/>
      <c r="AV77" s="185"/>
      <c r="AW77" s="182"/>
      <c r="AX77" s="632"/>
    </row>
    <row r="78" spans="2:50" ht="14.25" customHeight="1">
      <c r="B78" s="631"/>
      <c r="C78" s="180">
        <v>12</v>
      </c>
      <c r="D78" s="183"/>
      <c r="E78" s="180"/>
      <c r="F78" s="180"/>
      <c r="G78" s="185"/>
      <c r="H78" s="632"/>
      <c r="I78" s="186"/>
      <c r="J78" s="186"/>
      <c r="K78" s="187"/>
      <c r="L78" s="633"/>
      <c r="M78" s="186"/>
      <c r="N78" s="631"/>
      <c r="O78" s="631"/>
      <c r="P78" s="188"/>
      <c r="Q78" s="188"/>
      <c r="R78" s="185"/>
      <c r="S78" s="182"/>
      <c r="T78" s="632"/>
      <c r="U78" s="188"/>
      <c r="V78" s="188"/>
      <c r="W78" s="185"/>
      <c r="X78" s="182"/>
      <c r="Y78" s="632"/>
      <c r="Z78" s="188"/>
      <c r="AA78" s="188"/>
      <c r="AB78" s="185"/>
      <c r="AC78" s="182"/>
      <c r="AD78" s="632"/>
      <c r="AE78" s="188"/>
      <c r="AF78" s="188"/>
      <c r="AG78" s="185"/>
      <c r="AH78" s="182"/>
      <c r="AI78" s="632"/>
      <c r="AJ78" s="188"/>
      <c r="AK78" s="188"/>
      <c r="AL78" s="185"/>
      <c r="AM78" s="182"/>
      <c r="AN78" s="632"/>
      <c r="AO78" s="188"/>
      <c r="AP78" s="188"/>
      <c r="AQ78" s="185"/>
      <c r="AR78" s="182"/>
      <c r="AS78" s="632"/>
      <c r="AT78" s="188"/>
      <c r="AU78" s="188"/>
      <c r="AV78" s="185"/>
      <c r="AW78" s="182"/>
      <c r="AX78" s="632"/>
    </row>
    <row r="79" spans="2:50" ht="14.25" customHeight="1">
      <c r="B79" s="631"/>
      <c r="C79" s="180">
        <v>13</v>
      </c>
      <c r="D79" s="183"/>
      <c r="E79" s="180"/>
      <c r="F79" s="180"/>
      <c r="G79" s="185"/>
      <c r="H79" s="632"/>
      <c r="I79" s="186"/>
      <c r="J79" s="186"/>
      <c r="K79" s="187"/>
      <c r="L79" s="633"/>
      <c r="M79" s="186"/>
      <c r="N79" s="631"/>
      <c r="O79" s="631"/>
      <c r="P79" s="188"/>
      <c r="Q79" s="188"/>
      <c r="R79" s="185"/>
      <c r="S79" s="182"/>
      <c r="T79" s="632"/>
      <c r="U79" s="188"/>
      <c r="V79" s="188"/>
      <c r="W79" s="185"/>
      <c r="X79" s="182"/>
      <c r="Y79" s="632"/>
      <c r="Z79" s="188"/>
      <c r="AA79" s="188"/>
      <c r="AB79" s="185"/>
      <c r="AC79" s="182"/>
      <c r="AD79" s="632"/>
      <c r="AE79" s="188"/>
      <c r="AF79" s="188"/>
      <c r="AG79" s="185"/>
      <c r="AH79" s="182"/>
      <c r="AI79" s="632"/>
      <c r="AJ79" s="188"/>
      <c r="AK79" s="188"/>
      <c r="AL79" s="185"/>
      <c r="AM79" s="182"/>
      <c r="AN79" s="632"/>
      <c r="AO79" s="188"/>
      <c r="AP79" s="188"/>
      <c r="AQ79" s="185"/>
      <c r="AR79" s="182"/>
      <c r="AS79" s="632"/>
      <c r="AT79" s="188"/>
      <c r="AU79" s="188"/>
      <c r="AV79" s="185"/>
      <c r="AW79" s="182"/>
      <c r="AX79" s="632"/>
    </row>
    <row r="80" spans="2:50" ht="14.25" customHeight="1">
      <c r="B80" s="631"/>
      <c r="C80" s="180">
        <v>14</v>
      </c>
      <c r="D80" s="183"/>
      <c r="E80" s="180"/>
      <c r="F80" s="180"/>
      <c r="G80" s="185"/>
      <c r="H80" s="632"/>
      <c r="I80" s="186"/>
      <c r="J80" s="186"/>
      <c r="K80" s="187"/>
      <c r="L80" s="633"/>
      <c r="M80" s="186"/>
      <c r="N80" s="631"/>
      <c r="O80" s="631"/>
      <c r="P80" s="188"/>
      <c r="Q80" s="188"/>
      <c r="R80" s="185"/>
      <c r="S80" s="182"/>
      <c r="T80" s="632"/>
      <c r="U80" s="188"/>
      <c r="V80" s="188"/>
      <c r="W80" s="185"/>
      <c r="X80" s="182"/>
      <c r="Y80" s="632"/>
      <c r="Z80" s="188"/>
      <c r="AA80" s="188"/>
      <c r="AB80" s="185"/>
      <c r="AC80" s="182"/>
      <c r="AD80" s="632"/>
      <c r="AE80" s="188"/>
      <c r="AF80" s="188"/>
      <c r="AG80" s="185"/>
      <c r="AH80" s="182"/>
      <c r="AI80" s="632"/>
      <c r="AJ80" s="188"/>
      <c r="AK80" s="188"/>
      <c r="AL80" s="185"/>
      <c r="AM80" s="182"/>
      <c r="AN80" s="632"/>
      <c r="AO80" s="188"/>
      <c r="AP80" s="188"/>
      <c r="AQ80" s="185"/>
      <c r="AR80" s="182"/>
      <c r="AS80" s="632"/>
      <c r="AT80" s="188"/>
      <c r="AU80" s="188"/>
      <c r="AV80" s="185"/>
      <c r="AW80" s="182"/>
      <c r="AX80" s="632"/>
    </row>
    <row r="81" spans="2:50" ht="14.25" customHeight="1">
      <c r="B81" s="631"/>
      <c r="C81" s="180">
        <v>15</v>
      </c>
      <c r="D81" s="183"/>
      <c r="E81" s="180"/>
      <c r="F81" s="180"/>
      <c r="G81" s="185"/>
      <c r="H81" s="632"/>
      <c r="I81" s="186"/>
      <c r="J81" s="186"/>
      <c r="K81" s="187"/>
      <c r="L81" s="633"/>
      <c r="M81" s="186"/>
      <c r="N81" s="631"/>
      <c r="O81" s="631"/>
      <c r="P81" s="188"/>
      <c r="Q81" s="188"/>
      <c r="R81" s="185"/>
      <c r="S81" s="182"/>
      <c r="T81" s="632"/>
      <c r="U81" s="188"/>
      <c r="V81" s="188"/>
      <c r="W81" s="185"/>
      <c r="X81" s="182"/>
      <c r="Y81" s="632"/>
      <c r="Z81" s="188"/>
      <c r="AA81" s="188"/>
      <c r="AB81" s="185"/>
      <c r="AC81" s="182"/>
      <c r="AD81" s="632"/>
      <c r="AE81" s="188"/>
      <c r="AF81" s="188"/>
      <c r="AG81" s="185"/>
      <c r="AH81" s="182"/>
      <c r="AI81" s="632"/>
      <c r="AJ81" s="188"/>
      <c r="AK81" s="188"/>
      <c r="AL81" s="185"/>
      <c r="AM81" s="182"/>
      <c r="AN81" s="632"/>
      <c r="AO81" s="188"/>
      <c r="AP81" s="188"/>
      <c r="AQ81" s="185"/>
      <c r="AR81" s="182"/>
      <c r="AS81" s="632"/>
      <c r="AT81" s="188"/>
      <c r="AU81" s="188"/>
      <c r="AV81" s="185"/>
      <c r="AW81" s="182"/>
      <c r="AX81" s="632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81"/>
  <sheetViews>
    <sheetView zoomScaleNormal="100" workbookViewId="0">
      <pane xSplit="13" ySplit="1" topLeftCell="N53" activePane="bottomRight" state="frozen"/>
      <selection activeCell="L95" sqref="L95"/>
      <selection pane="topRight" activeCell="L95" sqref="L95"/>
      <selection pane="bottomLeft" activeCell="L95" sqref="L95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4" t="s">
        <v>696</v>
      </c>
      <c r="C1" s="175">
        <f>AVERAGE(L7,L27,L47,L67)</f>
        <v>84.361095434675548</v>
      </c>
    </row>
    <row r="2" spans="1:50" ht="14.25" customHeight="1">
      <c r="B2" s="646" t="s">
        <v>619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7"/>
      <c r="N2" s="664" t="s">
        <v>369</v>
      </c>
      <c r="O2" s="664" t="s">
        <v>105</v>
      </c>
      <c r="P2" s="666">
        <v>46140</v>
      </c>
      <c r="Q2" s="667"/>
      <c r="R2" s="667"/>
      <c r="S2" s="667"/>
      <c r="T2" s="667"/>
      <c r="U2" s="668">
        <v>46141</v>
      </c>
      <c r="V2" s="669"/>
      <c r="W2" s="669"/>
      <c r="X2" s="669"/>
      <c r="Y2" s="669"/>
      <c r="Z2" s="666">
        <v>46142</v>
      </c>
      <c r="AA2" s="667"/>
      <c r="AB2" s="667"/>
      <c r="AC2" s="667"/>
      <c r="AD2" s="667"/>
      <c r="AE2" s="668">
        <v>46143</v>
      </c>
      <c r="AF2" s="669"/>
      <c r="AG2" s="669"/>
      <c r="AH2" s="669"/>
      <c r="AI2" s="669"/>
      <c r="AJ2" s="656">
        <v>46144</v>
      </c>
      <c r="AK2" s="657"/>
      <c r="AL2" s="657"/>
      <c r="AM2" s="657"/>
      <c r="AN2" s="658"/>
      <c r="AO2" s="668">
        <v>46145</v>
      </c>
      <c r="AP2" s="669"/>
      <c r="AQ2" s="669"/>
      <c r="AR2" s="669"/>
      <c r="AS2" s="669"/>
      <c r="AT2" s="656">
        <v>46146</v>
      </c>
      <c r="AU2" s="657"/>
      <c r="AV2" s="657"/>
      <c r="AW2" s="657"/>
      <c r="AX2" s="658"/>
    </row>
    <row r="3" spans="1:50" ht="14.25" customHeight="1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665"/>
      <c r="O3" s="665"/>
      <c r="P3" s="659">
        <v>46140</v>
      </c>
      <c r="Q3" s="659"/>
      <c r="R3" s="659"/>
      <c r="S3" s="659"/>
      <c r="T3" s="659"/>
      <c r="U3" s="660">
        <v>46141</v>
      </c>
      <c r="V3" s="660"/>
      <c r="W3" s="660"/>
      <c r="X3" s="660"/>
      <c r="Y3" s="660"/>
      <c r="Z3" s="659">
        <v>46142</v>
      </c>
      <c r="AA3" s="659"/>
      <c r="AB3" s="659"/>
      <c r="AC3" s="659"/>
      <c r="AD3" s="659"/>
      <c r="AE3" s="660">
        <v>46143</v>
      </c>
      <c r="AF3" s="660"/>
      <c r="AG3" s="660"/>
      <c r="AH3" s="660"/>
      <c r="AI3" s="660"/>
      <c r="AJ3" s="661">
        <v>46144</v>
      </c>
      <c r="AK3" s="662"/>
      <c r="AL3" s="662"/>
      <c r="AM3" s="662"/>
      <c r="AN3" s="663"/>
      <c r="AO3" s="660">
        <v>46145</v>
      </c>
      <c r="AP3" s="660"/>
      <c r="AQ3" s="660"/>
      <c r="AR3" s="660"/>
      <c r="AS3" s="660"/>
      <c r="AT3" s="661">
        <v>46146</v>
      </c>
      <c r="AU3" s="662"/>
      <c r="AV3" s="662"/>
      <c r="AW3" s="662"/>
      <c r="AX3" s="663"/>
    </row>
    <row r="4" spans="1:50" ht="14.25" customHeight="1">
      <c r="B4" s="631" t="s">
        <v>162</v>
      </c>
      <c r="C4" s="631" t="s">
        <v>157</v>
      </c>
      <c r="D4" s="631"/>
      <c r="E4" s="631" t="s">
        <v>158</v>
      </c>
      <c r="F4" s="631"/>
      <c r="G4" s="631"/>
      <c r="H4" s="631" t="s">
        <v>163</v>
      </c>
      <c r="I4" s="635" t="s">
        <v>370</v>
      </c>
      <c r="J4" s="635"/>
      <c r="K4" s="635"/>
      <c r="L4" s="635" t="s">
        <v>163</v>
      </c>
      <c r="M4" s="635" t="s">
        <v>165</v>
      </c>
      <c r="N4" s="631"/>
      <c r="O4" s="631" t="s">
        <v>164</v>
      </c>
      <c r="P4" s="631" t="s">
        <v>160</v>
      </c>
      <c r="Q4" s="631"/>
      <c r="R4" s="631"/>
      <c r="S4" s="631"/>
      <c r="T4" s="631" t="s">
        <v>163</v>
      </c>
      <c r="U4" s="631" t="s">
        <v>160</v>
      </c>
      <c r="V4" s="631"/>
      <c r="W4" s="631"/>
      <c r="X4" s="631"/>
      <c r="Y4" s="631" t="s">
        <v>163</v>
      </c>
      <c r="Z4" s="631" t="s">
        <v>160</v>
      </c>
      <c r="AA4" s="631"/>
      <c r="AB4" s="631"/>
      <c r="AC4" s="631"/>
      <c r="AD4" s="631" t="s">
        <v>163</v>
      </c>
      <c r="AE4" s="631" t="s">
        <v>160</v>
      </c>
      <c r="AF4" s="631"/>
      <c r="AG4" s="631"/>
      <c r="AH4" s="631"/>
      <c r="AI4" s="631" t="s">
        <v>163</v>
      </c>
      <c r="AJ4" s="631" t="s">
        <v>160</v>
      </c>
      <c r="AK4" s="631"/>
      <c r="AL4" s="631"/>
      <c r="AM4" s="631"/>
      <c r="AN4" s="631" t="s">
        <v>163</v>
      </c>
      <c r="AO4" s="631" t="s">
        <v>160</v>
      </c>
      <c r="AP4" s="631"/>
      <c r="AQ4" s="631"/>
      <c r="AR4" s="631"/>
      <c r="AS4" s="631" t="s">
        <v>163</v>
      </c>
      <c r="AT4" s="631" t="s">
        <v>160</v>
      </c>
      <c r="AU4" s="631"/>
      <c r="AV4" s="631"/>
      <c r="AW4" s="631"/>
      <c r="AX4" s="631" t="s">
        <v>163</v>
      </c>
    </row>
    <row r="5" spans="1:50" ht="14.25" customHeight="1">
      <c r="B5" s="631"/>
      <c r="C5" s="631"/>
      <c r="D5" s="631"/>
      <c r="E5" s="631" t="s">
        <v>371</v>
      </c>
      <c r="F5" s="631"/>
      <c r="G5" s="631"/>
      <c r="H5" s="631"/>
      <c r="I5" s="635" t="s">
        <v>371</v>
      </c>
      <c r="J5" s="635"/>
      <c r="K5" s="635"/>
      <c r="L5" s="635"/>
      <c r="M5" s="635"/>
      <c r="N5" s="631"/>
      <c r="O5" s="631"/>
      <c r="P5" s="631" t="s">
        <v>372</v>
      </c>
      <c r="Q5" s="631"/>
      <c r="R5" s="631"/>
      <c r="S5" s="631"/>
      <c r="T5" s="631"/>
      <c r="U5" s="631" t="s">
        <v>372</v>
      </c>
      <c r="V5" s="631"/>
      <c r="W5" s="631"/>
      <c r="X5" s="631"/>
      <c r="Y5" s="631"/>
      <c r="Z5" s="631" t="s">
        <v>372</v>
      </c>
      <c r="AA5" s="631"/>
      <c r="AB5" s="631"/>
      <c r="AC5" s="631"/>
      <c r="AD5" s="631"/>
      <c r="AE5" s="631" t="s">
        <v>372</v>
      </c>
      <c r="AF5" s="631"/>
      <c r="AG5" s="631"/>
      <c r="AH5" s="631"/>
      <c r="AI5" s="631"/>
      <c r="AJ5" s="631" t="s">
        <v>372</v>
      </c>
      <c r="AK5" s="631"/>
      <c r="AL5" s="631"/>
      <c r="AM5" s="631"/>
      <c r="AN5" s="631"/>
      <c r="AO5" s="631" t="s">
        <v>372</v>
      </c>
      <c r="AP5" s="631"/>
      <c r="AQ5" s="631"/>
      <c r="AR5" s="631"/>
      <c r="AS5" s="631"/>
      <c r="AT5" s="631" t="s">
        <v>372</v>
      </c>
      <c r="AU5" s="631"/>
      <c r="AV5" s="631"/>
      <c r="AW5" s="631"/>
      <c r="AX5" s="631"/>
    </row>
    <row r="6" spans="1:50" ht="14.25" customHeight="1">
      <c r="B6" s="631"/>
      <c r="C6" s="631"/>
      <c r="D6" s="631"/>
      <c r="E6" s="180" t="s">
        <v>159</v>
      </c>
      <c r="F6" s="180" t="s">
        <v>373</v>
      </c>
      <c r="G6" s="180" t="s">
        <v>161</v>
      </c>
      <c r="H6" s="631"/>
      <c r="I6" s="181" t="s">
        <v>159</v>
      </c>
      <c r="J6" s="181" t="s">
        <v>373</v>
      </c>
      <c r="K6" s="181" t="s">
        <v>161</v>
      </c>
      <c r="L6" s="635"/>
      <c r="M6" s="635"/>
      <c r="N6" s="631"/>
      <c r="O6" s="631"/>
      <c r="P6" s="180" t="s">
        <v>159</v>
      </c>
      <c r="Q6" s="180" t="s">
        <v>373</v>
      </c>
      <c r="R6" s="180" t="s">
        <v>161</v>
      </c>
      <c r="S6" s="182" t="s">
        <v>165</v>
      </c>
      <c r="T6" s="631"/>
      <c r="U6" s="180" t="s">
        <v>159</v>
      </c>
      <c r="V6" s="180" t="s">
        <v>373</v>
      </c>
      <c r="W6" s="180" t="s">
        <v>161</v>
      </c>
      <c r="X6" s="182" t="s">
        <v>165</v>
      </c>
      <c r="Y6" s="631"/>
      <c r="Z6" s="180" t="s">
        <v>159</v>
      </c>
      <c r="AA6" s="180" t="s">
        <v>373</v>
      </c>
      <c r="AB6" s="180" t="s">
        <v>161</v>
      </c>
      <c r="AC6" s="182" t="s">
        <v>165</v>
      </c>
      <c r="AD6" s="631"/>
      <c r="AE6" s="180" t="s">
        <v>159</v>
      </c>
      <c r="AF6" s="180" t="s">
        <v>373</v>
      </c>
      <c r="AG6" s="180" t="s">
        <v>161</v>
      </c>
      <c r="AH6" s="182" t="s">
        <v>165</v>
      </c>
      <c r="AI6" s="631"/>
      <c r="AJ6" s="180" t="s">
        <v>159</v>
      </c>
      <c r="AK6" s="180" t="s">
        <v>373</v>
      </c>
      <c r="AL6" s="180" t="s">
        <v>161</v>
      </c>
      <c r="AM6" s="182" t="s">
        <v>165</v>
      </c>
      <c r="AN6" s="631"/>
      <c r="AO6" s="180" t="s">
        <v>159</v>
      </c>
      <c r="AP6" s="180" t="s">
        <v>373</v>
      </c>
      <c r="AQ6" s="180" t="s">
        <v>161</v>
      </c>
      <c r="AR6" s="182" t="s">
        <v>165</v>
      </c>
      <c r="AS6" s="631"/>
      <c r="AT6" s="180" t="s">
        <v>159</v>
      </c>
      <c r="AU6" s="180" t="s">
        <v>373</v>
      </c>
      <c r="AV6" s="180" t="s">
        <v>161</v>
      </c>
      <c r="AW6" s="182" t="s">
        <v>165</v>
      </c>
      <c r="AX6" s="631"/>
    </row>
    <row r="7" spans="1:50" ht="14.25" customHeight="1">
      <c r="B7" s="631" t="s">
        <v>350</v>
      </c>
      <c r="C7" s="180">
        <v>1</v>
      </c>
      <c r="D7" s="183" t="s">
        <v>344</v>
      </c>
      <c r="E7" s="180">
        <v>24</v>
      </c>
      <c r="F7" s="180">
        <v>2000</v>
      </c>
      <c r="G7" s="185">
        <f t="shared" ref="G7:G14" si="0">F7/E7</f>
        <v>83.333333333333329</v>
      </c>
      <c r="H7" s="632">
        <f>AVERAGE(G7:G21)</f>
        <v>95.022542769968396</v>
      </c>
      <c r="I7" s="186">
        <f>AVERAGE(P7,U7,Z7,AE7,AJ7,AO7,AT7)</f>
        <v>24</v>
      </c>
      <c r="J7" s="186">
        <f>AVERAGE(Q7,V7,AA7,AF7,AK7,AP7,AU7)</f>
        <v>1785.6013990749088</v>
      </c>
      <c r="K7" s="187">
        <f>AVERAGE(R7,W7,AB7,AG7,AL7,AQ7,AV7)</f>
        <v>74.400058294787883</v>
      </c>
      <c r="L7" s="633">
        <f>IFERROR(AVERAGE(K7:K21),"-")</f>
        <v>84.873928785145154</v>
      </c>
      <c r="M7" s="186">
        <f>RANK(K7, K$7:$K$21)</f>
        <v>8</v>
      </c>
      <c r="N7" s="631"/>
      <c r="O7" s="631"/>
      <c r="P7" s="188">
        <v>24</v>
      </c>
      <c r="Q7" s="188">
        <v>1780.1585139318909</v>
      </c>
      <c r="R7" s="185">
        <f>IFERROR(Q7/P7,"")</f>
        <v>74.173271413828786</v>
      </c>
      <c r="S7" s="182">
        <f>RANK(R7, R$7:R$21)</f>
        <v>8</v>
      </c>
      <c r="T7" s="632">
        <f>AVERAGE(R7:R21)</f>
        <v>84.271086813362857</v>
      </c>
      <c r="U7" s="188">
        <v>24</v>
      </c>
      <c r="V7" s="188">
        <v>1780.3585139318909</v>
      </c>
      <c r="W7" s="185">
        <f t="shared" ref="W7:W14" si="1">IFERROR(V7/U7,"")</f>
        <v>74.181604747162126</v>
      </c>
      <c r="X7" s="182">
        <f>RANK(W7, W$7:W$21)</f>
        <v>8</v>
      </c>
      <c r="Y7" s="632">
        <f>AVERAGE(W7:W21)</f>
        <v>84.27312809183077</v>
      </c>
      <c r="Z7" s="188">
        <v>24</v>
      </c>
      <c r="AA7" s="188">
        <v>1788.2185531321163</v>
      </c>
      <c r="AB7" s="185">
        <f t="shared" ref="AB7:AB14" si="2">IFERROR(AA7/Z7,"")</f>
        <v>74.509106380504846</v>
      </c>
      <c r="AC7" s="182">
        <f>RANK(AB7, AB$7:AB$21)</f>
        <v>8</v>
      </c>
      <c r="AD7" s="632">
        <f>AVERAGE(AB7:AB21)</f>
        <v>85.655759864118934</v>
      </c>
      <c r="AE7" s="188">
        <v>24</v>
      </c>
      <c r="AF7" s="188">
        <v>1788.0185531321163</v>
      </c>
      <c r="AG7" s="185">
        <f>IFERROR(AF7/AE7,"")</f>
        <v>74.500773047171506</v>
      </c>
      <c r="AH7" s="182">
        <f>RANK(AG7, AG$7:AG$21)</f>
        <v>8</v>
      </c>
      <c r="AI7" s="632">
        <f>AVERAGE(AG7:AG21)</f>
        <v>85.632018525529347</v>
      </c>
      <c r="AJ7" s="188">
        <v>24</v>
      </c>
      <c r="AK7" s="188">
        <v>1787.6185531321159</v>
      </c>
      <c r="AL7" s="185">
        <f t="shared" ref="AL7:AL14" si="3">IFERROR(AK7/AJ7,"")</f>
        <v>74.484106380504826</v>
      </c>
      <c r="AM7" s="182">
        <f>RANK(AL7, AL$7:AL$21)</f>
        <v>8</v>
      </c>
      <c r="AN7" s="632">
        <f>AVERAGE(AL7:AL21)</f>
        <v>85.663302565982278</v>
      </c>
      <c r="AO7" s="188">
        <v>24</v>
      </c>
      <c r="AP7" s="188">
        <v>1787.0185531321163</v>
      </c>
      <c r="AQ7" s="185">
        <f t="shared" ref="AQ7:AQ14" si="4">IFERROR(AP7/AO7,"")</f>
        <v>74.459106380504849</v>
      </c>
      <c r="AR7" s="182">
        <f>RANK(AQ7, AQ$7:AQ$21)</f>
        <v>8</v>
      </c>
      <c r="AS7" s="632">
        <f>AVERAGE(AQ7:AQ21)</f>
        <v>84.306631091405478</v>
      </c>
      <c r="AT7" s="188">
        <v>24</v>
      </c>
      <c r="AU7" s="188">
        <v>1787.8185531321162</v>
      </c>
      <c r="AV7" s="185">
        <f t="shared" ref="AV7:AV14" si="5">IFERROR(AU7/AT7,"")</f>
        <v>74.492439713838181</v>
      </c>
      <c r="AW7" s="182">
        <f>RANK(AV7, AV$7:AV$21)</f>
        <v>8</v>
      </c>
      <c r="AX7" s="632">
        <f>AVERAGE(AV7:AV21)</f>
        <v>84.31557454378644</v>
      </c>
    </row>
    <row r="8" spans="1:50" ht="14.25" customHeight="1">
      <c r="B8" s="631"/>
      <c r="C8" s="180">
        <v>2</v>
      </c>
      <c r="D8" s="183" t="s">
        <v>343</v>
      </c>
      <c r="E8" s="180">
        <v>23</v>
      </c>
      <c r="F8" s="180">
        <v>2000</v>
      </c>
      <c r="G8" s="185">
        <f t="shared" si="0"/>
        <v>86.956521739130437</v>
      </c>
      <c r="H8" s="632"/>
      <c r="I8" s="186">
        <f t="shared" ref="I8:K14" si="6">AVERAGE(P8,U8,Z8,AE8,AJ8,AO8,AT8)</f>
        <v>22.714285714285715</v>
      </c>
      <c r="J8" s="186">
        <f t="shared" si="6"/>
        <v>1800.0874232634017</v>
      </c>
      <c r="K8" s="187">
        <f t="shared" si="6"/>
        <v>79.274089999818287</v>
      </c>
      <c r="L8" s="633"/>
      <c r="M8" s="186">
        <f>RANK(K8, K$7:$K$21)</f>
        <v>4</v>
      </c>
      <c r="N8" s="631"/>
      <c r="O8" s="631"/>
      <c r="P8" s="188">
        <v>23</v>
      </c>
      <c r="Q8" s="188">
        <v>1791.6750301568106</v>
      </c>
      <c r="R8" s="185">
        <f t="shared" ref="R8:R14" si="7">IFERROR(Q8/P8,"")</f>
        <v>77.898914354643935</v>
      </c>
      <c r="S8" s="182">
        <f t="shared" ref="S8:S14" si="8">RANK(R8, R$7:R$21)</f>
        <v>4</v>
      </c>
      <c r="T8" s="632"/>
      <c r="U8" s="188">
        <v>23</v>
      </c>
      <c r="V8" s="188">
        <v>1792.0750301568105</v>
      </c>
      <c r="W8" s="185">
        <f t="shared" si="1"/>
        <v>77.91630565899176</v>
      </c>
      <c r="X8" s="182">
        <f t="shared" ref="X8:X14" si="9">RANK(W8, W$7:W$21)</f>
        <v>4</v>
      </c>
      <c r="Y8" s="632"/>
      <c r="Z8" s="188">
        <v>22</v>
      </c>
      <c r="AA8" s="188">
        <v>1789.3635967925372</v>
      </c>
      <c r="AB8" s="185">
        <f t="shared" si="2"/>
        <v>81.334708945115324</v>
      </c>
      <c r="AC8" s="182">
        <f t="shared" ref="AC8:AC14" si="10">RANK(AB8, AB$7:AB$21)</f>
        <v>4</v>
      </c>
      <c r="AD8" s="632"/>
      <c r="AE8" s="188">
        <v>22</v>
      </c>
      <c r="AF8" s="188">
        <v>1786</v>
      </c>
      <c r="AG8" s="185">
        <f t="shared" ref="AG8:AG14" si="11">IFERROR(AF8/AE8,"")</f>
        <v>81.181818181818187</v>
      </c>
      <c r="AH8" s="182">
        <f t="shared" ref="AH8:AH14" si="12">RANK(AG8, AG$7:AG$21)</f>
        <v>4</v>
      </c>
      <c r="AI8" s="632"/>
      <c r="AJ8" s="188">
        <v>23</v>
      </c>
      <c r="AK8" s="188">
        <v>1869.4983057376526</v>
      </c>
      <c r="AL8" s="185">
        <f t="shared" si="3"/>
        <v>81.282535032071848</v>
      </c>
      <c r="AM8" s="182">
        <f t="shared" ref="AM8:AM14" si="13">RANK(AL8, AL$7:AL$21)</f>
        <v>4</v>
      </c>
      <c r="AN8" s="632"/>
      <c r="AO8" s="188">
        <v>23</v>
      </c>
      <c r="AP8" s="188">
        <v>1786</v>
      </c>
      <c r="AQ8" s="185">
        <f t="shared" si="4"/>
        <v>77.652173913043484</v>
      </c>
      <c r="AR8" s="182">
        <f t="shared" ref="AR8:AR14" si="14">RANK(AQ8, AQ$7:AQ$21)</f>
        <v>4</v>
      </c>
      <c r="AS8" s="632"/>
      <c r="AT8" s="188">
        <v>23</v>
      </c>
      <c r="AU8" s="188">
        <v>1786.0000000000002</v>
      </c>
      <c r="AV8" s="185">
        <f t="shared" si="5"/>
        <v>77.652173913043484</v>
      </c>
      <c r="AW8" s="182">
        <f t="shared" ref="AW8:AW14" si="15">RANK(AV8, AV$7:AV$21)</f>
        <v>4</v>
      </c>
      <c r="AX8" s="632"/>
    </row>
    <row r="9" spans="1:50" ht="14.25" customHeight="1">
      <c r="B9" s="631"/>
      <c r="C9" s="180">
        <v>3</v>
      </c>
      <c r="D9" s="183" t="s">
        <v>351</v>
      </c>
      <c r="E9" s="180">
        <v>23</v>
      </c>
      <c r="F9" s="180">
        <v>2000</v>
      </c>
      <c r="G9" s="185">
        <f t="shared" si="0"/>
        <v>86.956521739130437</v>
      </c>
      <c r="H9" s="632"/>
      <c r="I9" s="186">
        <f t="shared" si="6"/>
        <v>22.714285714285715</v>
      </c>
      <c r="J9" s="186">
        <f t="shared" si="6"/>
        <v>1798.5902299960592</v>
      </c>
      <c r="K9" s="187">
        <f t="shared" si="6"/>
        <v>79.208446277876973</v>
      </c>
      <c r="L9" s="633"/>
      <c r="M9" s="186">
        <f>RANK(K9, K$7:$K$21)</f>
        <v>5</v>
      </c>
      <c r="N9" s="631"/>
      <c r="O9" s="631"/>
      <c r="P9" s="188">
        <v>23</v>
      </c>
      <c r="Q9" s="188">
        <v>1787.8212968471134</v>
      </c>
      <c r="R9" s="185">
        <f t="shared" si="7"/>
        <v>77.731360732483196</v>
      </c>
      <c r="S9" s="182">
        <f t="shared" si="8"/>
        <v>5</v>
      </c>
      <c r="T9" s="632"/>
      <c r="U9" s="188">
        <v>23</v>
      </c>
      <c r="V9" s="188">
        <v>1787.8212968471134</v>
      </c>
      <c r="W9" s="185">
        <f t="shared" si="1"/>
        <v>77.731360732483196</v>
      </c>
      <c r="X9" s="182">
        <f t="shared" si="9"/>
        <v>5</v>
      </c>
      <c r="Y9" s="632"/>
      <c r="Z9" s="188">
        <v>22</v>
      </c>
      <c r="AA9" s="188">
        <v>1787.4212968471136</v>
      </c>
      <c r="AB9" s="185">
        <f t="shared" si="2"/>
        <v>81.246422583959713</v>
      </c>
      <c r="AC9" s="182">
        <f t="shared" si="10"/>
        <v>5</v>
      </c>
      <c r="AD9" s="632"/>
      <c r="AE9" s="188">
        <v>22</v>
      </c>
      <c r="AF9" s="188">
        <v>1786.0000000000002</v>
      </c>
      <c r="AG9" s="185">
        <f t="shared" si="11"/>
        <v>81.181818181818187</v>
      </c>
      <c r="AH9" s="182">
        <f t="shared" si="12"/>
        <v>4</v>
      </c>
      <c r="AI9" s="632"/>
      <c r="AJ9" s="188">
        <v>23</v>
      </c>
      <c r="AK9" s="188">
        <v>1869.0677194310733</v>
      </c>
      <c r="AL9" s="185">
        <f t="shared" si="3"/>
        <v>81.263813888307538</v>
      </c>
      <c r="AM9" s="182">
        <f t="shared" si="13"/>
        <v>5</v>
      </c>
      <c r="AN9" s="632"/>
      <c r="AO9" s="188">
        <v>23</v>
      </c>
      <c r="AP9" s="188">
        <v>1786</v>
      </c>
      <c r="AQ9" s="185">
        <f t="shared" si="4"/>
        <v>77.652173913043484</v>
      </c>
      <c r="AR9" s="182">
        <f t="shared" si="14"/>
        <v>4</v>
      </c>
      <c r="AS9" s="632"/>
      <c r="AT9" s="188">
        <v>23</v>
      </c>
      <c r="AU9" s="188">
        <v>1786.0000000000002</v>
      </c>
      <c r="AV9" s="185">
        <f t="shared" si="5"/>
        <v>77.652173913043484</v>
      </c>
      <c r="AW9" s="182">
        <f t="shared" si="15"/>
        <v>4</v>
      </c>
      <c r="AX9" s="632"/>
    </row>
    <row r="10" spans="1:50" ht="14.25" customHeight="1">
      <c r="B10" s="631"/>
      <c r="C10" s="180">
        <v>4</v>
      </c>
      <c r="D10" s="183" t="s">
        <v>345</v>
      </c>
      <c r="E10" s="180">
        <v>23</v>
      </c>
      <c r="F10" s="180">
        <v>2000</v>
      </c>
      <c r="G10" s="185">
        <f t="shared" si="0"/>
        <v>86.956521739130437</v>
      </c>
      <c r="H10" s="632"/>
      <c r="I10" s="186">
        <f t="shared" si="6"/>
        <v>22.714285714285715</v>
      </c>
      <c r="J10" s="186">
        <f t="shared" si="6"/>
        <v>1797.4877735524144</v>
      </c>
      <c r="K10" s="187">
        <f t="shared" si="6"/>
        <v>79.160184182860135</v>
      </c>
      <c r="L10" s="633"/>
      <c r="M10" s="186">
        <f>RANK(K10, K$7:$K$21)</f>
        <v>6</v>
      </c>
      <c r="N10" s="631"/>
      <c r="O10" s="631"/>
      <c r="P10" s="188">
        <v>23</v>
      </c>
      <c r="Q10" s="188">
        <v>1785.0552486187842</v>
      </c>
      <c r="R10" s="185">
        <f t="shared" si="7"/>
        <v>77.611097766034092</v>
      </c>
      <c r="S10" s="182">
        <f t="shared" si="8"/>
        <v>6</v>
      </c>
      <c r="T10" s="632"/>
      <c r="U10" s="188">
        <v>23</v>
      </c>
      <c r="V10" s="188">
        <v>1785.4552486187843</v>
      </c>
      <c r="W10" s="185">
        <f t="shared" si="1"/>
        <v>77.628489070381917</v>
      </c>
      <c r="X10" s="182">
        <f t="shared" si="9"/>
        <v>6</v>
      </c>
      <c r="Y10" s="632"/>
      <c r="Z10" s="188">
        <v>22</v>
      </c>
      <c r="AA10" s="188">
        <v>1786.255248618784</v>
      </c>
      <c r="AB10" s="185">
        <f t="shared" si="2"/>
        <v>81.193420391762913</v>
      </c>
      <c r="AC10" s="182">
        <f t="shared" si="10"/>
        <v>6</v>
      </c>
      <c r="AD10" s="632"/>
      <c r="AE10" s="188">
        <v>22</v>
      </c>
      <c r="AF10" s="188">
        <v>1786.0000000000002</v>
      </c>
      <c r="AG10" s="185">
        <f t="shared" si="11"/>
        <v>81.181818181818187</v>
      </c>
      <c r="AH10" s="182">
        <f t="shared" si="12"/>
        <v>4</v>
      </c>
      <c r="AI10" s="632"/>
      <c r="AJ10" s="188">
        <v>23</v>
      </c>
      <c r="AK10" s="188">
        <v>1867.6486690105469</v>
      </c>
      <c r="AL10" s="185">
        <f t="shared" si="3"/>
        <v>81.202116043936826</v>
      </c>
      <c r="AM10" s="182">
        <f t="shared" si="13"/>
        <v>6</v>
      </c>
      <c r="AN10" s="632"/>
      <c r="AO10" s="188">
        <v>23</v>
      </c>
      <c r="AP10" s="188">
        <v>1785.9999999999998</v>
      </c>
      <c r="AQ10" s="185">
        <f t="shared" si="4"/>
        <v>77.65217391304347</v>
      </c>
      <c r="AR10" s="182">
        <f t="shared" si="14"/>
        <v>6</v>
      </c>
      <c r="AS10" s="632"/>
      <c r="AT10" s="188">
        <v>23</v>
      </c>
      <c r="AU10" s="188">
        <v>1785.9999999999998</v>
      </c>
      <c r="AV10" s="185">
        <f t="shared" si="5"/>
        <v>77.65217391304347</v>
      </c>
      <c r="AW10" s="182">
        <f t="shared" si="15"/>
        <v>6</v>
      </c>
      <c r="AX10" s="632"/>
    </row>
    <row r="11" spans="1:50" ht="14.25" customHeight="1">
      <c r="B11" s="631"/>
      <c r="C11" s="180">
        <v>5</v>
      </c>
      <c r="D11" s="183" t="s">
        <v>451</v>
      </c>
      <c r="E11" s="180">
        <v>19</v>
      </c>
      <c r="F11" s="180">
        <v>2000</v>
      </c>
      <c r="G11" s="185">
        <f t="shared" si="0"/>
        <v>105.26315789473684</v>
      </c>
      <c r="H11" s="632"/>
      <c r="I11" s="186">
        <f t="shared" si="6"/>
        <v>20</v>
      </c>
      <c r="J11" s="186">
        <f t="shared" si="6"/>
        <v>1786</v>
      </c>
      <c r="K11" s="187">
        <f t="shared" si="6"/>
        <v>89.299999999999983</v>
      </c>
      <c r="L11" s="633"/>
      <c r="M11" s="186">
        <f>RANK(K11, K$7:$K$21)</f>
        <v>3</v>
      </c>
      <c r="N11" s="631"/>
      <c r="O11" s="631"/>
      <c r="P11" s="188">
        <v>20</v>
      </c>
      <c r="Q11" s="188">
        <v>1786</v>
      </c>
      <c r="R11" s="185">
        <f t="shared" si="7"/>
        <v>89.3</v>
      </c>
      <c r="S11" s="182">
        <f t="shared" si="8"/>
        <v>3</v>
      </c>
      <c r="T11" s="632"/>
      <c r="U11" s="188">
        <v>20</v>
      </c>
      <c r="V11" s="188">
        <v>1786.0000000000002</v>
      </c>
      <c r="W11" s="185">
        <f t="shared" si="1"/>
        <v>89.300000000000011</v>
      </c>
      <c r="X11" s="182">
        <f t="shared" si="9"/>
        <v>2</v>
      </c>
      <c r="Y11" s="632"/>
      <c r="Z11" s="188">
        <v>20</v>
      </c>
      <c r="AA11" s="188">
        <v>1786</v>
      </c>
      <c r="AB11" s="185">
        <f t="shared" si="2"/>
        <v>89.3</v>
      </c>
      <c r="AC11" s="182">
        <f t="shared" si="10"/>
        <v>3</v>
      </c>
      <c r="AD11" s="632"/>
      <c r="AE11" s="188">
        <v>20</v>
      </c>
      <c r="AF11" s="188">
        <v>1786</v>
      </c>
      <c r="AG11" s="185">
        <f t="shared" si="11"/>
        <v>89.3</v>
      </c>
      <c r="AH11" s="182">
        <f t="shared" si="12"/>
        <v>3</v>
      </c>
      <c r="AI11" s="632"/>
      <c r="AJ11" s="188">
        <v>20</v>
      </c>
      <c r="AK11" s="188">
        <v>1785.9999999999998</v>
      </c>
      <c r="AL11" s="185">
        <f t="shared" si="3"/>
        <v>89.299999999999983</v>
      </c>
      <c r="AM11" s="182">
        <f t="shared" si="13"/>
        <v>3</v>
      </c>
      <c r="AN11" s="632"/>
      <c r="AO11" s="188">
        <v>20</v>
      </c>
      <c r="AP11" s="188">
        <v>1786</v>
      </c>
      <c r="AQ11" s="185">
        <f t="shared" si="4"/>
        <v>89.3</v>
      </c>
      <c r="AR11" s="182">
        <f t="shared" si="14"/>
        <v>3</v>
      </c>
      <c r="AS11" s="632"/>
      <c r="AT11" s="188">
        <v>20</v>
      </c>
      <c r="AU11" s="188">
        <v>1785.9999999999998</v>
      </c>
      <c r="AV11" s="185">
        <f t="shared" si="5"/>
        <v>89.299999999999983</v>
      </c>
      <c r="AW11" s="182">
        <f t="shared" si="15"/>
        <v>3</v>
      </c>
      <c r="AX11" s="632"/>
    </row>
    <row r="12" spans="1:50" ht="14.25" customHeight="1">
      <c r="B12" s="631"/>
      <c r="C12" s="180">
        <v>6</v>
      </c>
      <c r="D12" s="183" t="s">
        <v>492</v>
      </c>
      <c r="E12" s="180">
        <v>21</v>
      </c>
      <c r="F12" s="180">
        <v>1800</v>
      </c>
      <c r="G12" s="185">
        <f t="shared" si="0"/>
        <v>85.714285714285708</v>
      </c>
      <c r="H12" s="632"/>
      <c r="I12" s="186">
        <f t="shared" si="6"/>
        <v>21</v>
      </c>
      <c r="J12" s="186">
        <f t="shared" si="6"/>
        <v>1605.7342925930138</v>
      </c>
      <c r="K12" s="187">
        <f t="shared" si="6"/>
        <v>76.46353774252448</v>
      </c>
      <c r="L12" s="633"/>
      <c r="M12" s="186">
        <f>RANK(K12, K$7:$K$21)</f>
        <v>7</v>
      </c>
      <c r="N12" s="631"/>
      <c r="O12" s="631"/>
      <c r="P12" s="188">
        <v>21</v>
      </c>
      <c r="Q12" s="188">
        <v>1605.5723639047815</v>
      </c>
      <c r="R12" s="185">
        <f t="shared" si="7"/>
        <v>76.455826852608638</v>
      </c>
      <c r="S12" s="182">
        <f t="shared" si="8"/>
        <v>7</v>
      </c>
      <c r="T12" s="632"/>
      <c r="U12" s="188">
        <v>21</v>
      </c>
      <c r="V12" s="188">
        <v>1604.8523639047814</v>
      </c>
      <c r="W12" s="185">
        <f t="shared" si="1"/>
        <v>76.421541138322922</v>
      </c>
      <c r="X12" s="182">
        <f t="shared" si="9"/>
        <v>7</v>
      </c>
      <c r="Y12" s="632"/>
      <c r="Z12" s="188">
        <v>21</v>
      </c>
      <c r="AA12" s="188">
        <v>1606.3750640683068</v>
      </c>
      <c r="AB12" s="185">
        <f t="shared" si="2"/>
        <v>76.494050669919375</v>
      </c>
      <c r="AC12" s="182">
        <f t="shared" si="10"/>
        <v>7</v>
      </c>
      <c r="AD12" s="632"/>
      <c r="AE12" s="188">
        <v>21</v>
      </c>
      <c r="AF12" s="188">
        <v>1606.375064068307</v>
      </c>
      <c r="AG12" s="185">
        <f t="shared" si="11"/>
        <v>76.494050669919375</v>
      </c>
      <c r="AH12" s="182">
        <f t="shared" si="12"/>
        <v>7</v>
      </c>
      <c r="AI12" s="632"/>
      <c r="AJ12" s="188">
        <v>21</v>
      </c>
      <c r="AK12" s="188">
        <v>1606.1950640683071</v>
      </c>
      <c r="AL12" s="185">
        <f t="shared" si="3"/>
        <v>76.48547924134796</v>
      </c>
      <c r="AM12" s="182">
        <f t="shared" si="13"/>
        <v>7</v>
      </c>
      <c r="AN12" s="632"/>
      <c r="AO12" s="188">
        <v>21</v>
      </c>
      <c r="AP12" s="188">
        <v>1605.1150640683072</v>
      </c>
      <c r="AQ12" s="185">
        <f t="shared" si="4"/>
        <v>76.434050669919387</v>
      </c>
      <c r="AR12" s="182">
        <f t="shared" si="14"/>
        <v>7</v>
      </c>
      <c r="AS12" s="632"/>
      <c r="AT12" s="188">
        <v>21</v>
      </c>
      <c r="AU12" s="188">
        <v>1605.6550640683072</v>
      </c>
      <c r="AV12" s="185">
        <f t="shared" si="5"/>
        <v>76.459764955633673</v>
      </c>
      <c r="AW12" s="182">
        <f t="shared" si="15"/>
        <v>7</v>
      </c>
      <c r="AX12" s="632"/>
    </row>
    <row r="13" spans="1:50" ht="14.25" customHeight="1">
      <c r="B13" s="631"/>
      <c r="C13" s="180">
        <v>7</v>
      </c>
      <c r="D13" s="183" t="s">
        <v>493</v>
      </c>
      <c r="E13" s="180">
        <v>20</v>
      </c>
      <c r="F13" s="180">
        <v>2000</v>
      </c>
      <c r="G13" s="185">
        <f t="shared" si="0"/>
        <v>100</v>
      </c>
      <c r="H13" s="632"/>
      <c r="I13" s="186">
        <f t="shared" si="6"/>
        <v>20</v>
      </c>
      <c r="J13" s="186">
        <f t="shared" si="6"/>
        <v>1788.4208852000145</v>
      </c>
      <c r="K13" s="187">
        <f t="shared" si="6"/>
        <v>89.421044260000727</v>
      </c>
      <c r="L13" s="633"/>
      <c r="M13" s="186">
        <f>RANK(K13, K$7:$K$21)</f>
        <v>2</v>
      </c>
      <c r="N13" s="631"/>
      <c r="O13" s="631"/>
      <c r="P13" s="188">
        <v>20</v>
      </c>
      <c r="Q13" s="188">
        <v>1786.2610032863447</v>
      </c>
      <c r="R13" s="185">
        <f t="shared" si="7"/>
        <v>89.313050164317232</v>
      </c>
      <c r="S13" s="182">
        <f t="shared" si="8"/>
        <v>2</v>
      </c>
      <c r="T13" s="632"/>
      <c r="U13" s="188">
        <v>20</v>
      </c>
      <c r="V13" s="188">
        <v>1785.6610032863446</v>
      </c>
      <c r="W13" s="185">
        <f t="shared" si="1"/>
        <v>89.283050164317231</v>
      </c>
      <c r="X13" s="182">
        <f t="shared" si="9"/>
        <v>3</v>
      </c>
      <c r="Y13" s="632"/>
      <c r="Z13" s="188">
        <v>20</v>
      </c>
      <c r="AA13" s="188">
        <v>1788.8048379654826</v>
      </c>
      <c r="AB13" s="185">
        <f t="shared" si="2"/>
        <v>89.440241898274138</v>
      </c>
      <c r="AC13" s="182">
        <f t="shared" si="10"/>
        <v>2</v>
      </c>
      <c r="AD13" s="632"/>
      <c r="AE13" s="188">
        <v>20</v>
      </c>
      <c r="AF13" s="188">
        <v>1789.0048379654829</v>
      </c>
      <c r="AG13" s="185">
        <f t="shared" si="11"/>
        <v>89.450241898274143</v>
      </c>
      <c r="AH13" s="182">
        <f t="shared" si="12"/>
        <v>2</v>
      </c>
      <c r="AI13" s="632"/>
      <c r="AJ13" s="188">
        <v>20</v>
      </c>
      <c r="AK13" s="188">
        <v>1789.2048379654827</v>
      </c>
      <c r="AL13" s="185">
        <f t="shared" si="3"/>
        <v>89.460241898274134</v>
      </c>
      <c r="AM13" s="182">
        <f t="shared" si="13"/>
        <v>2</v>
      </c>
      <c r="AN13" s="632"/>
      <c r="AO13" s="188">
        <v>20</v>
      </c>
      <c r="AP13" s="188">
        <v>1790.0048379654825</v>
      </c>
      <c r="AQ13" s="185">
        <f t="shared" si="4"/>
        <v>89.500241898274126</v>
      </c>
      <c r="AR13" s="182">
        <f t="shared" si="14"/>
        <v>2</v>
      </c>
      <c r="AS13" s="632"/>
      <c r="AT13" s="188">
        <v>20</v>
      </c>
      <c r="AU13" s="188">
        <v>1790.0048379654825</v>
      </c>
      <c r="AV13" s="185">
        <f t="shared" si="5"/>
        <v>89.500241898274126</v>
      </c>
      <c r="AW13" s="182">
        <f t="shared" si="15"/>
        <v>2</v>
      </c>
      <c r="AX13" s="632"/>
    </row>
    <row r="14" spans="1:50" ht="14.25" customHeight="1">
      <c r="B14" s="631"/>
      <c r="C14" s="180">
        <v>8</v>
      </c>
      <c r="D14" s="183" t="s">
        <v>585</v>
      </c>
      <c r="E14" s="180">
        <v>16</v>
      </c>
      <c r="F14" s="180">
        <v>2000</v>
      </c>
      <c r="G14" s="185">
        <f t="shared" si="0"/>
        <v>125</v>
      </c>
      <c r="H14" s="632"/>
      <c r="I14" s="186">
        <f t="shared" si="6"/>
        <v>16</v>
      </c>
      <c r="J14" s="186">
        <f t="shared" si="6"/>
        <v>1788.2251123726844</v>
      </c>
      <c r="K14" s="187">
        <f t="shared" si="6"/>
        <v>111.76406952329278</v>
      </c>
      <c r="L14" s="633"/>
      <c r="M14" s="186">
        <f>RANK(K14, K$7:$K$21)</f>
        <v>1</v>
      </c>
      <c r="N14" s="631"/>
      <c r="O14" s="631"/>
      <c r="P14" s="188">
        <v>16</v>
      </c>
      <c r="Q14" s="188">
        <v>1786.9627715677909</v>
      </c>
      <c r="R14" s="185">
        <f t="shared" si="7"/>
        <v>111.68517322298693</v>
      </c>
      <c r="S14" s="182">
        <f t="shared" si="8"/>
        <v>1</v>
      </c>
      <c r="T14" s="632"/>
      <c r="U14" s="188">
        <v>16</v>
      </c>
      <c r="V14" s="188">
        <v>1787.5627715677911</v>
      </c>
      <c r="W14" s="185">
        <f t="shared" si="1"/>
        <v>111.72267322298694</v>
      </c>
      <c r="X14" s="182">
        <f t="shared" si="9"/>
        <v>1</v>
      </c>
      <c r="Y14" s="632"/>
      <c r="Z14" s="188">
        <v>16</v>
      </c>
      <c r="AA14" s="188">
        <v>1787.6500486946422</v>
      </c>
      <c r="AB14" s="185">
        <f t="shared" si="2"/>
        <v>111.72812804341514</v>
      </c>
      <c r="AC14" s="182">
        <f t="shared" si="10"/>
        <v>1</v>
      </c>
      <c r="AD14" s="632"/>
      <c r="AE14" s="188">
        <v>16</v>
      </c>
      <c r="AF14" s="188">
        <v>1788.2500486946421</v>
      </c>
      <c r="AG14" s="185">
        <f t="shared" si="11"/>
        <v>111.76562804341513</v>
      </c>
      <c r="AH14" s="182">
        <f t="shared" si="12"/>
        <v>1</v>
      </c>
      <c r="AI14" s="632"/>
      <c r="AJ14" s="188">
        <v>16</v>
      </c>
      <c r="AK14" s="188">
        <v>1789.2500486946424</v>
      </c>
      <c r="AL14" s="185">
        <f t="shared" si="3"/>
        <v>111.82812804341515</v>
      </c>
      <c r="AM14" s="182">
        <f t="shared" si="13"/>
        <v>1</v>
      </c>
      <c r="AN14" s="632"/>
      <c r="AO14" s="188">
        <v>16</v>
      </c>
      <c r="AP14" s="188">
        <v>1788.8500486946421</v>
      </c>
      <c r="AQ14" s="185">
        <f t="shared" si="4"/>
        <v>111.80312804341513</v>
      </c>
      <c r="AR14" s="182">
        <f t="shared" si="14"/>
        <v>1</v>
      </c>
      <c r="AS14" s="632"/>
      <c r="AT14" s="188">
        <v>16</v>
      </c>
      <c r="AU14" s="188">
        <v>1789.0500486946421</v>
      </c>
      <c r="AV14" s="185">
        <f t="shared" si="5"/>
        <v>111.81562804341513</v>
      </c>
      <c r="AW14" s="182">
        <f t="shared" si="15"/>
        <v>1</v>
      </c>
      <c r="AX14" s="632"/>
    </row>
    <row r="15" spans="1:50" ht="14.25" customHeight="1">
      <c r="B15" s="631"/>
      <c r="C15" s="180">
        <v>9</v>
      </c>
      <c r="D15" s="183"/>
      <c r="E15" s="180"/>
      <c r="F15" s="180"/>
      <c r="G15" s="185"/>
      <c r="H15" s="632"/>
      <c r="I15" s="186"/>
      <c r="J15" s="186"/>
      <c r="K15" s="187"/>
      <c r="L15" s="633"/>
      <c r="M15" s="186"/>
      <c r="N15" s="631"/>
      <c r="O15" s="631"/>
      <c r="P15" s="188"/>
      <c r="Q15" s="188"/>
      <c r="R15" s="185"/>
      <c r="S15" s="182"/>
      <c r="T15" s="632"/>
      <c r="U15" s="188"/>
      <c r="V15" s="188"/>
      <c r="W15" s="185"/>
      <c r="X15" s="182"/>
      <c r="Y15" s="632"/>
      <c r="Z15" s="188"/>
      <c r="AA15" s="188"/>
      <c r="AB15" s="185"/>
      <c r="AC15" s="182"/>
      <c r="AD15" s="632"/>
      <c r="AE15" s="188"/>
      <c r="AF15" s="188"/>
      <c r="AG15" s="185"/>
      <c r="AH15" s="182"/>
      <c r="AI15" s="632"/>
      <c r="AJ15" s="188"/>
      <c r="AK15" s="188"/>
      <c r="AL15" s="185"/>
      <c r="AM15" s="182"/>
      <c r="AN15" s="632"/>
      <c r="AO15" s="188"/>
      <c r="AP15" s="188"/>
      <c r="AQ15" s="185"/>
      <c r="AR15" s="182"/>
      <c r="AS15" s="632"/>
      <c r="AT15" s="188"/>
      <c r="AU15" s="188"/>
      <c r="AV15" s="185"/>
      <c r="AW15" s="182"/>
      <c r="AX15" s="632"/>
    </row>
    <row r="16" spans="1:50" ht="14.25" customHeight="1">
      <c r="B16" s="631"/>
      <c r="C16" s="180">
        <v>10</v>
      </c>
      <c r="D16" s="183"/>
      <c r="E16" s="180"/>
      <c r="F16" s="180"/>
      <c r="G16" s="185"/>
      <c r="H16" s="632"/>
      <c r="I16" s="186"/>
      <c r="J16" s="186"/>
      <c r="K16" s="187"/>
      <c r="L16" s="633"/>
      <c r="M16" s="186"/>
      <c r="N16" s="631"/>
      <c r="O16" s="631"/>
      <c r="P16" s="188"/>
      <c r="Q16" s="188"/>
      <c r="R16" s="185"/>
      <c r="S16" s="182"/>
      <c r="T16" s="632"/>
      <c r="U16" s="188"/>
      <c r="V16" s="188"/>
      <c r="W16" s="185"/>
      <c r="X16" s="182"/>
      <c r="Y16" s="632"/>
      <c r="Z16" s="188"/>
      <c r="AA16" s="188"/>
      <c r="AB16" s="185"/>
      <c r="AC16" s="182"/>
      <c r="AD16" s="632"/>
      <c r="AE16" s="188"/>
      <c r="AF16" s="188"/>
      <c r="AG16" s="185"/>
      <c r="AH16" s="182"/>
      <c r="AI16" s="632"/>
      <c r="AJ16" s="188"/>
      <c r="AK16" s="188"/>
      <c r="AL16" s="185"/>
      <c r="AM16" s="182"/>
      <c r="AN16" s="632"/>
      <c r="AO16" s="188"/>
      <c r="AP16" s="188"/>
      <c r="AQ16" s="185"/>
      <c r="AR16" s="182"/>
      <c r="AS16" s="632"/>
      <c r="AT16" s="188"/>
      <c r="AU16" s="188"/>
      <c r="AV16" s="185"/>
      <c r="AW16" s="182"/>
      <c r="AX16" s="632"/>
    </row>
    <row r="17" spans="2:50" ht="14.25" customHeight="1">
      <c r="B17" s="631"/>
      <c r="C17" s="180">
        <v>11</v>
      </c>
      <c r="D17" s="183"/>
      <c r="E17" s="180"/>
      <c r="F17" s="180"/>
      <c r="G17" s="185"/>
      <c r="H17" s="632"/>
      <c r="I17" s="186"/>
      <c r="J17" s="186"/>
      <c r="K17" s="187"/>
      <c r="L17" s="633"/>
      <c r="M17" s="186"/>
      <c r="N17" s="631"/>
      <c r="O17" s="631"/>
      <c r="P17" s="188"/>
      <c r="Q17" s="188"/>
      <c r="R17" s="185"/>
      <c r="S17" s="182"/>
      <c r="T17" s="632"/>
      <c r="U17" s="188"/>
      <c r="V17" s="188"/>
      <c r="W17" s="185"/>
      <c r="X17" s="182"/>
      <c r="Y17" s="632"/>
      <c r="Z17" s="188"/>
      <c r="AA17" s="188"/>
      <c r="AB17" s="185"/>
      <c r="AC17" s="182"/>
      <c r="AD17" s="632"/>
      <c r="AE17" s="188"/>
      <c r="AF17" s="188"/>
      <c r="AG17" s="185"/>
      <c r="AH17" s="182"/>
      <c r="AI17" s="632"/>
      <c r="AJ17" s="188"/>
      <c r="AK17" s="188"/>
      <c r="AL17" s="185"/>
      <c r="AM17" s="182"/>
      <c r="AN17" s="632"/>
      <c r="AO17" s="188"/>
      <c r="AP17" s="188"/>
      <c r="AQ17" s="185"/>
      <c r="AR17" s="182"/>
      <c r="AS17" s="632"/>
      <c r="AT17" s="188"/>
      <c r="AU17" s="188"/>
      <c r="AV17" s="185"/>
      <c r="AW17" s="182"/>
      <c r="AX17" s="632"/>
    </row>
    <row r="18" spans="2:50" ht="14.25" customHeight="1">
      <c r="B18" s="631"/>
      <c r="C18" s="180">
        <v>12</v>
      </c>
      <c r="D18" s="183"/>
      <c r="E18" s="180"/>
      <c r="F18" s="180"/>
      <c r="G18" s="185"/>
      <c r="H18" s="632"/>
      <c r="I18" s="186"/>
      <c r="J18" s="186"/>
      <c r="K18" s="187"/>
      <c r="L18" s="633"/>
      <c r="M18" s="186"/>
      <c r="N18" s="631"/>
      <c r="O18" s="631"/>
      <c r="P18" s="188"/>
      <c r="Q18" s="188"/>
      <c r="R18" s="185"/>
      <c r="S18" s="182"/>
      <c r="T18" s="632"/>
      <c r="U18" s="188"/>
      <c r="V18" s="188"/>
      <c r="W18" s="185"/>
      <c r="X18" s="182"/>
      <c r="Y18" s="632"/>
      <c r="Z18" s="188"/>
      <c r="AA18" s="188"/>
      <c r="AB18" s="185"/>
      <c r="AC18" s="182"/>
      <c r="AD18" s="632"/>
      <c r="AE18" s="188"/>
      <c r="AF18" s="188"/>
      <c r="AG18" s="185"/>
      <c r="AH18" s="182"/>
      <c r="AI18" s="632"/>
      <c r="AJ18" s="188"/>
      <c r="AK18" s="188"/>
      <c r="AL18" s="185"/>
      <c r="AM18" s="182"/>
      <c r="AN18" s="632"/>
      <c r="AO18" s="188"/>
      <c r="AP18" s="188"/>
      <c r="AQ18" s="185"/>
      <c r="AR18" s="182"/>
      <c r="AS18" s="632"/>
      <c r="AT18" s="188"/>
      <c r="AU18" s="188"/>
      <c r="AV18" s="185"/>
      <c r="AW18" s="182"/>
      <c r="AX18" s="632"/>
    </row>
    <row r="19" spans="2:50" ht="14.25" customHeight="1">
      <c r="B19" s="631"/>
      <c r="C19" s="180">
        <v>13</v>
      </c>
      <c r="D19" s="183"/>
      <c r="E19" s="180"/>
      <c r="F19" s="180"/>
      <c r="G19" s="185"/>
      <c r="H19" s="632"/>
      <c r="I19" s="186"/>
      <c r="J19" s="186"/>
      <c r="K19" s="187"/>
      <c r="L19" s="633"/>
      <c r="M19" s="186"/>
      <c r="N19" s="631"/>
      <c r="O19" s="631"/>
      <c r="P19" s="188"/>
      <c r="Q19" s="188"/>
      <c r="R19" s="185"/>
      <c r="S19" s="182"/>
      <c r="T19" s="632"/>
      <c r="U19" s="188"/>
      <c r="V19" s="188"/>
      <c r="W19" s="185"/>
      <c r="X19" s="182"/>
      <c r="Y19" s="632"/>
      <c r="Z19" s="188"/>
      <c r="AA19" s="188"/>
      <c r="AB19" s="185"/>
      <c r="AC19" s="182"/>
      <c r="AD19" s="632"/>
      <c r="AE19" s="188"/>
      <c r="AF19" s="188"/>
      <c r="AG19" s="185"/>
      <c r="AH19" s="182"/>
      <c r="AI19" s="632"/>
      <c r="AJ19" s="188"/>
      <c r="AK19" s="188"/>
      <c r="AL19" s="185"/>
      <c r="AM19" s="182"/>
      <c r="AN19" s="632"/>
      <c r="AO19" s="188"/>
      <c r="AP19" s="188"/>
      <c r="AQ19" s="185"/>
      <c r="AR19" s="182"/>
      <c r="AS19" s="632"/>
      <c r="AT19" s="188"/>
      <c r="AU19" s="188"/>
      <c r="AV19" s="185"/>
      <c r="AW19" s="182"/>
      <c r="AX19" s="632"/>
    </row>
    <row r="20" spans="2:50" ht="14.25" customHeight="1">
      <c r="B20" s="631"/>
      <c r="C20" s="180">
        <v>14</v>
      </c>
      <c r="D20" s="183"/>
      <c r="E20" s="180"/>
      <c r="F20" s="180"/>
      <c r="G20" s="185"/>
      <c r="H20" s="632"/>
      <c r="I20" s="186"/>
      <c r="J20" s="186"/>
      <c r="K20" s="187"/>
      <c r="L20" s="633"/>
      <c r="M20" s="186"/>
      <c r="N20" s="631"/>
      <c r="O20" s="631"/>
      <c r="P20" s="188"/>
      <c r="Q20" s="188"/>
      <c r="R20" s="185"/>
      <c r="S20" s="182"/>
      <c r="T20" s="632"/>
      <c r="U20" s="188"/>
      <c r="V20" s="188"/>
      <c r="W20" s="185"/>
      <c r="X20" s="182"/>
      <c r="Y20" s="632"/>
      <c r="Z20" s="188"/>
      <c r="AA20" s="188"/>
      <c r="AB20" s="185"/>
      <c r="AC20" s="182"/>
      <c r="AD20" s="632"/>
      <c r="AE20" s="188"/>
      <c r="AF20" s="188"/>
      <c r="AG20" s="185"/>
      <c r="AH20" s="182"/>
      <c r="AI20" s="632"/>
      <c r="AJ20" s="188"/>
      <c r="AK20" s="188"/>
      <c r="AL20" s="185"/>
      <c r="AM20" s="182"/>
      <c r="AN20" s="632"/>
      <c r="AO20" s="188"/>
      <c r="AP20" s="188"/>
      <c r="AQ20" s="185"/>
      <c r="AR20" s="182"/>
      <c r="AS20" s="632"/>
      <c r="AT20" s="188"/>
      <c r="AU20" s="188"/>
      <c r="AV20" s="185"/>
      <c r="AW20" s="182"/>
      <c r="AX20" s="632"/>
    </row>
    <row r="21" spans="2:50" ht="14.25" customHeight="1">
      <c r="B21" s="631"/>
      <c r="C21" s="180">
        <v>15</v>
      </c>
      <c r="D21" s="183"/>
      <c r="E21" s="180"/>
      <c r="F21" s="180"/>
      <c r="G21" s="185"/>
      <c r="H21" s="632"/>
      <c r="I21" s="186"/>
      <c r="J21" s="186"/>
      <c r="K21" s="187"/>
      <c r="L21" s="633"/>
      <c r="M21" s="186"/>
      <c r="N21" s="631"/>
      <c r="O21" s="631"/>
      <c r="P21" s="188"/>
      <c r="Q21" s="188"/>
      <c r="R21" s="185"/>
      <c r="S21" s="182"/>
      <c r="T21" s="632"/>
      <c r="U21" s="188"/>
      <c r="V21" s="188"/>
      <c r="W21" s="185"/>
      <c r="X21" s="182"/>
      <c r="Y21" s="632"/>
      <c r="Z21" s="188"/>
      <c r="AA21" s="188"/>
      <c r="AB21" s="185"/>
      <c r="AC21" s="182"/>
      <c r="AD21" s="632"/>
      <c r="AE21" s="188"/>
      <c r="AF21" s="188"/>
      <c r="AG21" s="185"/>
      <c r="AH21" s="182"/>
      <c r="AI21" s="632"/>
      <c r="AJ21" s="188"/>
      <c r="AK21" s="188"/>
      <c r="AL21" s="185"/>
      <c r="AM21" s="182"/>
      <c r="AN21" s="632"/>
      <c r="AO21" s="188"/>
      <c r="AP21" s="188"/>
      <c r="AQ21" s="185"/>
      <c r="AR21" s="182"/>
      <c r="AS21" s="632"/>
      <c r="AT21" s="188"/>
      <c r="AU21" s="188"/>
      <c r="AV21" s="185"/>
      <c r="AW21" s="182"/>
      <c r="AX21" s="632"/>
    </row>
    <row r="22" spans="2:50" ht="14.25" customHeight="1">
      <c r="B22" s="646" t="s">
        <v>695</v>
      </c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47"/>
      <c r="N22" s="664" t="s">
        <v>369</v>
      </c>
      <c r="O22" s="664" t="s">
        <v>105</v>
      </c>
      <c r="P22" s="666">
        <v>46147</v>
      </c>
      <c r="Q22" s="667"/>
      <c r="R22" s="667"/>
      <c r="S22" s="667"/>
      <c r="T22" s="667"/>
      <c r="U22" s="668">
        <v>46148</v>
      </c>
      <c r="V22" s="669"/>
      <c r="W22" s="669"/>
      <c r="X22" s="669"/>
      <c r="Y22" s="669"/>
      <c r="Z22" s="666">
        <v>46149</v>
      </c>
      <c r="AA22" s="667"/>
      <c r="AB22" s="667"/>
      <c r="AC22" s="667"/>
      <c r="AD22" s="667"/>
      <c r="AE22" s="668">
        <v>46150</v>
      </c>
      <c r="AF22" s="669"/>
      <c r="AG22" s="669"/>
      <c r="AH22" s="669"/>
      <c r="AI22" s="669"/>
      <c r="AJ22" s="656">
        <v>46151</v>
      </c>
      <c r="AK22" s="657"/>
      <c r="AL22" s="657"/>
      <c r="AM22" s="657"/>
      <c r="AN22" s="658"/>
      <c r="AO22" s="668">
        <v>46152</v>
      </c>
      <c r="AP22" s="669"/>
      <c r="AQ22" s="669"/>
      <c r="AR22" s="669"/>
      <c r="AS22" s="669"/>
      <c r="AT22" s="656">
        <v>46153</v>
      </c>
      <c r="AU22" s="657"/>
      <c r="AV22" s="657"/>
      <c r="AW22" s="657"/>
      <c r="AX22" s="658"/>
    </row>
    <row r="23" spans="2:50" ht="14.25" customHeight="1"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9"/>
      <c r="N23" s="665"/>
      <c r="O23" s="665"/>
      <c r="P23" s="659">
        <v>46147</v>
      </c>
      <c r="Q23" s="659"/>
      <c r="R23" s="659"/>
      <c r="S23" s="659"/>
      <c r="T23" s="659"/>
      <c r="U23" s="660">
        <v>46148</v>
      </c>
      <c r="V23" s="660"/>
      <c r="W23" s="660"/>
      <c r="X23" s="660"/>
      <c r="Y23" s="660"/>
      <c r="Z23" s="659">
        <v>46149</v>
      </c>
      <c r="AA23" s="659"/>
      <c r="AB23" s="659"/>
      <c r="AC23" s="659"/>
      <c r="AD23" s="659"/>
      <c r="AE23" s="660">
        <v>46150</v>
      </c>
      <c r="AF23" s="660"/>
      <c r="AG23" s="660"/>
      <c r="AH23" s="660"/>
      <c r="AI23" s="660"/>
      <c r="AJ23" s="661">
        <v>46151</v>
      </c>
      <c r="AK23" s="662"/>
      <c r="AL23" s="662"/>
      <c r="AM23" s="662"/>
      <c r="AN23" s="663"/>
      <c r="AO23" s="660">
        <v>46152</v>
      </c>
      <c r="AP23" s="660"/>
      <c r="AQ23" s="660"/>
      <c r="AR23" s="660"/>
      <c r="AS23" s="660"/>
      <c r="AT23" s="661">
        <v>46153</v>
      </c>
      <c r="AU23" s="662"/>
      <c r="AV23" s="662"/>
      <c r="AW23" s="662"/>
      <c r="AX23" s="663"/>
    </row>
    <row r="24" spans="2:50" ht="14.25" customHeight="1">
      <c r="B24" s="631" t="s">
        <v>162</v>
      </c>
      <c r="C24" s="631" t="s">
        <v>157</v>
      </c>
      <c r="D24" s="631"/>
      <c r="E24" s="631" t="s">
        <v>158</v>
      </c>
      <c r="F24" s="631"/>
      <c r="G24" s="631"/>
      <c r="H24" s="631" t="s">
        <v>163</v>
      </c>
      <c r="I24" s="635" t="s">
        <v>370</v>
      </c>
      <c r="J24" s="635"/>
      <c r="K24" s="635"/>
      <c r="L24" s="635" t="s">
        <v>163</v>
      </c>
      <c r="M24" s="635" t="s">
        <v>165</v>
      </c>
      <c r="N24" s="631"/>
      <c r="O24" s="631" t="s">
        <v>164</v>
      </c>
      <c r="P24" s="631" t="s">
        <v>160</v>
      </c>
      <c r="Q24" s="631"/>
      <c r="R24" s="631"/>
      <c r="S24" s="631"/>
      <c r="T24" s="631" t="s">
        <v>163</v>
      </c>
      <c r="U24" s="631" t="s">
        <v>160</v>
      </c>
      <c r="V24" s="631"/>
      <c r="W24" s="631"/>
      <c r="X24" s="631"/>
      <c r="Y24" s="631" t="s">
        <v>163</v>
      </c>
      <c r="Z24" s="631" t="s">
        <v>160</v>
      </c>
      <c r="AA24" s="631"/>
      <c r="AB24" s="631"/>
      <c r="AC24" s="631"/>
      <c r="AD24" s="631" t="s">
        <v>163</v>
      </c>
      <c r="AE24" s="631" t="s">
        <v>160</v>
      </c>
      <c r="AF24" s="631"/>
      <c r="AG24" s="631"/>
      <c r="AH24" s="631"/>
      <c r="AI24" s="631" t="s">
        <v>163</v>
      </c>
      <c r="AJ24" s="631" t="s">
        <v>160</v>
      </c>
      <c r="AK24" s="631"/>
      <c r="AL24" s="631"/>
      <c r="AM24" s="631"/>
      <c r="AN24" s="631" t="s">
        <v>163</v>
      </c>
      <c r="AO24" s="631" t="s">
        <v>160</v>
      </c>
      <c r="AP24" s="631"/>
      <c r="AQ24" s="631"/>
      <c r="AR24" s="631"/>
      <c r="AS24" s="631" t="s">
        <v>163</v>
      </c>
      <c r="AT24" s="631" t="s">
        <v>160</v>
      </c>
      <c r="AU24" s="631"/>
      <c r="AV24" s="631"/>
      <c r="AW24" s="631"/>
      <c r="AX24" s="631" t="s">
        <v>163</v>
      </c>
    </row>
    <row r="25" spans="2:50" ht="14.25" customHeight="1">
      <c r="B25" s="631"/>
      <c r="C25" s="631"/>
      <c r="D25" s="631"/>
      <c r="E25" s="631" t="s">
        <v>371</v>
      </c>
      <c r="F25" s="631"/>
      <c r="G25" s="631"/>
      <c r="H25" s="631"/>
      <c r="I25" s="635" t="s">
        <v>371</v>
      </c>
      <c r="J25" s="635"/>
      <c r="K25" s="635"/>
      <c r="L25" s="635"/>
      <c r="M25" s="635"/>
      <c r="N25" s="631"/>
      <c r="O25" s="631"/>
      <c r="P25" s="631" t="s">
        <v>372</v>
      </c>
      <c r="Q25" s="631"/>
      <c r="R25" s="631"/>
      <c r="S25" s="631"/>
      <c r="T25" s="631"/>
      <c r="U25" s="631" t="s">
        <v>372</v>
      </c>
      <c r="V25" s="631"/>
      <c r="W25" s="631"/>
      <c r="X25" s="631"/>
      <c r="Y25" s="631"/>
      <c r="Z25" s="631" t="s">
        <v>372</v>
      </c>
      <c r="AA25" s="631"/>
      <c r="AB25" s="631"/>
      <c r="AC25" s="631"/>
      <c r="AD25" s="631"/>
      <c r="AE25" s="631" t="s">
        <v>372</v>
      </c>
      <c r="AF25" s="631"/>
      <c r="AG25" s="631"/>
      <c r="AH25" s="631"/>
      <c r="AI25" s="631"/>
      <c r="AJ25" s="631" t="s">
        <v>372</v>
      </c>
      <c r="AK25" s="631"/>
      <c r="AL25" s="631"/>
      <c r="AM25" s="631"/>
      <c r="AN25" s="631"/>
      <c r="AO25" s="631" t="s">
        <v>372</v>
      </c>
      <c r="AP25" s="631"/>
      <c r="AQ25" s="631"/>
      <c r="AR25" s="631"/>
      <c r="AS25" s="631"/>
      <c r="AT25" s="631" t="s">
        <v>372</v>
      </c>
      <c r="AU25" s="631"/>
      <c r="AV25" s="631"/>
      <c r="AW25" s="631"/>
      <c r="AX25" s="631"/>
    </row>
    <row r="26" spans="2:50" ht="14.25" customHeight="1">
      <c r="B26" s="631"/>
      <c r="C26" s="631"/>
      <c r="D26" s="631"/>
      <c r="E26" s="180" t="s">
        <v>159</v>
      </c>
      <c r="F26" s="180" t="s">
        <v>373</v>
      </c>
      <c r="G26" s="180" t="s">
        <v>161</v>
      </c>
      <c r="H26" s="631"/>
      <c r="I26" s="181" t="s">
        <v>159</v>
      </c>
      <c r="J26" s="181" t="s">
        <v>373</v>
      </c>
      <c r="K26" s="181" t="s">
        <v>161</v>
      </c>
      <c r="L26" s="635"/>
      <c r="M26" s="635"/>
      <c r="N26" s="631"/>
      <c r="O26" s="631"/>
      <c r="P26" s="180" t="s">
        <v>159</v>
      </c>
      <c r="Q26" s="180" t="s">
        <v>373</v>
      </c>
      <c r="R26" s="180" t="s">
        <v>161</v>
      </c>
      <c r="S26" s="182" t="s">
        <v>165</v>
      </c>
      <c r="T26" s="631"/>
      <c r="U26" s="180" t="s">
        <v>159</v>
      </c>
      <c r="V26" s="180" t="s">
        <v>373</v>
      </c>
      <c r="W26" s="180" t="s">
        <v>161</v>
      </c>
      <c r="X26" s="182" t="s">
        <v>165</v>
      </c>
      <c r="Y26" s="631"/>
      <c r="Z26" s="180" t="s">
        <v>159</v>
      </c>
      <c r="AA26" s="180" t="s">
        <v>373</v>
      </c>
      <c r="AB26" s="180" t="s">
        <v>161</v>
      </c>
      <c r="AC26" s="182" t="s">
        <v>165</v>
      </c>
      <c r="AD26" s="631"/>
      <c r="AE26" s="180" t="s">
        <v>159</v>
      </c>
      <c r="AF26" s="180" t="s">
        <v>373</v>
      </c>
      <c r="AG26" s="180" t="s">
        <v>161</v>
      </c>
      <c r="AH26" s="182" t="s">
        <v>165</v>
      </c>
      <c r="AI26" s="631"/>
      <c r="AJ26" s="180" t="s">
        <v>159</v>
      </c>
      <c r="AK26" s="180" t="s">
        <v>373</v>
      </c>
      <c r="AL26" s="180" t="s">
        <v>161</v>
      </c>
      <c r="AM26" s="182" t="s">
        <v>165</v>
      </c>
      <c r="AN26" s="631"/>
      <c r="AO26" s="180" t="s">
        <v>159</v>
      </c>
      <c r="AP26" s="180" t="s">
        <v>373</v>
      </c>
      <c r="AQ26" s="180" t="s">
        <v>161</v>
      </c>
      <c r="AR26" s="182" t="s">
        <v>165</v>
      </c>
      <c r="AS26" s="631"/>
      <c r="AT26" s="180" t="s">
        <v>159</v>
      </c>
      <c r="AU26" s="180" t="s">
        <v>373</v>
      </c>
      <c r="AV26" s="180" t="s">
        <v>161</v>
      </c>
      <c r="AW26" s="182" t="s">
        <v>165</v>
      </c>
      <c r="AX26" s="631"/>
    </row>
    <row r="27" spans="2:50" ht="14.25" customHeight="1">
      <c r="B27" s="631" t="s">
        <v>350</v>
      </c>
      <c r="C27" s="180">
        <v>1</v>
      </c>
      <c r="D27" s="183" t="s">
        <v>344</v>
      </c>
      <c r="E27" s="180">
        <v>24</v>
      </c>
      <c r="F27" s="180">
        <v>2000</v>
      </c>
      <c r="G27" s="185">
        <f t="shared" ref="G27:G35" si="16">F27/E27</f>
        <v>83.333333333333329</v>
      </c>
      <c r="H27" s="632">
        <f>AVERAGE(G27:G41)</f>
        <v>96.810161474539811</v>
      </c>
      <c r="I27" s="186">
        <f>AVERAGE(P27,U27,Z27,AE27,AJ27,AO27,AT27)</f>
        <v>24</v>
      </c>
      <c r="J27" s="186">
        <f>AVERAGE(Q27,V27,AA27,AF27,AK27,AP27,AU27)</f>
        <v>1788.1307885357041</v>
      </c>
      <c r="K27" s="187">
        <f>AVERAGE(R27,W27,AB27,AG27,AL27,AQ27,AV27)</f>
        <v>74.505449522321001</v>
      </c>
      <c r="L27" s="633">
        <f>IFERROR(AVERAGE(K27:K41),"-")</f>
        <v>85.681574152812331</v>
      </c>
      <c r="M27" s="186">
        <f>RANK(K27, K$27:$K$41)</f>
        <v>9</v>
      </c>
      <c r="N27" s="631"/>
      <c r="O27" s="631"/>
      <c r="P27" s="188">
        <v>24</v>
      </c>
      <c r="Q27" s="188">
        <v>1788.6185531321162</v>
      </c>
      <c r="R27" s="185">
        <f>IFERROR(Q27/P27,"")</f>
        <v>74.525773047171512</v>
      </c>
      <c r="S27" s="182">
        <f>RANK(R27, R$27:R$41)</f>
        <v>8</v>
      </c>
      <c r="T27" s="632">
        <f>AVERAGE(R27:R41)</f>
        <v>84.32770510796864</v>
      </c>
      <c r="U27" s="188">
        <v>24</v>
      </c>
      <c r="V27" s="188">
        <v>1788.0185531321165</v>
      </c>
      <c r="W27" s="185">
        <f t="shared" ref="W27:W34" si="17">IFERROR(V27/U27,"")</f>
        <v>74.500773047171521</v>
      </c>
      <c r="X27" s="182">
        <f>RANK(W27, W$27:W$41)</f>
        <v>8</v>
      </c>
      <c r="Y27" s="632">
        <f>AVERAGE(W27:W41)</f>
        <v>84.33322917629161</v>
      </c>
      <c r="Z27" s="188">
        <v>24</v>
      </c>
      <c r="AA27" s="188">
        <v>1787.6185531321166</v>
      </c>
      <c r="AB27" s="185">
        <f t="shared" ref="AB27:AB34" si="18">IFERROR(AA27/Z27,"")</f>
        <v>74.484106380504855</v>
      </c>
      <c r="AC27" s="182">
        <f>RANK(AB27, AB$27:AB$41)</f>
        <v>8</v>
      </c>
      <c r="AD27" s="632">
        <f>AVERAGE(AB27:AB41)</f>
        <v>84.331695144200523</v>
      </c>
      <c r="AE27" s="188">
        <v>24</v>
      </c>
      <c r="AF27" s="188">
        <v>1789.064965088395</v>
      </c>
      <c r="AG27" s="185">
        <f>IFERROR(AF27/AE27,"")</f>
        <v>74.544373545349785</v>
      </c>
      <c r="AH27" s="182">
        <f>RANK(AG27, AG$27:AG$41)</f>
        <v>8</v>
      </c>
      <c r="AI27" s="632">
        <f>AVERAGE(AG27:AG41)</f>
        <v>84.328094999433475</v>
      </c>
      <c r="AJ27" s="188">
        <v>24</v>
      </c>
      <c r="AK27" s="188">
        <v>1788.0649650883952</v>
      </c>
      <c r="AL27" s="185">
        <f t="shared" ref="AL27:AL34" si="19">IFERROR(AK27/AJ27,"")</f>
        <v>74.502706878683128</v>
      </c>
      <c r="AM27" s="182">
        <f>RANK(AL27, AL$27:AL$41)</f>
        <v>8</v>
      </c>
      <c r="AN27" s="632">
        <f>AVERAGE(AL27:AL41)</f>
        <v>86.375288275355842</v>
      </c>
      <c r="AO27" s="188">
        <v>24</v>
      </c>
      <c r="AP27" s="188">
        <v>1787.4649650883948</v>
      </c>
      <c r="AQ27" s="185">
        <f t="shared" ref="AQ27:AQ33" si="20">IFERROR(AP27/AO27,"")</f>
        <v>74.477706878683122</v>
      </c>
      <c r="AR27" s="182">
        <f>RANK(AQ27, AQ$27:AQ$41)</f>
        <v>7</v>
      </c>
      <c r="AS27" s="632">
        <f>AVERAGE(AQ27:AQ41)</f>
        <v>81.716355781122459</v>
      </c>
      <c r="AT27" s="188">
        <v>24</v>
      </c>
      <c r="AU27" s="188">
        <v>1788.064965088395</v>
      </c>
      <c r="AV27" s="185">
        <f t="shared" ref="AV27:AV35" si="21">IFERROR(AU27/AT27,"")</f>
        <v>74.502706878683128</v>
      </c>
      <c r="AW27" s="182">
        <f>RANK(AV27, AV$27:AV$41)</f>
        <v>8</v>
      </c>
      <c r="AX27" s="632">
        <f>AVERAGE(AV27:AV41)</f>
        <v>82.896030166315143</v>
      </c>
    </row>
    <row r="28" spans="2:50" ht="14.25" customHeight="1">
      <c r="B28" s="631"/>
      <c r="C28" s="180">
        <v>2</v>
      </c>
      <c r="D28" s="183" t="s">
        <v>343</v>
      </c>
      <c r="E28" s="180">
        <v>23</v>
      </c>
      <c r="F28" s="180">
        <v>2000</v>
      </c>
      <c r="G28" s="185">
        <f t="shared" si="16"/>
        <v>86.956521739130437</v>
      </c>
      <c r="H28" s="632"/>
      <c r="I28" s="186">
        <f t="shared" ref="I28:K35" si="22">AVERAGE(P28,U28,Z28,AE28,AJ28,AO28,AT28)</f>
        <v>23</v>
      </c>
      <c r="J28" s="186">
        <f t="shared" si="22"/>
        <v>1786.8285714285714</v>
      </c>
      <c r="K28" s="187">
        <f t="shared" si="22"/>
        <v>77.688198757763971</v>
      </c>
      <c r="L28" s="633"/>
      <c r="M28" s="186">
        <f>RANK(K28, K$27:$K$41)</f>
        <v>6</v>
      </c>
      <c r="N28" s="631"/>
      <c r="O28" s="631"/>
      <c r="P28" s="188">
        <v>23</v>
      </c>
      <c r="Q28" s="188">
        <v>1786</v>
      </c>
      <c r="R28" s="185">
        <f t="shared" ref="R28:R34" si="23">IFERROR(Q28/P28,"")</f>
        <v>77.652173913043484</v>
      </c>
      <c r="S28" s="182">
        <f t="shared" ref="S28:S34" si="24">RANK(R28, R$27:R$41)</f>
        <v>6</v>
      </c>
      <c r="T28" s="632"/>
      <c r="U28" s="188">
        <v>23</v>
      </c>
      <c r="V28" s="188">
        <v>1787</v>
      </c>
      <c r="W28" s="185">
        <f t="shared" si="17"/>
        <v>77.695652173913047</v>
      </c>
      <c r="X28" s="182">
        <f t="shared" ref="X28:X34" si="25">RANK(W28, W$27:W$41)</f>
        <v>5</v>
      </c>
      <c r="Y28" s="632"/>
      <c r="Z28" s="188">
        <v>23</v>
      </c>
      <c r="AA28" s="188">
        <v>1786.6</v>
      </c>
      <c r="AB28" s="185">
        <f t="shared" si="18"/>
        <v>77.678260869565207</v>
      </c>
      <c r="AC28" s="182">
        <f t="shared" ref="AC28:AC34" si="26">RANK(AB28, AB$27:AB$41)</f>
        <v>5</v>
      </c>
      <c r="AD28" s="632"/>
      <c r="AE28" s="188">
        <v>23</v>
      </c>
      <c r="AF28" s="188">
        <v>1786.7999999999997</v>
      </c>
      <c r="AG28" s="185">
        <f t="shared" ref="AG28:AG34" si="27">IFERROR(AF28/AE28,"")</f>
        <v>77.68695652173912</v>
      </c>
      <c r="AH28" s="182">
        <f t="shared" ref="AH28:AH34" si="28">RANK(AG28, AG$27:AG$41)</f>
        <v>5</v>
      </c>
      <c r="AI28" s="632"/>
      <c r="AJ28" s="188">
        <v>23</v>
      </c>
      <c r="AK28" s="188">
        <v>1786.7999999999997</v>
      </c>
      <c r="AL28" s="185">
        <f t="shared" si="19"/>
        <v>77.68695652173912</v>
      </c>
      <c r="AM28" s="182">
        <f t="shared" ref="AM28:AM34" si="29">RANK(AL28, AL$27:AL$41)</f>
        <v>4</v>
      </c>
      <c r="AN28" s="632"/>
      <c r="AO28" s="188">
        <v>23</v>
      </c>
      <c r="AP28" s="188">
        <v>1787.5999999999997</v>
      </c>
      <c r="AQ28" s="185">
        <f t="shared" si="20"/>
        <v>77.72173913043477</v>
      </c>
      <c r="AR28" s="182">
        <f t="shared" ref="AR28:AR33" si="30">RANK(AQ28, AQ$27:AQ$41)</f>
        <v>3</v>
      </c>
      <c r="AS28" s="632"/>
      <c r="AT28" s="188">
        <v>23</v>
      </c>
      <c r="AU28" s="188">
        <v>1787</v>
      </c>
      <c r="AV28" s="185">
        <f t="shared" si="21"/>
        <v>77.695652173913047</v>
      </c>
      <c r="AW28" s="182">
        <f t="shared" ref="AW28:AW35" si="31">RANK(AV28, AV$27:AV$41)</f>
        <v>5</v>
      </c>
      <c r="AX28" s="632"/>
    </row>
    <row r="29" spans="2:50" ht="14.25" customHeight="1">
      <c r="B29" s="631"/>
      <c r="C29" s="180">
        <v>3</v>
      </c>
      <c r="D29" s="183" t="s">
        <v>351</v>
      </c>
      <c r="E29" s="180">
        <v>23</v>
      </c>
      <c r="F29" s="180">
        <v>2000</v>
      </c>
      <c r="G29" s="185">
        <f t="shared" si="16"/>
        <v>86.956521739130437</v>
      </c>
      <c r="H29" s="632"/>
      <c r="I29" s="186">
        <f t="shared" si="22"/>
        <v>23</v>
      </c>
      <c r="J29" s="186">
        <f t="shared" si="22"/>
        <v>1784.9142857142858</v>
      </c>
      <c r="K29" s="187">
        <f t="shared" si="22"/>
        <v>77.604968944099383</v>
      </c>
      <c r="L29" s="633"/>
      <c r="M29" s="186">
        <f>RANK(K29, K$27:$K$41)</f>
        <v>7</v>
      </c>
      <c r="N29" s="631"/>
      <c r="O29" s="631"/>
      <c r="P29" s="188">
        <v>23</v>
      </c>
      <c r="Q29" s="188">
        <v>1786.2</v>
      </c>
      <c r="R29" s="185">
        <f t="shared" si="23"/>
        <v>77.660869565217396</v>
      </c>
      <c r="S29" s="182">
        <f t="shared" si="24"/>
        <v>5</v>
      </c>
      <c r="T29" s="632"/>
      <c r="U29" s="188">
        <v>23</v>
      </c>
      <c r="V29" s="188">
        <v>1785.4</v>
      </c>
      <c r="W29" s="185">
        <f t="shared" si="17"/>
        <v>77.626086956521746</v>
      </c>
      <c r="X29" s="182">
        <f t="shared" si="25"/>
        <v>6</v>
      </c>
      <c r="Y29" s="632"/>
      <c r="Z29" s="188">
        <v>23</v>
      </c>
      <c r="AA29" s="188">
        <v>1785.4000000000003</v>
      </c>
      <c r="AB29" s="185">
        <f t="shared" si="18"/>
        <v>77.626086956521746</v>
      </c>
      <c r="AC29" s="182">
        <f t="shared" si="26"/>
        <v>6</v>
      </c>
      <c r="AD29" s="632"/>
      <c r="AE29" s="188">
        <v>23</v>
      </c>
      <c r="AF29" s="188">
        <v>1784.6000000000004</v>
      </c>
      <c r="AG29" s="185">
        <f t="shared" si="27"/>
        <v>77.591304347826096</v>
      </c>
      <c r="AH29" s="182">
        <f t="shared" si="28"/>
        <v>6</v>
      </c>
      <c r="AI29" s="632"/>
      <c r="AJ29" s="188">
        <v>23</v>
      </c>
      <c r="AK29" s="188">
        <v>1784.2000000000003</v>
      </c>
      <c r="AL29" s="185">
        <f t="shared" si="19"/>
        <v>77.573913043478271</v>
      </c>
      <c r="AM29" s="182">
        <f t="shared" si="29"/>
        <v>6</v>
      </c>
      <c r="AN29" s="632"/>
      <c r="AO29" s="188">
        <v>23</v>
      </c>
      <c r="AP29" s="188">
        <v>1784.0000000000002</v>
      </c>
      <c r="AQ29" s="185">
        <f t="shared" si="20"/>
        <v>77.565217391304358</v>
      </c>
      <c r="AR29" s="182">
        <f t="shared" si="30"/>
        <v>5</v>
      </c>
      <c r="AS29" s="632"/>
      <c r="AT29" s="188">
        <v>23</v>
      </c>
      <c r="AU29" s="188">
        <v>1784.6000000000001</v>
      </c>
      <c r="AV29" s="185">
        <f t="shared" si="21"/>
        <v>77.591304347826096</v>
      </c>
      <c r="AW29" s="182">
        <f t="shared" si="31"/>
        <v>6</v>
      </c>
      <c r="AX29" s="632"/>
    </row>
    <row r="30" spans="2:50" ht="14.25" customHeight="1">
      <c r="B30" s="631"/>
      <c r="C30" s="180">
        <v>4</v>
      </c>
      <c r="D30" s="183" t="s">
        <v>345</v>
      </c>
      <c r="E30" s="180">
        <v>23</v>
      </c>
      <c r="F30" s="180">
        <v>2000</v>
      </c>
      <c r="G30" s="185">
        <f t="shared" si="16"/>
        <v>86.956521739130437</v>
      </c>
      <c r="H30" s="632"/>
      <c r="I30" s="186">
        <f t="shared" si="22"/>
        <v>23</v>
      </c>
      <c r="J30" s="186">
        <f t="shared" si="22"/>
        <v>1787.1428571428569</v>
      </c>
      <c r="K30" s="187">
        <f t="shared" si="22"/>
        <v>77.701863354037229</v>
      </c>
      <c r="L30" s="633"/>
      <c r="M30" s="186">
        <f>RANK(K30, K$27:$K$41)</f>
        <v>5</v>
      </c>
      <c r="N30" s="631"/>
      <c r="O30" s="631"/>
      <c r="P30" s="188">
        <v>23</v>
      </c>
      <c r="Q30" s="188">
        <v>1786.5999999999995</v>
      </c>
      <c r="R30" s="185">
        <f t="shared" si="23"/>
        <v>77.678260869565193</v>
      </c>
      <c r="S30" s="182">
        <f t="shared" si="24"/>
        <v>4</v>
      </c>
      <c r="T30" s="632"/>
      <c r="U30" s="188">
        <v>23</v>
      </c>
      <c r="V30" s="188">
        <v>1787.3999999999994</v>
      </c>
      <c r="W30" s="185">
        <f t="shared" si="17"/>
        <v>77.713043478260843</v>
      </c>
      <c r="X30" s="182">
        <f t="shared" si="25"/>
        <v>4</v>
      </c>
      <c r="Y30" s="632"/>
      <c r="Z30" s="188">
        <v>23</v>
      </c>
      <c r="AA30" s="188">
        <v>1787.3999999999996</v>
      </c>
      <c r="AB30" s="185">
        <f t="shared" si="18"/>
        <v>77.713043478260857</v>
      </c>
      <c r="AC30" s="182">
        <f t="shared" si="26"/>
        <v>4</v>
      </c>
      <c r="AD30" s="632"/>
      <c r="AE30" s="188">
        <v>23</v>
      </c>
      <c r="AF30" s="188">
        <v>1787.1999999999998</v>
      </c>
      <c r="AG30" s="185">
        <f t="shared" si="27"/>
        <v>77.704347826086945</v>
      </c>
      <c r="AH30" s="182">
        <f t="shared" si="28"/>
        <v>4</v>
      </c>
      <c r="AI30" s="632"/>
      <c r="AJ30" s="188">
        <v>23</v>
      </c>
      <c r="AK30" s="188">
        <v>1786.1999999999998</v>
      </c>
      <c r="AL30" s="185">
        <f t="shared" si="19"/>
        <v>77.660869565217382</v>
      </c>
      <c r="AM30" s="182">
        <f t="shared" si="29"/>
        <v>5</v>
      </c>
      <c r="AN30" s="632"/>
      <c r="AO30" s="188">
        <v>23</v>
      </c>
      <c r="AP30" s="188">
        <v>1787.1999999999994</v>
      </c>
      <c r="AQ30" s="185">
        <f t="shared" si="20"/>
        <v>77.704347826086931</v>
      </c>
      <c r="AR30" s="182">
        <f t="shared" si="30"/>
        <v>4</v>
      </c>
      <c r="AS30" s="632"/>
      <c r="AT30" s="188">
        <v>23</v>
      </c>
      <c r="AU30" s="188">
        <v>1787.9999999999993</v>
      </c>
      <c r="AV30" s="185">
        <f t="shared" si="21"/>
        <v>77.739130434782581</v>
      </c>
      <c r="AW30" s="182">
        <f t="shared" si="31"/>
        <v>4</v>
      </c>
      <c r="AX30" s="632"/>
    </row>
    <row r="31" spans="2:50" ht="14.25" customHeight="1">
      <c r="B31" s="631"/>
      <c r="C31" s="180">
        <v>5</v>
      </c>
      <c r="D31" s="183" t="s">
        <v>451</v>
      </c>
      <c r="E31" s="180">
        <v>19</v>
      </c>
      <c r="F31" s="180">
        <v>2000</v>
      </c>
      <c r="G31" s="185">
        <f t="shared" si="16"/>
        <v>105.26315789473684</v>
      </c>
      <c r="H31" s="632"/>
      <c r="I31" s="186">
        <f t="shared" si="22"/>
        <v>19.571428571428573</v>
      </c>
      <c r="J31" s="186">
        <f t="shared" si="22"/>
        <v>1786</v>
      </c>
      <c r="K31" s="187">
        <f t="shared" si="22"/>
        <v>91.314285714285717</v>
      </c>
      <c r="L31" s="633"/>
      <c r="M31" s="186">
        <f>RANK(K31, K$27:$K$41)</f>
        <v>3</v>
      </c>
      <c r="N31" s="631"/>
      <c r="O31" s="631"/>
      <c r="P31" s="188">
        <v>20</v>
      </c>
      <c r="Q31" s="188">
        <v>1785.9999999999998</v>
      </c>
      <c r="R31" s="185">
        <f t="shared" si="23"/>
        <v>89.299999999999983</v>
      </c>
      <c r="S31" s="182">
        <f t="shared" si="24"/>
        <v>3</v>
      </c>
      <c r="T31" s="632"/>
      <c r="U31" s="188">
        <v>20</v>
      </c>
      <c r="V31" s="188">
        <v>1786.0000000000002</v>
      </c>
      <c r="W31" s="185">
        <f t="shared" si="17"/>
        <v>89.300000000000011</v>
      </c>
      <c r="X31" s="182">
        <f t="shared" si="25"/>
        <v>3</v>
      </c>
      <c r="Y31" s="632"/>
      <c r="Z31" s="188">
        <v>20</v>
      </c>
      <c r="AA31" s="188">
        <v>1786.0000000000002</v>
      </c>
      <c r="AB31" s="185">
        <f t="shared" si="18"/>
        <v>89.300000000000011</v>
      </c>
      <c r="AC31" s="182">
        <f t="shared" si="26"/>
        <v>3</v>
      </c>
      <c r="AD31" s="632"/>
      <c r="AE31" s="188">
        <v>20</v>
      </c>
      <c r="AF31" s="188">
        <v>1786</v>
      </c>
      <c r="AG31" s="185">
        <f t="shared" si="27"/>
        <v>89.3</v>
      </c>
      <c r="AH31" s="182">
        <f t="shared" si="28"/>
        <v>3</v>
      </c>
      <c r="AI31" s="632"/>
      <c r="AJ31" s="188">
        <v>19</v>
      </c>
      <c r="AK31" s="188">
        <v>1786.0000000000002</v>
      </c>
      <c r="AL31" s="185">
        <f t="shared" si="19"/>
        <v>94.000000000000014</v>
      </c>
      <c r="AM31" s="182">
        <f t="shared" si="29"/>
        <v>2</v>
      </c>
      <c r="AN31" s="632"/>
      <c r="AO31" s="188">
        <v>19</v>
      </c>
      <c r="AP31" s="188">
        <v>1786</v>
      </c>
      <c r="AQ31" s="185">
        <f t="shared" si="20"/>
        <v>94</v>
      </c>
      <c r="AR31" s="182">
        <f t="shared" si="30"/>
        <v>2</v>
      </c>
      <c r="AS31" s="632"/>
      <c r="AT31" s="188">
        <v>19</v>
      </c>
      <c r="AU31" s="188">
        <v>1786</v>
      </c>
      <c r="AV31" s="185">
        <f t="shared" si="21"/>
        <v>94</v>
      </c>
      <c r="AW31" s="182">
        <f t="shared" si="31"/>
        <v>2</v>
      </c>
      <c r="AX31" s="632"/>
    </row>
    <row r="32" spans="2:50" ht="14.25" customHeight="1">
      <c r="B32" s="631"/>
      <c r="C32" s="180">
        <v>6</v>
      </c>
      <c r="D32" s="183" t="s">
        <v>492</v>
      </c>
      <c r="E32" s="180">
        <v>21</v>
      </c>
      <c r="F32" s="180">
        <v>1800</v>
      </c>
      <c r="G32" s="185">
        <f t="shared" si="16"/>
        <v>85.714285714285708</v>
      </c>
      <c r="H32" s="632"/>
      <c r="I32" s="186">
        <f t="shared" si="22"/>
        <v>21</v>
      </c>
      <c r="J32" s="186">
        <f t="shared" si="22"/>
        <v>1606.5036354968786</v>
      </c>
      <c r="K32" s="187">
        <f t="shared" si="22"/>
        <v>76.500173118898985</v>
      </c>
      <c r="L32" s="633"/>
      <c r="M32" s="186">
        <f>RANK(K32, K$27:$K$41)</f>
        <v>8</v>
      </c>
      <c r="N32" s="631"/>
      <c r="O32" s="631"/>
      <c r="P32" s="188">
        <v>21</v>
      </c>
      <c r="Q32" s="188">
        <v>1605.4750640683073</v>
      </c>
      <c r="R32" s="185">
        <f t="shared" si="23"/>
        <v>76.451193527062259</v>
      </c>
      <c r="S32" s="182">
        <f t="shared" si="24"/>
        <v>7</v>
      </c>
      <c r="T32" s="632"/>
      <c r="U32" s="188">
        <v>21</v>
      </c>
      <c r="V32" s="188">
        <v>1606.0150640683073</v>
      </c>
      <c r="W32" s="185">
        <f t="shared" si="17"/>
        <v>76.476907812776545</v>
      </c>
      <c r="X32" s="182">
        <f t="shared" si="25"/>
        <v>7</v>
      </c>
      <c r="Y32" s="632"/>
      <c r="Z32" s="188">
        <v>21</v>
      </c>
      <c r="AA32" s="188">
        <v>1606.7350640683076</v>
      </c>
      <c r="AB32" s="185">
        <f t="shared" si="18"/>
        <v>76.511193527062261</v>
      </c>
      <c r="AC32" s="182">
        <f t="shared" si="26"/>
        <v>7</v>
      </c>
      <c r="AD32" s="632"/>
      <c r="AE32" s="188">
        <v>21</v>
      </c>
      <c r="AF32" s="188">
        <v>1606.0150640683073</v>
      </c>
      <c r="AG32" s="185">
        <f t="shared" si="27"/>
        <v>76.476907812776545</v>
      </c>
      <c r="AH32" s="182">
        <f t="shared" si="28"/>
        <v>7</v>
      </c>
      <c r="AI32" s="632"/>
      <c r="AJ32" s="188">
        <v>21</v>
      </c>
      <c r="AK32" s="188">
        <v>1606.7350640683073</v>
      </c>
      <c r="AL32" s="185">
        <f t="shared" si="19"/>
        <v>76.511193527062261</v>
      </c>
      <c r="AM32" s="182">
        <f t="shared" si="29"/>
        <v>7</v>
      </c>
      <c r="AN32" s="632"/>
      <c r="AO32" s="188">
        <v>21</v>
      </c>
      <c r="AP32" s="188">
        <v>1607.4550640683074</v>
      </c>
      <c r="AQ32" s="185">
        <f t="shared" si="20"/>
        <v>76.545479241347977</v>
      </c>
      <c r="AR32" s="182">
        <f t="shared" si="30"/>
        <v>6</v>
      </c>
      <c r="AS32" s="632"/>
      <c r="AT32" s="188">
        <v>21</v>
      </c>
      <c r="AU32" s="188">
        <v>1607.0950640683079</v>
      </c>
      <c r="AV32" s="185">
        <f t="shared" si="21"/>
        <v>76.528336384205133</v>
      </c>
      <c r="AW32" s="182">
        <f t="shared" si="31"/>
        <v>7</v>
      </c>
      <c r="AX32" s="632"/>
    </row>
    <row r="33" spans="2:50" ht="14.25" customHeight="1">
      <c r="B33" s="631"/>
      <c r="C33" s="180">
        <v>7</v>
      </c>
      <c r="D33" s="183" t="s">
        <v>493</v>
      </c>
      <c r="E33" s="180">
        <v>20</v>
      </c>
      <c r="F33" s="180">
        <v>2000</v>
      </c>
      <c r="G33" s="185">
        <f t="shared" si="16"/>
        <v>100</v>
      </c>
      <c r="H33" s="632"/>
      <c r="I33" s="186">
        <f t="shared" si="22"/>
        <v>19.571428571428573</v>
      </c>
      <c r="J33" s="186">
        <f t="shared" si="22"/>
        <v>1788.6599074088469</v>
      </c>
      <c r="K33" s="187">
        <f t="shared" si="22"/>
        <v>91.447281084728061</v>
      </c>
      <c r="L33" s="633"/>
      <c r="M33" s="186">
        <f>RANK(K33, K$27:$K$41)</f>
        <v>2</v>
      </c>
      <c r="N33" s="631"/>
      <c r="O33" s="631"/>
      <c r="P33" s="188">
        <v>20</v>
      </c>
      <c r="Q33" s="188">
        <v>1790.0048379654822</v>
      </c>
      <c r="R33" s="185">
        <f t="shared" si="23"/>
        <v>89.500241898274112</v>
      </c>
      <c r="S33" s="182">
        <f t="shared" si="24"/>
        <v>2</v>
      </c>
      <c r="T33" s="632"/>
      <c r="U33" s="188">
        <v>20</v>
      </c>
      <c r="V33" s="188">
        <v>1791.0048379654822</v>
      </c>
      <c r="W33" s="185">
        <f t="shared" si="17"/>
        <v>89.550241898274109</v>
      </c>
      <c r="X33" s="182">
        <f t="shared" si="25"/>
        <v>2</v>
      </c>
      <c r="Y33" s="632"/>
      <c r="Z33" s="188">
        <v>20</v>
      </c>
      <c r="AA33" s="188">
        <v>1791.0048379654825</v>
      </c>
      <c r="AB33" s="185">
        <f t="shared" si="18"/>
        <v>89.550241898274123</v>
      </c>
      <c r="AC33" s="182">
        <f t="shared" si="26"/>
        <v>2</v>
      </c>
      <c r="AD33" s="632"/>
      <c r="AE33" s="188">
        <v>20</v>
      </c>
      <c r="AF33" s="188">
        <v>1790.6048379654824</v>
      </c>
      <c r="AG33" s="185">
        <f t="shared" si="27"/>
        <v>89.530241898274113</v>
      </c>
      <c r="AH33" s="182">
        <f t="shared" si="28"/>
        <v>2</v>
      </c>
      <c r="AI33" s="632"/>
      <c r="AJ33" s="188">
        <v>19</v>
      </c>
      <c r="AK33" s="188">
        <v>1786</v>
      </c>
      <c r="AL33" s="185">
        <f t="shared" si="19"/>
        <v>94</v>
      </c>
      <c r="AM33" s="182">
        <f t="shared" si="29"/>
        <v>3</v>
      </c>
      <c r="AN33" s="632"/>
      <c r="AO33" s="188">
        <v>19</v>
      </c>
      <c r="AP33" s="188">
        <v>1786.0000000000002</v>
      </c>
      <c r="AQ33" s="185">
        <f t="shared" si="20"/>
        <v>94.000000000000014</v>
      </c>
      <c r="AR33" s="182">
        <f t="shared" si="30"/>
        <v>1</v>
      </c>
      <c r="AS33" s="632"/>
      <c r="AT33" s="188">
        <v>19</v>
      </c>
      <c r="AU33" s="188">
        <v>1786.0000000000002</v>
      </c>
      <c r="AV33" s="185">
        <f t="shared" si="21"/>
        <v>94.000000000000014</v>
      </c>
      <c r="AW33" s="182">
        <f t="shared" si="31"/>
        <v>1</v>
      </c>
      <c r="AX33" s="632"/>
    </row>
    <row r="34" spans="2:50" ht="14.25" customHeight="1">
      <c r="B34" s="631"/>
      <c r="C34" s="180">
        <v>8</v>
      </c>
      <c r="D34" s="183" t="s">
        <v>585</v>
      </c>
      <c r="E34" s="180">
        <v>16</v>
      </c>
      <c r="F34" s="180">
        <v>2000</v>
      </c>
      <c r="G34" s="185">
        <f t="shared" si="16"/>
        <v>125</v>
      </c>
      <c r="H34" s="632"/>
      <c r="I34" s="186">
        <f t="shared" si="22"/>
        <v>15.8</v>
      </c>
      <c r="J34" s="186">
        <f t="shared" si="22"/>
        <v>1788.3600389557141</v>
      </c>
      <c r="K34" s="187">
        <f t="shared" si="22"/>
        <v>113.26083576806545</v>
      </c>
      <c r="L34" s="633"/>
      <c r="M34" s="186">
        <f>RANK(K34, K$27:$K$41)</f>
        <v>1</v>
      </c>
      <c r="N34" s="631"/>
      <c r="O34" s="631"/>
      <c r="P34" s="188">
        <v>16</v>
      </c>
      <c r="Q34" s="188">
        <v>1789.6500486946422</v>
      </c>
      <c r="R34" s="185">
        <f t="shared" si="23"/>
        <v>111.85312804341514</v>
      </c>
      <c r="S34" s="182">
        <f t="shared" si="24"/>
        <v>1</v>
      </c>
      <c r="T34" s="632"/>
      <c r="U34" s="188">
        <v>16</v>
      </c>
      <c r="V34" s="188">
        <v>1788.8500486946423</v>
      </c>
      <c r="W34" s="185">
        <f t="shared" si="17"/>
        <v>111.80312804341514</v>
      </c>
      <c r="X34" s="182">
        <f t="shared" si="25"/>
        <v>1</v>
      </c>
      <c r="Y34" s="632"/>
      <c r="Z34" s="188">
        <v>16</v>
      </c>
      <c r="AA34" s="188">
        <v>1788.6500486946425</v>
      </c>
      <c r="AB34" s="185">
        <f t="shared" si="18"/>
        <v>111.79062804341515</v>
      </c>
      <c r="AC34" s="182">
        <f t="shared" si="26"/>
        <v>1</v>
      </c>
      <c r="AD34" s="632"/>
      <c r="AE34" s="188">
        <v>16</v>
      </c>
      <c r="AF34" s="188">
        <v>1788.6500486946425</v>
      </c>
      <c r="AG34" s="185">
        <f t="shared" si="27"/>
        <v>111.79062804341515</v>
      </c>
      <c r="AH34" s="182">
        <f t="shared" si="28"/>
        <v>1</v>
      </c>
      <c r="AI34" s="632"/>
      <c r="AJ34" s="188">
        <v>15</v>
      </c>
      <c r="AK34" s="188">
        <v>1786</v>
      </c>
      <c r="AL34" s="185">
        <f t="shared" si="19"/>
        <v>119.06666666666666</v>
      </c>
      <c r="AM34" s="182">
        <f t="shared" si="29"/>
        <v>1</v>
      </c>
      <c r="AN34" s="632"/>
      <c r="AO34" s="188"/>
      <c r="AP34" s="188"/>
      <c r="AQ34" s="185"/>
      <c r="AR34" s="182"/>
      <c r="AS34" s="632"/>
      <c r="AT34" s="188"/>
      <c r="AU34" s="188"/>
      <c r="AV34" s="185"/>
      <c r="AW34" s="182"/>
      <c r="AX34" s="632"/>
    </row>
    <row r="35" spans="2:50" ht="14.25" customHeight="1">
      <c r="B35" s="631"/>
      <c r="C35" s="180">
        <v>9</v>
      </c>
      <c r="D35" s="183" t="s">
        <v>697</v>
      </c>
      <c r="E35" s="180">
        <v>18</v>
      </c>
      <c r="F35" s="180">
        <v>2000</v>
      </c>
      <c r="G35" s="185">
        <f t="shared" si="16"/>
        <v>111.11111111111111</v>
      </c>
      <c r="H35" s="632"/>
      <c r="I35" s="186">
        <f t="shared" si="22"/>
        <v>18</v>
      </c>
      <c r="J35" s="186">
        <f t="shared" si="22"/>
        <v>1640.0000000000002</v>
      </c>
      <c r="K35" s="187">
        <f t="shared" si="22"/>
        <v>91.111111111111128</v>
      </c>
      <c r="L35" s="633"/>
      <c r="M35" s="186">
        <f>RANK(K35, K$27:$K$41)</f>
        <v>4</v>
      </c>
      <c r="N35" s="631"/>
      <c r="O35" s="631"/>
      <c r="P35" s="188"/>
      <c r="Q35" s="188"/>
      <c r="R35" s="185"/>
      <c r="S35" s="182"/>
      <c r="T35" s="632"/>
      <c r="U35" s="188"/>
      <c r="V35" s="188"/>
      <c r="W35" s="185"/>
      <c r="X35" s="182"/>
      <c r="Y35" s="632"/>
      <c r="Z35" s="188"/>
      <c r="AA35" s="188"/>
      <c r="AB35" s="185"/>
      <c r="AC35" s="182"/>
      <c r="AD35" s="632"/>
      <c r="AE35" s="188"/>
      <c r="AF35" s="188"/>
      <c r="AG35" s="185"/>
      <c r="AH35" s="182"/>
      <c r="AI35" s="632"/>
      <c r="AJ35" s="188"/>
      <c r="AK35" s="188"/>
      <c r="AL35" s="185"/>
      <c r="AM35" s="182"/>
      <c r="AN35" s="632"/>
      <c r="AO35" s="188"/>
      <c r="AP35" s="188"/>
      <c r="AQ35" s="185"/>
      <c r="AR35" s="182"/>
      <c r="AS35" s="632"/>
      <c r="AT35" s="188">
        <v>18</v>
      </c>
      <c r="AU35" s="188">
        <v>1640.0000000000002</v>
      </c>
      <c r="AV35" s="185">
        <f t="shared" si="21"/>
        <v>91.111111111111128</v>
      </c>
      <c r="AW35" s="182">
        <f t="shared" si="31"/>
        <v>3</v>
      </c>
      <c r="AX35" s="632"/>
    </row>
    <row r="36" spans="2:50" ht="14.25" customHeight="1">
      <c r="B36" s="631"/>
      <c r="C36" s="180">
        <v>10</v>
      </c>
      <c r="D36" s="183"/>
      <c r="E36" s="180"/>
      <c r="F36" s="180"/>
      <c r="G36" s="185"/>
      <c r="H36" s="632"/>
      <c r="I36" s="186"/>
      <c r="J36" s="186"/>
      <c r="K36" s="187"/>
      <c r="L36" s="633"/>
      <c r="M36" s="186"/>
      <c r="N36" s="631"/>
      <c r="O36" s="631"/>
      <c r="P36" s="188"/>
      <c r="Q36" s="188"/>
      <c r="R36" s="185"/>
      <c r="S36" s="182"/>
      <c r="T36" s="632"/>
      <c r="U36" s="188"/>
      <c r="V36" s="188"/>
      <c r="W36" s="185"/>
      <c r="X36" s="182"/>
      <c r="Y36" s="632"/>
      <c r="Z36" s="188"/>
      <c r="AA36" s="188"/>
      <c r="AB36" s="185"/>
      <c r="AC36" s="182"/>
      <c r="AD36" s="632"/>
      <c r="AE36" s="188"/>
      <c r="AF36" s="188"/>
      <c r="AG36" s="185"/>
      <c r="AH36" s="182"/>
      <c r="AI36" s="632"/>
      <c r="AJ36" s="188"/>
      <c r="AK36" s="188"/>
      <c r="AL36" s="185"/>
      <c r="AM36" s="182"/>
      <c r="AN36" s="632"/>
      <c r="AO36" s="188"/>
      <c r="AP36" s="188"/>
      <c r="AQ36" s="185"/>
      <c r="AR36" s="182"/>
      <c r="AS36" s="632"/>
      <c r="AT36" s="188"/>
      <c r="AU36" s="188"/>
      <c r="AV36" s="185"/>
      <c r="AW36" s="182"/>
      <c r="AX36" s="632"/>
    </row>
    <row r="37" spans="2:50" ht="14.25" customHeight="1">
      <c r="B37" s="631"/>
      <c r="C37" s="180">
        <v>11</v>
      </c>
      <c r="D37" s="183"/>
      <c r="E37" s="180"/>
      <c r="F37" s="180"/>
      <c r="G37" s="185"/>
      <c r="H37" s="632"/>
      <c r="I37" s="186"/>
      <c r="J37" s="186"/>
      <c r="K37" s="187"/>
      <c r="L37" s="633"/>
      <c r="M37" s="186"/>
      <c r="N37" s="631"/>
      <c r="O37" s="631"/>
      <c r="P37" s="188"/>
      <c r="Q37" s="188"/>
      <c r="R37" s="185"/>
      <c r="S37" s="182"/>
      <c r="T37" s="632"/>
      <c r="U37" s="188"/>
      <c r="V37" s="188"/>
      <c r="W37" s="185"/>
      <c r="X37" s="182"/>
      <c r="Y37" s="632"/>
      <c r="Z37" s="188"/>
      <c r="AA37" s="188"/>
      <c r="AB37" s="185"/>
      <c r="AC37" s="182"/>
      <c r="AD37" s="632"/>
      <c r="AE37" s="188"/>
      <c r="AF37" s="188"/>
      <c r="AG37" s="185"/>
      <c r="AH37" s="182"/>
      <c r="AI37" s="632"/>
      <c r="AJ37" s="188"/>
      <c r="AK37" s="188"/>
      <c r="AL37" s="185"/>
      <c r="AM37" s="182"/>
      <c r="AN37" s="632"/>
      <c r="AO37" s="188"/>
      <c r="AP37" s="188"/>
      <c r="AQ37" s="185"/>
      <c r="AR37" s="182"/>
      <c r="AS37" s="632"/>
      <c r="AT37" s="188"/>
      <c r="AU37" s="188"/>
      <c r="AV37" s="185"/>
      <c r="AW37" s="182"/>
      <c r="AX37" s="632"/>
    </row>
    <row r="38" spans="2:50" ht="14.25" customHeight="1">
      <c r="B38" s="631"/>
      <c r="C38" s="180">
        <v>12</v>
      </c>
      <c r="D38" s="183"/>
      <c r="E38" s="180"/>
      <c r="F38" s="180"/>
      <c r="G38" s="185"/>
      <c r="H38" s="632"/>
      <c r="I38" s="186"/>
      <c r="J38" s="186"/>
      <c r="K38" s="187"/>
      <c r="L38" s="633"/>
      <c r="M38" s="186"/>
      <c r="N38" s="631"/>
      <c r="O38" s="631"/>
      <c r="P38" s="188"/>
      <c r="Q38" s="188"/>
      <c r="R38" s="185"/>
      <c r="S38" s="182"/>
      <c r="T38" s="632"/>
      <c r="U38" s="188"/>
      <c r="V38" s="188"/>
      <c r="W38" s="185"/>
      <c r="X38" s="182"/>
      <c r="Y38" s="632"/>
      <c r="Z38" s="188"/>
      <c r="AA38" s="188"/>
      <c r="AB38" s="185"/>
      <c r="AC38" s="182"/>
      <c r="AD38" s="632"/>
      <c r="AE38" s="188"/>
      <c r="AF38" s="188"/>
      <c r="AG38" s="185"/>
      <c r="AH38" s="182"/>
      <c r="AI38" s="632"/>
      <c r="AJ38" s="188"/>
      <c r="AK38" s="188"/>
      <c r="AL38" s="185"/>
      <c r="AM38" s="182"/>
      <c r="AN38" s="632"/>
      <c r="AO38" s="188"/>
      <c r="AP38" s="188"/>
      <c r="AQ38" s="185"/>
      <c r="AR38" s="182"/>
      <c r="AS38" s="632"/>
      <c r="AT38" s="188"/>
      <c r="AU38" s="188"/>
      <c r="AV38" s="185"/>
      <c r="AW38" s="182"/>
      <c r="AX38" s="632"/>
    </row>
    <row r="39" spans="2:50" ht="14.25" customHeight="1">
      <c r="B39" s="631"/>
      <c r="C39" s="180">
        <v>13</v>
      </c>
      <c r="D39" s="183"/>
      <c r="E39" s="180"/>
      <c r="F39" s="180"/>
      <c r="G39" s="185"/>
      <c r="H39" s="632"/>
      <c r="I39" s="186"/>
      <c r="J39" s="186"/>
      <c r="K39" s="187"/>
      <c r="L39" s="633"/>
      <c r="M39" s="186"/>
      <c r="N39" s="631"/>
      <c r="O39" s="631"/>
      <c r="P39" s="188"/>
      <c r="Q39" s="188"/>
      <c r="R39" s="185"/>
      <c r="S39" s="182"/>
      <c r="T39" s="632"/>
      <c r="U39" s="188"/>
      <c r="V39" s="188"/>
      <c r="W39" s="185"/>
      <c r="X39" s="182"/>
      <c r="Y39" s="632"/>
      <c r="Z39" s="188"/>
      <c r="AA39" s="188"/>
      <c r="AB39" s="185"/>
      <c r="AC39" s="182"/>
      <c r="AD39" s="632"/>
      <c r="AE39" s="188"/>
      <c r="AF39" s="188"/>
      <c r="AG39" s="185"/>
      <c r="AH39" s="182"/>
      <c r="AI39" s="632"/>
      <c r="AJ39" s="188"/>
      <c r="AK39" s="188"/>
      <c r="AL39" s="185"/>
      <c r="AM39" s="182"/>
      <c r="AN39" s="632"/>
      <c r="AO39" s="188"/>
      <c r="AP39" s="188"/>
      <c r="AQ39" s="185"/>
      <c r="AR39" s="182"/>
      <c r="AS39" s="632"/>
      <c r="AT39" s="188"/>
      <c r="AU39" s="188"/>
      <c r="AV39" s="185"/>
      <c r="AW39" s="182"/>
      <c r="AX39" s="632"/>
    </row>
    <row r="40" spans="2:50" ht="14.25" customHeight="1">
      <c r="B40" s="631"/>
      <c r="C40" s="180">
        <v>14</v>
      </c>
      <c r="D40" s="183"/>
      <c r="E40" s="180"/>
      <c r="F40" s="180"/>
      <c r="G40" s="185"/>
      <c r="H40" s="632"/>
      <c r="I40" s="186"/>
      <c r="J40" s="186"/>
      <c r="K40" s="187"/>
      <c r="L40" s="633"/>
      <c r="M40" s="186"/>
      <c r="N40" s="631"/>
      <c r="O40" s="631"/>
      <c r="P40" s="188"/>
      <c r="Q40" s="188"/>
      <c r="R40" s="185"/>
      <c r="S40" s="182"/>
      <c r="T40" s="632"/>
      <c r="U40" s="188"/>
      <c r="V40" s="188"/>
      <c r="W40" s="185"/>
      <c r="X40" s="182"/>
      <c r="Y40" s="632"/>
      <c r="Z40" s="188"/>
      <c r="AA40" s="188"/>
      <c r="AB40" s="185"/>
      <c r="AC40" s="182"/>
      <c r="AD40" s="632"/>
      <c r="AE40" s="188"/>
      <c r="AF40" s="188"/>
      <c r="AG40" s="185"/>
      <c r="AH40" s="182"/>
      <c r="AI40" s="632"/>
      <c r="AJ40" s="188"/>
      <c r="AK40" s="188"/>
      <c r="AL40" s="185"/>
      <c r="AM40" s="182"/>
      <c r="AN40" s="632"/>
      <c r="AO40" s="188"/>
      <c r="AP40" s="188"/>
      <c r="AQ40" s="185"/>
      <c r="AR40" s="182"/>
      <c r="AS40" s="632"/>
      <c r="AT40" s="188"/>
      <c r="AU40" s="188"/>
      <c r="AV40" s="185"/>
      <c r="AW40" s="182"/>
      <c r="AX40" s="632"/>
    </row>
    <row r="41" spans="2:50" ht="14.25" customHeight="1">
      <c r="B41" s="631"/>
      <c r="C41" s="180">
        <v>15</v>
      </c>
      <c r="D41" s="183"/>
      <c r="E41" s="180"/>
      <c r="F41" s="180"/>
      <c r="G41" s="185"/>
      <c r="H41" s="632"/>
      <c r="I41" s="186"/>
      <c r="J41" s="186"/>
      <c r="K41" s="187"/>
      <c r="L41" s="633"/>
      <c r="M41" s="186"/>
      <c r="N41" s="631"/>
      <c r="O41" s="631"/>
      <c r="P41" s="188"/>
      <c r="Q41" s="188"/>
      <c r="R41" s="185"/>
      <c r="S41" s="182"/>
      <c r="T41" s="632"/>
      <c r="U41" s="188"/>
      <c r="V41" s="188"/>
      <c r="W41" s="185"/>
      <c r="X41" s="182"/>
      <c r="Y41" s="632"/>
      <c r="Z41" s="188"/>
      <c r="AA41" s="188"/>
      <c r="AB41" s="185"/>
      <c r="AC41" s="182"/>
      <c r="AD41" s="632"/>
      <c r="AE41" s="188"/>
      <c r="AF41" s="188"/>
      <c r="AG41" s="185"/>
      <c r="AH41" s="182"/>
      <c r="AI41" s="632"/>
      <c r="AJ41" s="188"/>
      <c r="AK41" s="188"/>
      <c r="AL41" s="185"/>
      <c r="AM41" s="182"/>
      <c r="AN41" s="632"/>
      <c r="AO41" s="188"/>
      <c r="AP41" s="188"/>
      <c r="AQ41" s="185"/>
      <c r="AR41" s="182"/>
      <c r="AS41" s="632"/>
      <c r="AT41" s="188"/>
      <c r="AU41" s="188"/>
      <c r="AV41" s="185"/>
      <c r="AW41" s="182"/>
      <c r="AX41" s="632"/>
    </row>
    <row r="42" spans="2:50" ht="14.25" customHeight="1">
      <c r="B42" s="645" t="s">
        <v>743</v>
      </c>
      <c r="C42" s="645"/>
      <c r="D42" s="645"/>
      <c r="E42" s="645"/>
      <c r="F42" s="645"/>
      <c r="G42" s="645"/>
      <c r="H42" s="645"/>
      <c r="I42" s="645"/>
      <c r="J42" s="645"/>
      <c r="K42" s="645"/>
      <c r="L42" s="645"/>
      <c r="M42" s="933"/>
      <c r="N42" s="664" t="s">
        <v>369</v>
      </c>
      <c r="O42" s="664" t="s">
        <v>105</v>
      </c>
      <c r="P42" s="666">
        <v>46154</v>
      </c>
      <c r="Q42" s="667"/>
      <c r="R42" s="667"/>
      <c r="S42" s="667"/>
      <c r="T42" s="667"/>
      <c r="U42" s="668">
        <v>46155</v>
      </c>
      <c r="V42" s="669"/>
      <c r="W42" s="669"/>
      <c r="X42" s="669"/>
      <c r="Y42" s="669"/>
      <c r="Z42" s="666">
        <v>46156</v>
      </c>
      <c r="AA42" s="667"/>
      <c r="AB42" s="667"/>
      <c r="AC42" s="667"/>
      <c r="AD42" s="667"/>
      <c r="AE42" s="668">
        <v>46157</v>
      </c>
      <c r="AF42" s="669"/>
      <c r="AG42" s="669"/>
      <c r="AH42" s="669"/>
      <c r="AI42" s="669"/>
      <c r="AJ42" s="656">
        <v>46158</v>
      </c>
      <c r="AK42" s="657"/>
      <c r="AL42" s="657"/>
      <c r="AM42" s="657"/>
      <c r="AN42" s="658"/>
      <c r="AO42" s="668">
        <v>46159</v>
      </c>
      <c r="AP42" s="669"/>
      <c r="AQ42" s="669"/>
      <c r="AR42" s="669"/>
      <c r="AS42" s="669"/>
      <c r="AT42" s="656">
        <v>46160</v>
      </c>
      <c r="AU42" s="657"/>
      <c r="AV42" s="657"/>
      <c r="AW42" s="657"/>
      <c r="AX42" s="658"/>
    </row>
    <row r="43" spans="2:50" ht="14.25" customHeight="1">
      <c r="B43" s="934"/>
      <c r="C43" s="934"/>
      <c r="D43" s="934"/>
      <c r="E43" s="934"/>
      <c r="F43" s="934"/>
      <c r="G43" s="934"/>
      <c r="H43" s="934"/>
      <c r="I43" s="934"/>
      <c r="J43" s="934"/>
      <c r="K43" s="934"/>
      <c r="L43" s="934"/>
      <c r="M43" s="935"/>
      <c r="N43" s="665"/>
      <c r="O43" s="665"/>
      <c r="P43" s="659">
        <v>46154</v>
      </c>
      <c r="Q43" s="659"/>
      <c r="R43" s="659"/>
      <c r="S43" s="659"/>
      <c r="T43" s="659"/>
      <c r="U43" s="660">
        <v>46155</v>
      </c>
      <c r="V43" s="660"/>
      <c r="W43" s="660"/>
      <c r="X43" s="660"/>
      <c r="Y43" s="660"/>
      <c r="Z43" s="659">
        <v>46156</v>
      </c>
      <c r="AA43" s="659"/>
      <c r="AB43" s="659"/>
      <c r="AC43" s="659"/>
      <c r="AD43" s="659"/>
      <c r="AE43" s="660">
        <v>46157</v>
      </c>
      <c r="AF43" s="660"/>
      <c r="AG43" s="660"/>
      <c r="AH43" s="660"/>
      <c r="AI43" s="660"/>
      <c r="AJ43" s="661">
        <v>46158</v>
      </c>
      <c r="AK43" s="662"/>
      <c r="AL43" s="662"/>
      <c r="AM43" s="662"/>
      <c r="AN43" s="663"/>
      <c r="AO43" s="660">
        <v>46159</v>
      </c>
      <c r="AP43" s="660"/>
      <c r="AQ43" s="660"/>
      <c r="AR43" s="660"/>
      <c r="AS43" s="660"/>
      <c r="AT43" s="661">
        <v>46160</v>
      </c>
      <c r="AU43" s="662"/>
      <c r="AV43" s="662"/>
      <c r="AW43" s="662"/>
      <c r="AX43" s="663"/>
    </row>
    <row r="44" spans="2:50" ht="14.25" customHeight="1">
      <c r="B44" s="631" t="s">
        <v>162</v>
      </c>
      <c r="C44" s="631" t="s">
        <v>157</v>
      </c>
      <c r="D44" s="631"/>
      <c r="E44" s="631" t="s">
        <v>158</v>
      </c>
      <c r="F44" s="631"/>
      <c r="G44" s="631"/>
      <c r="H44" s="631" t="s">
        <v>163</v>
      </c>
      <c r="I44" s="635" t="s">
        <v>370</v>
      </c>
      <c r="J44" s="635"/>
      <c r="K44" s="635"/>
      <c r="L44" s="635" t="s">
        <v>163</v>
      </c>
      <c r="M44" s="635" t="s">
        <v>165</v>
      </c>
      <c r="N44" s="631"/>
      <c r="O44" s="631" t="s">
        <v>164</v>
      </c>
      <c r="P44" s="631" t="s">
        <v>160</v>
      </c>
      <c r="Q44" s="631"/>
      <c r="R44" s="631"/>
      <c r="S44" s="631"/>
      <c r="T44" s="631" t="s">
        <v>163</v>
      </c>
      <c r="U44" s="631" t="s">
        <v>160</v>
      </c>
      <c r="V44" s="631"/>
      <c r="W44" s="631"/>
      <c r="X44" s="631"/>
      <c r="Y44" s="631" t="s">
        <v>163</v>
      </c>
      <c r="Z44" s="631" t="s">
        <v>160</v>
      </c>
      <c r="AA44" s="631"/>
      <c r="AB44" s="631"/>
      <c r="AC44" s="631"/>
      <c r="AD44" s="631" t="s">
        <v>163</v>
      </c>
      <c r="AE44" s="631" t="s">
        <v>160</v>
      </c>
      <c r="AF44" s="631"/>
      <c r="AG44" s="631"/>
      <c r="AH44" s="631"/>
      <c r="AI44" s="631" t="s">
        <v>163</v>
      </c>
      <c r="AJ44" s="631" t="s">
        <v>160</v>
      </c>
      <c r="AK44" s="631"/>
      <c r="AL44" s="631"/>
      <c r="AM44" s="631"/>
      <c r="AN44" s="631" t="s">
        <v>163</v>
      </c>
      <c r="AO44" s="631" t="s">
        <v>160</v>
      </c>
      <c r="AP44" s="631"/>
      <c r="AQ44" s="631"/>
      <c r="AR44" s="631"/>
      <c r="AS44" s="631" t="s">
        <v>163</v>
      </c>
      <c r="AT44" s="631" t="s">
        <v>160</v>
      </c>
      <c r="AU44" s="631"/>
      <c r="AV44" s="631"/>
      <c r="AW44" s="631"/>
      <c r="AX44" s="631" t="s">
        <v>163</v>
      </c>
    </row>
    <row r="45" spans="2:50" ht="14.25" customHeight="1">
      <c r="B45" s="631"/>
      <c r="C45" s="631"/>
      <c r="D45" s="631"/>
      <c r="E45" s="631" t="s">
        <v>371</v>
      </c>
      <c r="F45" s="631"/>
      <c r="G45" s="631"/>
      <c r="H45" s="631"/>
      <c r="I45" s="635" t="s">
        <v>371</v>
      </c>
      <c r="J45" s="635"/>
      <c r="K45" s="635"/>
      <c r="L45" s="635"/>
      <c r="M45" s="635"/>
      <c r="N45" s="631"/>
      <c r="O45" s="631"/>
      <c r="P45" s="631" t="s">
        <v>372</v>
      </c>
      <c r="Q45" s="631"/>
      <c r="R45" s="631"/>
      <c r="S45" s="631"/>
      <c r="T45" s="631"/>
      <c r="U45" s="631" t="s">
        <v>372</v>
      </c>
      <c r="V45" s="631"/>
      <c r="W45" s="631"/>
      <c r="X45" s="631"/>
      <c r="Y45" s="631"/>
      <c r="Z45" s="631" t="s">
        <v>372</v>
      </c>
      <c r="AA45" s="631"/>
      <c r="AB45" s="631"/>
      <c r="AC45" s="631"/>
      <c r="AD45" s="631"/>
      <c r="AE45" s="631" t="s">
        <v>372</v>
      </c>
      <c r="AF45" s="631"/>
      <c r="AG45" s="631"/>
      <c r="AH45" s="631"/>
      <c r="AI45" s="631"/>
      <c r="AJ45" s="631" t="s">
        <v>372</v>
      </c>
      <c r="AK45" s="631"/>
      <c r="AL45" s="631"/>
      <c r="AM45" s="631"/>
      <c r="AN45" s="631"/>
      <c r="AO45" s="631" t="s">
        <v>372</v>
      </c>
      <c r="AP45" s="631"/>
      <c r="AQ45" s="631"/>
      <c r="AR45" s="631"/>
      <c r="AS45" s="631"/>
      <c r="AT45" s="631" t="s">
        <v>372</v>
      </c>
      <c r="AU45" s="631"/>
      <c r="AV45" s="631"/>
      <c r="AW45" s="631"/>
      <c r="AX45" s="631"/>
    </row>
    <row r="46" spans="2:50" ht="14.25" customHeight="1">
      <c r="B46" s="631"/>
      <c r="C46" s="631"/>
      <c r="D46" s="631"/>
      <c r="E46" s="180" t="s">
        <v>159</v>
      </c>
      <c r="F46" s="180" t="s">
        <v>373</v>
      </c>
      <c r="G46" s="180" t="s">
        <v>161</v>
      </c>
      <c r="H46" s="631"/>
      <c r="I46" s="181" t="s">
        <v>159</v>
      </c>
      <c r="J46" s="181" t="s">
        <v>373</v>
      </c>
      <c r="K46" s="181" t="s">
        <v>161</v>
      </c>
      <c r="L46" s="635"/>
      <c r="M46" s="635"/>
      <c r="N46" s="631"/>
      <c r="O46" s="631"/>
      <c r="P46" s="180" t="s">
        <v>159</v>
      </c>
      <c r="Q46" s="180" t="s">
        <v>373</v>
      </c>
      <c r="R46" s="180" t="s">
        <v>161</v>
      </c>
      <c r="S46" s="182" t="s">
        <v>165</v>
      </c>
      <c r="T46" s="631"/>
      <c r="U46" s="180" t="s">
        <v>159</v>
      </c>
      <c r="V46" s="180" t="s">
        <v>373</v>
      </c>
      <c r="W46" s="180" t="s">
        <v>161</v>
      </c>
      <c r="X46" s="182" t="s">
        <v>165</v>
      </c>
      <c r="Y46" s="631"/>
      <c r="Z46" s="180" t="s">
        <v>159</v>
      </c>
      <c r="AA46" s="180" t="s">
        <v>373</v>
      </c>
      <c r="AB46" s="180" t="s">
        <v>161</v>
      </c>
      <c r="AC46" s="182" t="s">
        <v>165</v>
      </c>
      <c r="AD46" s="631"/>
      <c r="AE46" s="180" t="s">
        <v>159</v>
      </c>
      <c r="AF46" s="180" t="s">
        <v>373</v>
      </c>
      <c r="AG46" s="180" t="s">
        <v>161</v>
      </c>
      <c r="AH46" s="182" t="s">
        <v>165</v>
      </c>
      <c r="AI46" s="631"/>
      <c r="AJ46" s="180" t="s">
        <v>159</v>
      </c>
      <c r="AK46" s="180" t="s">
        <v>373</v>
      </c>
      <c r="AL46" s="180" t="s">
        <v>161</v>
      </c>
      <c r="AM46" s="182" t="s">
        <v>165</v>
      </c>
      <c r="AN46" s="631"/>
      <c r="AO46" s="180" t="s">
        <v>159</v>
      </c>
      <c r="AP46" s="180" t="s">
        <v>373</v>
      </c>
      <c r="AQ46" s="180" t="s">
        <v>161</v>
      </c>
      <c r="AR46" s="182" t="s">
        <v>165</v>
      </c>
      <c r="AS46" s="631"/>
      <c r="AT46" s="180" t="s">
        <v>159</v>
      </c>
      <c r="AU46" s="180" t="s">
        <v>373</v>
      </c>
      <c r="AV46" s="180" t="s">
        <v>161</v>
      </c>
      <c r="AW46" s="182" t="s">
        <v>165</v>
      </c>
      <c r="AX46" s="631"/>
    </row>
    <row r="47" spans="2:50" ht="14.25" customHeight="1">
      <c r="B47" s="631" t="s">
        <v>350</v>
      </c>
      <c r="C47" s="180">
        <v>1</v>
      </c>
      <c r="D47" s="183" t="s">
        <v>344</v>
      </c>
      <c r="E47" s="180">
        <v>24</v>
      </c>
      <c r="F47" s="180">
        <v>2000</v>
      </c>
      <c r="G47" s="185">
        <f t="shared" ref="G47:G54" si="32">F47/E47</f>
        <v>83.333333333333329</v>
      </c>
      <c r="H47" s="632">
        <f>AVERAGE(G47:G61)</f>
        <v>93.286431658857282</v>
      </c>
      <c r="I47" s="186">
        <f>AVERAGE(P47,U47,Z47,AE47,AJ47,AO47,AT47)</f>
        <v>24</v>
      </c>
      <c r="J47" s="186">
        <f>AVERAGE(Q47,V47,AA47,AF47,AK47,AP47,AU47)</f>
        <v>1788.6110430609028</v>
      </c>
      <c r="K47" s="187">
        <f>AVERAGE(R47,W47,AB47,AG47,AL47,AQ47,AV47)</f>
        <v>74.525460127537613</v>
      </c>
      <c r="L47" s="633">
        <f>IFERROR(AVERAGE(K47:K61),"-")</f>
        <v>83.482010015922341</v>
      </c>
      <c r="M47" s="186">
        <f>RANK(K47, K$47:$K$61)</f>
        <v>8</v>
      </c>
      <c r="N47" s="631"/>
      <c r="O47" s="631"/>
      <c r="P47" s="188">
        <v>24</v>
      </c>
      <c r="Q47" s="188">
        <v>1787.8649650883954</v>
      </c>
      <c r="R47" s="185">
        <f>IFERROR(Q47/P47,"")</f>
        <v>74.494373545349802</v>
      </c>
      <c r="S47" s="182">
        <f>RANK(R47, R$47:R$61)</f>
        <v>8</v>
      </c>
      <c r="T47" s="632">
        <f>AVERAGE(R47:R61)</f>
        <v>81.958475904755446</v>
      </c>
      <c r="U47" s="188">
        <v>24</v>
      </c>
      <c r="V47" s="188">
        <v>1789.7700157358695</v>
      </c>
      <c r="W47" s="185">
        <f t="shared" ref="W47:W54" si="33">IFERROR(V47/U47,"")</f>
        <v>74.573750655661229</v>
      </c>
      <c r="X47" s="182">
        <f>RANK(W47, W$47:W$61)</f>
        <v>7</v>
      </c>
      <c r="Y47" s="632">
        <f>AVERAGE(W47:W61)</f>
        <v>81.240436046339326</v>
      </c>
      <c r="Z47" s="188">
        <v>24</v>
      </c>
      <c r="AA47" s="188">
        <v>1789.5700157358697</v>
      </c>
      <c r="AB47" s="185">
        <f t="shared" ref="AB47:AB54" si="34">IFERROR(AA47/Z47,"")</f>
        <v>74.565417322327903</v>
      </c>
      <c r="AC47" s="182">
        <f>RANK(AB47, AB$47:AB$61)</f>
        <v>7</v>
      </c>
      <c r="AD47" s="632">
        <f>AVERAGE(AB47:AB61)</f>
        <v>83.00799347457982</v>
      </c>
      <c r="AE47" s="188">
        <v>24</v>
      </c>
      <c r="AF47" s="188">
        <v>1788.5700157358697</v>
      </c>
      <c r="AG47" s="185">
        <f>IFERROR(AF47/AE47,"")</f>
        <v>74.523750655661232</v>
      </c>
      <c r="AH47" s="182">
        <f>RANK(AG47, AG$47:AG$61)</f>
        <v>7</v>
      </c>
      <c r="AI47" s="632">
        <f>AVERAGE(AG47:AG61)</f>
        <v>83.290225761513028</v>
      </c>
      <c r="AJ47" s="188">
        <v>24</v>
      </c>
      <c r="AK47" s="188">
        <v>1787.5700157358701</v>
      </c>
      <c r="AL47" s="185">
        <f t="shared" ref="AL47:AL54" si="35">IFERROR(AK47/AJ47,"")</f>
        <v>74.482083988994589</v>
      </c>
      <c r="AM47" s="182">
        <f>RANK(AL47, AL$47:AL$61)</f>
        <v>7</v>
      </c>
      <c r="AN47" s="632">
        <f>AVERAGE(AL47:AL61)</f>
        <v>83.342443297519978</v>
      </c>
      <c r="AO47" s="188">
        <v>24</v>
      </c>
      <c r="AP47" s="188">
        <v>1787.3700157358705</v>
      </c>
      <c r="AQ47" s="185">
        <f t="shared" ref="AQ47:AQ54" si="36">IFERROR(AP47/AO47,"")</f>
        <v>74.473750655661277</v>
      </c>
      <c r="AR47" s="182">
        <f>RANK(AQ47, AQ$47:AQ$61)</f>
        <v>7</v>
      </c>
      <c r="AS47" s="632">
        <f>AVERAGE(AQ47:AQ61)</f>
        <v>83.378030589645078</v>
      </c>
      <c r="AT47" s="188">
        <v>24</v>
      </c>
      <c r="AU47" s="188">
        <v>1789.5622576585763</v>
      </c>
      <c r="AV47" s="185">
        <f t="shared" ref="AV47:AV54" si="37">IFERROR(AU47/AT47,"")</f>
        <v>74.565094069107346</v>
      </c>
      <c r="AW47" s="182">
        <f>RANK(AV47, AV$47:AV$61)</f>
        <v>7</v>
      </c>
      <c r="AX47" s="632">
        <f>AVERAGE(AV47:AV61)</f>
        <v>83.387264209489643</v>
      </c>
    </row>
    <row r="48" spans="2:50" ht="14.25" customHeight="1">
      <c r="B48" s="631"/>
      <c r="C48" s="180">
        <v>2</v>
      </c>
      <c r="D48" s="183" t="s">
        <v>343</v>
      </c>
      <c r="E48" s="180">
        <v>23</v>
      </c>
      <c r="F48" s="180">
        <v>2000</v>
      </c>
      <c r="G48" s="185">
        <f t="shared" si="32"/>
        <v>86.956521739130437</v>
      </c>
      <c r="H48" s="632"/>
      <c r="I48" s="186">
        <f t="shared" ref="I48:K54" si="38">AVERAGE(P48,U48,Z48,AE48,AJ48,AO48,AT48)</f>
        <v>23</v>
      </c>
      <c r="J48" s="186">
        <f t="shared" si="38"/>
        <v>1788.799999999999</v>
      </c>
      <c r="K48" s="187">
        <f t="shared" si="38"/>
        <v>77.773913043478231</v>
      </c>
      <c r="L48" s="633"/>
      <c r="M48" s="186">
        <f>RANK(K48, K$47:$K$61)</f>
        <v>4</v>
      </c>
      <c r="N48" s="631"/>
      <c r="O48" s="631"/>
      <c r="P48" s="188">
        <v>23</v>
      </c>
      <c r="Q48" s="188">
        <v>1787.1999999999998</v>
      </c>
      <c r="R48" s="185">
        <f t="shared" ref="R48:R54" si="39">IFERROR(Q48/P48,"")</f>
        <v>77.704347826086945</v>
      </c>
      <c r="S48" s="182">
        <f t="shared" ref="S48:S54" si="40">RANK(R48, R$47:R$61)</f>
        <v>5</v>
      </c>
      <c r="T48" s="632"/>
      <c r="U48" s="188">
        <v>23</v>
      </c>
      <c r="V48" s="188">
        <v>1787.7999999999993</v>
      </c>
      <c r="W48" s="185">
        <f t="shared" si="33"/>
        <v>77.730434782608668</v>
      </c>
      <c r="X48" s="182">
        <f t="shared" ref="X48:X54" si="41">RANK(W48, W$47:W$61)</f>
        <v>5</v>
      </c>
      <c r="Y48" s="632"/>
      <c r="Z48" s="188">
        <v>23</v>
      </c>
      <c r="AA48" s="188">
        <v>1788.7999999999993</v>
      </c>
      <c r="AB48" s="185">
        <f t="shared" si="34"/>
        <v>77.773913043478231</v>
      </c>
      <c r="AC48" s="182">
        <f t="shared" ref="AC48:AC54" si="42">RANK(AB48, AB$47:AB$61)</f>
        <v>3</v>
      </c>
      <c r="AD48" s="632"/>
      <c r="AE48" s="188">
        <v>23</v>
      </c>
      <c r="AF48" s="188">
        <v>1788.799999999999</v>
      </c>
      <c r="AG48" s="185">
        <f t="shared" ref="AG48:AG54" si="43">IFERROR(AF48/AE48,"")</f>
        <v>77.773913043478217</v>
      </c>
      <c r="AH48" s="182">
        <f t="shared" ref="AH48:AH54" si="44">RANK(AG48, AG$47:AG$61)</f>
        <v>3</v>
      </c>
      <c r="AI48" s="632"/>
      <c r="AJ48" s="188">
        <v>23</v>
      </c>
      <c r="AK48" s="188">
        <v>1789.5999999999985</v>
      </c>
      <c r="AL48" s="185">
        <f t="shared" si="35"/>
        <v>77.808695652173853</v>
      </c>
      <c r="AM48" s="182">
        <f t="shared" ref="AM48:AM54" si="45">RANK(AL48, AL$47:AL$61)</f>
        <v>3</v>
      </c>
      <c r="AN48" s="632"/>
      <c r="AO48" s="188">
        <v>23</v>
      </c>
      <c r="AP48" s="188">
        <v>1789.9999999999984</v>
      </c>
      <c r="AQ48" s="185">
        <f t="shared" si="36"/>
        <v>77.826086956521664</v>
      </c>
      <c r="AR48" s="182">
        <f t="shared" ref="AR48:AR54" si="46">RANK(AQ48, AQ$47:AQ$61)</f>
        <v>3</v>
      </c>
      <c r="AS48" s="632"/>
      <c r="AT48" s="188">
        <v>23</v>
      </c>
      <c r="AU48" s="188">
        <v>1789.399999999998</v>
      </c>
      <c r="AV48" s="185">
        <f t="shared" si="37"/>
        <v>77.799999999999912</v>
      </c>
      <c r="AW48" s="182">
        <f t="shared" ref="AW48:AW54" si="47">RANK(AV48, AV$47:AV$61)</f>
        <v>3</v>
      </c>
      <c r="AX48" s="632"/>
    </row>
    <row r="49" spans="2:50" ht="14.25" customHeight="1">
      <c r="B49" s="631"/>
      <c r="C49" s="180">
        <v>3</v>
      </c>
      <c r="D49" s="183" t="s">
        <v>351</v>
      </c>
      <c r="E49" s="180">
        <v>23</v>
      </c>
      <c r="F49" s="180">
        <v>2000</v>
      </c>
      <c r="G49" s="185">
        <f t="shared" si="32"/>
        <v>86.956521739130437</v>
      </c>
      <c r="H49" s="632"/>
      <c r="I49" s="186">
        <f t="shared" si="38"/>
        <v>23</v>
      </c>
      <c r="J49" s="186">
        <f t="shared" si="38"/>
        <v>1787.8520809777056</v>
      </c>
      <c r="K49" s="187">
        <f t="shared" si="38"/>
        <v>77.732699172943725</v>
      </c>
      <c r="L49" s="633"/>
      <c r="M49" s="186">
        <f>RANK(K49, K$47:$K$61)</f>
        <v>5</v>
      </c>
      <c r="N49" s="631"/>
      <c r="O49" s="631"/>
      <c r="P49" s="188">
        <v>23</v>
      </c>
      <c r="Q49" s="188">
        <v>1784.8000000000002</v>
      </c>
      <c r="R49" s="185">
        <f t="shared" si="39"/>
        <v>77.600000000000009</v>
      </c>
      <c r="S49" s="182">
        <f t="shared" si="40"/>
        <v>6</v>
      </c>
      <c r="T49" s="632"/>
      <c r="U49" s="188">
        <v>23</v>
      </c>
      <c r="V49" s="188">
        <v>1788.3607611406571</v>
      </c>
      <c r="W49" s="185">
        <f t="shared" si="33"/>
        <v>77.754815701767697</v>
      </c>
      <c r="X49" s="182">
        <f t="shared" si="41"/>
        <v>3</v>
      </c>
      <c r="Y49" s="632"/>
      <c r="Z49" s="188">
        <v>23</v>
      </c>
      <c r="AA49" s="188">
        <v>1787.9607611406568</v>
      </c>
      <c r="AB49" s="185">
        <f t="shared" si="34"/>
        <v>77.737424397419858</v>
      </c>
      <c r="AC49" s="182">
        <f t="shared" si="42"/>
        <v>5</v>
      </c>
      <c r="AD49" s="632"/>
      <c r="AE49" s="188">
        <v>23</v>
      </c>
      <c r="AF49" s="188">
        <v>1788.5607611406567</v>
      </c>
      <c r="AG49" s="185">
        <f t="shared" si="43"/>
        <v>77.763511353941595</v>
      </c>
      <c r="AH49" s="182">
        <f t="shared" si="44"/>
        <v>4</v>
      </c>
      <c r="AI49" s="632"/>
      <c r="AJ49" s="188">
        <v>23</v>
      </c>
      <c r="AK49" s="188">
        <v>1788.1607611406564</v>
      </c>
      <c r="AL49" s="185">
        <f t="shared" si="35"/>
        <v>77.746120049593756</v>
      </c>
      <c r="AM49" s="182">
        <f t="shared" si="45"/>
        <v>4</v>
      </c>
      <c r="AN49" s="632"/>
      <c r="AO49" s="188">
        <v>23</v>
      </c>
      <c r="AP49" s="188">
        <v>1788.7607611406559</v>
      </c>
      <c r="AQ49" s="185">
        <f t="shared" si="36"/>
        <v>77.772207006115465</v>
      </c>
      <c r="AR49" s="182">
        <f t="shared" si="46"/>
        <v>4</v>
      </c>
      <c r="AS49" s="632"/>
      <c r="AT49" s="188">
        <v>23</v>
      </c>
      <c r="AU49" s="188">
        <v>1788.3607611406558</v>
      </c>
      <c r="AV49" s="185">
        <f t="shared" si="37"/>
        <v>77.75481570176764</v>
      </c>
      <c r="AW49" s="182">
        <f t="shared" si="47"/>
        <v>4</v>
      </c>
      <c r="AX49" s="632"/>
    </row>
    <row r="50" spans="2:50" ht="14.25" customHeight="1">
      <c r="B50" s="631"/>
      <c r="C50" s="180">
        <v>4</v>
      </c>
      <c r="D50" s="183" t="s">
        <v>345</v>
      </c>
      <c r="E50" s="180">
        <v>23</v>
      </c>
      <c r="F50" s="180">
        <v>2000</v>
      </c>
      <c r="G50" s="185">
        <f t="shared" si="32"/>
        <v>86.956521739130437</v>
      </c>
      <c r="H50" s="632"/>
      <c r="I50" s="186">
        <f t="shared" si="38"/>
        <v>23</v>
      </c>
      <c r="J50" s="186">
        <f t="shared" si="38"/>
        <v>1787.599999999999</v>
      </c>
      <c r="K50" s="187">
        <f t="shared" si="38"/>
        <v>77.721739130434756</v>
      </c>
      <c r="L50" s="633"/>
      <c r="M50" s="186">
        <f>RANK(K50, K$47:$K$61)</f>
        <v>6</v>
      </c>
      <c r="N50" s="631"/>
      <c r="O50" s="631"/>
      <c r="P50" s="188">
        <v>23</v>
      </c>
      <c r="Q50" s="188">
        <v>1787.9999999999993</v>
      </c>
      <c r="R50" s="185">
        <f t="shared" si="39"/>
        <v>77.739130434782581</v>
      </c>
      <c r="S50" s="182">
        <f t="shared" si="40"/>
        <v>4</v>
      </c>
      <c r="T50" s="632"/>
      <c r="U50" s="188">
        <v>23</v>
      </c>
      <c r="V50" s="188">
        <v>1787.9999999999991</v>
      </c>
      <c r="W50" s="185">
        <f t="shared" si="33"/>
        <v>77.739130434782567</v>
      </c>
      <c r="X50" s="182">
        <f t="shared" si="41"/>
        <v>4</v>
      </c>
      <c r="Y50" s="632"/>
      <c r="Z50" s="188">
        <v>23</v>
      </c>
      <c r="AA50" s="188">
        <v>1788.5999999999985</v>
      </c>
      <c r="AB50" s="185">
        <f t="shared" si="34"/>
        <v>77.76521739130429</v>
      </c>
      <c r="AC50" s="182">
        <f t="shared" si="42"/>
        <v>4</v>
      </c>
      <c r="AD50" s="632"/>
      <c r="AE50" s="188">
        <v>23</v>
      </c>
      <c r="AF50" s="188">
        <v>1788.1999999999987</v>
      </c>
      <c r="AG50" s="185">
        <f t="shared" si="43"/>
        <v>77.747826086956465</v>
      </c>
      <c r="AH50" s="182">
        <f t="shared" si="44"/>
        <v>5</v>
      </c>
      <c r="AI50" s="632"/>
      <c r="AJ50" s="188">
        <v>23</v>
      </c>
      <c r="AK50" s="188">
        <v>1787.399999999999</v>
      </c>
      <c r="AL50" s="185">
        <f t="shared" si="35"/>
        <v>77.713043478260829</v>
      </c>
      <c r="AM50" s="182">
        <f t="shared" si="45"/>
        <v>5</v>
      </c>
      <c r="AN50" s="632"/>
      <c r="AO50" s="188">
        <v>23</v>
      </c>
      <c r="AP50" s="188">
        <v>1786.799999999999</v>
      </c>
      <c r="AQ50" s="185">
        <f t="shared" si="36"/>
        <v>77.686956521739091</v>
      </c>
      <c r="AR50" s="182">
        <f t="shared" si="46"/>
        <v>5</v>
      </c>
      <c r="AS50" s="632"/>
      <c r="AT50" s="188">
        <v>23</v>
      </c>
      <c r="AU50" s="188">
        <v>1786.1999999999994</v>
      </c>
      <c r="AV50" s="185">
        <f t="shared" si="37"/>
        <v>77.660869565217368</v>
      </c>
      <c r="AW50" s="182">
        <f t="shared" si="47"/>
        <v>5</v>
      </c>
      <c r="AX50" s="632"/>
    </row>
    <row r="51" spans="2:50" ht="14.25" customHeight="1">
      <c r="B51" s="631"/>
      <c r="C51" s="180">
        <v>5</v>
      </c>
      <c r="D51" s="183" t="s">
        <v>451</v>
      </c>
      <c r="E51" s="180">
        <v>19</v>
      </c>
      <c r="F51" s="180">
        <v>2000</v>
      </c>
      <c r="G51" s="185">
        <f t="shared" si="32"/>
        <v>105.26315789473684</v>
      </c>
      <c r="H51" s="632"/>
      <c r="I51" s="186">
        <f t="shared" si="38"/>
        <v>20</v>
      </c>
      <c r="J51" s="186">
        <f t="shared" si="38"/>
        <v>1786</v>
      </c>
      <c r="K51" s="187">
        <f t="shared" si="38"/>
        <v>89.3</v>
      </c>
      <c r="L51" s="633"/>
      <c r="M51" s="186">
        <f>RANK(K51, K$47:$K$61)</f>
        <v>3</v>
      </c>
      <c r="N51" s="631"/>
      <c r="O51" s="631"/>
      <c r="P51" s="188">
        <v>20</v>
      </c>
      <c r="Q51" s="188">
        <v>1786</v>
      </c>
      <c r="R51" s="185">
        <f t="shared" si="39"/>
        <v>89.3</v>
      </c>
      <c r="S51" s="182">
        <f t="shared" si="40"/>
        <v>2</v>
      </c>
      <c r="T51" s="632"/>
      <c r="U51" s="188"/>
      <c r="V51" s="188"/>
      <c r="W51" s="185"/>
      <c r="X51" s="182"/>
      <c r="Y51" s="632"/>
      <c r="Z51" s="188"/>
      <c r="AA51" s="188"/>
      <c r="AB51" s="185"/>
      <c r="AC51" s="182"/>
      <c r="AD51" s="632"/>
      <c r="AE51" s="188"/>
      <c r="AF51" s="188"/>
      <c r="AG51" s="185"/>
      <c r="AH51" s="182"/>
      <c r="AI51" s="632"/>
      <c r="AJ51" s="188"/>
      <c r="AK51" s="188"/>
      <c r="AL51" s="185"/>
      <c r="AM51" s="182"/>
      <c r="AN51" s="632"/>
      <c r="AO51" s="188"/>
      <c r="AP51" s="188"/>
      <c r="AQ51" s="185"/>
      <c r="AR51" s="182"/>
      <c r="AS51" s="632"/>
      <c r="AT51" s="188"/>
      <c r="AU51" s="188"/>
      <c r="AV51" s="185"/>
      <c r="AW51" s="182"/>
      <c r="AX51" s="632"/>
    </row>
    <row r="52" spans="2:50" ht="14.25" customHeight="1">
      <c r="B52" s="631"/>
      <c r="C52" s="180">
        <v>6</v>
      </c>
      <c r="D52" s="183" t="s">
        <v>492</v>
      </c>
      <c r="E52" s="180">
        <v>21</v>
      </c>
      <c r="F52" s="180">
        <v>1800</v>
      </c>
      <c r="G52" s="185">
        <f t="shared" si="32"/>
        <v>85.714285714285708</v>
      </c>
      <c r="H52" s="632"/>
      <c r="I52" s="186">
        <f t="shared" si="38"/>
        <v>21</v>
      </c>
      <c r="J52" s="186">
        <f t="shared" si="38"/>
        <v>1608.5607783540222</v>
      </c>
      <c r="K52" s="187">
        <f t="shared" si="38"/>
        <v>76.598132302572495</v>
      </c>
      <c r="L52" s="633"/>
      <c r="M52" s="186">
        <f>RANK(K52, K$47:$K$61)</f>
        <v>7</v>
      </c>
      <c r="N52" s="631"/>
      <c r="O52" s="631"/>
      <c r="P52" s="188">
        <v>21</v>
      </c>
      <c r="Q52" s="188">
        <v>1607.8150640683077</v>
      </c>
      <c r="R52" s="185">
        <f t="shared" si="39"/>
        <v>76.562622098490849</v>
      </c>
      <c r="S52" s="182">
        <f t="shared" si="40"/>
        <v>7</v>
      </c>
      <c r="T52" s="632"/>
      <c r="U52" s="188">
        <v>21</v>
      </c>
      <c r="V52" s="188">
        <v>1608.3550640683079</v>
      </c>
      <c r="W52" s="185">
        <f t="shared" si="33"/>
        <v>76.588336384205135</v>
      </c>
      <c r="X52" s="182">
        <f t="shared" si="41"/>
        <v>6</v>
      </c>
      <c r="Y52" s="632"/>
      <c r="Z52" s="188">
        <v>21</v>
      </c>
      <c r="AA52" s="188">
        <v>1608.5350640683082</v>
      </c>
      <c r="AB52" s="185">
        <f t="shared" si="34"/>
        <v>76.596907812776578</v>
      </c>
      <c r="AC52" s="182">
        <f t="shared" si="42"/>
        <v>6</v>
      </c>
      <c r="AD52" s="632"/>
      <c r="AE52" s="188">
        <v>21</v>
      </c>
      <c r="AF52" s="188">
        <v>1608.5350640683082</v>
      </c>
      <c r="AG52" s="185">
        <f t="shared" si="43"/>
        <v>76.596907812776578</v>
      </c>
      <c r="AH52" s="182">
        <f t="shared" si="44"/>
        <v>6</v>
      </c>
      <c r="AI52" s="632"/>
      <c r="AJ52" s="188">
        <v>21</v>
      </c>
      <c r="AK52" s="188">
        <v>1608.3550640683081</v>
      </c>
      <c r="AL52" s="185">
        <f t="shared" si="35"/>
        <v>76.588336384205149</v>
      </c>
      <c r="AM52" s="182">
        <f t="shared" si="45"/>
        <v>6</v>
      </c>
      <c r="AN52" s="632"/>
      <c r="AO52" s="188">
        <v>21</v>
      </c>
      <c r="AP52" s="188">
        <v>1608.7150640683083</v>
      </c>
      <c r="AQ52" s="185">
        <f t="shared" si="36"/>
        <v>76.605479241348007</v>
      </c>
      <c r="AR52" s="182">
        <f t="shared" si="46"/>
        <v>6</v>
      </c>
      <c r="AS52" s="632"/>
      <c r="AT52" s="188">
        <v>21</v>
      </c>
      <c r="AU52" s="188">
        <v>1609.6150640683081</v>
      </c>
      <c r="AV52" s="185">
        <f t="shared" si="37"/>
        <v>76.648336384205152</v>
      </c>
      <c r="AW52" s="182">
        <f t="shared" si="47"/>
        <v>6</v>
      </c>
      <c r="AX52" s="632"/>
    </row>
    <row r="53" spans="2:50" ht="14.25" customHeight="1">
      <c r="B53" s="631"/>
      <c r="C53" s="180">
        <v>7</v>
      </c>
      <c r="D53" s="183" t="s">
        <v>493</v>
      </c>
      <c r="E53" s="180">
        <v>20</v>
      </c>
      <c r="F53" s="180">
        <v>2000</v>
      </c>
      <c r="G53" s="185">
        <f t="shared" si="32"/>
        <v>100</v>
      </c>
      <c r="H53" s="632"/>
      <c r="I53" s="186">
        <f t="shared" si="38"/>
        <v>19.285714285714285</v>
      </c>
      <c r="J53" s="186">
        <f t="shared" si="38"/>
        <v>1787.7528194008612</v>
      </c>
      <c r="K53" s="187">
        <f t="shared" si="38"/>
        <v>92.748374672486293</v>
      </c>
      <c r="L53" s="633"/>
      <c r="M53" s="186">
        <f>RANK(K53, K$47:$K$61)</f>
        <v>2</v>
      </c>
      <c r="N53" s="631"/>
      <c r="O53" s="631"/>
      <c r="P53" s="188">
        <v>20</v>
      </c>
      <c r="Q53" s="188">
        <v>1786</v>
      </c>
      <c r="R53" s="185">
        <f t="shared" si="39"/>
        <v>89.3</v>
      </c>
      <c r="S53" s="182">
        <f t="shared" si="40"/>
        <v>2</v>
      </c>
      <c r="T53" s="632"/>
      <c r="U53" s="188">
        <v>20</v>
      </c>
      <c r="V53" s="188">
        <v>1788.7180873069974</v>
      </c>
      <c r="W53" s="185">
        <f t="shared" si="33"/>
        <v>89.43590436534987</v>
      </c>
      <c r="X53" s="182">
        <f t="shared" si="41"/>
        <v>2</v>
      </c>
      <c r="Y53" s="632"/>
      <c r="Z53" s="188">
        <v>19</v>
      </c>
      <c r="AA53" s="188">
        <v>1788.8191541632286</v>
      </c>
      <c r="AB53" s="185">
        <f t="shared" si="34"/>
        <v>94.148376534906774</v>
      </c>
      <c r="AC53" s="182">
        <f t="shared" si="42"/>
        <v>2</v>
      </c>
      <c r="AD53" s="632"/>
      <c r="AE53" s="188">
        <v>19</v>
      </c>
      <c r="AF53" s="188">
        <v>1788.7324943358017</v>
      </c>
      <c r="AG53" s="185">
        <f t="shared" si="43"/>
        <v>94.143815491357984</v>
      </c>
      <c r="AH53" s="182">
        <f t="shared" si="44"/>
        <v>2</v>
      </c>
      <c r="AI53" s="632"/>
      <c r="AJ53" s="188">
        <v>19</v>
      </c>
      <c r="AK53" s="188">
        <v>1786</v>
      </c>
      <c r="AL53" s="185">
        <f t="shared" si="35"/>
        <v>94</v>
      </c>
      <c r="AM53" s="182">
        <f t="shared" si="45"/>
        <v>2</v>
      </c>
      <c r="AN53" s="632"/>
      <c r="AO53" s="188">
        <v>19</v>
      </c>
      <c r="AP53" s="188">
        <v>1788</v>
      </c>
      <c r="AQ53" s="185">
        <f t="shared" si="36"/>
        <v>94.10526315789474</v>
      </c>
      <c r="AR53" s="182">
        <f t="shared" si="46"/>
        <v>2</v>
      </c>
      <c r="AS53" s="632"/>
      <c r="AT53" s="188">
        <v>19</v>
      </c>
      <c r="AU53" s="188">
        <v>1787.9999999999998</v>
      </c>
      <c r="AV53" s="185">
        <f t="shared" si="37"/>
        <v>94.105263157894726</v>
      </c>
      <c r="AW53" s="182">
        <f t="shared" si="47"/>
        <v>2</v>
      </c>
      <c r="AX53" s="632"/>
    </row>
    <row r="54" spans="2:50" ht="14.25" customHeight="1">
      <c r="B54" s="631"/>
      <c r="C54" s="180">
        <v>8</v>
      </c>
      <c r="D54" s="183" t="s">
        <v>697</v>
      </c>
      <c r="E54" s="180">
        <v>18</v>
      </c>
      <c r="F54" s="180">
        <v>2000</v>
      </c>
      <c r="G54" s="185">
        <f t="shared" si="32"/>
        <v>111.11111111111111</v>
      </c>
      <c r="H54" s="632"/>
      <c r="I54" s="186">
        <f t="shared" si="38"/>
        <v>17.285714285714285</v>
      </c>
      <c r="J54" s="186">
        <f t="shared" si="38"/>
        <v>1751.5805218580704</v>
      </c>
      <c r="K54" s="187">
        <f t="shared" si="38"/>
        <v>101.45576167792571</v>
      </c>
      <c r="L54" s="633"/>
      <c r="M54" s="186">
        <f>RANK(K54, K$47:$K$61)</f>
        <v>1</v>
      </c>
      <c r="N54" s="631"/>
      <c r="O54" s="631"/>
      <c r="P54" s="188">
        <v>18</v>
      </c>
      <c r="Q54" s="188">
        <v>1673.4120000000005</v>
      </c>
      <c r="R54" s="185">
        <f t="shared" si="39"/>
        <v>92.967333333333357</v>
      </c>
      <c r="S54" s="182">
        <f t="shared" si="40"/>
        <v>1</v>
      </c>
      <c r="T54" s="632"/>
      <c r="U54" s="188">
        <v>18</v>
      </c>
      <c r="V54" s="188">
        <v>1707.4922400000003</v>
      </c>
      <c r="W54" s="185">
        <f t="shared" si="33"/>
        <v>94.860680000000016</v>
      </c>
      <c r="X54" s="182">
        <f t="shared" si="41"/>
        <v>1</v>
      </c>
      <c r="Y54" s="632"/>
      <c r="Z54" s="188">
        <v>17</v>
      </c>
      <c r="AA54" s="188">
        <v>1741.9678629373666</v>
      </c>
      <c r="AB54" s="185">
        <f t="shared" si="34"/>
        <v>102.46869781984509</v>
      </c>
      <c r="AC54" s="182">
        <f t="shared" si="42"/>
        <v>1</v>
      </c>
      <c r="AD54" s="632"/>
      <c r="AE54" s="188">
        <v>17</v>
      </c>
      <c r="AF54" s="188">
        <v>1776.1915500691255</v>
      </c>
      <c r="AG54" s="185">
        <f t="shared" si="43"/>
        <v>104.48185588641914</v>
      </c>
      <c r="AH54" s="182">
        <f t="shared" si="44"/>
        <v>1</v>
      </c>
      <c r="AI54" s="632"/>
      <c r="AJ54" s="188">
        <v>17</v>
      </c>
      <c r="AK54" s="188">
        <v>1786</v>
      </c>
      <c r="AL54" s="185">
        <f t="shared" si="35"/>
        <v>105.05882352941177</v>
      </c>
      <c r="AM54" s="182">
        <f t="shared" si="45"/>
        <v>1</v>
      </c>
      <c r="AN54" s="632"/>
      <c r="AO54" s="188">
        <v>17</v>
      </c>
      <c r="AP54" s="188">
        <v>1788</v>
      </c>
      <c r="AQ54" s="185">
        <f t="shared" si="36"/>
        <v>105.17647058823529</v>
      </c>
      <c r="AR54" s="182">
        <f t="shared" si="46"/>
        <v>1</v>
      </c>
      <c r="AS54" s="632"/>
      <c r="AT54" s="188">
        <v>17</v>
      </c>
      <c r="AU54" s="188">
        <v>1788</v>
      </c>
      <c r="AV54" s="185">
        <f t="shared" si="37"/>
        <v>105.17647058823529</v>
      </c>
      <c r="AW54" s="182">
        <f t="shared" si="47"/>
        <v>1</v>
      </c>
      <c r="AX54" s="632"/>
    </row>
    <row r="55" spans="2:50" ht="14.25" customHeight="1">
      <c r="B55" s="631"/>
      <c r="C55" s="180">
        <v>9</v>
      </c>
      <c r="D55" s="183"/>
      <c r="E55" s="180"/>
      <c r="F55" s="180"/>
      <c r="G55" s="185"/>
      <c r="H55" s="632"/>
      <c r="I55" s="186"/>
      <c r="J55" s="186"/>
      <c r="K55" s="187"/>
      <c r="L55" s="633"/>
      <c r="M55" s="186"/>
      <c r="N55" s="631"/>
      <c r="O55" s="631"/>
      <c r="P55" s="188"/>
      <c r="Q55" s="188"/>
      <c r="R55" s="185"/>
      <c r="S55" s="182"/>
      <c r="T55" s="632"/>
      <c r="U55" s="188"/>
      <c r="V55" s="188"/>
      <c r="W55" s="185"/>
      <c r="X55" s="182"/>
      <c r="Y55" s="632"/>
      <c r="Z55" s="188"/>
      <c r="AA55" s="188"/>
      <c r="AB55" s="185"/>
      <c r="AC55" s="182"/>
      <c r="AD55" s="632"/>
      <c r="AE55" s="188"/>
      <c r="AF55" s="188"/>
      <c r="AG55" s="185"/>
      <c r="AH55" s="182"/>
      <c r="AI55" s="632"/>
      <c r="AJ55" s="188"/>
      <c r="AK55" s="188"/>
      <c r="AL55" s="185"/>
      <c r="AM55" s="182"/>
      <c r="AN55" s="632"/>
      <c r="AO55" s="188"/>
      <c r="AP55" s="188"/>
      <c r="AQ55" s="185"/>
      <c r="AR55" s="182"/>
      <c r="AS55" s="632"/>
      <c r="AT55" s="188"/>
      <c r="AU55" s="188"/>
      <c r="AV55" s="185"/>
      <c r="AW55" s="182"/>
      <c r="AX55" s="632"/>
    </row>
    <row r="56" spans="2:50" ht="14.25" customHeight="1">
      <c r="B56" s="631"/>
      <c r="C56" s="180">
        <v>10</v>
      </c>
      <c r="D56" s="183"/>
      <c r="E56" s="180"/>
      <c r="F56" s="180"/>
      <c r="G56" s="185"/>
      <c r="H56" s="632"/>
      <c r="I56" s="186"/>
      <c r="J56" s="186"/>
      <c r="K56" s="187"/>
      <c r="L56" s="633"/>
      <c r="M56" s="186"/>
      <c r="N56" s="631"/>
      <c r="O56" s="631"/>
      <c r="P56" s="188"/>
      <c r="Q56" s="188"/>
      <c r="R56" s="185"/>
      <c r="S56" s="182"/>
      <c r="T56" s="632"/>
      <c r="U56" s="188"/>
      <c r="V56" s="188"/>
      <c r="W56" s="185"/>
      <c r="X56" s="182"/>
      <c r="Y56" s="632"/>
      <c r="Z56" s="188"/>
      <c r="AA56" s="188"/>
      <c r="AB56" s="185"/>
      <c r="AC56" s="182"/>
      <c r="AD56" s="632"/>
      <c r="AE56" s="188"/>
      <c r="AF56" s="188"/>
      <c r="AG56" s="185"/>
      <c r="AH56" s="182"/>
      <c r="AI56" s="632"/>
      <c r="AJ56" s="188"/>
      <c r="AK56" s="188"/>
      <c r="AL56" s="185"/>
      <c r="AM56" s="182"/>
      <c r="AN56" s="632"/>
      <c r="AO56" s="188"/>
      <c r="AP56" s="188"/>
      <c r="AQ56" s="185"/>
      <c r="AR56" s="182"/>
      <c r="AS56" s="632"/>
      <c r="AT56" s="188"/>
      <c r="AU56" s="188"/>
      <c r="AV56" s="185"/>
      <c r="AW56" s="182"/>
      <c r="AX56" s="632"/>
    </row>
    <row r="57" spans="2:50" ht="14.25" customHeight="1">
      <c r="B57" s="631"/>
      <c r="C57" s="180">
        <v>11</v>
      </c>
      <c r="D57" s="183"/>
      <c r="E57" s="180"/>
      <c r="F57" s="180"/>
      <c r="G57" s="185"/>
      <c r="H57" s="632"/>
      <c r="I57" s="186"/>
      <c r="J57" s="186"/>
      <c r="K57" s="187"/>
      <c r="L57" s="633"/>
      <c r="M57" s="186"/>
      <c r="N57" s="631"/>
      <c r="O57" s="631"/>
      <c r="P57" s="188"/>
      <c r="Q57" s="188"/>
      <c r="R57" s="185"/>
      <c r="S57" s="182"/>
      <c r="T57" s="632"/>
      <c r="U57" s="188"/>
      <c r="V57" s="188"/>
      <c r="W57" s="185"/>
      <c r="X57" s="182"/>
      <c r="Y57" s="632"/>
      <c r="Z57" s="188"/>
      <c r="AA57" s="188"/>
      <c r="AB57" s="185"/>
      <c r="AC57" s="182"/>
      <c r="AD57" s="632"/>
      <c r="AE57" s="188"/>
      <c r="AF57" s="188"/>
      <c r="AG57" s="185"/>
      <c r="AH57" s="182"/>
      <c r="AI57" s="632"/>
      <c r="AJ57" s="188"/>
      <c r="AK57" s="188"/>
      <c r="AL57" s="185"/>
      <c r="AM57" s="182"/>
      <c r="AN57" s="632"/>
      <c r="AO57" s="188"/>
      <c r="AP57" s="188"/>
      <c r="AQ57" s="185"/>
      <c r="AR57" s="182"/>
      <c r="AS57" s="632"/>
      <c r="AT57" s="188"/>
      <c r="AU57" s="188"/>
      <c r="AV57" s="185"/>
      <c r="AW57" s="182"/>
      <c r="AX57" s="632"/>
    </row>
    <row r="58" spans="2:50" ht="14.25" customHeight="1">
      <c r="B58" s="631"/>
      <c r="C58" s="180">
        <v>12</v>
      </c>
      <c r="D58" s="183"/>
      <c r="E58" s="180"/>
      <c r="F58" s="180"/>
      <c r="G58" s="185"/>
      <c r="H58" s="632"/>
      <c r="I58" s="186"/>
      <c r="J58" s="186"/>
      <c r="K58" s="187"/>
      <c r="L58" s="633"/>
      <c r="M58" s="186"/>
      <c r="N58" s="631"/>
      <c r="O58" s="631"/>
      <c r="P58" s="188"/>
      <c r="Q58" s="188"/>
      <c r="R58" s="185"/>
      <c r="S58" s="182"/>
      <c r="T58" s="632"/>
      <c r="U58" s="188"/>
      <c r="V58" s="188"/>
      <c r="W58" s="185"/>
      <c r="X58" s="182"/>
      <c r="Y58" s="632"/>
      <c r="Z58" s="188"/>
      <c r="AA58" s="188"/>
      <c r="AB58" s="185"/>
      <c r="AC58" s="182"/>
      <c r="AD58" s="632"/>
      <c r="AE58" s="188"/>
      <c r="AF58" s="188"/>
      <c r="AG58" s="185"/>
      <c r="AH58" s="182"/>
      <c r="AI58" s="632"/>
      <c r="AJ58" s="188"/>
      <c r="AK58" s="188"/>
      <c r="AL58" s="185"/>
      <c r="AM58" s="182"/>
      <c r="AN58" s="632"/>
      <c r="AO58" s="188"/>
      <c r="AP58" s="188"/>
      <c r="AQ58" s="185"/>
      <c r="AR58" s="182"/>
      <c r="AS58" s="632"/>
      <c r="AT58" s="188"/>
      <c r="AU58" s="188"/>
      <c r="AV58" s="185"/>
      <c r="AW58" s="182"/>
      <c r="AX58" s="632"/>
    </row>
    <row r="59" spans="2:50" ht="14.25" customHeight="1">
      <c r="B59" s="631"/>
      <c r="C59" s="180">
        <v>13</v>
      </c>
      <c r="D59" s="183"/>
      <c r="E59" s="180"/>
      <c r="F59" s="180"/>
      <c r="G59" s="185"/>
      <c r="H59" s="632"/>
      <c r="I59" s="186"/>
      <c r="J59" s="186"/>
      <c r="K59" s="187"/>
      <c r="L59" s="633"/>
      <c r="M59" s="186"/>
      <c r="N59" s="631"/>
      <c r="O59" s="631"/>
      <c r="P59" s="188"/>
      <c r="Q59" s="188"/>
      <c r="R59" s="185"/>
      <c r="S59" s="182"/>
      <c r="T59" s="632"/>
      <c r="U59" s="188"/>
      <c r="V59" s="188"/>
      <c r="W59" s="185"/>
      <c r="X59" s="182"/>
      <c r="Y59" s="632"/>
      <c r="Z59" s="188"/>
      <c r="AA59" s="188"/>
      <c r="AB59" s="185"/>
      <c r="AC59" s="182"/>
      <c r="AD59" s="632"/>
      <c r="AE59" s="188"/>
      <c r="AF59" s="188"/>
      <c r="AG59" s="185"/>
      <c r="AH59" s="182"/>
      <c r="AI59" s="632"/>
      <c r="AJ59" s="188"/>
      <c r="AK59" s="188"/>
      <c r="AL59" s="185"/>
      <c r="AM59" s="182"/>
      <c r="AN59" s="632"/>
      <c r="AO59" s="188"/>
      <c r="AP59" s="188"/>
      <c r="AQ59" s="185"/>
      <c r="AR59" s="182"/>
      <c r="AS59" s="632"/>
      <c r="AT59" s="188"/>
      <c r="AU59" s="188"/>
      <c r="AV59" s="185"/>
      <c r="AW59" s="182"/>
      <c r="AX59" s="632"/>
    </row>
    <row r="60" spans="2:50" ht="14.25" customHeight="1">
      <c r="B60" s="631"/>
      <c r="C60" s="180">
        <v>14</v>
      </c>
      <c r="D60" s="183"/>
      <c r="E60" s="180"/>
      <c r="F60" s="180"/>
      <c r="G60" s="185"/>
      <c r="H60" s="632"/>
      <c r="I60" s="186"/>
      <c r="J60" s="186"/>
      <c r="K60" s="187"/>
      <c r="L60" s="633"/>
      <c r="M60" s="186"/>
      <c r="N60" s="631"/>
      <c r="O60" s="631"/>
      <c r="P60" s="188"/>
      <c r="Q60" s="188"/>
      <c r="R60" s="185"/>
      <c r="S60" s="182"/>
      <c r="T60" s="632"/>
      <c r="U60" s="188"/>
      <c r="V60" s="188"/>
      <c r="W60" s="185"/>
      <c r="X60" s="182"/>
      <c r="Y60" s="632"/>
      <c r="Z60" s="188"/>
      <c r="AA60" s="188"/>
      <c r="AB60" s="185"/>
      <c r="AC60" s="182"/>
      <c r="AD60" s="632"/>
      <c r="AE60" s="188"/>
      <c r="AF60" s="188"/>
      <c r="AG60" s="185"/>
      <c r="AH60" s="182"/>
      <c r="AI60" s="632"/>
      <c r="AJ60" s="188"/>
      <c r="AK60" s="188"/>
      <c r="AL60" s="185"/>
      <c r="AM60" s="182"/>
      <c r="AN60" s="632"/>
      <c r="AO60" s="188"/>
      <c r="AP60" s="188"/>
      <c r="AQ60" s="185"/>
      <c r="AR60" s="182"/>
      <c r="AS60" s="632"/>
      <c r="AT60" s="188"/>
      <c r="AU60" s="188"/>
      <c r="AV60" s="185"/>
      <c r="AW60" s="182"/>
      <c r="AX60" s="632"/>
    </row>
    <row r="61" spans="2:50" ht="14.25" customHeight="1">
      <c r="B61" s="631"/>
      <c r="C61" s="180">
        <v>15</v>
      </c>
      <c r="D61" s="183"/>
      <c r="E61" s="180"/>
      <c r="F61" s="180"/>
      <c r="G61" s="185"/>
      <c r="H61" s="632"/>
      <c r="I61" s="186"/>
      <c r="J61" s="186"/>
      <c r="K61" s="187"/>
      <c r="L61" s="633"/>
      <c r="M61" s="186"/>
      <c r="N61" s="631"/>
      <c r="O61" s="631"/>
      <c r="P61" s="188"/>
      <c r="Q61" s="188"/>
      <c r="R61" s="185"/>
      <c r="S61" s="182"/>
      <c r="T61" s="632"/>
      <c r="U61" s="188"/>
      <c r="V61" s="188"/>
      <c r="W61" s="185"/>
      <c r="X61" s="182"/>
      <c r="Y61" s="632"/>
      <c r="Z61" s="188"/>
      <c r="AA61" s="188"/>
      <c r="AB61" s="185"/>
      <c r="AC61" s="182"/>
      <c r="AD61" s="632"/>
      <c r="AE61" s="188"/>
      <c r="AF61" s="188"/>
      <c r="AG61" s="185"/>
      <c r="AH61" s="182"/>
      <c r="AI61" s="632"/>
      <c r="AJ61" s="188"/>
      <c r="AK61" s="188"/>
      <c r="AL61" s="185"/>
      <c r="AM61" s="182"/>
      <c r="AN61" s="632"/>
      <c r="AO61" s="188"/>
      <c r="AP61" s="188"/>
      <c r="AQ61" s="185"/>
      <c r="AR61" s="182"/>
      <c r="AS61" s="632"/>
      <c r="AT61" s="188"/>
      <c r="AU61" s="188"/>
      <c r="AV61" s="185"/>
      <c r="AW61" s="182"/>
      <c r="AX61" s="632"/>
    </row>
    <row r="62" spans="2:50" ht="14.25" customHeight="1">
      <c r="B62" s="646" t="s">
        <v>783</v>
      </c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647"/>
      <c r="N62" s="664" t="s">
        <v>369</v>
      </c>
      <c r="O62" s="664" t="s">
        <v>105</v>
      </c>
      <c r="P62" s="666">
        <v>46161</v>
      </c>
      <c r="Q62" s="667"/>
      <c r="R62" s="667"/>
      <c r="S62" s="667"/>
      <c r="T62" s="667"/>
      <c r="U62" s="668">
        <v>46162</v>
      </c>
      <c r="V62" s="669"/>
      <c r="W62" s="669"/>
      <c r="X62" s="669"/>
      <c r="Y62" s="669"/>
      <c r="Z62" s="666">
        <v>46163</v>
      </c>
      <c r="AA62" s="667"/>
      <c r="AB62" s="667"/>
      <c r="AC62" s="667"/>
      <c r="AD62" s="667"/>
      <c r="AE62" s="668">
        <v>46164</v>
      </c>
      <c r="AF62" s="669"/>
      <c r="AG62" s="669"/>
      <c r="AH62" s="669"/>
      <c r="AI62" s="669"/>
      <c r="AJ62" s="656">
        <v>46165</v>
      </c>
      <c r="AK62" s="657"/>
      <c r="AL62" s="657"/>
      <c r="AM62" s="657"/>
      <c r="AN62" s="658"/>
      <c r="AO62" s="668">
        <v>46166</v>
      </c>
      <c r="AP62" s="669"/>
      <c r="AQ62" s="669"/>
      <c r="AR62" s="669"/>
      <c r="AS62" s="669"/>
      <c r="AT62" s="656">
        <v>46167</v>
      </c>
      <c r="AU62" s="657"/>
      <c r="AV62" s="657"/>
      <c r="AW62" s="657"/>
      <c r="AX62" s="65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65"/>
      <c r="O63" s="665"/>
      <c r="P63" s="659">
        <v>46161</v>
      </c>
      <c r="Q63" s="659"/>
      <c r="R63" s="659"/>
      <c r="S63" s="659"/>
      <c r="T63" s="659"/>
      <c r="U63" s="660">
        <v>46162</v>
      </c>
      <c r="V63" s="660"/>
      <c r="W63" s="660"/>
      <c r="X63" s="660"/>
      <c r="Y63" s="660"/>
      <c r="Z63" s="659">
        <v>46163</v>
      </c>
      <c r="AA63" s="659"/>
      <c r="AB63" s="659"/>
      <c r="AC63" s="659"/>
      <c r="AD63" s="659"/>
      <c r="AE63" s="660">
        <v>46164</v>
      </c>
      <c r="AF63" s="660"/>
      <c r="AG63" s="660"/>
      <c r="AH63" s="660"/>
      <c r="AI63" s="660"/>
      <c r="AJ63" s="661">
        <v>46165</v>
      </c>
      <c r="AK63" s="662"/>
      <c r="AL63" s="662"/>
      <c r="AM63" s="662"/>
      <c r="AN63" s="663"/>
      <c r="AO63" s="660">
        <v>46166</v>
      </c>
      <c r="AP63" s="660"/>
      <c r="AQ63" s="660"/>
      <c r="AR63" s="660"/>
      <c r="AS63" s="660"/>
      <c r="AT63" s="661">
        <v>46167</v>
      </c>
      <c r="AU63" s="662"/>
      <c r="AV63" s="662"/>
      <c r="AW63" s="662"/>
      <c r="AX63" s="663"/>
    </row>
    <row r="64" spans="2:50" ht="14.25" customHeight="1">
      <c r="B64" s="631" t="s">
        <v>162</v>
      </c>
      <c r="C64" s="631" t="s">
        <v>157</v>
      </c>
      <c r="D64" s="631"/>
      <c r="E64" s="631" t="s">
        <v>158</v>
      </c>
      <c r="F64" s="631"/>
      <c r="G64" s="631"/>
      <c r="H64" s="631" t="s">
        <v>163</v>
      </c>
      <c r="I64" s="635" t="s">
        <v>370</v>
      </c>
      <c r="J64" s="635"/>
      <c r="K64" s="635"/>
      <c r="L64" s="635" t="s">
        <v>163</v>
      </c>
      <c r="M64" s="635" t="s">
        <v>165</v>
      </c>
      <c r="N64" s="631"/>
      <c r="O64" s="631" t="s">
        <v>164</v>
      </c>
      <c r="P64" s="631" t="s">
        <v>160</v>
      </c>
      <c r="Q64" s="631"/>
      <c r="R64" s="631"/>
      <c r="S64" s="631"/>
      <c r="T64" s="631" t="s">
        <v>163</v>
      </c>
      <c r="U64" s="631" t="s">
        <v>160</v>
      </c>
      <c r="V64" s="631"/>
      <c r="W64" s="631"/>
      <c r="X64" s="631"/>
      <c r="Y64" s="631" t="s">
        <v>163</v>
      </c>
      <c r="Z64" s="631" t="s">
        <v>160</v>
      </c>
      <c r="AA64" s="631"/>
      <c r="AB64" s="631"/>
      <c r="AC64" s="631"/>
      <c r="AD64" s="631" t="s">
        <v>163</v>
      </c>
      <c r="AE64" s="631" t="s">
        <v>160</v>
      </c>
      <c r="AF64" s="631"/>
      <c r="AG64" s="631"/>
      <c r="AH64" s="631"/>
      <c r="AI64" s="631" t="s">
        <v>163</v>
      </c>
      <c r="AJ64" s="631" t="s">
        <v>160</v>
      </c>
      <c r="AK64" s="631"/>
      <c r="AL64" s="631"/>
      <c r="AM64" s="631"/>
      <c r="AN64" s="631" t="s">
        <v>163</v>
      </c>
      <c r="AO64" s="631" t="s">
        <v>160</v>
      </c>
      <c r="AP64" s="631"/>
      <c r="AQ64" s="631"/>
      <c r="AR64" s="631"/>
      <c r="AS64" s="631" t="s">
        <v>163</v>
      </c>
      <c r="AT64" s="631" t="s">
        <v>160</v>
      </c>
      <c r="AU64" s="631"/>
      <c r="AV64" s="631"/>
      <c r="AW64" s="631"/>
      <c r="AX64" s="631" t="s">
        <v>163</v>
      </c>
    </row>
    <row r="65" spans="2:50" ht="14.25" customHeight="1">
      <c r="B65" s="631"/>
      <c r="C65" s="631"/>
      <c r="D65" s="631"/>
      <c r="E65" s="631" t="s">
        <v>371</v>
      </c>
      <c r="F65" s="631"/>
      <c r="G65" s="631"/>
      <c r="H65" s="631"/>
      <c r="I65" s="635" t="s">
        <v>371</v>
      </c>
      <c r="J65" s="635"/>
      <c r="K65" s="635"/>
      <c r="L65" s="635"/>
      <c r="M65" s="635"/>
      <c r="N65" s="631"/>
      <c r="O65" s="631"/>
      <c r="P65" s="631" t="s">
        <v>372</v>
      </c>
      <c r="Q65" s="631"/>
      <c r="R65" s="631"/>
      <c r="S65" s="631"/>
      <c r="T65" s="631"/>
      <c r="U65" s="631" t="s">
        <v>372</v>
      </c>
      <c r="V65" s="631"/>
      <c r="W65" s="631"/>
      <c r="X65" s="631"/>
      <c r="Y65" s="631"/>
      <c r="Z65" s="631" t="s">
        <v>372</v>
      </c>
      <c r="AA65" s="631"/>
      <c r="AB65" s="631"/>
      <c r="AC65" s="631"/>
      <c r="AD65" s="631"/>
      <c r="AE65" s="631" t="s">
        <v>372</v>
      </c>
      <c r="AF65" s="631"/>
      <c r="AG65" s="631"/>
      <c r="AH65" s="631"/>
      <c r="AI65" s="631"/>
      <c r="AJ65" s="631" t="s">
        <v>372</v>
      </c>
      <c r="AK65" s="631"/>
      <c r="AL65" s="631"/>
      <c r="AM65" s="631"/>
      <c r="AN65" s="631"/>
      <c r="AO65" s="631" t="s">
        <v>372</v>
      </c>
      <c r="AP65" s="631"/>
      <c r="AQ65" s="631"/>
      <c r="AR65" s="631"/>
      <c r="AS65" s="631"/>
      <c r="AT65" s="631" t="s">
        <v>372</v>
      </c>
      <c r="AU65" s="631"/>
      <c r="AV65" s="631"/>
      <c r="AW65" s="631"/>
      <c r="AX65" s="631"/>
    </row>
    <row r="66" spans="2:50" ht="14.25" customHeight="1">
      <c r="B66" s="631"/>
      <c r="C66" s="631"/>
      <c r="D66" s="631"/>
      <c r="E66" s="180" t="s">
        <v>159</v>
      </c>
      <c r="F66" s="180" t="s">
        <v>373</v>
      </c>
      <c r="G66" s="180" t="s">
        <v>161</v>
      </c>
      <c r="H66" s="631"/>
      <c r="I66" s="181" t="s">
        <v>159</v>
      </c>
      <c r="J66" s="181" t="s">
        <v>373</v>
      </c>
      <c r="K66" s="181" t="s">
        <v>161</v>
      </c>
      <c r="L66" s="635"/>
      <c r="M66" s="635"/>
      <c r="N66" s="631"/>
      <c r="O66" s="631"/>
      <c r="P66" s="180" t="s">
        <v>159</v>
      </c>
      <c r="Q66" s="180" t="s">
        <v>373</v>
      </c>
      <c r="R66" s="180" t="s">
        <v>161</v>
      </c>
      <c r="S66" s="182" t="s">
        <v>165</v>
      </c>
      <c r="T66" s="631"/>
      <c r="U66" s="180" t="s">
        <v>159</v>
      </c>
      <c r="V66" s="180" t="s">
        <v>373</v>
      </c>
      <c r="W66" s="180" t="s">
        <v>161</v>
      </c>
      <c r="X66" s="182" t="s">
        <v>165</v>
      </c>
      <c r="Y66" s="631"/>
      <c r="Z66" s="180" t="s">
        <v>159</v>
      </c>
      <c r="AA66" s="180" t="s">
        <v>373</v>
      </c>
      <c r="AB66" s="180" t="s">
        <v>161</v>
      </c>
      <c r="AC66" s="182" t="s">
        <v>165</v>
      </c>
      <c r="AD66" s="631"/>
      <c r="AE66" s="180" t="s">
        <v>159</v>
      </c>
      <c r="AF66" s="180" t="s">
        <v>373</v>
      </c>
      <c r="AG66" s="180" t="s">
        <v>161</v>
      </c>
      <c r="AH66" s="182" t="s">
        <v>165</v>
      </c>
      <c r="AI66" s="631"/>
      <c r="AJ66" s="180" t="s">
        <v>159</v>
      </c>
      <c r="AK66" s="180" t="s">
        <v>373</v>
      </c>
      <c r="AL66" s="180" t="s">
        <v>161</v>
      </c>
      <c r="AM66" s="182" t="s">
        <v>165</v>
      </c>
      <c r="AN66" s="631"/>
      <c r="AO66" s="180" t="s">
        <v>159</v>
      </c>
      <c r="AP66" s="180" t="s">
        <v>373</v>
      </c>
      <c r="AQ66" s="180" t="s">
        <v>161</v>
      </c>
      <c r="AR66" s="182" t="s">
        <v>165</v>
      </c>
      <c r="AS66" s="631"/>
      <c r="AT66" s="180" t="s">
        <v>159</v>
      </c>
      <c r="AU66" s="180" t="s">
        <v>373</v>
      </c>
      <c r="AV66" s="180" t="s">
        <v>161</v>
      </c>
      <c r="AW66" s="182" t="s">
        <v>165</v>
      </c>
      <c r="AX66" s="631"/>
    </row>
    <row r="67" spans="2:50" ht="14.25" customHeight="1">
      <c r="B67" s="631" t="s">
        <v>350</v>
      </c>
      <c r="C67" s="180">
        <v>1</v>
      </c>
      <c r="D67" s="183" t="s">
        <v>344</v>
      </c>
      <c r="E67" s="180">
        <v>24</v>
      </c>
      <c r="F67" s="180">
        <v>2000</v>
      </c>
      <c r="G67" s="185">
        <f t="shared" ref="G67:G73" si="48">F67/E67</f>
        <v>83.333333333333329</v>
      </c>
      <c r="H67" s="632">
        <f>AVERAGE(G67:G81)</f>
        <v>91.57547076801734</v>
      </c>
      <c r="I67" s="186">
        <f>AVERAGE(P67,U67,Z67,AE67,AJ67,AO67,AT67)</f>
        <v>24</v>
      </c>
      <c r="J67" s="186">
        <f>AVERAGE(Q67,V67,AA67,AF67,AK67,AP67,AU67)</f>
        <v>1790.0194005157189</v>
      </c>
      <c r="K67" s="187">
        <f>AVERAGE(R67,W67,AB67,AG67,AL67,AQ67,AV67)</f>
        <v>74.584141688154958</v>
      </c>
      <c r="L67" s="633">
        <f>IFERROR(AVERAGE(K67:K81),"-")</f>
        <v>83.406868784822322</v>
      </c>
      <c r="M67" s="186">
        <f>RANK(K67, K$67:$K$81)</f>
        <v>7</v>
      </c>
      <c r="N67" s="631"/>
      <c r="O67" s="631"/>
      <c r="P67" s="188">
        <v>24</v>
      </c>
      <c r="Q67" s="188">
        <v>1789.1622576585764</v>
      </c>
      <c r="R67" s="185">
        <f>IFERROR(Q67/P67,"")</f>
        <v>74.54842740244068</v>
      </c>
      <c r="S67" s="182">
        <f>RANK(R67, R$67:R$81)</f>
        <v>7</v>
      </c>
      <c r="T67" s="632">
        <f>AVERAGE(R67:R81)</f>
        <v>83.378618838297683</v>
      </c>
      <c r="U67" s="188">
        <v>24</v>
      </c>
      <c r="V67" s="188">
        <v>1789.7622576585761</v>
      </c>
      <c r="W67" s="185">
        <f t="shared" ref="W67:W73" si="49">IFERROR(V67/U67,"")</f>
        <v>74.573427402440672</v>
      </c>
      <c r="X67" s="182">
        <f>RANK(W67, W$67:W$81)</f>
        <v>7</v>
      </c>
      <c r="Y67" s="632">
        <f>AVERAGE(W67:W81)</f>
        <v>83.379776779735124</v>
      </c>
      <c r="Z67" s="188">
        <v>24</v>
      </c>
      <c r="AA67" s="188">
        <v>1790.7622576585759</v>
      </c>
      <c r="AB67" s="185">
        <f t="shared" ref="AB67:AB73" si="50">IFERROR(AA67/Z67,"")</f>
        <v>74.615094069107329</v>
      </c>
      <c r="AC67" s="182">
        <f>RANK(AB67, AB$67:AB$81)</f>
        <v>7</v>
      </c>
      <c r="AD67" s="632">
        <f>AVERAGE(AB67:AB81)</f>
        <v>83.409242914014925</v>
      </c>
      <c r="AE67" s="188">
        <v>24</v>
      </c>
      <c r="AF67" s="188">
        <v>1789.9622576585759</v>
      </c>
      <c r="AG67" s="185">
        <f>IFERROR(AF67/AE67,"")</f>
        <v>74.581760735773997</v>
      </c>
      <c r="AH67" s="182">
        <f>RANK(AG67, AG$67:AG$81)</f>
        <v>7</v>
      </c>
      <c r="AI67" s="632">
        <f>AVERAGE(AG67:AG81)</f>
        <v>83.415590148560909</v>
      </c>
      <c r="AJ67" s="188">
        <v>24</v>
      </c>
      <c r="AK67" s="188">
        <v>1789.3622576585763</v>
      </c>
      <c r="AL67" s="185">
        <f t="shared" ref="AL67:AL73" si="51">IFERROR(AK67/AJ67,"")</f>
        <v>74.556760735774006</v>
      </c>
      <c r="AM67" s="182">
        <f>RANK(AL67, AL$67:AL$81)</f>
        <v>7</v>
      </c>
      <c r="AN67" s="632">
        <f>AVERAGE(AL67:AL81)</f>
        <v>83.40712076080581</v>
      </c>
      <c r="AO67" s="188">
        <v>24</v>
      </c>
      <c r="AP67" s="188">
        <v>1790.1622576585758</v>
      </c>
      <c r="AQ67" s="185">
        <f t="shared" ref="AQ67:AQ73" si="52">IFERROR(AP67/AO67,"")</f>
        <v>74.590094069107323</v>
      </c>
      <c r="AR67" s="182">
        <f>RANK(AQ67, AQ$67:AQ$81)</f>
        <v>7</v>
      </c>
      <c r="AS67" s="632">
        <f>AVERAGE(AQ67:AQ81)</f>
        <v>83.425908321349795</v>
      </c>
      <c r="AT67" s="188">
        <v>24</v>
      </c>
      <c r="AU67" s="188">
        <v>1790.9622576585759</v>
      </c>
      <c r="AV67" s="185">
        <f t="shared" ref="AV67:AV73" si="53">IFERROR(AU67/AT67,"")</f>
        <v>74.623427402440669</v>
      </c>
      <c r="AW67" s="182">
        <f>RANK(AV67, AV$67:AV$81)</f>
        <v>7</v>
      </c>
      <c r="AX67" s="632">
        <f>AVERAGE(AV67:AV81)</f>
        <v>83.431823730991908</v>
      </c>
    </row>
    <row r="68" spans="2:50" ht="14.25" customHeight="1">
      <c r="B68" s="631"/>
      <c r="C68" s="180">
        <v>2</v>
      </c>
      <c r="D68" s="183" t="s">
        <v>343</v>
      </c>
      <c r="E68" s="180">
        <v>23</v>
      </c>
      <c r="F68" s="180">
        <v>2000</v>
      </c>
      <c r="G68" s="185">
        <f t="shared" si="48"/>
        <v>86.956521739130437</v>
      </c>
      <c r="H68" s="632"/>
      <c r="I68" s="186">
        <f t="shared" ref="I68:K73" si="54">AVERAGE(P68,U68,Z68,AE68,AJ68,AO68,AT68)</f>
        <v>23</v>
      </c>
      <c r="J68" s="186">
        <f t="shared" si="54"/>
        <v>1788.8857142857123</v>
      </c>
      <c r="K68" s="187">
        <f t="shared" si="54"/>
        <v>77.777639751552698</v>
      </c>
      <c r="L68" s="633"/>
      <c r="M68" s="186">
        <f>RANK(K68, K$67:$K$81)</f>
        <v>4</v>
      </c>
      <c r="N68" s="631"/>
      <c r="O68" s="631"/>
      <c r="P68" s="188">
        <v>23</v>
      </c>
      <c r="Q68" s="188">
        <v>1788.5999999999979</v>
      </c>
      <c r="R68" s="185">
        <f t="shared" ref="R68:R73" si="55">IFERROR(Q68/P68,"")</f>
        <v>77.765217391304262</v>
      </c>
      <c r="S68" s="182">
        <f t="shared" ref="S68:S73" si="56">RANK(R68, R$67:R$81)</f>
        <v>3</v>
      </c>
      <c r="T68" s="632"/>
      <c r="U68" s="188">
        <v>23</v>
      </c>
      <c r="V68" s="188">
        <v>1788.7999999999981</v>
      </c>
      <c r="W68" s="185">
        <f t="shared" si="49"/>
        <v>77.773913043478174</v>
      </c>
      <c r="X68" s="182">
        <f t="shared" ref="X68:X73" si="57">RANK(W68, W$67:W$81)</f>
        <v>3</v>
      </c>
      <c r="Y68" s="632"/>
      <c r="Z68" s="188">
        <v>23</v>
      </c>
      <c r="AA68" s="188">
        <v>1789.5999999999979</v>
      </c>
      <c r="AB68" s="185">
        <f t="shared" si="50"/>
        <v>77.808695652173824</v>
      </c>
      <c r="AC68" s="182">
        <f t="shared" ref="AC68:AC73" si="58">RANK(AB68, AB$67:AB$81)</f>
        <v>3</v>
      </c>
      <c r="AD68" s="632"/>
      <c r="AE68" s="188">
        <v>23</v>
      </c>
      <c r="AF68" s="188">
        <v>1789.199999999998</v>
      </c>
      <c r="AG68" s="185">
        <f t="shared" ref="AG68:AG73" si="59">IFERROR(AF68/AE68,"")</f>
        <v>77.791304347825999</v>
      </c>
      <c r="AH68" s="182">
        <f t="shared" ref="AH68:AH73" si="60">RANK(AG68, AG$67:AG$81)</f>
        <v>3</v>
      </c>
      <c r="AI68" s="632"/>
      <c r="AJ68" s="188">
        <v>23</v>
      </c>
      <c r="AK68" s="188">
        <v>1788.399999999998</v>
      </c>
      <c r="AL68" s="185">
        <f t="shared" si="51"/>
        <v>77.756521739130349</v>
      </c>
      <c r="AM68" s="182">
        <f t="shared" ref="AM68:AM73" si="61">RANK(AL68, AL$67:AL$81)</f>
        <v>5</v>
      </c>
      <c r="AN68" s="632"/>
      <c r="AO68" s="188">
        <v>23</v>
      </c>
      <c r="AP68" s="188">
        <v>1788.999999999998</v>
      </c>
      <c r="AQ68" s="185">
        <f t="shared" si="52"/>
        <v>77.782608695652087</v>
      </c>
      <c r="AR68" s="182">
        <f t="shared" ref="AR68:AR73" si="62">RANK(AQ68, AQ$67:AQ$81)</f>
        <v>5</v>
      </c>
      <c r="AS68" s="632"/>
      <c r="AT68" s="188">
        <v>23</v>
      </c>
      <c r="AU68" s="188">
        <v>1788.5999999999976</v>
      </c>
      <c r="AV68" s="185">
        <f t="shared" si="53"/>
        <v>77.765217391304247</v>
      </c>
      <c r="AW68" s="182">
        <f t="shared" ref="AW68:AW73" si="63">RANK(AV68, AV$67:AV$81)</f>
        <v>5</v>
      </c>
      <c r="AX68" s="632"/>
    </row>
    <row r="69" spans="2:50" ht="14.25" customHeight="1">
      <c r="B69" s="631"/>
      <c r="C69" s="180">
        <v>3</v>
      </c>
      <c r="D69" s="183" t="s">
        <v>351</v>
      </c>
      <c r="E69" s="180">
        <v>23</v>
      </c>
      <c r="F69" s="180">
        <v>2000</v>
      </c>
      <c r="G69" s="185">
        <f t="shared" si="48"/>
        <v>86.956521739130437</v>
      </c>
      <c r="H69" s="632"/>
      <c r="I69" s="186">
        <f t="shared" si="54"/>
        <v>23</v>
      </c>
      <c r="J69" s="186">
        <f t="shared" si="54"/>
        <v>1788.9036182835127</v>
      </c>
      <c r="K69" s="187">
        <f t="shared" si="54"/>
        <v>77.778418186239691</v>
      </c>
      <c r="L69" s="633"/>
      <c r="M69" s="186">
        <f>RANK(K69, K$67:$K$81)</f>
        <v>3</v>
      </c>
      <c r="N69" s="631"/>
      <c r="O69" s="631"/>
      <c r="P69" s="188">
        <v>23</v>
      </c>
      <c r="Q69" s="188">
        <v>1787.5607611406558</v>
      </c>
      <c r="R69" s="185">
        <f t="shared" si="55"/>
        <v>77.72003309307199</v>
      </c>
      <c r="S69" s="182">
        <f t="shared" si="56"/>
        <v>4</v>
      </c>
      <c r="T69" s="632"/>
      <c r="U69" s="188">
        <v>23</v>
      </c>
      <c r="V69" s="188">
        <v>1787.5607611406558</v>
      </c>
      <c r="W69" s="185">
        <f t="shared" si="49"/>
        <v>77.72003309307199</v>
      </c>
      <c r="X69" s="182">
        <f t="shared" si="57"/>
        <v>4</v>
      </c>
      <c r="Y69" s="632"/>
      <c r="Z69" s="188">
        <v>23</v>
      </c>
      <c r="AA69" s="188">
        <v>1788.5607611406558</v>
      </c>
      <c r="AB69" s="185">
        <f t="shared" si="50"/>
        <v>77.763511353941553</v>
      </c>
      <c r="AC69" s="182">
        <f t="shared" si="58"/>
        <v>4</v>
      </c>
      <c r="AD69" s="632"/>
      <c r="AE69" s="188">
        <v>23</v>
      </c>
      <c r="AF69" s="188">
        <v>1789.1607611406559</v>
      </c>
      <c r="AG69" s="185">
        <f t="shared" si="59"/>
        <v>77.789598310463305</v>
      </c>
      <c r="AH69" s="182">
        <f t="shared" si="60"/>
        <v>4</v>
      </c>
      <c r="AI69" s="632"/>
      <c r="AJ69" s="188">
        <v>23</v>
      </c>
      <c r="AK69" s="188">
        <v>1789.5607611406558</v>
      </c>
      <c r="AL69" s="185">
        <f t="shared" si="51"/>
        <v>77.806989614811116</v>
      </c>
      <c r="AM69" s="182">
        <f t="shared" si="61"/>
        <v>3</v>
      </c>
      <c r="AN69" s="632"/>
      <c r="AO69" s="188">
        <v>23</v>
      </c>
      <c r="AP69" s="188">
        <v>1789.7607611406554</v>
      </c>
      <c r="AQ69" s="185">
        <f t="shared" si="52"/>
        <v>77.815685266985014</v>
      </c>
      <c r="AR69" s="182">
        <f t="shared" si="62"/>
        <v>3</v>
      </c>
      <c r="AS69" s="632"/>
      <c r="AT69" s="188">
        <v>23</v>
      </c>
      <c r="AU69" s="188">
        <v>1790.160761140655</v>
      </c>
      <c r="AV69" s="185">
        <f t="shared" si="53"/>
        <v>77.833076571332825</v>
      </c>
      <c r="AW69" s="182">
        <f t="shared" si="63"/>
        <v>3</v>
      </c>
      <c r="AX69" s="632"/>
    </row>
    <row r="70" spans="2:50" ht="14.25" customHeight="1">
      <c r="B70" s="631"/>
      <c r="C70" s="180">
        <v>4</v>
      </c>
      <c r="D70" s="183" t="s">
        <v>345</v>
      </c>
      <c r="E70" s="180">
        <v>23</v>
      </c>
      <c r="F70" s="180">
        <v>2000</v>
      </c>
      <c r="G70" s="185">
        <f t="shared" si="48"/>
        <v>86.956521739130437</v>
      </c>
      <c r="H70" s="632"/>
      <c r="I70" s="186">
        <f t="shared" si="54"/>
        <v>23</v>
      </c>
      <c r="J70" s="186">
        <f t="shared" si="54"/>
        <v>1787.8857142857134</v>
      </c>
      <c r="K70" s="187">
        <f t="shared" si="54"/>
        <v>77.734161490683206</v>
      </c>
      <c r="L70" s="633"/>
      <c r="M70" s="186">
        <f>RANK(K70, K$67:$K$81)</f>
        <v>5</v>
      </c>
      <c r="N70" s="631"/>
      <c r="O70" s="631"/>
      <c r="P70" s="188">
        <v>23</v>
      </c>
      <c r="Q70" s="188">
        <v>1786.1999999999996</v>
      </c>
      <c r="R70" s="185">
        <f t="shared" si="55"/>
        <v>77.660869565217368</v>
      </c>
      <c r="S70" s="182">
        <f t="shared" si="56"/>
        <v>5</v>
      </c>
      <c r="T70" s="632"/>
      <c r="U70" s="188">
        <v>23</v>
      </c>
      <c r="V70" s="188">
        <v>1786.3999999999994</v>
      </c>
      <c r="W70" s="185">
        <f t="shared" si="49"/>
        <v>77.66956521739128</v>
      </c>
      <c r="X70" s="182">
        <f t="shared" si="57"/>
        <v>5</v>
      </c>
      <c r="Y70" s="632"/>
      <c r="Z70" s="188">
        <v>23</v>
      </c>
      <c r="AA70" s="188">
        <v>1787.3999999999994</v>
      </c>
      <c r="AB70" s="185">
        <f t="shared" si="50"/>
        <v>77.713043478260843</v>
      </c>
      <c r="AC70" s="182">
        <f t="shared" si="58"/>
        <v>5</v>
      </c>
      <c r="AD70" s="632"/>
      <c r="AE70" s="188">
        <v>23</v>
      </c>
      <c r="AF70" s="188">
        <v>1788.1999999999994</v>
      </c>
      <c r="AG70" s="185">
        <f t="shared" si="59"/>
        <v>77.747826086956493</v>
      </c>
      <c r="AH70" s="182">
        <f t="shared" si="60"/>
        <v>5</v>
      </c>
      <c r="AI70" s="632"/>
      <c r="AJ70" s="188">
        <v>23</v>
      </c>
      <c r="AK70" s="188">
        <v>1788.5999999999992</v>
      </c>
      <c r="AL70" s="185">
        <f t="shared" si="51"/>
        <v>77.765217391304319</v>
      </c>
      <c r="AM70" s="182">
        <f t="shared" si="61"/>
        <v>4</v>
      </c>
      <c r="AN70" s="632"/>
      <c r="AO70" s="188">
        <v>23</v>
      </c>
      <c r="AP70" s="188">
        <v>1789.5999999999995</v>
      </c>
      <c r="AQ70" s="185">
        <f t="shared" si="52"/>
        <v>77.808695652173895</v>
      </c>
      <c r="AR70" s="182">
        <f t="shared" si="62"/>
        <v>4</v>
      </c>
      <c r="AS70" s="632"/>
      <c r="AT70" s="188">
        <v>23</v>
      </c>
      <c r="AU70" s="188">
        <v>1788.7999999999997</v>
      </c>
      <c r="AV70" s="185">
        <f t="shared" si="53"/>
        <v>77.773913043478245</v>
      </c>
      <c r="AW70" s="182">
        <f t="shared" si="63"/>
        <v>4</v>
      </c>
      <c r="AX70" s="632"/>
    </row>
    <row r="71" spans="2:50" ht="14.25" customHeight="1">
      <c r="B71" s="631"/>
      <c r="C71" s="180">
        <v>5</v>
      </c>
      <c r="D71" s="183" t="s">
        <v>492</v>
      </c>
      <c r="E71" s="180">
        <v>21</v>
      </c>
      <c r="F71" s="180">
        <v>1800</v>
      </c>
      <c r="G71" s="185">
        <f t="shared" si="48"/>
        <v>85.714285714285708</v>
      </c>
      <c r="H71" s="632"/>
      <c r="I71" s="186">
        <f t="shared" si="54"/>
        <v>21</v>
      </c>
      <c r="J71" s="186">
        <f t="shared" si="54"/>
        <v>1610.5317192509078</v>
      </c>
      <c r="K71" s="187">
        <f t="shared" si="54"/>
        <v>76.691986630995615</v>
      </c>
      <c r="L71" s="633"/>
      <c r="M71" s="186">
        <f>RANK(K71, K$67:$K$81)</f>
        <v>6</v>
      </c>
      <c r="N71" s="631"/>
      <c r="O71" s="631"/>
      <c r="P71" s="188">
        <v>21</v>
      </c>
      <c r="Q71" s="188">
        <v>1610.1550640683083</v>
      </c>
      <c r="R71" s="185">
        <f t="shared" si="55"/>
        <v>76.674050669919438</v>
      </c>
      <c r="S71" s="182">
        <f t="shared" si="56"/>
        <v>6</v>
      </c>
      <c r="T71" s="632"/>
      <c r="U71" s="188">
        <v>21</v>
      </c>
      <c r="V71" s="188">
        <v>1609.4350640683083</v>
      </c>
      <c r="W71" s="185">
        <f t="shared" si="49"/>
        <v>76.639764955633723</v>
      </c>
      <c r="X71" s="182">
        <f t="shared" si="57"/>
        <v>6</v>
      </c>
      <c r="Y71" s="632"/>
      <c r="Z71" s="188">
        <v>21</v>
      </c>
      <c r="AA71" s="188">
        <v>1610.3350640683084</v>
      </c>
      <c r="AB71" s="185">
        <f t="shared" si="50"/>
        <v>76.682622098490882</v>
      </c>
      <c r="AC71" s="182">
        <f t="shared" si="58"/>
        <v>6</v>
      </c>
      <c r="AD71" s="632"/>
      <c r="AE71" s="188">
        <v>21</v>
      </c>
      <c r="AF71" s="188">
        <v>1611.0550640683084</v>
      </c>
      <c r="AG71" s="185">
        <f t="shared" si="59"/>
        <v>76.716907812776597</v>
      </c>
      <c r="AH71" s="182">
        <f t="shared" si="60"/>
        <v>6</v>
      </c>
      <c r="AI71" s="632"/>
      <c r="AJ71" s="188">
        <v>21</v>
      </c>
      <c r="AK71" s="188">
        <v>1610.3350640683088</v>
      </c>
      <c r="AL71" s="185">
        <f t="shared" si="51"/>
        <v>76.682622098490896</v>
      </c>
      <c r="AM71" s="182">
        <f t="shared" si="61"/>
        <v>6</v>
      </c>
      <c r="AN71" s="632"/>
      <c r="AO71" s="188">
        <v>21</v>
      </c>
      <c r="AP71" s="188">
        <v>1610.7533572074055</v>
      </c>
      <c r="AQ71" s="185">
        <f t="shared" si="52"/>
        <v>76.702540819400269</v>
      </c>
      <c r="AR71" s="182">
        <f t="shared" si="62"/>
        <v>6</v>
      </c>
      <c r="AS71" s="632"/>
      <c r="AT71" s="188">
        <v>21</v>
      </c>
      <c r="AU71" s="188">
        <v>1611.6533572074056</v>
      </c>
      <c r="AV71" s="185">
        <f t="shared" si="53"/>
        <v>76.745397962257414</v>
      </c>
      <c r="AW71" s="182">
        <f t="shared" si="63"/>
        <v>6</v>
      </c>
      <c r="AX71" s="632"/>
    </row>
    <row r="72" spans="2:50" ht="14.25" customHeight="1">
      <c r="B72" s="631"/>
      <c r="C72" s="180">
        <v>6</v>
      </c>
      <c r="D72" s="183" t="s">
        <v>493</v>
      </c>
      <c r="E72" s="180">
        <v>20</v>
      </c>
      <c r="F72" s="180">
        <v>2000</v>
      </c>
      <c r="G72" s="185">
        <f t="shared" si="48"/>
        <v>100</v>
      </c>
      <c r="H72" s="632"/>
      <c r="I72" s="186">
        <f t="shared" si="54"/>
        <v>19</v>
      </c>
      <c r="J72" s="186">
        <f t="shared" si="54"/>
        <v>1788</v>
      </c>
      <c r="K72" s="187">
        <f t="shared" si="54"/>
        <v>94.105263157894754</v>
      </c>
      <c r="L72" s="633"/>
      <c r="M72" s="186">
        <f>RANK(K72, K$67:$K$81)</f>
        <v>2</v>
      </c>
      <c r="N72" s="631"/>
      <c r="O72" s="631"/>
      <c r="P72" s="188">
        <v>19</v>
      </c>
      <c r="Q72" s="188">
        <v>1787.9999999999998</v>
      </c>
      <c r="R72" s="185">
        <f t="shared" si="55"/>
        <v>94.105263157894726</v>
      </c>
      <c r="S72" s="182">
        <f t="shared" si="56"/>
        <v>2</v>
      </c>
      <c r="T72" s="632"/>
      <c r="U72" s="188">
        <v>19</v>
      </c>
      <c r="V72" s="188">
        <v>1788</v>
      </c>
      <c r="W72" s="185">
        <f t="shared" si="49"/>
        <v>94.10526315789474</v>
      </c>
      <c r="X72" s="182">
        <f t="shared" si="57"/>
        <v>2</v>
      </c>
      <c r="Y72" s="632"/>
      <c r="Z72" s="188">
        <v>19</v>
      </c>
      <c r="AA72" s="188">
        <v>1788.0000000000002</v>
      </c>
      <c r="AB72" s="185">
        <f t="shared" si="50"/>
        <v>94.105263157894754</v>
      </c>
      <c r="AC72" s="182">
        <f t="shared" si="58"/>
        <v>2</v>
      </c>
      <c r="AD72" s="632"/>
      <c r="AE72" s="188">
        <v>19</v>
      </c>
      <c r="AF72" s="188">
        <v>1787.9999999999998</v>
      </c>
      <c r="AG72" s="185">
        <f t="shared" si="59"/>
        <v>94.105263157894726</v>
      </c>
      <c r="AH72" s="182">
        <f t="shared" si="60"/>
        <v>2</v>
      </c>
      <c r="AI72" s="632"/>
      <c r="AJ72" s="188">
        <v>19</v>
      </c>
      <c r="AK72" s="188">
        <v>1788</v>
      </c>
      <c r="AL72" s="185">
        <f t="shared" si="51"/>
        <v>94.10526315789474</v>
      </c>
      <c r="AM72" s="182">
        <f t="shared" si="61"/>
        <v>2</v>
      </c>
      <c r="AN72" s="632"/>
      <c r="AO72" s="188">
        <v>19</v>
      </c>
      <c r="AP72" s="188">
        <v>1788.0000000000002</v>
      </c>
      <c r="AQ72" s="185">
        <f t="shared" si="52"/>
        <v>94.105263157894754</v>
      </c>
      <c r="AR72" s="182">
        <f t="shared" si="62"/>
        <v>2</v>
      </c>
      <c r="AS72" s="632"/>
      <c r="AT72" s="188">
        <v>19</v>
      </c>
      <c r="AU72" s="188">
        <v>1788.0000000000002</v>
      </c>
      <c r="AV72" s="185">
        <f t="shared" si="53"/>
        <v>94.105263157894754</v>
      </c>
      <c r="AW72" s="182">
        <f t="shared" si="63"/>
        <v>2</v>
      </c>
      <c r="AX72" s="632"/>
    </row>
    <row r="73" spans="2:50" ht="14.25" customHeight="1">
      <c r="B73" s="631"/>
      <c r="C73" s="180">
        <v>7</v>
      </c>
      <c r="D73" s="183" t="s">
        <v>697</v>
      </c>
      <c r="E73" s="180">
        <v>18</v>
      </c>
      <c r="F73" s="180">
        <v>2000</v>
      </c>
      <c r="G73" s="185">
        <f t="shared" si="48"/>
        <v>111.11111111111111</v>
      </c>
      <c r="H73" s="632"/>
      <c r="I73" s="186">
        <f t="shared" si="54"/>
        <v>17</v>
      </c>
      <c r="J73" s="186">
        <f t="shared" si="54"/>
        <v>1788</v>
      </c>
      <c r="K73" s="187">
        <f t="shared" si="54"/>
        <v>105.17647058823529</v>
      </c>
      <c r="L73" s="633"/>
      <c r="M73" s="186">
        <f>RANK(K73, K$67:$K$81)</f>
        <v>1</v>
      </c>
      <c r="N73" s="631"/>
      <c r="O73" s="631"/>
      <c r="P73" s="188">
        <v>17</v>
      </c>
      <c r="Q73" s="188">
        <v>1787.9999999999998</v>
      </c>
      <c r="R73" s="185">
        <f t="shared" si="55"/>
        <v>105.17647058823528</v>
      </c>
      <c r="S73" s="182">
        <f t="shared" si="56"/>
        <v>1</v>
      </c>
      <c r="T73" s="632"/>
      <c r="U73" s="188">
        <v>17</v>
      </c>
      <c r="V73" s="188">
        <v>1788</v>
      </c>
      <c r="W73" s="185">
        <f t="shared" si="49"/>
        <v>105.17647058823529</v>
      </c>
      <c r="X73" s="182">
        <f t="shared" si="57"/>
        <v>1</v>
      </c>
      <c r="Y73" s="632"/>
      <c r="Z73" s="188">
        <v>17</v>
      </c>
      <c r="AA73" s="188">
        <v>1788</v>
      </c>
      <c r="AB73" s="185">
        <f t="shared" si="50"/>
        <v>105.17647058823529</v>
      </c>
      <c r="AC73" s="182">
        <f t="shared" si="58"/>
        <v>1</v>
      </c>
      <c r="AD73" s="632"/>
      <c r="AE73" s="188">
        <v>17</v>
      </c>
      <c r="AF73" s="188">
        <v>1788</v>
      </c>
      <c r="AG73" s="185">
        <f t="shared" si="59"/>
        <v>105.17647058823529</v>
      </c>
      <c r="AH73" s="182">
        <f t="shared" si="60"/>
        <v>1</v>
      </c>
      <c r="AI73" s="632"/>
      <c r="AJ73" s="188">
        <v>17</v>
      </c>
      <c r="AK73" s="188">
        <v>1787.9999999999998</v>
      </c>
      <c r="AL73" s="185">
        <f t="shared" si="51"/>
        <v>105.17647058823528</v>
      </c>
      <c r="AM73" s="182">
        <f t="shared" si="61"/>
        <v>1</v>
      </c>
      <c r="AN73" s="632"/>
      <c r="AO73" s="188">
        <v>17</v>
      </c>
      <c r="AP73" s="188">
        <v>1787.9999999999998</v>
      </c>
      <c r="AQ73" s="185">
        <f t="shared" si="52"/>
        <v>105.17647058823528</v>
      </c>
      <c r="AR73" s="182">
        <f t="shared" si="62"/>
        <v>1</v>
      </c>
      <c r="AS73" s="632"/>
      <c r="AT73" s="188">
        <v>17</v>
      </c>
      <c r="AU73" s="188">
        <v>1788.0000000000002</v>
      </c>
      <c r="AV73" s="185">
        <f t="shared" si="53"/>
        <v>105.1764705882353</v>
      </c>
      <c r="AW73" s="182">
        <f t="shared" si="63"/>
        <v>1</v>
      </c>
      <c r="AX73" s="632"/>
    </row>
    <row r="74" spans="2:50" ht="14.25" customHeight="1">
      <c r="B74" s="631"/>
      <c r="C74" s="180">
        <v>8</v>
      </c>
      <c r="D74" s="183"/>
      <c r="E74" s="180"/>
      <c r="F74" s="180"/>
      <c r="G74" s="185"/>
      <c r="H74" s="632"/>
      <c r="I74" s="186"/>
      <c r="J74" s="186"/>
      <c r="K74" s="187"/>
      <c r="L74" s="633"/>
      <c r="M74" s="186"/>
      <c r="N74" s="631"/>
      <c r="O74" s="631"/>
      <c r="P74" s="188"/>
      <c r="Q74" s="188"/>
      <c r="R74" s="185"/>
      <c r="S74" s="182"/>
      <c r="T74" s="632"/>
      <c r="U74" s="188"/>
      <c r="V74" s="188"/>
      <c r="W74" s="185"/>
      <c r="X74" s="182"/>
      <c r="Y74" s="632"/>
      <c r="Z74" s="188"/>
      <c r="AA74" s="188"/>
      <c r="AB74" s="185"/>
      <c r="AC74" s="182"/>
      <c r="AD74" s="632"/>
      <c r="AE74" s="188"/>
      <c r="AF74" s="188"/>
      <c r="AG74" s="185"/>
      <c r="AH74" s="182"/>
      <c r="AI74" s="632"/>
      <c r="AJ74" s="188"/>
      <c r="AK74" s="188"/>
      <c r="AL74" s="185"/>
      <c r="AM74" s="182"/>
      <c r="AN74" s="632"/>
      <c r="AO74" s="188"/>
      <c r="AP74" s="188"/>
      <c r="AQ74" s="185"/>
      <c r="AR74" s="182"/>
      <c r="AS74" s="632"/>
      <c r="AT74" s="188"/>
      <c r="AU74" s="188"/>
      <c r="AV74" s="185"/>
      <c r="AW74" s="182"/>
      <c r="AX74" s="632"/>
    </row>
    <row r="75" spans="2:50" ht="14.25" customHeight="1">
      <c r="B75" s="631"/>
      <c r="C75" s="180">
        <v>9</v>
      </c>
      <c r="D75" s="183"/>
      <c r="E75" s="180"/>
      <c r="F75" s="180"/>
      <c r="G75" s="185"/>
      <c r="H75" s="632"/>
      <c r="I75" s="186"/>
      <c r="J75" s="186"/>
      <c r="K75" s="187"/>
      <c r="L75" s="633"/>
      <c r="M75" s="186"/>
      <c r="N75" s="631"/>
      <c r="O75" s="631"/>
      <c r="P75" s="188"/>
      <c r="Q75" s="188"/>
      <c r="R75" s="185"/>
      <c r="S75" s="182"/>
      <c r="T75" s="632"/>
      <c r="U75" s="188"/>
      <c r="V75" s="188"/>
      <c r="W75" s="185"/>
      <c r="X75" s="182"/>
      <c r="Y75" s="632"/>
      <c r="Z75" s="188"/>
      <c r="AA75" s="188"/>
      <c r="AB75" s="185"/>
      <c r="AC75" s="182"/>
      <c r="AD75" s="632"/>
      <c r="AE75" s="188"/>
      <c r="AF75" s="188"/>
      <c r="AG75" s="185"/>
      <c r="AH75" s="182"/>
      <c r="AI75" s="632"/>
      <c r="AJ75" s="188"/>
      <c r="AK75" s="188"/>
      <c r="AL75" s="185"/>
      <c r="AM75" s="182"/>
      <c r="AN75" s="632"/>
      <c r="AO75" s="188"/>
      <c r="AP75" s="188"/>
      <c r="AQ75" s="185"/>
      <c r="AR75" s="182"/>
      <c r="AS75" s="632"/>
      <c r="AT75" s="188"/>
      <c r="AU75" s="188"/>
      <c r="AV75" s="185"/>
      <c r="AW75" s="182"/>
      <c r="AX75" s="632"/>
    </row>
    <row r="76" spans="2:50" ht="14.25" customHeight="1">
      <c r="B76" s="631"/>
      <c r="C76" s="180">
        <v>10</v>
      </c>
      <c r="D76" s="183"/>
      <c r="E76" s="180"/>
      <c r="F76" s="180"/>
      <c r="G76" s="185"/>
      <c r="H76" s="632"/>
      <c r="I76" s="186"/>
      <c r="J76" s="186"/>
      <c r="K76" s="187"/>
      <c r="L76" s="633"/>
      <c r="M76" s="186"/>
      <c r="N76" s="631"/>
      <c r="O76" s="631"/>
      <c r="P76" s="188"/>
      <c r="Q76" s="188"/>
      <c r="R76" s="185"/>
      <c r="S76" s="182"/>
      <c r="T76" s="632"/>
      <c r="U76" s="188"/>
      <c r="V76" s="188"/>
      <c r="W76" s="185"/>
      <c r="X76" s="182"/>
      <c r="Y76" s="632"/>
      <c r="Z76" s="188"/>
      <c r="AA76" s="188"/>
      <c r="AB76" s="185"/>
      <c r="AC76" s="182"/>
      <c r="AD76" s="632"/>
      <c r="AE76" s="188"/>
      <c r="AF76" s="188"/>
      <c r="AG76" s="185"/>
      <c r="AH76" s="182"/>
      <c r="AI76" s="632"/>
      <c r="AJ76" s="188"/>
      <c r="AK76" s="188"/>
      <c r="AL76" s="185"/>
      <c r="AM76" s="182"/>
      <c r="AN76" s="632"/>
      <c r="AO76" s="188"/>
      <c r="AP76" s="188"/>
      <c r="AQ76" s="185"/>
      <c r="AR76" s="182"/>
      <c r="AS76" s="632"/>
      <c r="AT76" s="188"/>
      <c r="AU76" s="188"/>
      <c r="AV76" s="185"/>
      <c r="AW76" s="182"/>
      <c r="AX76" s="632"/>
    </row>
    <row r="77" spans="2:50" ht="14.25" customHeight="1">
      <c r="B77" s="631"/>
      <c r="C77" s="180">
        <v>11</v>
      </c>
      <c r="D77" s="183"/>
      <c r="E77" s="180"/>
      <c r="F77" s="180"/>
      <c r="G77" s="185"/>
      <c r="H77" s="632"/>
      <c r="I77" s="186"/>
      <c r="J77" s="186"/>
      <c r="K77" s="187"/>
      <c r="L77" s="633"/>
      <c r="M77" s="186"/>
      <c r="N77" s="631"/>
      <c r="O77" s="631"/>
      <c r="P77" s="188"/>
      <c r="Q77" s="188"/>
      <c r="R77" s="185"/>
      <c r="S77" s="182"/>
      <c r="T77" s="632"/>
      <c r="U77" s="188"/>
      <c r="V77" s="188"/>
      <c r="W77" s="185"/>
      <c r="X77" s="182"/>
      <c r="Y77" s="632"/>
      <c r="Z77" s="188"/>
      <c r="AA77" s="188"/>
      <c r="AB77" s="185"/>
      <c r="AC77" s="182"/>
      <c r="AD77" s="632"/>
      <c r="AE77" s="188"/>
      <c r="AF77" s="188"/>
      <c r="AG77" s="185"/>
      <c r="AH77" s="182"/>
      <c r="AI77" s="632"/>
      <c r="AJ77" s="188"/>
      <c r="AK77" s="188"/>
      <c r="AL77" s="185"/>
      <c r="AM77" s="182"/>
      <c r="AN77" s="632"/>
      <c r="AO77" s="188"/>
      <c r="AP77" s="188"/>
      <c r="AQ77" s="185"/>
      <c r="AR77" s="182"/>
      <c r="AS77" s="632"/>
      <c r="AT77" s="188"/>
      <c r="AU77" s="188"/>
      <c r="AV77" s="185"/>
      <c r="AW77" s="182"/>
      <c r="AX77" s="632"/>
    </row>
    <row r="78" spans="2:50" ht="14.25" customHeight="1">
      <c r="B78" s="631"/>
      <c r="C78" s="180">
        <v>12</v>
      </c>
      <c r="D78" s="183"/>
      <c r="E78" s="180"/>
      <c r="F78" s="180"/>
      <c r="G78" s="185"/>
      <c r="H78" s="632"/>
      <c r="I78" s="186"/>
      <c r="J78" s="186"/>
      <c r="K78" s="187"/>
      <c r="L78" s="633"/>
      <c r="M78" s="186"/>
      <c r="N78" s="631"/>
      <c r="O78" s="631"/>
      <c r="P78" s="188"/>
      <c r="Q78" s="188"/>
      <c r="R78" s="185"/>
      <c r="S78" s="182"/>
      <c r="T78" s="632"/>
      <c r="U78" s="188"/>
      <c r="V78" s="188"/>
      <c r="W78" s="185"/>
      <c r="X78" s="182"/>
      <c r="Y78" s="632"/>
      <c r="Z78" s="188"/>
      <c r="AA78" s="188"/>
      <c r="AB78" s="185"/>
      <c r="AC78" s="182"/>
      <c r="AD78" s="632"/>
      <c r="AE78" s="188"/>
      <c r="AF78" s="188"/>
      <c r="AG78" s="185"/>
      <c r="AH78" s="182"/>
      <c r="AI78" s="632"/>
      <c r="AJ78" s="188"/>
      <c r="AK78" s="188"/>
      <c r="AL78" s="185"/>
      <c r="AM78" s="182"/>
      <c r="AN78" s="632"/>
      <c r="AO78" s="188"/>
      <c r="AP78" s="188"/>
      <c r="AQ78" s="185"/>
      <c r="AR78" s="182"/>
      <c r="AS78" s="632"/>
      <c r="AT78" s="188"/>
      <c r="AU78" s="188"/>
      <c r="AV78" s="185"/>
      <c r="AW78" s="182"/>
      <c r="AX78" s="632"/>
    </row>
    <row r="79" spans="2:50" ht="14.25" customHeight="1">
      <c r="B79" s="631"/>
      <c r="C79" s="180">
        <v>13</v>
      </c>
      <c r="D79" s="183"/>
      <c r="E79" s="180"/>
      <c r="F79" s="180"/>
      <c r="G79" s="185"/>
      <c r="H79" s="632"/>
      <c r="I79" s="186"/>
      <c r="J79" s="186"/>
      <c r="K79" s="187"/>
      <c r="L79" s="633"/>
      <c r="M79" s="186"/>
      <c r="N79" s="631"/>
      <c r="O79" s="631"/>
      <c r="P79" s="188"/>
      <c r="Q79" s="188"/>
      <c r="R79" s="185"/>
      <c r="S79" s="182"/>
      <c r="T79" s="632"/>
      <c r="U79" s="188"/>
      <c r="V79" s="188"/>
      <c r="W79" s="185"/>
      <c r="X79" s="182"/>
      <c r="Y79" s="632"/>
      <c r="Z79" s="188"/>
      <c r="AA79" s="188"/>
      <c r="AB79" s="185"/>
      <c r="AC79" s="182"/>
      <c r="AD79" s="632"/>
      <c r="AE79" s="188"/>
      <c r="AF79" s="188"/>
      <c r="AG79" s="185"/>
      <c r="AH79" s="182"/>
      <c r="AI79" s="632"/>
      <c r="AJ79" s="188"/>
      <c r="AK79" s="188"/>
      <c r="AL79" s="185"/>
      <c r="AM79" s="182"/>
      <c r="AN79" s="632"/>
      <c r="AO79" s="188"/>
      <c r="AP79" s="188"/>
      <c r="AQ79" s="185"/>
      <c r="AR79" s="182"/>
      <c r="AS79" s="632"/>
      <c r="AT79" s="188"/>
      <c r="AU79" s="188"/>
      <c r="AV79" s="185"/>
      <c r="AW79" s="182"/>
      <c r="AX79" s="632"/>
    </row>
    <row r="80" spans="2:50" ht="14.25" customHeight="1">
      <c r="B80" s="631"/>
      <c r="C80" s="180">
        <v>14</v>
      </c>
      <c r="D80" s="183"/>
      <c r="E80" s="180"/>
      <c r="F80" s="180"/>
      <c r="G80" s="185"/>
      <c r="H80" s="632"/>
      <c r="I80" s="186"/>
      <c r="J80" s="186"/>
      <c r="K80" s="187"/>
      <c r="L80" s="633"/>
      <c r="M80" s="186"/>
      <c r="N80" s="631"/>
      <c r="O80" s="631"/>
      <c r="P80" s="188"/>
      <c r="Q80" s="188"/>
      <c r="R80" s="185"/>
      <c r="S80" s="182"/>
      <c r="T80" s="632"/>
      <c r="U80" s="188"/>
      <c r="V80" s="188"/>
      <c r="W80" s="185"/>
      <c r="X80" s="182"/>
      <c r="Y80" s="632"/>
      <c r="Z80" s="188"/>
      <c r="AA80" s="188"/>
      <c r="AB80" s="185"/>
      <c r="AC80" s="182"/>
      <c r="AD80" s="632"/>
      <c r="AE80" s="188"/>
      <c r="AF80" s="188"/>
      <c r="AG80" s="185"/>
      <c r="AH80" s="182"/>
      <c r="AI80" s="632"/>
      <c r="AJ80" s="188"/>
      <c r="AK80" s="188"/>
      <c r="AL80" s="185"/>
      <c r="AM80" s="182"/>
      <c r="AN80" s="632"/>
      <c r="AO80" s="188"/>
      <c r="AP80" s="188"/>
      <c r="AQ80" s="185"/>
      <c r="AR80" s="182"/>
      <c r="AS80" s="632"/>
      <c r="AT80" s="188"/>
      <c r="AU80" s="188"/>
      <c r="AV80" s="185"/>
      <c r="AW80" s="182"/>
      <c r="AX80" s="632"/>
    </row>
    <row r="81" spans="2:50" ht="14.25" customHeight="1">
      <c r="B81" s="631"/>
      <c r="C81" s="180">
        <v>15</v>
      </c>
      <c r="D81" s="183"/>
      <c r="E81" s="180"/>
      <c r="F81" s="180"/>
      <c r="G81" s="185"/>
      <c r="H81" s="632"/>
      <c r="I81" s="186"/>
      <c r="J81" s="186"/>
      <c r="K81" s="187"/>
      <c r="L81" s="633"/>
      <c r="M81" s="186"/>
      <c r="N81" s="631"/>
      <c r="O81" s="631"/>
      <c r="P81" s="188"/>
      <c r="Q81" s="188"/>
      <c r="R81" s="185"/>
      <c r="S81" s="182"/>
      <c r="T81" s="632"/>
      <c r="U81" s="188"/>
      <c r="V81" s="188"/>
      <c r="W81" s="185"/>
      <c r="X81" s="182"/>
      <c r="Y81" s="632"/>
      <c r="Z81" s="188"/>
      <c r="AA81" s="188"/>
      <c r="AB81" s="185"/>
      <c r="AC81" s="182"/>
      <c r="AD81" s="632"/>
      <c r="AE81" s="188"/>
      <c r="AF81" s="188"/>
      <c r="AG81" s="185"/>
      <c r="AH81" s="182"/>
      <c r="AI81" s="632"/>
      <c r="AJ81" s="188"/>
      <c r="AK81" s="188"/>
      <c r="AL81" s="185"/>
      <c r="AM81" s="182"/>
      <c r="AN81" s="632"/>
      <c r="AO81" s="188"/>
      <c r="AP81" s="188"/>
      <c r="AQ81" s="185"/>
      <c r="AR81" s="182"/>
      <c r="AS81" s="632"/>
      <c r="AT81" s="188"/>
      <c r="AU81" s="188"/>
      <c r="AV81" s="185"/>
      <c r="AW81" s="182"/>
      <c r="AX81" s="632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81"/>
  <sheetViews>
    <sheetView zoomScaleNormal="100" workbookViewId="0">
      <pane xSplit="13" ySplit="1" topLeftCell="N50" activePane="bottomRight" state="frozen"/>
      <selection activeCell="L95" sqref="L95"/>
      <selection pane="topRight" activeCell="L95" sqref="L95"/>
      <selection pane="bottomLeft" activeCell="L95" sqref="L95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4" t="s">
        <v>696</v>
      </c>
      <c r="C1" s="175">
        <f>AVERAGE(L7,L27,L47,L67)</f>
        <v>79.053234900641314</v>
      </c>
    </row>
    <row r="2" spans="1:50" ht="14.25" customHeight="1">
      <c r="B2" s="646" t="s">
        <v>619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7"/>
      <c r="N2" s="664" t="s">
        <v>369</v>
      </c>
      <c r="O2" s="664" t="s">
        <v>105</v>
      </c>
      <c r="P2" s="666">
        <v>46140</v>
      </c>
      <c r="Q2" s="667"/>
      <c r="R2" s="667"/>
      <c r="S2" s="667"/>
      <c r="T2" s="667"/>
      <c r="U2" s="668">
        <v>46141</v>
      </c>
      <c r="V2" s="669"/>
      <c r="W2" s="669"/>
      <c r="X2" s="669"/>
      <c r="Y2" s="669"/>
      <c r="Z2" s="666">
        <v>46142</v>
      </c>
      <c r="AA2" s="667"/>
      <c r="AB2" s="667"/>
      <c r="AC2" s="667"/>
      <c r="AD2" s="667"/>
      <c r="AE2" s="668">
        <v>46143</v>
      </c>
      <c r="AF2" s="669"/>
      <c r="AG2" s="669"/>
      <c r="AH2" s="669"/>
      <c r="AI2" s="669"/>
      <c r="AJ2" s="656">
        <v>46144</v>
      </c>
      <c r="AK2" s="657"/>
      <c r="AL2" s="657"/>
      <c r="AM2" s="657"/>
      <c r="AN2" s="658"/>
      <c r="AO2" s="668">
        <v>46145</v>
      </c>
      <c r="AP2" s="669"/>
      <c r="AQ2" s="669"/>
      <c r="AR2" s="669"/>
      <c r="AS2" s="669"/>
      <c r="AT2" s="656">
        <v>46146</v>
      </c>
      <c r="AU2" s="657"/>
      <c r="AV2" s="657"/>
      <c r="AW2" s="657"/>
      <c r="AX2" s="658"/>
    </row>
    <row r="3" spans="1:50" ht="14.25" customHeight="1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665"/>
      <c r="O3" s="665"/>
      <c r="P3" s="659">
        <v>46140</v>
      </c>
      <c r="Q3" s="659"/>
      <c r="R3" s="659"/>
      <c r="S3" s="659"/>
      <c r="T3" s="659"/>
      <c r="U3" s="660">
        <v>46141</v>
      </c>
      <c r="V3" s="660"/>
      <c r="W3" s="660"/>
      <c r="X3" s="660"/>
      <c r="Y3" s="660"/>
      <c r="Z3" s="659">
        <v>46142</v>
      </c>
      <c r="AA3" s="659"/>
      <c r="AB3" s="659"/>
      <c r="AC3" s="659"/>
      <c r="AD3" s="659"/>
      <c r="AE3" s="660">
        <v>46143</v>
      </c>
      <c r="AF3" s="660"/>
      <c r="AG3" s="660"/>
      <c r="AH3" s="660"/>
      <c r="AI3" s="660"/>
      <c r="AJ3" s="661">
        <v>46144</v>
      </c>
      <c r="AK3" s="662"/>
      <c r="AL3" s="662"/>
      <c r="AM3" s="662"/>
      <c r="AN3" s="663"/>
      <c r="AO3" s="660">
        <v>46145</v>
      </c>
      <c r="AP3" s="660"/>
      <c r="AQ3" s="660"/>
      <c r="AR3" s="660"/>
      <c r="AS3" s="660"/>
      <c r="AT3" s="661">
        <v>46146</v>
      </c>
      <c r="AU3" s="662"/>
      <c r="AV3" s="662"/>
      <c r="AW3" s="662"/>
      <c r="AX3" s="663"/>
    </row>
    <row r="4" spans="1:50" ht="14.25" customHeight="1">
      <c r="B4" s="631" t="s">
        <v>162</v>
      </c>
      <c r="C4" s="631" t="s">
        <v>157</v>
      </c>
      <c r="D4" s="631"/>
      <c r="E4" s="631" t="s">
        <v>158</v>
      </c>
      <c r="F4" s="631"/>
      <c r="G4" s="631"/>
      <c r="H4" s="631" t="s">
        <v>163</v>
      </c>
      <c r="I4" s="635" t="s">
        <v>370</v>
      </c>
      <c r="J4" s="635"/>
      <c r="K4" s="635"/>
      <c r="L4" s="635" t="s">
        <v>163</v>
      </c>
      <c r="M4" s="635" t="s">
        <v>165</v>
      </c>
      <c r="N4" s="631"/>
      <c r="O4" s="631" t="s">
        <v>164</v>
      </c>
      <c r="P4" s="631" t="s">
        <v>160</v>
      </c>
      <c r="Q4" s="631"/>
      <c r="R4" s="631"/>
      <c r="S4" s="631"/>
      <c r="T4" s="631" t="s">
        <v>163</v>
      </c>
      <c r="U4" s="631" t="s">
        <v>160</v>
      </c>
      <c r="V4" s="631"/>
      <c r="W4" s="631"/>
      <c r="X4" s="631"/>
      <c r="Y4" s="631" t="s">
        <v>163</v>
      </c>
      <c r="Z4" s="631" t="s">
        <v>160</v>
      </c>
      <c r="AA4" s="631"/>
      <c r="AB4" s="631"/>
      <c r="AC4" s="631"/>
      <c r="AD4" s="631" t="s">
        <v>163</v>
      </c>
      <c r="AE4" s="631" t="s">
        <v>160</v>
      </c>
      <c r="AF4" s="631"/>
      <c r="AG4" s="631"/>
      <c r="AH4" s="631"/>
      <c r="AI4" s="631" t="s">
        <v>163</v>
      </c>
      <c r="AJ4" s="631" t="s">
        <v>160</v>
      </c>
      <c r="AK4" s="631"/>
      <c r="AL4" s="631"/>
      <c r="AM4" s="631"/>
      <c r="AN4" s="631" t="s">
        <v>163</v>
      </c>
      <c r="AO4" s="631" t="s">
        <v>160</v>
      </c>
      <c r="AP4" s="631"/>
      <c r="AQ4" s="631"/>
      <c r="AR4" s="631"/>
      <c r="AS4" s="631" t="s">
        <v>163</v>
      </c>
      <c r="AT4" s="631" t="s">
        <v>160</v>
      </c>
      <c r="AU4" s="631"/>
      <c r="AV4" s="631"/>
      <c r="AW4" s="631"/>
      <c r="AX4" s="631" t="s">
        <v>163</v>
      </c>
    </row>
    <row r="5" spans="1:50" ht="14.25" customHeight="1">
      <c r="B5" s="631"/>
      <c r="C5" s="631"/>
      <c r="D5" s="631"/>
      <c r="E5" s="631" t="s">
        <v>371</v>
      </c>
      <c r="F5" s="631"/>
      <c r="G5" s="631"/>
      <c r="H5" s="631"/>
      <c r="I5" s="635" t="s">
        <v>371</v>
      </c>
      <c r="J5" s="635"/>
      <c r="K5" s="635"/>
      <c r="L5" s="635"/>
      <c r="M5" s="635"/>
      <c r="N5" s="631"/>
      <c r="O5" s="631"/>
      <c r="P5" s="631" t="s">
        <v>372</v>
      </c>
      <c r="Q5" s="631"/>
      <c r="R5" s="631"/>
      <c r="S5" s="631"/>
      <c r="T5" s="631"/>
      <c r="U5" s="631" t="s">
        <v>372</v>
      </c>
      <c r="V5" s="631"/>
      <c r="W5" s="631"/>
      <c r="X5" s="631"/>
      <c r="Y5" s="631"/>
      <c r="Z5" s="631" t="s">
        <v>372</v>
      </c>
      <c r="AA5" s="631"/>
      <c r="AB5" s="631"/>
      <c r="AC5" s="631"/>
      <c r="AD5" s="631"/>
      <c r="AE5" s="631" t="s">
        <v>372</v>
      </c>
      <c r="AF5" s="631"/>
      <c r="AG5" s="631"/>
      <c r="AH5" s="631"/>
      <c r="AI5" s="631"/>
      <c r="AJ5" s="631" t="s">
        <v>372</v>
      </c>
      <c r="AK5" s="631"/>
      <c r="AL5" s="631"/>
      <c r="AM5" s="631"/>
      <c r="AN5" s="631"/>
      <c r="AO5" s="631" t="s">
        <v>372</v>
      </c>
      <c r="AP5" s="631"/>
      <c r="AQ5" s="631"/>
      <c r="AR5" s="631"/>
      <c r="AS5" s="631"/>
      <c r="AT5" s="631" t="s">
        <v>372</v>
      </c>
      <c r="AU5" s="631"/>
      <c r="AV5" s="631"/>
      <c r="AW5" s="631"/>
      <c r="AX5" s="631"/>
    </row>
    <row r="6" spans="1:50" ht="14.25" customHeight="1">
      <c r="B6" s="631"/>
      <c r="C6" s="631"/>
      <c r="D6" s="631"/>
      <c r="E6" s="180" t="s">
        <v>159</v>
      </c>
      <c r="F6" s="180" t="s">
        <v>373</v>
      </c>
      <c r="G6" s="180" t="s">
        <v>161</v>
      </c>
      <c r="H6" s="631"/>
      <c r="I6" s="181" t="s">
        <v>159</v>
      </c>
      <c r="J6" s="181" t="s">
        <v>373</v>
      </c>
      <c r="K6" s="181" t="s">
        <v>161</v>
      </c>
      <c r="L6" s="635"/>
      <c r="M6" s="635"/>
      <c r="N6" s="631"/>
      <c r="O6" s="631"/>
      <c r="P6" s="180" t="s">
        <v>159</v>
      </c>
      <c r="Q6" s="180" t="s">
        <v>373</v>
      </c>
      <c r="R6" s="180" t="s">
        <v>161</v>
      </c>
      <c r="S6" s="182" t="s">
        <v>165</v>
      </c>
      <c r="T6" s="631"/>
      <c r="U6" s="180" t="s">
        <v>159</v>
      </c>
      <c r="V6" s="180" t="s">
        <v>373</v>
      </c>
      <c r="W6" s="180" t="s">
        <v>161</v>
      </c>
      <c r="X6" s="182" t="s">
        <v>165</v>
      </c>
      <c r="Y6" s="631"/>
      <c r="Z6" s="180" t="s">
        <v>159</v>
      </c>
      <c r="AA6" s="180" t="s">
        <v>373</v>
      </c>
      <c r="AB6" s="180" t="s">
        <v>161</v>
      </c>
      <c r="AC6" s="182" t="s">
        <v>165</v>
      </c>
      <c r="AD6" s="631"/>
      <c r="AE6" s="180" t="s">
        <v>159</v>
      </c>
      <c r="AF6" s="180" t="s">
        <v>373</v>
      </c>
      <c r="AG6" s="180" t="s">
        <v>161</v>
      </c>
      <c r="AH6" s="182" t="s">
        <v>165</v>
      </c>
      <c r="AI6" s="631"/>
      <c r="AJ6" s="180" t="s">
        <v>159</v>
      </c>
      <c r="AK6" s="180" t="s">
        <v>373</v>
      </c>
      <c r="AL6" s="180" t="s">
        <v>161</v>
      </c>
      <c r="AM6" s="182" t="s">
        <v>165</v>
      </c>
      <c r="AN6" s="631"/>
      <c r="AO6" s="180" t="s">
        <v>159</v>
      </c>
      <c r="AP6" s="180" t="s">
        <v>373</v>
      </c>
      <c r="AQ6" s="180" t="s">
        <v>161</v>
      </c>
      <c r="AR6" s="182" t="s">
        <v>165</v>
      </c>
      <c r="AS6" s="631"/>
      <c r="AT6" s="180" t="s">
        <v>159</v>
      </c>
      <c r="AU6" s="180" t="s">
        <v>373</v>
      </c>
      <c r="AV6" s="180" t="s">
        <v>161</v>
      </c>
      <c r="AW6" s="182" t="s">
        <v>165</v>
      </c>
      <c r="AX6" s="631"/>
    </row>
    <row r="7" spans="1:50" ht="14.25" customHeight="1">
      <c r="B7" s="631" t="s">
        <v>137</v>
      </c>
      <c r="C7" s="180">
        <v>1</v>
      </c>
      <c r="D7" s="183" t="s">
        <v>353</v>
      </c>
      <c r="E7" s="180">
        <v>21</v>
      </c>
      <c r="F7" s="180">
        <v>2000</v>
      </c>
      <c r="G7" s="185">
        <f t="shared" ref="G7:G15" si="0">F7/E7</f>
        <v>95.238095238095241</v>
      </c>
      <c r="H7" s="632">
        <f>AVERAGE(G7:G21)</f>
        <v>87.845166106035677</v>
      </c>
      <c r="I7" s="186">
        <f>AVERAGE(P7,U7,Z7,AE7,AJ7,AO7,AT7)</f>
        <v>21</v>
      </c>
      <c r="J7" s="186">
        <f>AVERAGE(Q7,V7,AA7,AF7,AK7,AP7,AU7)</f>
        <v>1787.0571428571423</v>
      </c>
      <c r="K7" s="187">
        <f>AVERAGE(R7,W7,AB7,AG7,AL7,AQ7,AV7)</f>
        <v>85.097959183673439</v>
      </c>
      <c r="L7" s="633">
        <f>IFERROR(AVERAGE(K7:K21),"-")</f>
        <v>78.556988347293995</v>
      </c>
      <c r="M7" s="186">
        <f>RANK(K7, K$7:$K$21)</f>
        <v>2</v>
      </c>
      <c r="N7" s="631"/>
      <c r="O7" s="631"/>
      <c r="P7" s="188">
        <v>21</v>
      </c>
      <c r="Q7" s="188">
        <v>1786.399999999999</v>
      </c>
      <c r="R7" s="185">
        <f>IFERROR(Q7/P7,"")</f>
        <v>85.06666666666662</v>
      </c>
      <c r="S7" s="182">
        <f>RANK(R7, R$7:R$21)</f>
        <v>2</v>
      </c>
      <c r="T7" s="632">
        <f>AVERAGE(R7:R21)</f>
        <v>78.547127777785192</v>
      </c>
      <c r="U7" s="188">
        <v>21</v>
      </c>
      <c r="V7" s="188">
        <v>1786.799999999999</v>
      </c>
      <c r="W7" s="185">
        <f t="shared" ref="W7:W15" si="1">IFERROR(V7/U7,"")</f>
        <v>85.085714285714246</v>
      </c>
      <c r="X7" s="182">
        <f>RANK(W7, W$7:W$21)</f>
        <v>2</v>
      </c>
      <c r="Y7" s="632">
        <f>AVERAGE(W7:W21)</f>
        <v>78.539549124554341</v>
      </c>
      <c r="Z7" s="188">
        <v>21</v>
      </c>
      <c r="AA7" s="188">
        <v>1787.7999999999993</v>
      </c>
      <c r="AB7" s="185">
        <f t="shared" ref="AB7:AB15" si="2">IFERROR(AA7/Z7,"")</f>
        <v>85.133333333333297</v>
      </c>
      <c r="AC7" s="182">
        <f>RANK(AB7, AB$7:AB$21)</f>
        <v>2</v>
      </c>
      <c r="AD7" s="632">
        <f>AVERAGE(AB7:AB21)</f>
        <v>78.555327453970648</v>
      </c>
      <c r="AE7" s="188">
        <v>21</v>
      </c>
      <c r="AF7" s="188">
        <v>1787.5999999999995</v>
      </c>
      <c r="AG7" s="185">
        <f>IFERROR(AF7/AE7,"")</f>
        <v>85.123809523809499</v>
      </c>
      <c r="AH7" s="182">
        <f>RANK(AG7, AG$7:AG$21)</f>
        <v>2</v>
      </c>
      <c r="AI7" s="632">
        <f>AVERAGE(AG7:AG21)</f>
        <v>78.554652235469376</v>
      </c>
      <c r="AJ7" s="188">
        <v>21</v>
      </c>
      <c r="AK7" s="188">
        <v>1786.9999999999995</v>
      </c>
      <c r="AL7" s="185">
        <f t="shared" ref="AL7:AL15" si="3">IFERROR(AK7/AJ7,"")</f>
        <v>85.095238095238074</v>
      </c>
      <c r="AM7" s="182">
        <f>RANK(AL7, AL$7:AL$21)</f>
        <v>2</v>
      </c>
      <c r="AN7" s="632">
        <f>AVERAGE(AL7:AL21)</f>
        <v>78.567960859212775</v>
      </c>
      <c r="AO7" s="188">
        <v>21</v>
      </c>
      <c r="AP7" s="188">
        <v>1786.7999999999995</v>
      </c>
      <c r="AQ7" s="185">
        <f t="shared" ref="AQ7:AQ15" si="4">IFERROR(AP7/AO7,"")</f>
        <v>85.085714285714261</v>
      </c>
      <c r="AR7" s="182">
        <f>RANK(AQ7, AQ$7:AQ$21)</f>
        <v>2</v>
      </c>
      <c r="AS7" s="632">
        <f>AVERAGE(AQ7:AQ21)</f>
        <v>78.562299041159648</v>
      </c>
      <c r="AT7" s="188">
        <v>21</v>
      </c>
      <c r="AU7" s="188">
        <v>1786.9999999999995</v>
      </c>
      <c r="AV7" s="185">
        <f t="shared" ref="AV7:AV15" si="5">IFERROR(AU7/AT7,"")</f>
        <v>85.095238095238074</v>
      </c>
      <c r="AW7" s="182">
        <f>RANK(AV7, AV$7:AV$21)</f>
        <v>2</v>
      </c>
      <c r="AX7" s="632">
        <f>AVERAGE(AV7:AV21)</f>
        <v>78.572001938906027</v>
      </c>
    </row>
    <row r="8" spans="1:50" ht="14.25" customHeight="1">
      <c r="B8" s="631"/>
      <c r="C8" s="180">
        <v>2</v>
      </c>
      <c r="D8" s="183" t="s">
        <v>354</v>
      </c>
      <c r="E8" s="180">
        <v>24</v>
      </c>
      <c r="F8" s="180">
        <v>2000</v>
      </c>
      <c r="G8" s="185">
        <f t="shared" si="0"/>
        <v>83.333333333333329</v>
      </c>
      <c r="H8" s="632"/>
      <c r="I8" s="186">
        <f t="shared" ref="I8:K15" si="6">AVERAGE(P8,U8,Z8,AE8,AJ8,AO8,AT8)</f>
        <v>24</v>
      </c>
      <c r="J8" s="186">
        <f t="shared" si="6"/>
        <v>1790.9140502123737</v>
      </c>
      <c r="K8" s="187">
        <f t="shared" si="6"/>
        <v>74.621418758848904</v>
      </c>
      <c r="L8" s="633"/>
      <c r="M8" s="186">
        <f>RANK(K8, K$7:$K$21)</f>
        <v>7</v>
      </c>
      <c r="N8" s="631"/>
      <c r="O8" s="631"/>
      <c r="P8" s="188">
        <v>24</v>
      </c>
      <c r="Q8" s="188">
        <v>1790.1997644980881</v>
      </c>
      <c r="R8" s="185">
        <f t="shared" ref="R8:R15" si="7">IFERROR(Q8/P8,"")</f>
        <v>74.591656854087006</v>
      </c>
      <c r="S8" s="182">
        <f t="shared" ref="S8:S15" si="8">RANK(R8, R$7:R$21)</f>
        <v>7</v>
      </c>
      <c r="T8" s="632"/>
      <c r="U8" s="188">
        <v>24</v>
      </c>
      <c r="V8" s="188">
        <v>1789.9997644980881</v>
      </c>
      <c r="W8" s="185">
        <f t="shared" si="1"/>
        <v>74.583323520753666</v>
      </c>
      <c r="X8" s="182">
        <f t="shared" ref="X8:X15" si="9">RANK(W8, W$7:W$21)</f>
        <v>7</v>
      </c>
      <c r="Y8" s="632"/>
      <c r="Z8" s="188">
        <v>24</v>
      </c>
      <c r="AA8" s="188">
        <v>1790.1997644980879</v>
      </c>
      <c r="AB8" s="185">
        <f t="shared" si="2"/>
        <v>74.591656854086992</v>
      </c>
      <c r="AC8" s="182">
        <f t="shared" ref="AC8:AC15" si="10">RANK(AB8, AB$7:AB$21)</f>
        <v>7</v>
      </c>
      <c r="AD8" s="632"/>
      <c r="AE8" s="188">
        <v>24</v>
      </c>
      <c r="AF8" s="188">
        <v>1790.7997644980876</v>
      </c>
      <c r="AG8" s="185">
        <f t="shared" ref="AG8:AG15" si="11">IFERROR(AF8/AE8,"")</f>
        <v>74.616656854086983</v>
      </c>
      <c r="AH8" s="182">
        <f t="shared" ref="AH8:AH15" si="12">RANK(AG8, AG$7:AG$21)</f>
        <v>7</v>
      </c>
      <c r="AI8" s="632"/>
      <c r="AJ8" s="188">
        <v>24</v>
      </c>
      <c r="AK8" s="188">
        <v>1791.7997644980876</v>
      </c>
      <c r="AL8" s="185">
        <f t="shared" si="3"/>
        <v>74.658323520753655</v>
      </c>
      <c r="AM8" s="182">
        <f t="shared" ref="AM8:AM15" si="13">RANK(AL8, AL$7:AL$21)</f>
        <v>7</v>
      </c>
      <c r="AN8" s="632"/>
      <c r="AO8" s="188">
        <v>24</v>
      </c>
      <c r="AP8" s="188">
        <v>1791.399764498088</v>
      </c>
      <c r="AQ8" s="185">
        <f t="shared" si="4"/>
        <v>74.641656854087003</v>
      </c>
      <c r="AR8" s="182">
        <f t="shared" ref="AR8:AR15" si="14">RANK(AQ8, AQ$7:AQ$21)</f>
        <v>7</v>
      </c>
      <c r="AS8" s="632"/>
      <c r="AT8" s="188">
        <v>24</v>
      </c>
      <c r="AU8" s="188">
        <v>1791.9997644980881</v>
      </c>
      <c r="AV8" s="185">
        <f t="shared" si="5"/>
        <v>74.666656854087009</v>
      </c>
      <c r="AW8" s="182">
        <f t="shared" ref="AW8:AW15" si="15">RANK(AV8, AV$7:AV$21)</f>
        <v>7</v>
      </c>
      <c r="AX8" s="632"/>
    </row>
    <row r="9" spans="1:50" ht="14.25" customHeight="1">
      <c r="B9" s="631"/>
      <c r="C9" s="180">
        <v>3</v>
      </c>
      <c r="D9" s="183" t="s">
        <v>355</v>
      </c>
      <c r="E9" s="180">
        <v>23</v>
      </c>
      <c r="F9" s="180">
        <v>2000</v>
      </c>
      <c r="G9" s="185">
        <f t="shared" si="0"/>
        <v>86.956521739130437</v>
      </c>
      <c r="H9" s="632"/>
      <c r="I9" s="186">
        <f t="shared" si="6"/>
        <v>23</v>
      </c>
      <c r="J9" s="186">
        <f t="shared" si="6"/>
        <v>1787.1670773791141</v>
      </c>
      <c r="K9" s="187">
        <f t="shared" si="6"/>
        <v>77.702916407787569</v>
      </c>
      <c r="L9" s="633"/>
      <c r="M9" s="186">
        <f>RANK(K9, K$7:$K$21)</f>
        <v>6</v>
      </c>
      <c r="N9" s="631"/>
      <c r="O9" s="631"/>
      <c r="P9" s="188">
        <v>23</v>
      </c>
      <c r="Q9" s="188">
        <v>1786.1770659833439</v>
      </c>
      <c r="R9" s="185">
        <f t="shared" si="7"/>
        <v>77.659872434058428</v>
      </c>
      <c r="S9" s="182">
        <f t="shared" si="8"/>
        <v>6</v>
      </c>
      <c r="T9" s="632"/>
      <c r="U9" s="188">
        <v>23</v>
      </c>
      <c r="V9" s="188">
        <v>1785.7770659833438</v>
      </c>
      <c r="W9" s="185">
        <f t="shared" si="1"/>
        <v>77.642481129710603</v>
      </c>
      <c r="X9" s="182">
        <f t="shared" si="9"/>
        <v>6</v>
      </c>
      <c r="Y9" s="632"/>
      <c r="Z9" s="188">
        <v>23</v>
      </c>
      <c r="AA9" s="188">
        <v>1787.0030819374222</v>
      </c>
      <c r="AB9" s="185">
        <f t="shared" si="2"/>
        <v>77.695786171192267</v>
      </c>
      <c r="AC9" s="182">
        <f t="shared" si="10"/>
        <v>6</v>
      </c>
      <c r="AD9" s="632"/>
      <c r="AE9" s="188">
        <v>23</v>
      </c>
      <c r="AF9" s="188">
        <v>1787.203081937422</v>
      </c>
      <c r="AG9" s="185">
        <f t="shared" si="11"/>
        <v>77.70448182336618</v>
      </c>
      <c r="AH9" s="182">
        <f t="shared" si="12"/>
        <v>6</v>
      </c>
      <c r="AI9" s="632"/>
      <c r="AJ9" s="188">
        <v>23</v>
      </c>
      <c r="AK9" s="188">
        <v>1787.203081937422</v>
      </c>
      <c r="AL9" s="185">
        <f t="shared" si="3"/>
        <v>77.70448182336618</v>
      </c>
      <c r="AM9" s="182">
        <f t="shared" si="13"/>
        <v>6</v>
      </c>
      <c r="AN9" s="632"/>
      <c r="AO9" s="188">
        <v>23</v>
      </c>
      <c r="AP9" s="188">
        <v>1788.0030819374219</v>
      </c>
      <c r="AQ9" s="185">
        <f t="shared" si="4"/>
        <v>77.73926443206183</v>
      </c>
      <c r="AR9" s="182">
        <f t="shared" si="14"/>
        <v>6</v>
      </c>
      <c r="AS9" s="632"/>
      <c r="AT9" s="188">
        <v>23</v>
      </c>
      <c r="AU9" s="188">
        <v>1788.8030819374221</v>
      </c>
      <c r="AV9" s="185">
        <f t="shared" si="5"/>
        <v>77.77404704075748</v>
      </c>
      <c r="AW9" s="182">
        <f t="shared" si="15"/>
        <v>5</v>
      </c>
      <c r="AX9" s="632"/>
    </row>
    <row r="10" spans="1:50" ht="14.25" customHeight="1">
      <c r="B10" s="631"/>
      <c r="C10" s="180">
        <v>4</v>
      </c>
      <c r="D10" s="183" t="s">
        <v>352</v>
      </c>
      <c r="E10" s="180">
        <v>23</v>
      </c>
      <c r="F10" s="180">
        <v>2000</v>
      </c>
      <c r="G10" s="185">
        <f t="shared" si="0"/>
        <v>86.956521739130437</v>
      </c>
      <c r="H10" s="632"/>
      <c r="I10" s="186">
        <f t="shared" si="6"/>
        <v>23</v>
      </c>
      <c r="J10" s="186">
        <f t="shared" si="6"/>
        <v>1789.2355996944241</v>
      </c>
      <c r="K10" s="187">
        <f t="shared" si="6"/>
        <v>77.792852160627135</v>
      </c>
      <c r="L10" s="633"/>
      <c r="M10" s="186">
        <f>RANK(K10, K$7:$K$21)</f>
        <v>5</v>
      </c>
      <c r="N10" s="631"/>
      <c r="O10" s="631"/>
      <c r="P10" s="188">
        <v>23</v>
      </c>
      <c r="Q10" s="188">
        <v>1789.8641711229952</v>
      </c>
      <c r="R10" s="185">
        <f t="shared" si="7"/>
        <v>77.820181353173709</v>
      </c>
      <c r="S10" s="182">
        <f t="shared" si="8"/>
        <v>5</v>
      </c>
      <c r="T10" s="632"/>
      <c r="U10" s="188">
        <v>23</v>
      </c>
      <c r="V10" s="188">
        <v>1789.8641711229952</v>
      </c>
      <c r="W10" s="185">
        <f t="shared" si="1"/>
        <v>77.820181353173709</v>
      </c>
      <c r="X10" s="182">
        <f t="shared" si="9"/>
        <v>5</v>
      </c>
      <c r="Y10" s="632"/>
      <c r="Z10" s="188">
        <v>23</v>
      </c>
      <c r="AA10" s="188">
        <v>1789.2641711229953</v>
      </c>
      <c r="AB10" s="185">
        <f t="shared" si="2"/>
        <v>77.794094396651971</v>
      </c>
      <c r="AC10" s="182">
        <f t="shared" si="10"/>
        <v>5</v>
      </c>
      <c r="AD10" s="632"/>
      <c r="AE10" s="188">
        <v>23</v>
      </c>
      <c r="AF10" s="188">
        <v>1789.0641711229953</v>
      </c>
      <c r="AG10" s="185">
        <f t="shared" si="11"/>
        <v>77.785398744478059</v>
      </c>
      <c r="AH10" s="182">
        <f t="shared" si="12"/>
        <v>5</v>
      </c>
      <c r="AI10" s="632"/>
      <c r="AJ10" s="188">
        <v>23</v>
      </c>
      <c r="AK10" s="188">
        <v>1789.2641711229955</v>
      </c>
      <c r="AL10" s="185">
        <f t="shared" si="3"/>
        <v>77.794094396651985</v>
      </c>
      <c r="AM10" s="182">
        <f t="shared" si="13"/>
        <v>5</v>
      </c>
      <c r="AN10" s="632"/>
      <c r="AO10" s="188">
        <v>23</v>
      </c>
      <c r="AP10" s="188">
        <v>1788.8641711229955</v>
      </c>
      <c r="AQ10" s="185">
        <f t="shared" si="4"/>
        <v>77.776703092304146</v>
      </c>
      <c r="AR10" s="182">
        <f t="shared" si="14"/>
        <v>5</v>
      </c>
      <c r="AS10" s="632"/>
      <c r="AT10" s="188">
        <v>23</v>
      </c>
      <c r="AU10" s="188">
        <v>1788.4641711229954</v>
      </c>
      <c r="AV10" s="185">
        <f t="shared" si="5"/>
        <v>77.759311787956321</v>
      </c>
      <c r="AW10" s="182">
        <f t="shared" si="15"/>
        <v>6</v>
      </c>
      <c r="AX10" s="632"/>
    </row>
    <row r="11" spans="1:50" ht="14.25" customHeight="1">
      <c r="B11" s="631"/>
      <c r="C11" s="180">
        <v>5</v>
      </c>
      <c r="D11" s="183" t="s">
        <v>441</v>
      </c>
      <c r="E11" s="180">
        <v>23</v>
      </c>
      <c r="F11" s="180">
        <v>2000</v>
      </c>
      <c r="G11" s="185">
        <f t="shared" si="0"/>
        <v>86.956521739130437</v>
      </c>
      <c r="H11" s="632"/>
      <c r="I11" s="186">
        <f t="shared" si="6"/>
        <v>23</v>
      </c>
      <c r="J11" s="186">
        <f t="shared" si="6"/>
        <v>1790.5066107707155</v>
      </c>
      <c r="K11" s="187">
        <f t="shared" si="6"/>
        <v>77.848113511770222</v>
      </c>
      <c r="L11" s="633"/>
      <c r="M11" s="186">
        <f>RANK(K11, K$7:$K$21)</f>
        <v>4</v>
      </c>
      <c r="N11" s="631"/>
      <c r="O11" s="631"/>
      <c r="P11" s="188">
        <v>23</v>
      </c>
      <c r="Q11" s="188">
        <v>1791.2494679135723</v>
      </c>
      <c r="R11" s="185">
        <f t="shared" si="7"/>
        <v>77.880411648416185</v>
      </c>
      <c r="S11" s="182">
        <f t="shared" si="8"/>
        <v>4</v>
      </c>
      <c r="T11" s="632"/>
      <c r="U11" s="188">
        <v>23</v>
      </c>
      <c r="V11" s="188">
        <v>1790.4494679135723</v>
      </c>
      <c r="W11" s="185">
        <f t="shared" si="1"/>
        <v>77.845629039720535</v>
      </c>
      <c r="X11" s="182">
        <f t="shared" si="9"/>
        <v>4</v>
      </c>
      <c r="Y11" s="632"/>
      <c r="Z11" s="188">
        <v>23</v>
      </c>
      <c r="AA11" s="188">
        <v>1790.4494679135723</v>
      </c>
      <c r="AB11" s="185">
        <f t="shared" si="2"/>
        <v>77.845629039720535</v>
      </c>
      <c r="AC11" s="182">
        <f t="shared" si="10"/>
        <v>4</v>
      </c>
      <c r="AD11" s="632"/>
      <c r="AE11" s="188">
        <v>23</v>
      </c>
      <c r="AF11" s="188">
        <v>1789.8494679135727</v>
      </c>
      <c r="AG11" s="185">
        <f t="shared" si="11"/>
        <v>77.819542083198812</v>
      </c>
      <c r="AH11" s="182">
        <f t="shared" si="12"/>
        <v>4</v>
      </c>
      <c r="AI11" s="632"/>
      <c r="AJ11" s="188">
        <v>23</v>
      </c>
      <c r="AK11" s="188">
        <v>1790.4494679135726</v>
      </c>
      <c r="AL11" s="185">
        <f t="shared" si="3"/>
        <v>77.845629039720549</v>
      </c>
      <c r="AM11" s="182">
        <f t="shared" si="13"/>
        <v>4</v>
      </c>
      <c r="AN11" s="632"/>
      <c r="AO11" s="188">
        <v>23</v>
      </c>
      <c r="AP11" s="188">
        <v>1790.2494679135725</v>
      </c>
      <c r="AQ11" s="185">
        <f t="shared" si="4"/>
        <v>77.836933387546637</v>
      </c>
      <c r="AR11" s="182">
        <f t="shared" si="14"/>
        <v>4</v>
      </c>
      <c r="AS11" s="632"/>
      <c r="AT11" s="188">
        <v>23</v>
      </c>
      <c r="AU11" s="188">
        <v>1790.8494679135724</v>
      </c>
      <c r="AV11" s="185">
        <f t="shared" si="5"/>
        <v>77.86302034406836</v>
      </c>
      <c r="AW11" s="182">
        <f t="shared" si="15"/>
        <v>4</v>
      </c>
      <c r="AX11" s="632"/>
    </row>
    <row r="12" spans="1:50" ht="14.25" customHeight="1">
      <c r="B12" s="631"/>
      <c r="C12" s="180">
        <v>6</v>
      </c>
      <c r="D12" s="183" t="s">
        <v>444</v>
      </c>
      <c r="E12" s="180">
        <v>22</v>
      </c>
      <c r="F12" s="180">
        <v>2000</v>
      </c>
      <c r="G12" s="185">
        <f t="shared" si="0"/>
        <v>90.909090909090907</v>
      </c>
      <c r="H12" s="632"/>
      <c r="I12" s="186">
        <f t="shared" si="6"/>
        <v>22</v>
      </c>
      <c r="J12" s="186">
        <f t="shared" si="6"/>
        <v>1786.8898179020273</v>
      </c>
      <c r="K12" s="187">
        <f t="shared" si="6"/>
        <v>81.22226445009214</v>
      </c>
      <c r="L12" s="633"/>
      <c r="M12" s="186">
        <f>RANK(K12, K$7:$K$21)</f>
        <v>3</v>
      </c>
      <c r="N12" s="631"/>
      <c r="O12" s="631"/>
      <c r="P12" s="188">
        <v>22</v>
      </c>
      <c r="Q12" s="188">
        <v>1787.6326750448841</v>
      </c>
      <c r="R12" s="185">
        <f t="shared" si="7"/>
        <v>81.25603068385837</v>
      </c>
      <c r="S12" s="182">
        <f t="shared" si="8"/>
        <v>3</v>
      </c>
      <c r="T12" s="632"/>
      <c r="U12" s="188">
        <v>22</v>
      </c>
      <c r="V12" s="188">
        <v>1786.8326750448844</v>
      </c>
      <c r="W12" s="185">
        <f t="shared" si="1"/>
        <v>81.219667047494738</v>
      </c>
      <c r="X12" s="182">
        <f t="shared" si="9"/>
        <v>3</v>
      </c>
      <c r="Y12" s="632"/>
      <c r="Z12" s="188">
        <v>22</v>
      </c>
      <c r="AA12" s="188">
        <v>1787.0326750448844</v>
      </c>
      <c r="AB12" s="185">
        <f t="shared" si="2"/>
        <v>81.228757956585653</v>
      </c>
      <c r="AC12" s="182">
        <f t="shared" si="10"/>
        <v>3</v>
      </c>
      <c r="AD12" s="632"/>
      <c r="AE12" s="188">
        <v>22</v>
      </c>
      <c r="AF12" s="188">
        <v>1786.2326750448844</v>
      </c>
      <c r="AG12" s="185">
        <f t="shared" si="11"/>
        <v>81.192394320222022</v>
      </c>
      <c r="AH12" s="182">
        <f t="shared" si="12"/>
        <v>3</v>
      </c>
      <c r="AI12" s="632"/>
      <c r="AJ12" s="188">
        <v>22</v>
      </c>
      <c r="AK12" s="188">
        <v>1786.6326750448845</v>
      </c>
      <c r="AL12" s="185">
        <f t="shared" si="3"/>
        <v>81.210576138403837</v>
      </c>
      <c r="AM12" s="182">
        <f t="shared" si="13"/>
        <v>3</v>
      </c>
      <c r="AN12" s="632"/>
      <c r="AO12" s="188">
        <v>22</v>
      </c>
      <c r="AP12" s="188">
        <v>1786.6326750448845</v>
      </c>
      <c r="AQ12" s="185">
        <f t="shared" si="4"/>
        <v>81.210576138403837</v>
      </c>
      <c r="AR12" s="182">
        <f t="shared" si="14"/>
        <v>3</v>
      </c>
      <c r="AS12" s="632"/>
      <c r="AT12" s="188">
        <v>22</v>
      </c>
      <c r="AU12" s="188">
        <v>1787.2326750448842</v>
      </c>
      <c r="AV12" s="185">
        <f t="shared" si="5"/>
        <v>81.237848865676554</v>
      </c>
      <c r="AW12" s="182">
        <f t="shared" si="15"/>
        <v>3</v>
      </c>
      <c r="AX12" s="632"/>
    </row>
    <row r="13" spans="1:50" ht="14.25" customHeight="1">
      <c r="B13" s="631"/>
      <c r="C13" s="180">
        <v>7</v>
      </c>
      <c r="D13" s="183" t="s">
        <v>447</v>
      </c>
      <c r="E13" s="180">
        <v>20</v>
      </c>
      <c r="F13" s="180">
        <v>2000</v>
      </c>
      <c r="G13" s="185">
        <f t="shared" si="0"/>
        <v>100</v>
      </c>
      <c r="H13" s="632"/>
      <c r="I13" s="186">
        <f t="shared" si="6"/>
        <v>20</v>
      </c>
      <c r="J13" s="186">
        <f t="shared" si="6"/>
        <v>1787.4351228030155</v>
      </c>
      <c r="K13" s="187">
        <f t="shared" si="6"/>
        <v>89.371756140150765</v>
      </c>
      <c r="L13" s="633"/>
      <c r="M13" s="186">
        <f>RANK(K13, K$7:$K$21)</f>
        <v>1</v>
      </c>
      <c r="N13" s="631"/>
      <c r="O13" s="631"/>
      <c r="P13" s="188">
        <v>20</v>
      </c>
      <c r="Q13" s="188">
        <v>1786.8065513744446</v>
      </c>
      <c r="R13" s="185">
        <f t="shared" si="7"/>
        <v>89.34032756872223</v>
      </c>
      <c r="S13" s="182">
        <f t="shared" si="8"/>
        <v>1</v>
      </c>
      <c r="T13" s="632"/>
      <c r="U13" s="188">
        <v>20</v>
      </c>
      <c r="V13" s="188">
        <v>1786.8065513744443</v>
      </c>
      <c r="W13" s="185">
        <f t="shared" si="1"/>
        <v>89.340327568722216</v>
      </c>
      <c r="X13" s="182">
        <f t="shared" si="9"/>
        <v>1</v>
      </c>
      <c r="Y13" s="632"/>
      <c r="Z13" s="188">
        <v>20</v>
      </c>
      <c r="AA13" s="188">
        <v>1787.0065513744439</v>
      </c>
      <c r="AB13" s="185">
        <f t="shared" si="2"/>
        <v>89.350327568722193</v>
      </c>
      <c r="AC13" s="182">
        <f t="shared" si="10"/>
        <v>1</v>
      </c>
      <c r="AD13" s="632"/>
      <c r="AE13" s="188">
        <v>20</v>
      </c>
      <c r="AF13" s="188">
        <v>1787.6065513744436</v>
      </c>
      <c r="AG13" s="185">
        <f t="shared" si="11"/>
        <v>89.38032756872218</v>
      </c>
      <c r="AH13" s="182">
        <f t="shared" si="12"/>
        <v>1</v>
      </c>
      <c r="AI13" s="632"/>
      <c r="AJ13" s="188">
        <v>20</v>
      </c>
      <c r="AK13" s="188">
        <v>1788.2065513744437</v>
      </c>
      <c r="AL13" s="185">
        <f t="shared" si="3"/>
        <v>89.410327568722181</v>
      </c>
      <c r="AM13" s="182">
        <f t="shared" si="13"/>
        <v>1</v>
      </c>
      <c r="AN13" s="632"/>
      <c r="AO13" s="188">
        <v>20</v>
      </c>
      <c r="AP13" s="188">
        <v>1787.8065513744434</v>
      </c>
      <c r="AQ13" s="185">
        <f t="shared" si="4"/>
        <v>89.390327568722171</v>
      </c>
      <c r="AR13" s="182">
        <f t="shared" si="14"/>
        <v>1</v>
      </c>
      <c r="AS13" s="632"/>
      <c r="AT13" s="188">
        <v>20</v>
      </c>
      <c r="AU13" s="188">
        <v>1787.8065513744434</v>
      </c>
      <c r="AV13" s="185">
        <f t="shared" si="5"/>
        <v>89.390327568722171</v>
      </c>
      <c r="AW13" s="182">
        <f t="shared" si="15"/>
        <v>1</v>
      </c>
      <c r="AX13" s="632"/>
    </row>
    <row r="14" spans="1:50" ht="14.25" customHeight="1">
      <c r="B14" s="631"/>
      <c r="C14" s="180">
        <v>8</v>
      </c>
      <c r="D14" s="183" t="s">
        <v>356</v>
      </c>
      <c r="E14" s="180">
        <v>24</v>
      </c>
      <c r="F14" s="180">
        <v>2000</v>
      </c>
      <c r="G14" s="185">
        <f t="shared" si="0"/>
        <v>83.333333333333329</v>
      </c>
      <c r="H14" s="632"/>
      <c r="I14" s="186">
        <f t="shared" si="6"/>
        <v>24</v>
      </c>
      <c r="J14" s="186">
        <f t="shared" si="6"/>
        <v>1787.730781076536</v>
      </c>
      <c r="K14" s="187">
        <f t="shared" si="6"/>
        <v>74.488782544855681</v>
      </c>
      <c r="L14" s="633"/>
      <c r="M14" s="186">
        <f>RANK(K14, K$7:$K$21)</f>
        <v>8</v>
      </c>
      <c r="N14" s="631"/>
      <c r="O14" s="631"/>
      <c r="P14" s="188">
        <v>24</v>
      </c>
      <c r="Q14" s="188">
        <v>1786.2164953622505</v>
      </c>
      <c r="R14" s="185">
        <f t="shared" si="7"/>
        <v>74.425687306760437</v>
      </c>
      <c r="S14" s="182">
        <f t="shared" si="8"/>
        <v>8</v>
      </c>
      <c r="T14" s="632"/>
      <c r="U14" s="188">
        <v>24</v>
      </c>
      <c r="V14" s="188">
        <v>1786.8164953622504</v>
      </c>
      <c r="W14" s="185">
        <f t="shared" si="1"/>
        <v>74.450687306760429</v>
      </c>
      <c r="X14" s="182">
        <f t="shared" si="9"/>
        <v>8</v>
      </c>
      <c r="Y14" s="632"/>
      <c r="Z14" s="188">
        <v>24</v>
      </c>
      <c r="AA14" s="188">
        <v>1787.2164953622503</v>
      </c>
      <c r="AB14" s="185">
        <f t="shared" si="2"/>
        <v>74.467353973427095</v>
      </c>
      <c r="AC14" s="182">
        <f t="shared" si="10"/>
        <v>8</v>
      </c>
      <c r="AD14" s="632"/>
      <c r="AE14" s="188">
        <v>24</v>
      </c>
      <c r="AF14" s="188">
        <v>1788.2164953622503</v>
      </c>
      <c r="AG14" s="185">
        <f t="shared" si="11"/>
        <v>74.509020640093766</v>
      </c>
      <c r="AH14" s="182">
        <f t="shared" si="12"/>
        <v>8</v>
      </c>
      <c r="AI14" s="632"/>
      <c r="AJ14" s="188">
        <v>24</v>
      </c>
      <c r="AK14" s="188">
        <v>1788.4164953622505</v>
      </c>
      <c r="AL14" s="185">
        <f t="shared" si="3"/>
        <v>74.517353973427106</v>
      </c>
      <c r="AM14" s="182">
        <f t="shared" si="13"/>
        <v>8</v>
      </c>
      <c r="AN14" s="632"/>
      <c r="AO14" s="188">
        <v>24</v>
      </c>
      <c r="AP14" s="188">
        <v>1789.0164953622505</v>
      </c>
      <c r="AQ14" s="185">
        <f t="shared" si="4"/>
        <v>74.542353973427097</v>
      </c>
      <c r="AR14" s="182">
        <f t="shared" si="14"/>
        <v>8</v>
      </c>
      <c r="AS14" s="632"/>
      <c r="AT14" s="188">
        <v>24</v>
      </c>
      <c r="AU14" s="188">
        <v>1788.2164953622505</v>
      </c>
      <c r="AV14" s="185">
        <f t="shared" si="5"/>
        <v>74.509020640093766</v>
      </c>
      <c r="AW14" s="182">
        <f t="shared" si="15"/>
        <v>8</v>
      </c>
      <c r="AX14" s="632"/>
    </row>
    <row r="15" spans="1:50" ht="14.25" customHeight="1">
      <c r="B15" s="631"/>
      <c r="C15" s="180">
        <v>9</v>
      </c>
      <c r="D15" s="183" t="s">
        <v>542</v>
      </c>
      <c r="E15" s="180">
        <v>26</v>
      </c>
      <c r="F15" s="180">
        <v>2000</v>
      </c>
      <c r="G15" s="185">
        <f t="shared" si="0"/>
        <v>76.92307692307692</v>
      </c>
      <c r="H15" s="632"/>
      <c r="I15" s="186">
        <f t="shared" si="6"/>
        <v>26</v>
      </c>
      <c r="J15" s="186">
        <f t="shared" si="6"/>
        <v>1790.5376311638433</v>
      </c>
      <c r="K15" s="187">
        <f t="shared" si="6"/>
        <v>68.866831967840128</v>
      </c>
      <c r="L15" s="633"/>
      <c r="M15" s="186">
        <f>RANK(K15, K$7:$K$21)</f>
        <v>9</v>
      </c>
      <c r="N15" s="631"/>
      <c r="O15" s="631"/>
      <c r="P15" s="188">
        <v>26</v>
      </c>
      <c r="Q15" s="188">
        <v>1790.9662025924147</v>
      </c>
      <c r="R15" s="185">
        <f t="shared" si="7"/>
        <v>68.883315484323646</v>
      </c>
      <c r="S15" s="182">
        <f t="shared" si="8"/>
        <v>9</v>
      </c>
      <c r="T15" s="632"/>
      <c r="U15" s="188">
        <v>26</v>
      </c>
      <c r="V15" s="188">
        <v>1790.5662025924148</v>
      </c>
      <c r="W15" s="185">
        <f t="shared" si="1"/>
        <v>68.867930868939027</v>
      </c>
      <c r="X15" s="182">
        <f t="shared" si="9"/>
        <v>9</v>
      </c>
      <c r="Y15" s="632"/>
      <c r="Z15" s="188">
        <v>26</v>
      </c>
      <c r="AA15" s="188">
        <v>1791.1662025924147</v>
      </c>
      <c r="AB15" s="185">
        <f t="shared" si="2"/>
        <v>68.891007792015955</v>
      </c>
      <c r="AC15" s="182">
        <f t="shared" si="10"/>
        <v>9</v>
      </c>
      <c r="AD15" s="632"/>
      <c r="AE15" s="188">
        <v>26</v>
      </c>
      <c r="AF15" s="188">
        <v>1790.366202592415</v>
      </c>
      <c r="AG15" s="185">
        <f t="shared" si="11"/>
        <v>68.860238561246732</v>
      </c>
      <c r="AH15" s="182">
        <f t="shared" si="12"/>
        <v>9</v>
      </c>
      <c r="AI15" s="632"/>
      <c r="AJ15" s="188">
        <v>26</v>
      </c>
      <c r="AK15" s="188">
        <v>1790.7662025924151</v>
      </c>
      <c r="AL15" s="185">
        <f t="shared" si="3"/>
        <v>68.87562317663135</v>
      </c>
      <c r="AM15" s="182">
        <f t="shared" si="13"/>
        <v>9</v>
      </c>
      <c r="AN15" s="632"/>
      <c r="AO15" s="188">
        <v>26</v>
      </c>
      <c r="AP15" s="188">
        <v>1789.7662025924153</v>
      </c>
      <c r="AQ15" s="185">
        <f t="shared" si="4"/>
        <v>68.837161638169817</v>
      </c>
      <c r="AR15" s="182">
        <f t="shared" si="14"/>
        <v>9</v>
      </c>
      <c r="AS15" s="632"/>
      <c r="AT15" s="188">
        <v>26</v>
      </c>
      <c r="AU15" s="188">
        <v>1790.1662025924152</v>
      </c>
      <c r="AV15" s="185">
        <f t="shared" si="5"/>
        <v>68.852546253554436</v>
      </c>
      <c r="AW15" s="182">
        <f t="shared" si="15"/>
        <v>9</v>
      </c>
      <c r="AX15" s="632"/>
    </row>
    <row r="16" spans="1:50" ht="14.25" customHeight="1">
      <c r="B16" s="631"/>
      <c r="C16" s="180">
        <v>10</v>
      </c>
      <c r="D16" s="183"/>
      <c r="E16" s="180"/>
      <c r="F16" s="180"/>
      <c r="G16" s="185"/>
      <c r="H16" s="632"/>
      <c r="I16" s="186"/>
      <c r="J16" s="186"/>
      <c r="K16" s="187"/>
      <c r="L16" s="633"/>
      <c r="M16" s="186"/>
      <c r="N16" s="631"/>
      <c r="O16" s="631"/>
      <c r="P16" s="188"/>
      <c r="Q16" s="188"/>
      <c r="R16" s="185"/>
      <c r="S16" s="182"/>
      <c r="T16" s="632"/>
      <c r="U16" s="188"/>
      <c r="V16" s="188"/>
      <c r="W16" s="185"/>
      <c r="X16" s="182"/>
      <c r="Y16" s="632"/>
      <c r="Z16" s="188"/>
      <c r="AA16" s="188"/>
      <c r="AB16" s="185"/>
      <c r="AC16" s="182"/>
      <c r="AD16" s="632"/>
      <c r="AE16" s="188"/>
      <c r="AF16" s="188"/>
      <c r="AG16" s="185"/>
      <c r="AH16" s="182"/>
      <c r="AI16" s="632"/>
      <c r="AJ16" s="188"/>
      <c r="AK16" s="188"/>
      <c r="AL16" s="185"/>
      <c r="AM16" s="182"/>
      <c r="AN16" s="632"/>
      <c r="AO16" s="188"/>
      <c r="AP16" s="188"/>
      <c r="AQ16" s="185"/>
      <c r="AR16" s="182"/>
      <c r="AS16" s="632"/>
      <c r="AT16" s="188"/>
      <c r="AU16" s="188"/>
      <c r="AV16" s="185"/>
      <c r="AW16" s="182"/>
      <c r="AX16" s="632"/>
    </row>
    <row r="17" spans="2:50" ht="14.25" customHeight="1">
      <c r="B17" s="631"/>
      <c r="C17" s="180">
        <v>11</v>
      </c>
      <c r="D17" s="183"/>
      <c r="E17" s="180"/>
      <c r="F17" s="180"/>
      <c r="G17" s="185"/>
      <c r="H17" s="632"/>
      <c r="I17" s="186"/>
      <c r="J17" s="186"/>
      <c r="K17" s="187"/>
      <c r="L17" s="633"/>
      <c r="M17" s="186"/>
      <c r="N17" s="631"/>
      <c r="O17" s="631"/>
      <c r="P17" s="188"/>
      <c r="Q17" s="188"/>
      <c r="R17" s="185"/>
      <c r="S17" s="182"/>
      <c r="T17" s="632"/>
      <c r="U17" s="188"/>
      <c r="V17" s="188"/>
      <c r="W17" s="185"/>
      <c r="X17" s="182"/>
      <c r="Y17" s="632"/>
      <c r="Z17" s="188"/>
      <c r="AA17" s="188"/>
      <c r="AB17" s="185"/>
      <c r="AC17" s="182"/>
      <c r="AD17" s="632"/>
      <c r="AE17" s="188"/>
      <c r="AF17" s="188"/>
      <c r="AG17" s="185"/>
      <c r="AH17" s="182"/>
      <c r="AI17" s="632"/>
      <c r="AJ17" s="188"/>
      <c r="AK17" s="188"/>
      <c r="AL17" s="185"/>
      <c r="AM17" s="182"/>
      <c r="AN17" s="632"/>
      <c r="AO17" s="188"/>
      <c r="AP17" s="188"/>
      <c r="AQ17" s="185"/>
      <c r="AR17" s="182"/>
      <c r="AS17" s="632"/>
      <c r="AT17" s="188"/>
      <c r="AU17" s="188"/>
      <c r="AV17" s="185"/>
      <c r="AW17" s="182"/>
      <c r="AX17" s="632"/>
    </row>
    <row r="18" spans="2:50" ht="14.25" customHeight="1">
      <c r="B18" s="631"/>
      <c r="C18" s="180">
        <v>12</v>
      </c>
      <c r="D18" s="183"/>
      <c r="E18" s="180"/>
      <c r="F18" s="180"/>
      <c r="G18" s="185"/>
      <c r="H18" s="632"/>
      <c r="I18" s="186"/>
      <c r="J18" s="186"/>
      <c r="K18" s="187"/>
      <c r="L18" s="633"/>
      <c r="M18" s="186"/>
      <c r="N18" s="631"/>
      <c r="O18" s="631"/>
      <c r="P18" s="188"/>
      <c r="Q18" s="188"/>
      <c r="R18" s="185"/>
      <c r="S18" s="182"/>
      <c r="T18" s="632"/>
      <c r="U18" s="188"/>
      <c r="V18" s="188"/>
      <c r="W18" s="185"/>
      <c r="X18" s="182"/>
      <c r="Y18" s="632"/>
      <c r="Z18" s="188"/>
      <c r="AA18" s="188"/>
      <c r="AB18" s="185"/>
      <c r="AC18" s="182"/>
      <c r="AD18" s="632"/>
      <c r="AE18" s="188"/>
      <c r="AF18" s="188"/>
      <c r="AG18" s="185"/>
      <c r="AH18" s="182"/>
      <c r="AI18" s="632"/>
      <c r="AJ18" s="188"/>
      <c r="AK18" s="188"/>
      <c r="AL18" s="185"/>
      <c r="AM18" s="182"/>
      <c r="AN18" s="632"/>
      <c r="AO18" s="188"/>
      <c r="AP18" s="188"/>
      <c r="AQ18" s="185"/>
      <c r="AR18" s="182"/>
      <c r="AS18" s="632"/>
      <c r="AT18" s="188"/>
      <c r="AU18" s="188"/>
      <c r="AV18" s="185"/>
      <c r="AW18" s="182"/>
      <c r="AX18" s="632"/>
    </row>
    <row r="19" spans="2:50" ht="14.25" customHeight="1">
      <c r="B19" s="631"/>
      <c r="C19" s="180">
        <v>13</v>
      </c>
      <c r="D19" s="183"/>
      <c r="E19" s="180"/>
      <c r="F19" s="180"/>
      <c r="G19" s="185"/>
      <c r="H19" s="632"/>
      <c r="I19" s="186"/>
      <c r="J19" s="186"/>
      <c r="K19" s="187"/>
      <c r="L19" s="633"/>
      <c r="M19" s="186"/>
      <c r="N19" s="631"/>
      <c r="O19" s="631"/>
      <c r="P19" s="188"/>
      <c r="Q19" s="188"/>
      <c r="R19" s="185"/>
      <c r="S19" s="182"/>
      <c r="T19" s="632"/>
      <c r="U19" s="188"/>
      <c r="V19" s="188"/>
      <c r="W19" s="185"/>
      <c r="X19" s="182"/>
      <c r="Y19" s="632"/>
      <c r="Z19" s="188"/>
      <c r="AA19" s="188"/>
      <c r="AB19" s="185"/>
      <c r="AC19" s="182"/>
      <c r="AD19" s="632"/>
      <c r="AE19" s="188"/>
      <c r="AF19" s="188"/>
      <c r="AG19" s="185"/>
      <c r="AH19" s="182"/>
      <c r="AI19" s="632"/>
      <c r="AJ19" s="188"/>
      <c r="AK19" s="188"/>
      <c r="AL19" s="185"/>
      <c r="AM19" s="182"/>
      <c r="AN19" s="632"/>
      <c r="AO19" s="188"/>
      <c r="AP19" s="188"/>
      <c r="AQ19" s="185"/>
      <c r="AR19" s="182"/>
      <c r="AS19" s="632"/>
      <c r="AT19" s="188"/>
      <c r="AU19" s="188"/>
      <c r="AV19" s="185"/>
      <c r="AW19" s="182"/>
      <c r="AX19" s="632"/>
    </row>
    <row r="20" spans="2:50" ht="14.25" customHeight="1">
      <c r="B20" s="631"/>
      <c r="C20" s="180">
        <v>14</v>
      </c>
      <c r="D20" s="183"/>
      <c r="E20" s="180"/>
      <c r="F20" s="180"/>
      <c r="G20" s="185"/>
      <c r="H20" s="632"/>
      <c r="I20" s="186"/>
      <c r="J20" s="186"/>
      <c r="K20" s="187"/>
      <c r="L20" s="633"/>
      <c r="M20" s="186"/>
      <c r="N20" s="631"/>
      <c r="O20" s="631"/>
      <c r="P20" s="188"/>
      <c r="Q20" s="188"/>
      <c r="R20" s="185"/>
      <c r="S20" s="182"/>
      <c r="T20" s="632"/>
      <c r="U20" s="188"/>
      <c r="V20" s="188"/>
      <c r="W20" s="185"/>
      <c r="X20" s="182"/>
      <c r="Y20" s="632"/>
      <c r="Z20" s="188"/>
      <c r="AA20" s="188"/>
      <c r="AB20" s="185"/>
      <c r="AC20" s="182"/>
      <c r="AD20" s="632"/>
      <c r="AE20" s="188"/>
      <c r="AF20" s="188"/>
      <c r="AG20" s="185"/>
      <c r="AH20" s="182"/>
      <c r="AI20" s="632"/>
      <c r="AJ20" s="188"/>
      <c r="AK20" s="188"/>
      <c r="AL20" s="185"/>
      <c r="AM20" s="182"/>
      <c r="AN20" s="632"/>
      <c r="AO20" s="188"/>
      <c r="AP20" s="188"/>
      <c r="AQ20" s="185"/>
      <c r="AR20" s="182"/>
      <c r="AS20" s="632"/>
      <c r="AT20" s="188"/>
      <c r="AU20" s="188"/>
      <c r="AV20" s="185"/>
      <c r="AW20" s="182"/>
      <c r="AX20" s="632"/>
    </row>
    <row r="21" spans="2:50" ht="14.25" customHeight="1">
      <c r="B21" s="631"/>
      <c r="C21" s="180">
        <v>15</v>
      </c>
      <c r="D21" s="183"/>
      <c r="E21" s="180"/>
      <c r="F21" s="180"/>
      <c r="G21" s="185"/>
      <c r="H21" s="632"/>
      <c r="I21" s="186"/>
      <c r="J21" s="186"/>
      <c r="K21" s="187"/>
      <c r="L21" s="633"/>
      <c r="M21" s="186"/>
      <c r="N21" s="631"/>
      <c r="O21" s="631"/>
      <c r="P21" s="188"/>
      <c r="Q21" s="188"/>
      <c r="R21" s="185"/>
      <c r="S21" s="182"/>
      <c r="T21" s="632"/>
      <c r="U21" s="188"/>
      <c r="V21" s="188"/>
      <c r="W21" s="185"/>
      <c r="X21" s="182"/>
      <c r="Y21" s="632"/>
      <c r="Z21" s="188"/>
      <c r="AA21" s="188"/>
      <c r="AB21" s="185"/>
      <c r="AC21" s="182"/>
      <c r="AD21" s="632"/>
      <c r="AE21" s="188"/>
      <c r="AF21" s="188"/>
      <c r="AG21" s="185"/>
      <c r="AH21" s="182"/>
      <c r="AI21" s="632"/>
      <c r="AJ21" s="188"/>
      <c r="AK21" s="188"/>
      <c r="AL21" s="185"/>
      <c r="AM21" s="182"/>
      <c r="AN21" s="632"/>
      <c r="AO21" s="188"/>
      <c r="AP21" s="188"/>
      <c r="AQ21" s="185"/>
      <c r="AR21" s="182"/>
      <c r="AS21" s="632"/>
      <c r="AT21" s="188"/>
      <c r="AU21" s="188"/>
      <c r="AV21" s="185"/>
      <c r="AW21" s="182"/>
      <c r="AX21" s="632"/>
    </row>
    <row r="22" spans="2:50" ht="14.25" customHeight="1">
      <c r="B22" s="646" t="s">
        <v>695</v>
      </c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47"/>
      <c r="N22" s="664" t="s">
        <v>369</v>
      </c>
      <c r="O22" s="664" t="s">
        <v>105</v>
      </c>
      <c r="P22" s="666">
        <v>46147</v>
      </c>
      <c r="Q22" s="667"/>
      <c r="R22" s="667"/>
      <c r="S22" s="667"/>
      <c r="T22" s="667"/>
      <c r="U22" s="668">
        <v>46148</v>
      </c>
      <c r="V22" s="669"/>
      <c r="W22" s="669"/>
      <c r="X22" s="669"/>
      <c r="Y22" s="669"/>
      <c r="Z22" s="666">
        <v>46149</v>
      </c>
      <c r="AA22" s="667"/>
      <c r="AB22" s="667"/>
      <c r="AC22" s="667"/>
      <c r="AD22" s="667"/>
      <c r="AE22" s="668">
        <v>46150</v>
      </c>
      <c r="AF22" s="669"/>
      <c r="AG22" s="669"/>
      <c r="AH22" s="669"/>
      <c r="AI22" s="669"/>
      <c r="AJ22" s="656">
        <v>46151</v>
      </c>
      <c r="AK22" s="657"/>
      <c r="AL22" s="657"/>
      <c r="AM22" s="657"/>
      <c r="AN22" s="658"/>
      <c r="AO22" s="668">
        <v>46152</v>
      </c>
      <c r="AP22" s="669"/>
      <c r="AQ22" s="669"/>
      <c r="AR22" s="669"/>
      <c r="AS22" s="669"/>
      <c r="AT22" s="656">
        <v>46153</v>
      </c>
      <c r="AU22" s="657"/>
      <c r="AV22" s="657"/>
      <c r="AW22" s="657"/>
      <c r="AX22" s="658"/>
    </row>
    <row r="23" spans="2:50" ht="14.25" customHeight="1"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9"/>
      <c r="N23" s="665"/>
      <c r="O23" s="665"/>
      <c r="P23" s="659">
        <v>46147</v>
      </c>
      <c r="Q23" s="659"/>
      <c r="R23" s="659"/>
      <c r="S23" s="659"/>
      <c r="T23" s="659"/>
      <c r="U23" s="660">
        <v>46148</v>
      </c>
      <c r="V23" s="660"/>
      <c r="W23" s="660"/>
      <c r="X23" s="660"/>
      <c r="Y23" s="660"/>
      <c r="Z23" s="659">
        <v>46149</v>
      </c>
      <c r="AA23" s="659"/>
      <c r="AB23" s="659"/>
      <c r="AC23" s="659"/>
      <c r="AD23" s="659"/>
      <c r="AE23" s="660">
        <v>46150</v>
      </c>
      <c r="AF23" s="660"/>
      <c r="AG23" s="660"/>
      <c r="AH23" s="660"/>
      <c r="AI23" s="660"/>
      <c r="AJ23" s="661">
        <v>46151</v>
      </c>
      <c r="AK23" s="662"/>
      <c r="AL23" s="662"/>
      <c r="AM23" s="662"/>
      <c r="AN23" s="663"/>
      <c r="AO23" s="660">
        <v>46152</v>
      </c>
      <c r="AP23" s="660"/>
      <c r="AQ23" s="660"/>
      <c r="AR23" s="660"/>
      <c r="AS23" s="660"/>
      <c r="AT23" s="661">
        <v>46153</v>
      </c>
      <c r="AU23" s="662"/>
      <c r="AV23" s="662"/>
      <c r="AW23" s="662"/>
      <c r="AX23" s="663"/>
    </row>
    <row r="24" spans="2:50" ht="14.25" customHeight="1">
      <c r="B24" s="631" t="s">
        <v>162</v>
      </c>
      <c r="C24" s="631" t="s">
        <v>157</v>
      </c>
      <c r="D24" s="631"/>
      <c r="E24" s="631" t="s">
        <v>158</v>
      </c>
      <c r="F24" s="631"/>
      <c r="G24" s="631"/>
      <c r="H24" s="631" t="s">
        <v>163</v>
      </c>
      <c r="I24" s="635" t="s">
        <v>370</v>
      </c>
      <c r="J24" s="635"/>
      <c r="K24" s="635"/>
      <c r="L24" s="635" t="s">
        <v>163</v>
      </c>
      <c r="M24" s="635" t="s">
        <v>165</v>
      </c>
      <c r="N24" s="631"/>
      <c r="O24" s="631" t="s">
        <v>164</v>
      </c>
      <c r="P24" s="631" t="s">
        <v>160</v>
      </c>
      <c r="Q24" s="631"/>
      <c r="R24" s="631"/>
      <c r="S24" s="631"/>
      <c r="T24" s="631" t="s">
        <v>163</v>
      </c>
      <c r="U24" s="631" t="s">
        <v>160</v>
      </c>
      <c r="V24" s="631"/>
      <c r="W24" s="631"/>
      <c r="X24" s="631"/>
      <c r="Y24" s="631" t="s">
        <v>163</v>
      </c>
      <c r="Z24" s="631" t="s">
        <v>160</v>
      </c>
      <c r="AA24" s="631"/>
      <c r="AB24" s="631"/>
      <c r="AC24" s="631"/>
      <c r="AD24" s="631" t="s">
        <v>163</v>
      </c>
      <c r="AE24" s="631" t="s">
        <v>160</v>
      </c>
      <c r="AF24" s="631"/>
      <c r="AG24" s="631"/>
      <c r="AH24" s="631"/>
      <c r="AI24" s="631" t="s">
        <v>163</v>
      </c>
      <c r="AJ24" s="631" t="s">
        <v>160</v>
      </c>
      <c r="AK24" s="631"/>
      <c r="AL24" s="631"/>
      <c r="AM24" s="631"/>
      <c r="AN24" s="631" t="s">
        <v>163</v>
      </c>
      <c r="AO24" s="631" t="s">
        <v>160</v>
      </c>
      <c r="AP24" s="631"/>
      <c r="AQ24" s="631"/>
      <c r="AR24" s="631"/>
      <c r="AS24" s="631" t="s">
        <v>163</v>
      </c>
      <c r="AT24" s="631" t="s">
        <v>160</v>
      </c>
      <c r="AU24" s="631"/>
      <c r="AV24" s="631"/>
      <c r="AW24" s="631"/>
      <c r="AX24" s="631" t="s">
        <v>163</v>
      </c>
    </row>
    <row r="25" spans="2:50" ht="14.25" customHeight="1">
      <c r="B25" s="631"/>
      <c r="C25" s="631"/>
      <c r="D25" s="631"/>
      <c r="E25" s="631" t="s">
        <v>371</v>
      </c>
      <c r="F25" s="631"/>
      <c r="G25" s="631"/>
      <c r="H25" s="631"/>
      <c r="I25" s="635" t="s">
        <v>371</v>
      </c>
      <c r="J25" s="635"/>
      <c r="K25" s="635"/>
      <c r="L25" s="635"/>
      <c r="M25" s="635"/>
      <c r="N25" s="631"/>
      <c r="O25" s="631"/>
      <c r="P25" s="631" t="s">
        <v>372</v>
      </c>
      <c r="Q25" s="631"/>
      <c r="R25" s="631"/>
      <c r="S25" s="631"/>
      <c r="T25" s="631"/>
      <c r="U25" s="631" t="s">
        <v>372</v>
      </c>
      <c r="V25" s="631"/>
      <c r="W25" s="631"/>
      <c r="X25" s="631"/>
      <c r="Y25" s="631"/>
      <c r="Z25" s="631" t="s">
        <v>372</v>
      </c>
      <c r="AA25" s="631"/>
      <c r="AB25" s="631"/>
      <c r="AC25" s="631"/>
      <c r="AD25" s="631"/>
      <c r="AE25" s="631" t="s">
        <v>372</v>
      </c>
      <c r="AF25" s="631"/>
      <c r="AG25" s="631"/>
      <c r="AH25" s="631"/>
      <c r="AI25" s="631"/>
      <c r="AJ25" s="631" t="s">
        <v>372</v>
      </c>
      <c r="AK25" s="631"/>
      <c r="AL25" s="631"/>
      <c r="AM25" s="631"/>
      <c r="AN25" s="631"/>
      <c r="AO25" s="631" t="s">
        <v>372</v>
      </c>
      <c r="AP25" s="631"/>
      <c r="AQ25" s="631"/>
      <c r="AR25" s="631"/>
      <c r="AS25" s="631"/>
      <c r="AT25" s="631" t="s">
        <v>372</v>
      </c>
      <c r="AU25" s="631"/>
      <c r="AV25" s="631"/>
      <c r="AW25" s="631"/>
      <c r="AX25" s="631"/>
    </row>
    <row r="26" spans="2:50" ht="14.25" customHeight="1">
      <c r="B26" s="631"/>
      <c r="C26" s="631"/>
      <c r="D26" s="631"/>
      <c r="E26" s="180" t="s">
        <v>159</v>
      </c>
      <c r="F26" s="180" t="s">
        <v>373</v>
      </c>
      <c r="G26" s="180" t="s">
        <v>161</v>
      </c>
      <c r="H26" s="631"/>
      <c r="I26" s="181" t="s">
        <v>159</v>
      </c>
      <c r="J26" s="181" t="s">
        <v>373</v>
      </c>
      <c r="K26" s="181" t="s">
        <v>161</v>
      </c>
      <c r="L26" s="635"/>
      <c r="M26" s="635"/>
      <c r="N26" s="631"/>
      <c r="O26" s="631"/>
      <c r="P26" s="180" t="s">
        <v>159</v>
      </c>
      <c r="Q26" s="180" t="s">
        <v>373</v>
      </c>
      <c r="R26" s="180" t="s">
        <v>161</v>
      </c>
      <c r="S26" s="182" t="s">
        <v>165</v>
      </c>
      <c r="T26" s="631"/>
      <c r="U26" s="180" t="s">
        <v>159</v>
      </c>
      <c r="V26" s="180" t="s">
        <v>373</v>
      </c>
      <c r="W26" s="180" t="s">
        <v>161</v>
      </c>
      <c r="X26" s="182" t="s">
        <v>165</v>
      </c>
      <c r="Y26" s="631"/>
      <c r="Z26" s="180" t="s">
        <v>159</v>
      </c>
      <c r="AA26" s="180" t="s">
        <v>373</v>
      </c>
      <c r="AB26" s="180" t="s">
        <v>161</v>
      </c>
      <c r="AC26" s="182" t="s">
        <v>165</v>
      </c>
      <c r="AD26" s="631"/>
      <c r="AE26" s="180" t="s">
        <v>159</v>
      </c>
      <c r="AF26" s="180" t="s">
        <v>373</v>
      </c>
      <c r="AG26" s="180" t="s">
        <v>161</v>
      </c>
      <c r="AH26" s="182" t="s">
        <v>165</v>
      </c>
      <c r="AI26" s="631"/>
      <c r="AJ26" s="180" t="s">
        <v>159</v>
      </c>
      <c r="AK26" s="180" t="s">
        <v>373</v>
      </c>
      <c r="AL26" s="180" t="s">
        <v>161</v>
      </c>
      <c r="AM26" s="182" t="s">
        <v>165</v>
      </c>
      <c r="AN26" s="631"/>
      <c r="AO26" s="180" t="s">
        <v>159</v>
      </c>
      <c r="AP26" s="180" t="s">
        <v>373</v>
      </c>
      <c r="AQ26" s="180" t="s">
        <v>161</v>
      </c>
      <c r="AR26" s="182" t="s">
        <v>165</v>
      </c>
      <c r="AS26" s="631"/>
      <c r="AT26" s="180" t="s">
        <v>159</v>
      </c>
      <c r="AU26" s="180" t="s">
        <v>373</v>
      </c>
      <c r="AV26" s="180" t="s">
        <v>161</v>
      </c>
      <c r="AW26" s="182" t="s">
        <v>165</v>
      </c>
      <c r="AX26" s="631"/>
    </row>
    <row r="27" spans="2:50" ht="14.25" customHeight="1">
      <c r="B27" s="631" t="s">
        <v>137</v>
      </c>
      <c r="C27" s="180">
        <v>1</v>
      </c>
      <c r="D27" s="183" t="s">
        <v>353</v>
      </c>
      <c r="E27" s="180">
        <v>21</v>
      </c>
      <c r="F27" s="180">
        <v>2000</v>
      </c>
      <c r="G27" s="185">
        <f t="shared" ref="G27:G35" si="16">F27/E27</f>
        <v>95.238095238095241</v>
      </c>
      <c r="H27" s="632">
        <f>AVERAGE(G27:G41)</f>
        <v>87.845166106035677</v>
      </c>
      <c r="I27" s="186">
        <f>AVERAGE(P27,U27,Z27,AE27,AJ27,AO27,AT27)</f>
        <v>21</v>
      </c>
      <c r="J27" s="186">
        <f>AVERAGE(Q27,V27,AA27,AF27,AK27,AP27,AU27)</f>
        <v>1787.8877248447784</v>
      </c>
      <c r="K27" s="187">
        <f>AVERAGE(R27,W27,AB27,AG27,AL27,AQ27,AV27)</f>
        <v>85.137510706894219</v>
      </c>
      <c r="L27" s="633">
        <f>IFERROR(AVERAGE(K27:K41),"-")</f>
        <v>78.595014871081574</v>
      </c>
      <c r="M27" s="186">
        <f>RANK(K27, K$27:$K$41)</f>
        <v>2</v>
      </c>
      <c r="N27" s="631"/>
      <c r="O27" s="631"/>
      <c r="P27" s="188">
        <v>21</v>
      </c>
      <c r="Q27" s="188">
        <v>1786.1999999999996</v>
      </c>
      <c r="R27" s="185">
        <f>IFERROR(Q27/P27,"")</f>
        <v>85.057142857142836</v>
      </c>
      <c r="S27" s="182">
        <f>RANK(R27, R$27:R$41)</f>
        <v>2</v>
      </c>
      <c r="T27" s="632">
        <f>AVERAGE(R27:R41)</f>
        <v>78.573228634915324</v>
      </c>
      <c r="U27" s="188">
        <v>21</v>
      </c>
      <c r="V27" s="188">
        <v>1786.9999999999995</v>
      </c>
      <c r="W27" s="185">
        <f t="shared" ref="W27:W35" si="17">IFERROR(V27/U27,"")</f>
        <v>85.095238095238074</v>
      </c>
      <c r="X27" s="182">
        <f>RANK(W27, W$27:W$41)</f>
        <v>2</v>
      </c>
      <c r="Y27" s="632">
        <f>AVERAGE(W27:W41)</f>
        <v>78.584224048519445</v>
      </c>
      <c r="Z27" s="188">
        <v>21</v>
      </c>
      <c r="AA27" s="188">
        <v>1786.7999999999997</v>
      </c>
      <c r="AB27" s="185">
        <f t="shared" ref="AB27:AB35" si="18">IFERROR(AA27/Z27,"")</f>
        <v>85.085714285714275</v>
      </c>
      <c r="AC27" s="182">
        <f>RANK(AB27, AB$27:AB$41)</f>
        <v>2</v>
      </c>
      <c r="AD27" s="632">
        <f>AVERAGE(AB27:AB41)</f>
        <v>78.585733384593993</v>
      </c>
      <c r="AE27" s="188">
        <v>21</v>
      </c>
      <c r="AF27" s="188">
        <v>1788.5535184783625</v>
      </c>
      <c r="AG27" s="185">
        <f>IFERROR(AF27/AE27,"")</f>
        <v>85.169215165636317</v>
      </c>
      <c r="AH27" s="182">
        <f>RANK(AG27, AG$27:AG$41)</f>
        <v>2</v>
      </c>
      <c r="AI27" s="632">
        <f>AVERAGE(AG27:AG41)</f>
        <v>78.60756110332585</v>
      </c>
      <c r="AJ27" s="188">
        <v>21</v>
      </c>
      <c r="AK27" s="188">
        <v>1789.1535184783625</v>
      </c>
      <c r="AL27" s="185">
        <f t="shared" ref="AL27:AL35" si="19">IFERROR(AK27/AJ27,"")</f>
        <v>85.197786594207741</v>
      </c>
      <c r="AM27" s="182">
        <f>RANK(AL27, AL$27:AL$41)</f>
        <v>2</v>
      </c>
      <c r="AN27" s="632">
        <f>AVERAGE(AL27:AL41)</f>
        <v>78.609539350521487</v>
      </c>
      <c r="AO27" s="188">
        <v>21</v>
      </c>
      <c r="AP27" s="188">
        <v>1788.3535184783625</v>
      </c>
      <c r="AQ27" s="185">
        <f t="shared" ref="AQ27:AQ35" si="20">IFERROR(AP27/AO27,"")</f>
        <v>85.159691356112504</v>
      </c>
      <c r="AR27" s="182">
        <f>RANK(AQ27, AQ$27:AQ$41)</f>
        <v>2</v>
      </c>
      <c r="AS27" s="632">
        <f>AVERAGE(AQ27:AQ41)</f>
        <v>78.597411148610675</v>
      </c>
      <c r="AT27" s="188">
        <v>21</v>
      </c>
      <c r="AU27" s="188">
        <v>1789.1535184783625</v>
      </c>
      <c r="AV27" s="185">
        <f t="shared" ref="AV27:AV35" si="21">IFERROR(AU27/AT27,"")</f>
        <v>85.197786594207741</v>
      </c>
      <c r="AW27" s="182">
        <f>RANK(AV27, AV$27:AV$41)</f>
        <v>2</v>
      </c>
      <c r="AX27" s="632">
        <f>AVERAGE(AV27:AV41)</f>
        <v>78.607406427084214</v>
      </c>
    </row>
    <row r="28" spans="2:50" ht="14.25" customHeight="1">
      <c r="B28" s="631"/>
      <c r="C28" s="180">
        <v>2</v>
      </c>
      <c r="D28" s="183" t="s">
        <v>354</v>
      </c>
      <c r="E28" s="180">
        <v>24</v>
      </c>
      <c r="F28" s="180">
        <v>2000</v>
      </c>
      <c r="G28" s="185">
        <f t="shared" si="16"/>
        <v>83.333333333333329</v>
      </c>
      <c r="H28" s="632"/>
      <c r="I28" s="186">
        <f t="shared" ref="I28:K35" si="22">AVERAGE(P28,U28,Z28,AE28,AJ28,AO28,AT28)</f>
        <v>24</v>
      </c>
      <c r="J28" s="186">
        <f t="shared" si="22"/>
        <v>1792.5711930695174</v>
      </c>
      <c r="K28" s="187">
        <f t="shared" si="22"/>
        <v>74.690466377896556</v>
      </c>
      <c r="L28" s="633"/>
      <c r="M28" s="186">
        <f>RANK(K28, K$27:$K$41)</f>
        <v>7</v>
      </c>
      <c r="N28" s="631"/>
      <c r="O28" s="631"/>
      <c r="P28" s="188">
        <v>24</v>
      </c>
      <c r="Q28" s="188">
        <v>1792.7997644980883</v>
      </c>
      <c r="R28" s="185">
        <f t="shared" ref="R28:R35" si="23">IFERROR(Q28/P28,"")</f>
        <v>74.69999018742034</v>
      </c>
      <c r="S28" s="182">
        <f t="shared" ref="S28:S35" si="24">RANK(R28, R$27:R$41)</f>
        <v>7</v>
      </c>
      <c r="T28" s="632"/>
      <c r="U28" s="188">
        <v>24</v>
      </c>
      <c r="V28" s="188">
        <v>1792.7997644980883</v>
      </c>
      <c r="W28" s="185">
        <f t="shared" si="17"/>
        <v>74.69999018742034</v>
      </c>
      <c r="X28" s="182">
        <f t="shared" ref="X28:X35" si="25">RANK(W28, W$27:W$41)</f>
        <v>7</v>
      </c>
      <c r="Y28" s="632"/>
      <c r="Z28" s="188">
        <v>24</v>
      </c>
      <c r="AA28" s="188">
        <v>1791.9997644980886</v>
      </c>
      <c r="AB28" s="185">
        <f t="shared" si="18"/>
        <v>74.666656854087023</v>
      </c>
      <c r="AC28" s="182">
        <f t="shared" ref="AC28:AC35" si="26">RANK(AB28, AB$27:AB$41)</f>
        <v>7</v>
      </c>
      <c r="AD28" s="632"/>
      <c r="AE28" s="188">
        <v>24</v>
      </c>
      <c r="AF28" s="188">
        <v>1792.3997644980889</v>
      </c>
      <c r="AG28" s="185">
        <f t="shared" ref="AG28:AG35" si="27">IFERROR(AF28/AE28,"")</f>
        <v>74.683323520753703</v>
      </c>
      <c r="AH28" s="182">
        <f t="shared" ref="AH28:AH35" si="28">RANK(AG28, AG$27:AG$41)</f>
        <v>7</v>
      </c>
      <c r="AI28" s="632"/>
      <c r="AJ28" s="188">
        <v>24</v>
      </c>
      <c r="AK28" s="188">
        <v>1793.1997644980888</v>
      </c>
      <c r="AL28" s="185">
        <f t="shared" si="19"/>
        <v>74.716656854087034</v>
      </c>
      <c r="AM28" s="182">
        <f t="shared" ref="AM28:AM35" si="29">RANK(AL28, AL$27:AL$41)</f>
        <v>7</v>
      </c>
      <c r="AN28" s="632"/>
      <c r="AO28" s="188">
        <v>24</v>
      </c>
      <c r="AP28" s="188">
        <v>1792.5997644980889</v>
      </c>
      <c r="AQ28" s="185">
        <f t="shared" si="20"/>
        <v>74.691656854087043</v>
      </c>
      <c r="AR28" s="182">
        <f t="shared" ref="AR28:AR35" si="30">RANK(AQ28, AQ$27:AQ$41)</f>
        <v>7</v>
      </c>
      <c r="AS28" s="632"/>
      <c r="AT28" s="188">
        <v>24</v>
      </c>
      <c r="AU28" s="188">
        <v>1792.1997644980893</v>
      </c>
      <c r="AV28" s="185">
        <f t="shared" si="21"/>
        <v>74.674990187420391</v>
      </c>
      <c r="AW28" s="182">
        <f t="shared" ref="AW28:AW35" si="31">RANK(AV28, AV$27:AV$41)</f>
        <v>7</v>
      </c>
      <c r="AX28" s="632"/>
    </row>
    <row r="29" spans="2:50" ht="14.25" customHeight="1">
      <c r="B29" s="631"/>
      <c r="C29" s="180">
        <v>3</v>
      </c>
      <c r="D29" s="183" t="s">
        <v>355</v>
      </c>
      <c r="E29" s="180">
        <v>23</v>
      </c>
      <c r="F29" s="180">
        <v>2000</v>
      </c>
      <c r="G29" s="185">
        <f t="shared" si="16"/>
        <v>86.956521739130437</v>
      </c>
      <c r="H29" s="632"/>
      <c r="I29" s="186">
        <f t="shared" si="22"/>
        <v>23</v>
      </c>
      <c r="J29" s="186">
        <f t="shared" si="22"/>
        <v>1788.5024666906731</v>
      </c>
      <c r="K29" s="187">
        <f t="shared" si="22"/>
        <v>77.760976812637978</v>
      </c>
      <c r="L29" s="633"/>
      <c r="M29" s="186">
        <f>RANK(K29, K$27:$K$41)</f>
        <v>5</v>
      </c>
      <c r="N29" s="631"/>
      <c r="O29" s="631"/>
      <c r="P29" s="188">
        <v>23</v>
      </c>
      <c r="Q29" s="188">
        <v>1788.8030819374221</v>
      </c>
      <c r="R29" s="185">
        <f t="shared" si="23"/>
        <v>77.77404704075748</v>
      </c>
      <c r="S29" s="182">
        <f t="shared" si="24"/>
        <v>5</v>
      </c>
      <c r="T29" s="632"/>
      <c r="U29" s="188">
        <v>23</v>
      </c>
      <c r="V29" s="188">
        <v>1788.4030819374225</v>
      </c>
      <c r="W29" s="185">
        <f t="shared" si="17"/>
        <v>77.75665573640967</v>
      </c>
      <c r="X29" s="182">
        <f t="shared" si="25"/>
        <v>5</v>
      </c>
      <c r="Y29" s="632"/>
      <c r="Z29" s="188">
        <v>23</v>
      </c>
      <c r="AA29" s="188">
        <v>1788.0030819374226</v>
      </c>
      <c r="AB29" s="185">
        <f t="shared" si="18"/>
        <v>77.739264432061859</v>
      </c>
      <c r="AC29" s="182">
        <f t="shared" si="26"/>
        <v>5</v>
      </c>
      <c r="AD29" s="632"/>
      <c r="AE29" s="188">
        <v>23</v>
      </c>
      <c r="AF29" s="188">
        <v>1788.5270052556109</v>
      </c>
      <c r="AG29" s="185">
        <f t="shared" si="27"/>
        <v>77.762043706765695</v>
      </c>
      <c r="AH29" s="182">
        <f t="shared" si="28"/>
        <v>6</v>
      </c>
      <c r="AI29" s="632"/>
      <c r="AJ29" s="188">
        <v>23</v>
      </c>
      <c r="AK29" s="188">
        <v>1788.3270052556111</v>
      </c>
      <c r="AL29" s="185">
        <f t="shared" si="19"/>
        <v>77.753348054591783</v>
      </c>
      <c r="AM29" s="182">
        <f t="shared" si="29"/>
        <v>6</v>
      </c>
      <c r="AN29" s="632"/>
      <c r="AO29" s="188">
        <v>23</v>
      </c>
      <c r="AP29" s="188">
        <v>1788.3270052556113</v>
      </c>
      <c r="AQ29" s="185">
        <f t="shared" si="20"/>
        <v>77.753348054591797</v>
      </c>
      <c r="AR29" s="182">
        <f t="shared" si="30"/>
        <v>6</v>
      </c>
      <c r="AS29" s="632"/>
      <c r="AT29" s="188">
        <v>23</v>
      </c>
      <c r="AU29" s="188">
        <v>1789.127005255611</v>
      </c>
      <c r="AV29" s="185">
        <f t="shared" si="21"/>
        <v>77.788130663287433</v>
      </c>
      <c r="AW29" s="182">
        <f t="shared" si="31"/>
        <v>5</v>
      </c>
      <c r="AX29" s="632"/>
    </row>
    <row r="30" spans="2:50" ht="14.25" customHeight="1">
      <c r="B30" s="631"/>
      <c r="C30" s="180">
        <v>4</v>
      </c>
      <c r="D30" s="183" t="s">
        <v>352</v>
      </c>
      <c r="E30" s="180">
        <v>23</v>
      </c>
      <c r="F30" s="180">
        <v>2000</v>
      </c>
      <c r="G30" s="185">
        <f t="shared" si="16"/>
        <v>86.956521739130437</v>
      </c>
      <c r="H30" s="632"/>
      <c r="I30" s="186">
        <f t="shared" si="22"/>
        <v>23</v>
      </c>
      <c r="J30" s="186">
        <f t="shared" si="22"/>
        <v>1788.4300192484495</v>
      </c>
      <c r="K30" s="187">
        <f t="shared" si="22"/>
        <v>77.757826923845627</v>
      </c>
      <c r="L30" s="633"/>
      <c r="M30" s="186">
        <f>RANK(K30, K$27:$K$41)</f>
        <v>6</v>
      </c>
      <c r="N30" s="631"/>
      <c r="O30" s="631"/>
      <c r="P30" s="188">
        <v>23</v>
      </c>
      <c r="Q30" s="188">
        <v>1787.4641711229954</v>
      </c>
      <c r="R30" s="185">
        <f t="shared" si="23"/>
        <v>77.715833527086758</v>
      </c>
      <c r="S30" s="182">
        <f t="shared" si="24"/>
        <v>6</v>
      </c>
      <c r="T30" s="632"/>
      <c r="U30" s="188">
        <v>23</v>
      </c>
      <c r="V30" s="188">
        <v>1788.0641711229957</v>
      </c>
      <c r="W30" s="185">
        <f t="shared" si="17"/>
        <v>77.74192048360851</v>
      </c>
      <c r="X30" s="182">
        <f t="shared" si="25"/>
        <v>6</v>
      </c>
      <c r="Y30" s="632"/>
      <c r="Z30" s="188">
        <v>23</v>
      </c>
      <c r="AA30" s="188">
        <v>1787.8641711229959</v>
      </c>
      <c r="AB30" s="185">
        <f t="shared" si="18"/>
        <v>77.733224831434612</v>
      </c>
      <c r="AC30" s="182">
        <f t="shared" si="26"/>
        <v>6</v>
      </c>
      <c r="AD30" s="632"/>
      <c r="AE30" s="188">
        <v>23</v>
      </c>
      <c r="AF30" s="188">
        <v>1789.0544053425394</v>
      </c>
      <c r="AG30" s="185">
        <f t="shared" si="27"/>
        <v>77.784974145327809</v>
      </c>
      <c r="AH30" s="182">
        <f t="shared" si="28"/>
        <v>5</v>
      </c>
      <c r="AI30" s="632"/>
      <c r="AJ30" s="188">
        <v>23</v>
      </c>
      <c r="AK30" s="188">
        <v>1789.0544053425397</v>
      </c>
      <c r="AL30" s="185">
        <f t="shared" si="19"/>
        <v>77.784974145327809</v>
      </c>
      <c r="AM30" s="182">
        <f t="shared" si="29"/>
        <v>5</v>
      </c>
      <c r="AN30" s="632"/>
      <c r="AO30" s="188">
        <v>23</v>
      </c>
      <c r="AP30" s="188">
        <v>1788.6544053425396</v>
      </c>
      <c r="AQ30" s="185">
        <f t="shared" si="20"/>
        <v>77.767582840979983</v>
      </c>
      <c r="AR30" s="182">
        <f t="shared" si="30"/>
        <v>5</v>
      </c>
      <c r="AS30" s="632"/>
      <c r="AT30" s="188">
        <v>23</v>
      </c>
      <c r="AU30" s="188">
        <v>1788.8544053425396</v>
      </c>
      <c r="AV30" s="185">
        <f t="shared" si="21"/>
        <v>77.776278493153896</v>
      </c>
      <c r="AW30" s="182">
        <f t="shared" si="31"/>
        <v>6</v>
      </c>
      <c r="AX30" s="632"/>
    </row>
    <row r="31" spans="2:50" ht="14.25" customHeight="1">
      <c r="B31" s="631"/>
      <c r="C31" s="180">
        <v>5</v>
      </c>
      <c r="D31" s="183" t="s">
        <v>441</v>
      </c>
      <c r="E31" s="180">
        <v>23</v>
      </c>
      <c r="F31" s="180">
        <v>2000</v>
      </c>
      <c r="G31" s="185">
        <f t="shared" si="16"/>
        <v>86.956521739130437</v>
      </c>
      <c r="H31" s="632"/>
      <c r="I31" s="186">
        <f t="shared" si="22"/>
        <v>23</v>
      </c>
      <c r="J31" s="186">
        <f t="shared" si="22"/>
        <v>1792.020896485001</v>
      </c>
      <c r="K31" s="187">
        <f t="shared" si="22"/>
        <v>77.913952021086985</v>
      </c>
      <c r="L31" s="633"/>
      <c r="M31" s="186">
        <f>RANK(K31, K$27:$K$41)</f>
        <v>4</v>
      </c>
      <c r="N31" s="631"/>
      <c r="O31" s="631"/>
      <c r="P31" s="188">
        <v>23</v>
      </c>
      <c r="Q31" s="188">
        <v>1791.4494679135721</v>
      </c>
      <c r="R31" s="185">
        <f t="shared" si="23"/>
        <v>77.889107300590098</v>
      </c>
      <c r="S31" s="182">
        <f t="shared" si="24"/>
        <v>4</v>
      </c>
      <c r="T31" s="632"/>
      <c r="U31" s="188">
        <v>23</v>
      </c>
      <c r="V31" s="188">
        <v>1791.4494679135723</v>
      </c>
      <c r="W31" s="185">
        <f t="shared" si="17"/>
        <v>77.889107300590098</v>
      </c>
      <c r="X31" s="182">
        <f t="shared" si="25"/>
        <v>4</v>
      </c>
      <c r="Y31" s="632"/>
      <c r="Z31" s="188">
        <v>23</v>
      </c>
      <c r="AA31" s="188">
        <v>1791.2494679135723</v>
      </c>
      <c r="AB31" s="185">
        <f t="shared" si="18"/>
        <v>77.880411648416185</v>
      </c>
      <c r="AC31" s="182">
        <f t="shared" si="26"/>
        <v>4</v>
      </c>
      <c r="AD31" s="632"/>
      <c r="AE31" s="188">
        <v>23</v>
      </c>
      <c r="AF31" s="188">
        <v>1791.4494679135723</v>
      </c>
      <c r="AG31" s="185">
        <f t="shared" si="27"/>
        <v>77.889107300590098</v>
      </c>
      <c r="AH31" s="182">
        <f t="shared" si="28"/>
        <v>4</v>
      </c>
      <c r="AI31" s="632"/>
      <c r="AJ31" s="188">
        <v>23</v>
      </c>
      <c r="AK31" s="188">
        <v>1792.049467913572</v>
      </c>
      <c r="AL31" s="185">
        <f t="shared" si="19"/>
        <v>77.915194257111821</v>
      </c>
      <c r="AM31" s="182">
        <f t="shared" si="29"/>
        <v>4</v>
      </c>
      <c r="AN31" s="632"/>
      <c r="AO31" s="188">
        <v>23</v>
      </c>
      <c r="AP31" s="188">
        <v>1792.849467913572</v>
      </c>
      <c r="AQ31" s="185">
        <f t="shared" si="20"/>
        <v>77.949976865807471</v>
      </c>
      <c r="AR31" s="182">
        <f t="shared" si="30"/>
        <v>4</v>
      </c>
      <c r="AS31" s="632"/>
      <c r="AT31" s="188">
        <v>23</v>
      </c>
      <c r="AU31" s="188">
        <v>1793.6494679135717</v>
      </c>
      <c r="AV31" s="185">
        <f t="shared" si="21"/>
        <v>77.984759474503122</v>
      </c>
      <c r="AW31" s="182">
        <f t="shared" si="31"/>
        <v>4</v>
      </c>
      <c r="AX31" s="632"/>
    </row>
    <row r="32" spans="2:50" ht="14.25" customHeight="1">
      <c r="B32" s="631"/>
      <c r="C32" s="180">
        <v>6</v>
      </c>
      <c r="D32" s="183" t="s">
        <v>444</v>
      </c>
      <c r="E32" s="180">
        <v>22</v>
      </c>
      <c r="F32" s="180">
        <v>2000</v>
      </c>
      <c r="G32" s="185">
        <f t="shared" si="16"/>
        <v>90.909090909090907</v>
      </c>
      <c r="H32" s="632"/>
      <c r="I32" s="186">
        <f t="shared" si="22"/>
        <v>22</v>
      </c>
      <c r="J32" s="186">
        <f t="shared" si="22"/>
        <v>1787.5469607591699</v>
      </c>
      <c r="K32" s="187">
        <f t="shared" si="22"/>
        <v>81.252134579962259</v>
      </c>
      <c r="L32" s="633"/>
      <c r="M32" s="186">
        <f>RANK(K32, K$27:$K$41)</f>
        <v>3</v>
      </c>
      <c r="N32" s="631"/>
      <c r="O32" s="631"/>
      <c r="P32" s="188">
        <v>22</v>
      </c>
      <c r="Q32" s="188">
        <v>1787.432675044884</v>
      </c>
      <c r="R32" s="185">
        <f t="shared" si="23"/>
        <v>81.246939774767455</v>
      </c>
      <c r="S32" s="182">
        <f t="shared" si="24"/>
        <v>3</v>
      </c>
      <c r="T32" s="632"/>
      <c r="U32" s="188">
        <v>22</v>
      </c>
      <c r="V32" s="188">
        <v>1787.6326750448839</v>
      </c>
      <c r="W32" s="185">
        <f t="shared" si="17"/>
        <v>81.256030683858356</v>
      </c>
      <c r="X32" s="182">
        <f t="shared" si="25"/>
        <v>3</v>
      </c>
      <c r="Y32" s="632"/>
      <c r="Z32" s="188">
        <v>22</v>
      </c>
      <c r="AA32" s="188">
        <v>1788.6326750448839</v>
      </c>
      <c r="AB32" s="185">
        <f t="shared" si="18"/>
        <v>81.301485229312902</v>
      </c>
      <c r="AC32" s="182">
        <f t="shared" si="26"/>
        <v>3</v>
      </c>
      <c r="AD32" s="632"/>
      <c r="AE32" s="188">
        <v>22</v>
      </c>
      <c r="AF32" s="188">
        <v>1788.0326750448839</v>
      </c>
      <c r="AG32" s="185">
        <f t="shared" si="27"/>
        <v>81.274212502040186</v>
      </c>
      <c r="AH32" s="182">
        <f t="shared" si="28"/>
        <v>3</v>
      </c>
      <c r="AI32" s="632"/>
      <c r="AJ32" s="188">
        <v>22</v>
      </c>
      <c r="AK32" s="188">
        <v>1787.2326750448842</v>
      </c>
      <c r="AL32" s="185">
        <f t="shared" si="19"/>
        <v>81.237848865676554</v>
      </c>
      <c r="AM32" s="182">
        <f t="shared" si="29"/>
        <v>3</v>
      </c>
      <c r="AN32" s="632"/>
      <c r="AO32" s="188">
        <v>22</v>
      </c>
      <c r="AP32" s="188">
        <v>1787.0326750448842</v>
      </c>
      <c r="AQ32" s="185">
        <f t="shared" si="20"/>
        <v>81.228757956585639</v>
      </c>
      <c r="AR32" s="182">
        <f t="shared" si="30"/>
        <v>3</v>
      </c>
      <c r="AS32" s="632"/>
      <c r="AT32" s="188">
        <v>22</v>
      </c>
      <c r="AU32" s="188">
        <v>1786.8326750448844</v>
      </c>
      <c r="AV32" s="185">
        <f t="shared" si="21"/>
        <v>81.219667047494738</v>
      </c>
      <c r="AW32" s="182">
        <f t="shared" si="31"/>
        <v>3</v>
      </c>
      <c r="AX32" s="632"/>
    </row>
    <row r="33" spans="2:50" ht="14.25" customHeight="1">
      <c r="B33" s="631"/>
      <c r="C33" s="180">
        <v>7</v>
      </c>
      <c r="D33" s="183" t="s">
        <v>447</v>
      </c>
      <c r="E33" s="180">
        <v>20</v>
      </c>
      <c r="F33" s="180">
        <v>2000</v>
      </c>
      <c r="G33" s="185">
        <f t="shared" si="16"/>
        <v>100</v>
      </c>
      <c r="H33" s="632"/>
      <c r="I33" s="186">
        <f t="shared" si="22"/>
        <v>20</v>
      </c>
      <c r="J33" s="186">
        <f t="shared" si="22"/>
        <v>1786.852357968128</v>
      </c>
      <c r="K33" s="187">
        <f t="shared" si="22"/>
        <v>89.342617898406402</v>
      </c>
      <c r="L33" s="633"/>
      <c r="M33" s="186">
        <f>RANK(K33, K$27:$K$41)</f>
        <v>1</v>
      </c>
      <c r="N33" s="631"/>
      <c r="O33" s="631"/>
      <c r="P33" s="188">
        <v>20</v>
      </c>
      <c r="Q33" s="188">
        <v>1787.0065513744435</v>
      </c>
      <c r="R33" s="185">
        <f t="shared" si="23"/>
        <v>89.350327568722179</v>
      </c>
      <c r="S33" s="182">
        <f t="shared" si="24"/>
        <v>1</v>
      </c>
      <c r="T33" s="632"/>
      <c r="U33" s="188">
        <v>20</v>
      </c>
      <c r="V33" s="188">
        <v>1787.4065513744433</v>
      </c>
      <c r="W33" s="185">
        <f t="shared" si="17"/>
        <v>89.370327568722161</v>
      </c>
      <c r="X33" s="182">
        <f t="shared" si="25"/>
        <v>1</v>
      </c>
      <c r="Y33" s="632"/>
      <c r="Z33" s="188">
        <v>20</v>
      </c>
      <c r="AA33" s="188">
        <v>1787.2065513744433</v>
      </c>
      <c r="AB33" s="185">
        <f t="shared" si="18"/>
        <v>89.36032756872217</v>
      </c>
      <c r="AC33" s="182">
        <f t="shared" si="26"/>
        <v>1</v>
      </c>
      <c r="AD33" s="632"/>
      <c r="AE33" s="188">
        <v>20</v>
      </c>
      <c r="AF33" s="188">
        <v>1787.1867129133918</v>
      </c>
      <c r="AG33" s="185">
        <f t="shared" si="27"/>
        <v>89.359335645669589</v>
      </c>
      <c r="AH33" s="182">
        <f t="shared" si="28"/>
        <v>1</v>
      </c>
      <c r="AI33" s="632"/>
      <c r="AJ33" s="188">
        <v>20</v>
      </c>
      <c r="AK33" s="188">
        <v>1786.786712913392</v>
      </c>
      <c r="AL33" s="185">
        <f t="shared" si="19"/>
        <v>89.339335645669593</v>
      </c>
      <c r="AM33" s="182">
        <f t="shared" si="29"/>
        <v>1</v>
      </c>
      <c r="AN33" s="632"/>
      <c r="AO33" s="188">
        <v>20</v>
      </c>
      <c r="AP33" s="188">
        <v>1786.1867129133916</v>
      </c>
      <c r="AQ33" s="185">
        <f t="shared" si="20"/>
        <v>89.309335645669577</v>
      </c>
      <c r="AR33" s="182">
        <f t="shared" si="30"/>
        <v>1</v>
      </c>
      <c r="AS33" s="632"/>
      <c r="AT33" s="188">
        <v>20</v>
      </c>
      <c r="AU33" s="188">
        <v>1786.1867129133911</v>
      </c>
      <c r="AV33" s="185">
        <f t="shared" si="21"/>
        <v>89.309335645669563</v>
      </c>
      <c r="AW33" s="182">
        <f t="shared" si="31"/>
        <v>1</v>
      </c>
      <c r="AX33" s="632"/>
    </row>
    <row r="34" spans="2:50" ht="14.25" customHeight="1">
      <c r="B34" s="631"/>
      <c r="C34" s="180">
        <v>8</v>
      </c>
      <c r="D34" s="183" t="s">
        <v>356</v>
      </c>
      <c r="E34" s="180">
        <v>24</v>
      </c>
      <c r="F34" s="180">
        <v>2000</v>
      </c>
      <c r="G34" s="185">
        <f t="shared" si="16"/>
        <v>83.333333333333329</v>
      </c>
      <c r="H34" s="632"/>
      <c r="I34" s="186">
        <f t="shared" si="22"/>
        <v>24</v>
      </c>
      <c r="J34" s="186">
        <f t="shared" si="22"/>
        <v>1790.2117730521111</v>
      </c>
      <c r="K34" s="187">
        <f t="shared" si="22"/>
        <v>74.592157210504624</v>
      </c>
      <c r="L34" s="633"/>
      <c r="M34" s="186">
        <f>RANK(K34, K$27:$K$41)</f>
        <v>8</v>
      </c>
      <c r="N34" s="631"/>
      <c r="O34" s="631"/>
      <c r="P34" s="188">
        <v>24</v>
      </c>
      <c r="Q34" s="188">
        <v>1789.0164953622505</v>
      </c>
      <c r="R34" s="185">
        <f t="shared" si="23"/>
        <v>74.542353973427097</v>
      </c>
      <c r="S34" s="182">
        <f t="shared" si="24"/>
        <v>8</v>
      </c>
      <c r="T34" s="632"/>
      <c r="U34" s="188">
        <v>24</v>
      </c>
      <c r="V34" s="188">
        <v>1789.0164953622505</v>
      </c>
      <c r="W34" s="185">
        <f t="shared" si="17"/>
        <v>74.542353973427097</v>
      </c>
      <c r="X34" s="182">
        <f t="shared" si="25"/>
        <v>8</v>
      </c>
      <c r="Y34" s="632"/>
      <c r="Z34" s="188">
        <v>24</v>
      </c>
      <c r="AA34" s="188">
        <v>1789.6164953622501</v>
      </c>
      <c r="AB34" s="185">
        <f t="shared" si="18"/>
        <v>74.567353973427089</v>
      </c>
      <c r="AC34" s="182">
        <f t="shared" si="26"/>
        <v>8</v>
      </c>
      <c r="AD34" s="632"/>
      <c r="AE34" s="188">
        <v>24</v>
      </c>
      <c r="AF34" s="188">
        <v>1790.6082313195061</v>
      </c>
      <c r="AG34" s="185">
        <f t="shared" si="27"/>
        <v>74.608676304979426</v>
      </c>
      <c r="AH34" s="182">
        <f t="shared" si="28"/>
        <v>8</v>
      </c>
      <c r="AI34" s="632"/>
      <c r="AJ34" s="188">
        <v>24</v>
      </c>
      <c r="AK34" s="188">
        <v>1791.4082313195065</v>
      </c>
      <c r="AL34" s="185">
        <f t="shared" si="19"/>
        <v>74.642009638312771</v>
      </c>
      <c r="AM34" s="182">
        <f t="shared" si="29"/>
        <v>8</v>
      </c>
      <c r="AN34" s="632"/>
      <c r="AO34" s="188">
        <v>24</v>
      </c>
      <c r="AP34" s="188">
        <v>1791.0082313195066</v>
      </c>
      <c r="AQ34" s="185">
        <f t="shared" si="20"/>
        <v>74.625342971646106</v>
      </c>
      <c r="AR34" s="182">
        <f t="shared" si="30"/>
        <v>8</v>
      </c>
      <c r="AS34" s="632"/>
      <c r="AT34" s="188">
        <v>24</v>
      </c>
      <c r="AU34" s="188">
        <v>1790.8082313195066</v>
      </c>
      <c r="AV34" s="185">
        <f t="shared" si="21"/>
        <v>74.61700963831278</v>
      </c>
      <c r="AW34" s="182">
        <f t="shared" si="31"/>
        <v>8</v>
      </c>
      <c r="AX34" s="632"/>
    </row>
    <row r="35" spans="2:50" ht="14.25" customHeight="1">
      <c r="B35" s="631"/>
      <c r="C35" s="180">
        <v>9</v>
      </c>
      <c r="D35" s="183" t="s">
        <v>542</v>
      </c>
      <c r="E35" s="180">
        <v>26</v>
      </c>
      <c r="F35" s="180">
        <v>2000</v>
      </c>
      <c r="G35" s="185">
        <f t="shared" si="16"/>
        <v>76.92307692307692</v>
      </c>
      <c r="H35" s="632"/>
      <c r="I35" s="186">
        <f t="shared" si="22"/>
        <v>26</v>
      </c>
      <c r="J35" s="186">
        <f t="shared" si="22"/>
        <v>1791.5947740209867</v>
      </c>
      <c r="K35" s="187">
        <f t="shared" si="22"/>
        <v>68.907491308499488</v>
      </c>
      <c r="L35" s="633"/>
      <c r="M35" s="186">
        <f>RANK(K35, K$27:$K$41)</f>
        <v>9</v>
      </c>
      <c r="N35" s="631"/>
      <c r="O35" s="631"/>
      <c r="P35" s="188">
        <v>26</v>
      </c>
      <c r="Q35" s="188">
        <v>1790.9662025924151</v>
      </c>
      <c r="R35" s="185">
        <f t="shared" si="23"/>
        <v>68.88331548432366</v>
      </c>
      <c r="S35" s="182">
        <f t="shared" si="24"/>
        <v>9</v>
      </c>
      <c r="T35" s="632"/>
      <c r="U35" s="188">
        <v>26</v>
      </c>
      <c r="V35" s="188">
        <v>1791.5662025924153</v>
      </c>
      <c r="W35" s="185">
        <f t="shared" si="17"/>
        <v>68.906392407400588</v>
      </c>
      <c r="X35" s="182">
        <f t="shared" si="25"/>
        <v>9</v>
      </c>
      <c r="Y35" s="632"/>
      <c r="Z35" s="188">
        <v>26</v>
      </c>
      <c r="AA35" s="188">
        <v>1792.3662025924152</v>
      </c>
      <c r="AB35" s="185">
        <f t="shared" si="18"/>
        <v>68.937161638169812</v>
      </c>
      <c r="AC35" s="182">
        <f t="shared" si="26"/>
        <v>9</v>
      </c>
      <c r="AD35" s="632"/>
      <c r="AE35" s="188">
        <v>26</v>
      </c>
      <c r="AF35" s="188">
        <v>1792.366202592415</v>
      </c>
      <c r="AG35" s="185">
        <f t="shared" si="27"/>
        <v>68.937161638169812</v>
      </c>
      <c r="AH35" s="182">
        <f t="shared" si="28"/>
        <v>9</v>
      </c>
      <c r="AI35" s="632"/>
      <c r="AJ35" s="188">
        <v>26</v>
      </c>
      <c r="AK35" s="188">
        <v>1791.3662025924152</v>
      </c>
      <c r="AL35" s="185">
        <f t="shared" si="19"/>
        <v>68.898700099708279</v>
      </c>
      <c r="AM35" s="182">
        <f t="shared" si="29"/>
        <v>9</v>
      </c>
      <c r="AN35" s="632"/>
      <c r="AO35" s="188">
        <v>26</v>
      </c>
      <c r="AP35" s="188">
        <v>1791.1662025924154</v>
      </c>
      <c r="AQ35" s="185">
        <f t="shared" si="20"/>
        <v>68.891007792015984</v>
      </c>
      <c r="AR35" s="182">
        <f t="shared" si="30"/>
        <v>9</v>
      </c>
      <c r="AS35" s="632"/>
      <c r="AT35" s="188">
        <v>26</v>
      </c>
      <c r="AU35" s="188">
        <v>1791.3662025924157</v>
      </c>
      <c r="AV35" s="185">
        <f t="shared" si="21"/>
        <v>68.898700099708293</v>
      </c>
      <c r="AW35" s="182">
        <f t="shared" si="31"/>
        <v>9</v>
      </c>
      <c r="AX35" s="632"/>
    </row>
    <row r="36" spans="2:50" ht="14.25" customHeight="1">
      <c r="B36" s="631"/>
      <c r="C36" s="180">
        <v>10</v>
      </c>
      <c r="D36" s="183"/>
      <c r="E36" s="180"/>
      <c r="F36" s="180"/>
      <c r="G36" s="185"/>
      <c r="H36" s="632"/>
      <c r="I36" s="186"/>
      <c r="J36" s="186"/>
      <c r="K36" s="187"/>
      <c r="L36" s="633"/>
      <c r="M36" s="186"/>
      <c r="N36" s="631"/>
      <c r="O36" s="631"/>
      <c r="P36" s="188"/>
      <c r="Q36" s="188"/>
      <c r="R36" s="185"/>
      <c r="S36" s="182"/>
      <c r="T36" s="632"/>
      <c r="U36" s="188"/>
      <c r="V36" s="188"/>
      <c r="W36" s="185"/>
      <c r="X36" s="182"/>
      <c r="Y36" s="632"/>
      <c r="Z36" s="188"/>
      <c r="AA36" s="188"/>
      <c r="AB36" s="185"/>
      <c r="AC36" s="182"/>
      <c r="AD36" s="632"/>
      <c r="AE36" s="188"/>
      <c r="AF36" s="188"/>
      <c r="AG36" s="185"/>
      <c r="AH36" s="182"/>
      <c r="AI36" s="632"/>
      <c r="AJ36" s="188"/>
      <c r="AK36" s="188"/>
      <c r="AL36" s="185"/>
      <c r="AM36" s="182"/>
      <c r="AN36" s="632"/>
      <c r="AO36" s="188"/>
      <c r="AP36" s="188"/>
      <c r="AQ36" s="185"/>
      <c r="AR36" s="182"/>
      <c r="AS36" s="632"/>
      <c r="AT36" s="188"/>
      <c r="AU36" s="188"/>
      <c r="AV36" s="185"/>
      <c r="AW36" s="182"/>
      <c r="AX36" s="632"/>
    </row>
    <row r="37" spans="2:50" ht="14.25" customHeight="1">
      <c r="B37" s="631"/>
      <c r="C37" s="180">
        <v>11</v>
      </c>
      <c r="D37" s="183"/>
      <c r="E37" s="180"/>
      <c r="F37" s="180"/>
      <c r="G37" s="185"/>
      <c r="H37" s="632"/>
      <c r="I37" s="186"/>
      <c r="J37" s="186"/>
      <c r="K37" s="187"/>
      <c r="L37" s="633"/>
      <c r="M37" s="186"/>
      <c r="N37" s="631"/>
      <c r="O37" s="631"/>
      <c r="P37" s="188"/>
      <c r="Q37" s="188"/>
      <c r="R37" s="185"/>
      <c r="S37" s="182"/>
      <c r="T37" s="632"/>
      <c r="U37" s="188"/>
      <c r="V37" s="188"/>
      <c r="W37" s="185"/>
      <c r="X37" s="182"/>
      <c r="Y37" s="632"/>
      <c r="Z37" s="188"/>
      <c r="AA37" s="188"/>
      <c r="AB37" s="185"/>
      <c r="AC37" s="182"/>
      <c r="AD37" s="632"/>
      <c r="AE37" s="188"/>
      <c r="AF37" s="188"/>
      <c r="AG37" s="185"/>
      <c r="AH37" s="182"/>
      <c r="AI37" s="632"/>
      <c r="AJ37" s="188"/>
      <c r="AK37" s="188"/>
      <c r="AL37" s="185"/>
      <c r="AM37" s="182"/>
      <c r="AN37" s="632"/>
      <c r="AO37" s="188"/>
      <c r="AP37" s="188"/>
      <c r="AQ37" s="185"/>
      <c r="AR37" s="182"/>
      <c r="AS37" s="632"/>
      <c r="AT37" s="188"/>
      <c r="AU37" s="188"/>
      <c r="AV37" s="185"/>
      <c r="AW37" s="182"/>
      <c r="AX37" s="632"/>
    </row>
    <row r="38" spans="2:50" ht="14.25" customHeight="1">
      <c r="B38" s="631"/>
      <c r="C38" s="180">
        <v>12</v>
      </c>
      <c r="D38" s="183"/>
      <c r="E38" s="180"/>
      <c r="F38" s="180"/>
      <c r="G38" s="185"/>
      <c r="H38" s="632"/>
      <c r="I38" s="186"/>
      <c r="J38" s="186"/>
      <c r="K38" s="187"/>
      <c r="L38" s="633"/>
      <c r="M38" s="186"/>
      <c r="N38" s="631"/>
      <c r="O38" s="631"/>
      <c r="P38" s="188"/>
      <c r="Q38" s="188"/>
      <c r="R38" s="185"/>
      <c r="S38" s="182"/>
      <c r="T38" s="632"/>
      <c r="U38" s="188"/>
      <c r="V38" s="188"/>
      <c r="W38" s="185"/>
      <c r="X38" s="182"/>
      <c r="Y38" s="632"/>
      <c r="Z38" s="188"/>
      <c r="AA38" s="188"/>
      <c r="AB38" s="185"/>
      <c r="AC38" s="182"/>
      <c r="AD38" s="632"/>
      <c r="AE38" s="188"/>
      <c r="AF38" s="188"/>
      <c r="AG38" s="185"/>
      <c r="AH38" s="182"/>
      <c r="AI38" s="632"/>
      <c r="AJ38" s="188"/>
      <c r="AK38" s="188"/>
      <c r="AL38" s="185"/>
      <c r="AM38" s="182"/>
      <c r="AN38" s="632"/>
      <c r="AO38" s="188"/>
      <c r="AP38" s="188"/>
      <c r="AQ38" s="185"/>
      <c r="AR38" s="182"/>
      <c r="AS38" s="632"/>
      <c r="AT38" s="188"/>
      <c r="AU38" s="188"/>
      <c r="AV38" s="185"/>
      <c r="AW38" s="182"/>
      <c r="AX38" s="632"/>
    </row>
    <row r="39" spans="2:50" ht="14.25" customHeight="1">
      <c r="B39" s="631"/>
      <c r="C39" s="180">
        <v>13</v>
      </c>
      <c r="D39" s="183"/>
      <c r="E39" s="180"/>
      <c r="F39" s="180"/>
      <c r="G39" s="185"/>
      <c r="H39" s="632"/>
      <c r="I39" s="186"/>
      <c r="J39" s="186"/>
      <c r="K39" s="187"/>
      <c r="L39" s="633"/>
      <c r="M39" s="186"/>
      <c r="N39" s="631"/>
      <c r="O39" s="631"/>
      <c r="P39" s="188"/>
      <c r="Q39" s="188"/>
      <c r="R39" s="185"/>
      <c r="S39" s="182"/>
      <c r="T39" s="632"/>
      <c r="U39" s="188"/>
      <c r="V39" s="188"/>
      <c r="W39" s="185"/>
      <c r="X39" s="182"/>
      <c r="Y39" s="632"/>
      <c r="Z39" s="188"/>
      <c r="AA39" s="188"/>
      <c r="AB39" s="185"/>
      <c r="AC39" s="182"/>
      <c r="AD39" s="632"/>
      <c r="AE39" s="188"/>
      <c r="AF39" s="188"/>
      <c r="AG39" s="185"/>
      <c r="AH39" s="182"/>
      <c r="AI39" s="632"/>
      <c r="AJ39" s="188"/>
      <c r="AK39" s="188"/>
      <c r="AL39" s="185"/>
      <c r="AM39" s="182"/>
      <c r="AN39" s="632"/>
      <c r="AO39" s="188"/>
      <c r="AP39" s="188"/>
      <c r="AQ39" s="185"/>
      <c r="AR39" s="182"/>
      <c r="AS39" s="632"/>
      <c r="AT39" s="188"/>
      <c r="AU39" s="188"/>
      <c r="AV39" s="185"/>
      <c r="AW39" s="182"/>
      <c r="AX39" s="632"/>
    </row>
    <row r="40" spans="2:50" ht="14.25" customHeight="1">
      <c r="B40" s="631"/>
      <c r="C40" s="180">
        <v>14</v>
      </c>
      <c r="D40" s="183"/>
      <c r="E40" s="180"/>
      <c r="F40" s="180"/>
      <c r="G40" s="185"/>
      <c r="H40" s="632"/>
      <c r="I40" s="186"/>
      <c r="J40" s="186"/>
      <c r="K40" s="187"/>
      <c r="L40" s="633"/>
      <c r="M40" s="186"/>
      <c r="N40" s="631"/>
      <c r="O40" s="631"/>
      <c r="P40" s="188"/>
      <c r="Q40" s="188"/>
      <c r="R40" s="185"/>
      <c r="S40" s="182"/>
      <c r="T40" s="632"/>
      <c r="U40" s="188"/>
      <c r="V40" s="188"/>
      <c r="W40" s="185"/>
      <c r="X40" s="182"/>
      <c r="Y40" s="632"/>
      <c r="Z40" s="188"/>
      <c r="AA40" s="188"/>
      <c r="AB40" s="185"/>
      <c r="AC40" s="182"/>
      <c r="AD40" s="632"/>
      <c r="AE40" s="188"/>
      <c r="AF40" s="188"/>
      <c r="AG40" s="185"/>
      <c r="AH40" s="182"/>
      <c r="AI40" s="632"/>
      <c r="AJ40" s="188"/>
      <c r="AK40" s="188"/>
      <c r="AL40" s="185"/>
      <c r="AM40" s="182"/>
      <c r="AN40" s="632"/>
      <c r="AO40" s="188"/>
      <c r="AP40" s="188"/>
      <c r="AQ40" s="185"/>
      <c r="AR40" s="182"/>
      <c r="AS40" s="632"/>
      <c r="AT40" s="188"/>
      <c r="AU40" s="188"/>
      <c r="AV40" s="185"/>
      <c r="AW40" s="182"/>
      <c r="AX40" s="632"/>
    </row>
    <row r="41" spans="2:50" ht="14.25" customHeight="1">
      <c r="B41" s="631"/>
      <c r="C41" s="180">
        <v>15</v>
      </c>
      <c r="D41" s="183"/>
      <c r="E41" s="180"/>
      <c r="F41" s="180"/>
      <c r="G41" s="185"/>
      <c r="H41" s="632"/>
      <c r="I41" s="186"/>
      <c r="J41" s="186"/>
      <c r="K41" s="187"/>
      <c r="L41" s="633"/>
      <c r="M41" s="186"/>
      <c r="N41" s="631"/>
      <c r="O41" s="631"/>
      <c r="P41" s="188"/>
      <c r="Q41" s="188"/>
      <c r="R41" s="185"/>
      <c r="S41" s="182"/>
      <c r="T41" s="632"/>
      <c r="U41" s="188"/>
      <c r="V41" s="188"/>
      <c r="W41" s="185"/>
      <c r="X41" s="182"/>
      <c r="Y41" s="632"/>
      <c r="Z41" s="188"/>
      <c r="AA41" s="188"/>
      <c r="AB41" s="185"/>
      <c r="AC41" s="182"/>
      <c r="AD41" s="632"/>
      <c r="AE41" s="188"/>
      <c r="AF41" s="188"/>
      <c r="AG41" s="185"/>
      <c r="AH41" s="182"/>
      <c r="AI41" s="632"/>
      <c r="AJ41" s="188"/>
      <c r="AK41" s="188"/>
      <c r="AL41" s="185"/>
      <c r="AM41" s="182"/>
      <c r="AN41" s="632"/>
      <c r="AO41" s="188"/>
      <c r="AP41" s="188"/>
      <c r="AQ41" s="185"/>
      <c r="AR41" s="182"/>
      <c r="AS41" s="632"/>
      <c r="AT41" s="188"/>
      <c r="AU41" s="188"/>
      <c r="AV41" s="185"/>
      <c r="AW41" s="182"/>
      <c r="AX41" s="632"/>
    </row>
    <row r="42" spans="2:50" ht="14.25" customHeight="1">
      <c r="B42" s="645" t="s">
        <v>743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7"/>
      <c r="N42" s="664" t="s">
        <v>369</v>
      </c>
      <c r="O42" s="664" t="s">
        <v>105</v>
      </c>
      <c r="P42" s="666">
        <v>46154</v>
      </c>
      <c r="Q42" s="667"/>
      <c r="R42" s="667"/>
      <c r="S42" s="667"/>
      <c r="T42" s="667"/>
      <c r="U42" s="668">
        <v>46155</v>
      </c>
      <c r="V42" s="669"/>
      <c r="W42" s="669"/>
      <c r="X42" s="669"/>
      <c r="Y42" s="669"/>
      <c r="Z42" s="666">
        <v>46156</v>
      </c>
      <c r="AA42" s="667"/>
      <c r="AB42" s="667"/>
      <c r="AC42" s="667"/>
      <c r="AD42" s="667"/>
      <c r="AE42" s="668">
        <v>46157</v>
      </c>
      <c r="AF42" s="669"/>
      <c r="AG42" s="669"/>
      <c r="AH42" s="669"/>
      <c r="AI42" s="669"/>
      <c r="AJ42" s="656">
        <v>46158</v>
      </c>
      <c r="AK42" s="657"/>
      <c r="AL42" s="657"/>
      <c r="AM42" s="657"/>
      <c r="AN42" s="658"/>
      <c r="AO42" s="668">
        <v>46159</v>
      </c>
      <c r="AP42" s="669"/>
      <c r="AQ42" s="669"/>
      <c r="AR42" s="669"/>
      <c r="AS42" s="669"/>
      <c r="AT42" s="656">
        <v>46160</v>
      </c>
      <c r="AU42" s="657"/>
      <c r="AV42" s="657"/>
      <c r="AW42" s="657"/>
      <c r="AX42" s="658"/>
    </row>
    <row r="43" spans="2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65"/>
      <c r="O43" s="665"/>
      <c r="P43" s="659">
        <v>46154</v>
      </c>
      <c r="Q43" s="659"/>
      <c r="R43" s="659"/>
      <c r="S43" s="659"/>
      <c r="T43" s="659"/>
      <c r="U43" s="660">
        <v>46155</v>
      </c>
      <c r="V43" s="660"/>
      <c r="W43" s="660"/>
      <c r="X43" s="660"/>
      <c r="Y43" s="660"/>
      <c r="Z43" s="659">
        <v>46156</v>
      </c>
      <c r="AA43" s="659"/>
      <c r="AB43" s="659"/>
      <c r="AC43" s="659"/>
      <c r="AD43" s="659"/>
      <c r="AE43" s="660">
        <v>46157</v>
      </c>
      <c r="AF43" s="660"/>
      <c r="AG43" s="660"/>
      <c r="AH43" s="660"/>
      <c r="AI43" s="660"/>
      <c r="AJ43" s="661">
        <v>46158</v>
      </c>
      <c r="AK43" s="662"/>
      <c r="AL43" s="662"/>
      <c r="AM43" s="662"/>
      <c r="AN43" s="663"/>
      <c r="AO43" s="660">
        <v>46159</v>
      </c>
      <c r="AP43" s="660"/>
      <c r="AQ43" s="660"/>
      <c r="AR43" s="660"/>
      <c r="AS43" s="660"/>
      <c r="AT43" s="661">
        <v>46160</v>
      </c>
      <c r="AU43" s="662"/>
      <c r="AV43" s="662"/>
      <c r="AW43" s="662"/>
      <c r="AX43" s="663"/>
    </row>
    <row r="44" spans="2:50" ht="14.25" customHeight="1">
      <c r="B44" s="631" t="s">
        <v>162</v>
      </c>
      <c r="C44" s="631" t="s">
        <v>157</v>
      </c>
      <c r="D44" s="631"/>
      <c r="E44" s="631" t="s">
        <v>158</v>
      </c>
      <c r="F44" s="631"/>
      <c r="G44" s="631"/>
      <c r="H44" s="631" t="s">
        <v>163</v>
      </c>
      <c r="I44" s="635" t="s">
        <v>370</v>
      </c>
      <c r="J44" s="635"/>
      <c r="K44" s="635"/>
      <c r="L44" s="635" t="s">
        <v>163</v>
      </c>
      <c r="M44" s="635" t="s">
        <v>165</v>
      </c>
      <c r="N44" s="631"/>
      <c r="O44" s="631" t="s">
        <v>164</v>
      </c>
      <c r="P44" s="631" t="s">
        <v>160</v>
      </c>
      <c r="Q44" s="631"/>
      <c r="R44" s="631"/>
      <c r="S44" s="631"/>
      <c r="T44" s="631" t="s">
        <v>163</v>
      </c>
      <c r="U44" s="631" t="s">
        <v>160</v>
      </c>
      <c r="V44" s="631"/>
      <c r="W44" s="631"/>
      <c r="X44" s="631"/>
      <c r="Y44" s="631" t="s">
        <v>163</v>
      </c>
      <c r="Z44" s="631" t="s">
        <v>160</v>
      </c>
      <c r="AA44" s="631"/>
      <c r="AB44" s="631"/>
      <c r="AC44" s="631"/>
      <c r="AD44" s="631" t="s">
        <v>163</v>
      </c>
      <c r="AE44" s="631" t="s">
        <v>160</v>
      </c>
      <c r="AF44" s="631"/>
      <c r="AG44" s="631"/>
      <c r="AH44" s="631"/>
      <c r="AI44" s="631" t="s">
        <v>163</v>
      </c>
      <c r="AJ44" s="631" t="s">
        <v>160</v>
      </c>
      <c r="AK44" s="631"/>
      <c r="AL44" s="631"/>
      <c r="AM44" s="631"/>
      <c r="AN44" s="631" t="s">
        <v>163</v>
      </c>
      <c r="AO44" s="631" t="s">
        <v>160</v>
      </c>
      <c r="AP44" s="631"/>
      <c r="AQ44" s="631"/>
      <c r="AR44" s="631"/>
      <c r="AS44" s="631" t="s">
        <v>163</v>
      </c>
      <c r="AT44" s="631" t="s">
        <v>160</v>
      </c>
      <c r="AU44" s="631"/>
      <c r="AV44" s="631"/>
      <c r="AW44" s="631"/>
      <c r="AX44" s="631" t="s">
        <v>163</v>
      </c>
    </row>
    <row r="45" spans="2:50" ht="14.25" customHeight="1">
      <c r="B45" s="631"/>
      <c r="C45" s="631"/>
      <c r="D45" s="631"/>
      <c r="E45" s="631" t="s">
        <v>371</v>
      </c>
      <c r="F45" s="631"/>
      <c r="G45" s="631"/>
      <c r="H45" s="631"/>
      <c r="I45" s="635" t="s">
        <v>371</v>
      </c>
      <c r="J45" s="635"/>
      <c r="K45" s="635"/>
      <c r="L45" s="635"/>
      <c r="M45" s="635"/>
      <c r="N45" s="631"/>
      <c r="O45" s="631"/>
      <c r="P45" s="631" t="s">
        <v>372</v>
      </c>
      <c r="Q45" s="631"/>
      <c r="R45" s="631"/>
      <c r="S45" s="631"/>
      <c r="T45" s="631"/>
      <c r="U45" s="631" t="s">
        <v>372</v>
      </c>
      <c r="V45" s="631"/>
      <c r="W45" s="631"/>
      <c r="X45" s="631"/>
      <c r="Y45" s="631"/>
      <c r="Z45" s="631" t="s">
        <v>372</v>
      </c>
      <c r="AA45" s="631"/>
      <c r="AB45" s="631"/>
      <c r="AC45" s="631"/>
      <c r="AD45" s="631"/>
      <c r="AE45" s="631" t="s">
        <v>372</v>
      </c>
      <c r="AF45" s="631"/>
      <c r="AG45" s="631"/>
      <c r="AH45" s="631"/>
      <c r="AI45" s="631"/>
      <c r="AJ45" s="631" t="s">
        <v>372</v>
      </c>
      <c r="AK45" s="631"/>
      <c r="AL45" s="631"/>
      <c r="AM45" s="631"/>
      <c r="AN45" s="631"/>
      <c r="AO45" s="631" t="s">
        <v>372</v>
      </c>
      <c r="AP45" s="631"/>
      <c r="AQ45" s="631"/>
      <c r="AR45" s="631"/>
      <c r="AS45" s="631"/>
      <c r="AT45" s="631" t="s">
        <v>372</v>
      </c>
      <c r="AU45" s="631"/>
      <c r="AV45" s="631"/>
      <c r="AW45" s="631"/>
      <c r="AX45" s="631"/>
    </row>
    <row r="46" spans="2:50" ht="14.25" customHeight="1">
      <c r="B46" s="631"/>
      <c r="C46" s="631"/>
      <c r="D46" s="631"/>
      <c r="E46" s="180" t="s">
        <v>159</v>
      </c>
      <c r="F46" s="180" t="s">
        <v>373</v>
      </c>
      <c r="G46" s="180" t="s">
        <v>161</v>
      </c>
      <c r="H46" s="631"/>
      <c r="I46" s="181" t="s">
        <v>159</v>
      </c>
      <c r="J46" s="181" t="s">
        <v>373</v>
      </c>
      <c r="K46" s="181" t="s">
        <v>161</v>
      </c>
      <c r="L46" s="635"/>
      <c r="M46" s="635"/>
      <c r="N46" s="631"/>
      <c r="O46" s="631"/>
      <c r="P46" s="180" t="s">
        <v>159</v>
      </c>
      <c r="Q46" s="180" t="s">
        <v>373</v>
      </c>
      <c r="R46" s="180" t="s">
        <v>161</v>
      </c>
      <c r="S46" s="182" t="s">
        <v>165</v>
      </c>
      <c r="T46" s="631"/>
      <c r="U46" s="180" t="s">
        <v>159</v>
      </c>
      <c r="V46" s="180" t="s">
        <v>373</v>
      </c>
      <c r="W46" s="180" t="s">
        <v>161</v>
      </c>
      <c r="X46" s="182" t="s">
        <v>165</v>
      </c>
      <c r="Y46" s="631"/>
      <c r="Z46" s="180" t="s">
        <v>159</v>
      </c>
      <c r="AA46" s="180" t="s">
        <v>373</v>
      </c>
      <c r="AB46" s="180" t="s">
        <v>161</v>
      </c>
      <c r="AC46" s="182" t="s">
        <v>165</v>
      </c>
      <c r="AD46" s="631"/>
      <c r="AE46" s="180" t="s">
        <v>159</v>
      </c>
      <c r="AF46" s="180" t="s">
        <v>373</v>
      </c>
      <c r="AG46" s="180" t="s">
        <v>161</v>
      </c>
      <c r="AH46" s="182" t="s">
        <v>165</v>
      </c>
      <c r="AI46" s="631"/>
      <c r="AJ46" s="180" t="s">
        <v>159</v>
      </c>
      <c r="AK46" s="180" t="s">
        <v>373</v>
      </c>
      <c r="AL46" s="180" t="s">
        <v>161</v>
      </c>
      <c r="AM46" s="182" t="s">
        <v>165</v>
      </c>
      <c r="AN46" s="631"/>
      <c r="AO46" s="180" t="s">
        <v>159</v>
      </c>
      <c r="AP46" s="180" t="s">
        <v>373</v>
      </c>
      <c r="AQ46" s="180" t="s">
        <v>161</v>
      </c>
      <c r="AR46" s="182" t="s">
        <v>165</v>
      </c>
      <c r="AS46" s="631"/>
      <c r="AT46" s="180" t="s">
        <v>159</v>
      </c>
      <c r="AU46" s="180" t="s">
        <v>373</v>
      </c>
      <c r="AV46" s="180" t="s">
        <v>161</v>
      </c>
      <c r="AW46" s="182" t="s">
        <v>165</v>
      </c>
      <c r="AX46" s="631"/>
    </row>
    <row r="47" spans="2:50" ht="14.25" customHeight="1">
      <c r="B47" s="631" t="s">
        <v>137</v>
      </c>
      <c r="C47" s="180">
        <v>1</v>
      </c>
      <c r="D47" s="183" t="s">
        <v>353</v>
      </c>
      <c r="E47" s="180">
        <v>21</v>
      </c>
      <c r="F47" s="180">
        <v>2000</v>
      </c>
      <c r="G47" s="185">
        <f t="shared" ref="G47:G56" si="32">F47/E47</f>
        <v>95.238095238095241</v>
      </c>
      <c r="H47" s="632">
        <f>AVERAGE(G47:G61)</f>
        <v>89.060649495432102</v>
      </c>
      <c r="I47" s="186">
        <f>AVERAGE(P47,U47,Z47,AE47,AJ47,AO47,AT47)</f>
        <v>21</v>
      </c>
      <c r="J47" s="186">
        <f>AVERAGE(Q47,V47,AA47,AF47,AK47,AP47,AU47)</f>
        <v>1788.9249470497907</v>
      </c>
      <c r="K47" s="187">
        <f>AVERAGE(R47,W47,AB47,AG47,AL47,AQ47,AV47)</f>
        <v>85.186902240466239</v>
      </c>
      <c r="L47" s="633">
        <f>IFERROR(AVERAGE(K47:K61),"-")</f>
        <v>79.360985596610206</v>
      </c>
      <c r="M47" s="186">
        <f>RANK(K47, K$47:$K$61)</f>
        <v>3</v>
      </c>
      <c r="N47" s="631"/>
      <c r="O47" s="631"/>
      <c r="P47" s="188">
        <v>21</v>
      </c>
      <c r="Q47" s="188">
        <v>1788.5535184783623</v>
      </c>
      <c r="R47" s="185">
        <f>IFERROR(Q47/P47,"")</f>
        <v>85.169215165636302</v>
      </c>
      <c r="S47" s="182">
        <f>RANK(R47, R$47:R$61)</f>
        <v>2</v>
      </c>
      <c r="T47" s="632">
        <f>AVERAGE(R47:R61)</f>
        <v>78.876613270378144</v>
      </c>
      <c r="U47" s="188">
        <v>21</v>
      </c>
      <c r="V47" s="188">
        <v>1788.1535184783622</v>
      </c>
      <c r="W47" s="185">
        <f t="shared" ref="W47:W56" si="33">IFERROR(V47/U47,"")</f>
        <v>85.150167546588676</v>
      </c>
      <c r="X47" s="182">
        <f>RANK(W47, W$47:W$61)</f>
        <v>2</v>
      </c>
      <c r="Y47" s="632">
        <f>AVERAGE(W47:W61)</f>
        <v>79.054721612485736</v>
      </c>
      <c r="Z47" s="188">
        <v>21</v>
      </c>
      <c r="AA47" s="188">
        <v>1788.7535184783621</v>
      </c>
      <c r="AB47" s="185">
        <f t="shared" ref="AB47:AB56" si="34">IFERROR(AA47/Z47,"")</f>
        <v>85.178738975160101</v>
      </c>
      <c r="AC47" s="182">
        <f>RANK(AB47, AB$47:AB$61)</f>
        <v>2</v>
      </c>
      <c r="AD47" s="632">
        <f>AVERAGE(AB47:AB61)</f>
        <v>79.233014565673344</v>
      </c>
      <c r="AE47" s="188">
        <v>21</v>
      </c>
      <c r="AF47" s="188">
        <v>1789.353518478362</v>
      </c>
      <c r="AG47" s="185">
        <f>IFERROR(AF47/AE47,"")</f>
        <v>85.207310403731526</v>
      </c>
      <c r="AH47" s="182">
        <f>RANK(AG47, AG$47:AG$61)</f>
        <v>3</v>
      </c>
      <c r="AI47" s="632">
        <f>AVERAGE(AG47:AG61)</f>
        <v>79.404587419122805</v>
      </c>
      <c r="AJ47" s="188">
        <v>21</v>
      </c>
      <c r="AK47" s="188">
        <v>1788.5535184783623</v>
      </c>
      <c r="AL47" s="185">
        <f t="shared" ref="AL47:AL56" si="35">IFERROR(AK47/AJ47,"")</f>
        <v>85.169215165636302</v>
      </c>
      <c r="AM47" s="182">
        <f>RANK(AL47, AL$47:AL$61)</f>
        <v>3</v>
      </c>
      <c r="AN47" s="632">
        <f>AVERAGE(AL47:AL61)</f>
        <v>79.578755869848891</v>
      </c>
      <c r="AO47" s="188">
        <v>21</v>
      </c>
      <c r="AP47" s="188">
        <v>1789.153518478362</v>
      </c>
      <c r="AQ47" s="185">
        <f t="shared" ref="AQ47:AQ56" si="36">IFERROR(AP47/AO47,"")</f>
        <v>85.197786594207713</v>
      </c>
      <c r="AR47" s="182">
        <f>RANK(AQ47, AQ$47:AQ$61)</f>
        <v>3</v>
      </c>
      <c r="AS47" s="632">
        <f>AVERAGE(AQ47:AQ61)</f>
        <v>79.688599844257098</v>
      </c>
      <c r="AT47" s="188">
        <v>21</v>
      </c>
      <c r="AU47" s="188">
        <v>1789.9535184783622</v>
      </c>
      <c r="AV47" s="185">
        <f t="shared" ref="AV47:AV56" si="37">IFERROR(AU47/AT47,"")</f>
        <v>85.235881832302965</v>
      </c>
      <c r="AW47" s="182">
        <f>RANK(AV47, AV$47:AV$61)</f>
        <v>3</v>
      </c>
      <c r="AX47" s="632">
        <f>AVERAGE(AV47:AV61)</f>
        <v>79.690606594505468</v>
      </c>
    </row>
    <row r="48" spans="2:50" ht="14.25" customHeight="1">
      <c r="B48" s="631"/>
      <c r="C48" s="180">
        <v>2</v>
      </c>
      <c r="D48" s="183" t="s">
        <v>354</v>
      </c>
      <c r="E48" s="180">
        <v>24</v>
      </c>
      <c r="F48" s="180">
        <v>2000</v>
      </c>
      <c r="G48" s="185">
        <f t="shared" si="32"/>
        <v>83.333333333333329</v>
      </c>
      <c r="H48" s="632"/>
      <c r="I48" s="186">
        <f t="shared" ref="I48:K56" si="38">AVERAGE(P48,U48,Z48,AE48,AJ48,AO48,AT48)</f>
        <v>24</v>
      </c>
      <c r="J48" s="186">
        <f t="shared" si="38"/>
        <v>1792.2586084992145</v>
      </c>
      <c r="K48" s="187">
        <f t="shared" si="38"/>
        <v>74.677442020800612</v>
      </c>
      <c r="L48" s="633"/>
      <c r="M48" s="186">
        <f>RANK(K48, K$47:$K$61)</f>
        <v>8</v>
      </c>
      <c r="N48" s="631"/>
      <c r="O48" s="631"/>
      <c r="P48" s="188">
        <v>24</v>
      </c>
      <c r="Q48" s="188">
        <v>1791.5997644980896</v>
      </c>
      <c r="R48" s="185">
        <f t="shared" ref="R48:R56" si="39">IFERROR(Q48/P48,"")</f>
        <v>74.6499901874204</v>
      </c>
      <c r="S48" s="182">
        <f t="shared" ref="S48:S56" si="40">RANK(R48, R$47:R$61)</f>
        <v>8</v>
      </c>
      <c r="T48" s="632"/>
      <c r="U48" s="188">
        <v>24</v>
      </c>
      <c r="V48" s="188">
        <v>1791.3997644980898</v>
      </c>
      <c r="W48" s="185">
        <f t="shared" si="33"/>
        <v>74.641656854087074</v>
      </c>
      <c r="X48" s="182">
        <f t="shared" ref="X48:X56" si="41">RANK(W48, W$47:W$61)</f>
        <v>8</v>
      </c>
      <c r="Y48" s="632"/>
      <c r="Z48" s="188">
        <v>24</v>
      </c>
      <c r="AA48" s="188">
        <v>1791.9997644980897</v>
      </c>
      <c r="AB48" s="185">
        <f t="shared" si="34"/>
        <v>74.666656854087066</v>
      </c>
      <c r="AC48" s="182">
        <f t="shared" ref="AC48:AC56" si="42">RANK(AB48, AB$47:AB$61)</f>
        <v>8</v>
      </c>
      <c r="AD48" s="632"/>
      <c r="AE48" s="188">
        <v>24</v>
      </c>
      <c r="AF48" s="188">
        <v>1792.7997644980896</v>
      </c>
      <c r="AG48" s="185">
        <f t="shared" ref="AG48:AG56" si="43">IFERROR(AF48/AE48,"")</f>
        <v>74.699990187420397</v>
      </c>
      <c r="AH48" s="182">
        <f t="shared" ref="AH48:AH56" si="44">RANK(AG48, AG$47:AG$61)</f>
        <v>8</v>
      </c>
      <c r="AI48" s="632"/>
      <c r="AJ48" s="188">
        <v>24</v>
      </c>
      <c r="AK48" s="188">
        <v>1792.7997644980896</v>
      </c>
      <c r="AL48" s="185">
        <f t="shared" si="35"/>
        <v>74.699990187420397</v>
      </c>
      <c r="AM48" s="182">
        <f t="shared" ref="AM48:AM56" si="45">RANK(AL48, AL$47:AL$61)</f>
        <v>8</v>
      </c>
      <c r="AN48" s="632"/>
      <c r="AO48" s="188">
        <v>24</v>
      </c>
      <c r="AP48" s="188">
        <v>1792.5997644980894</v>
      </c>
      <c r="AQ48" s="185">
        <f t="shared" si="36"/>
        <v>74.691656854087057</v>
      </c>
      <c r="AR48" s="182">
        <f t="shared" ref="AR48:AR56" si="46">RANK(AQ48, AQ$47:AQ$61)</f>
        <v>8</v>
      </c>
      <c r="AS48" s="632"/>
      <c r="AT48" s="188">
        <v>24</v>
      </c>
      <c r="AU48" s="188">
        <v>1792.611672505964</v>
      </c>
      <c r="AV48" s="185">
        <f t="shared" si="37"/>
        <v>74.692153021081836</v>
      </c>
      <c r="AW48" s="182">
        <f t="shared" ref="AW48:AW56" si="47">RANK(AV48, AV$47:AV$61)</f>
        <v>8</v>
      </c>
      <c r="AX48" s="632"/>
    </row>
    <row r="49" spans="2:50" ht="14.25" customHeight="1">
      <c r="B49" s="631"/>
      <c r="C49" s="180">
        <v>3</v>
      </c>
      <c r="D49" s="183" t="s">
        <v>355</v>
      </c>
      <c r="E49" s="180">
        <v>23</v>
      </c>
      <c r="F49" s="180">
        <v>2000</v>
      </c>
      <c r="G49" s="185">
        <f t="shared" si="32"/>
        <v>86.956521739130437</v>
      </c>
      <c r="H49" s="632"/>
      <c r="I49" s="186">
        <f t="shared" si="38"/>
        <v>23</v>
      </c>
      <c r="J49" s="186">
        <f t="shared" si="38"/>
        <v>1787.9841481127539</v>
      </c>
      <c r="K49" s="187">
        <f t="shared" si="38"/>
        <v>77.738441222293659</v>
      </c>
      <c r="L49" s="633"/>
      <c r="M49" s="186">
        <f>RANK(K49, K$47:$K$61)</f>
        <v>7</v>
      </c>
      <c r="N49" s="631"/>
      <c r="O49" s="631"/>
      <c r="P49" s="188">
        <v>23</v>
      </c>
      <c r="Q49" s="188">
        <v>1789.127005255611</v>
      </c>
      <c r="R49" s="185">
        <f t="shared" si="39"/>
        <v>77.788130663287433</v>
      </c>
      <c r="S49" s="182">
        <f t="shared" si="40"/>
        <v>7</v>
      </c>
      <c r="T49" s="632"/>
      <c r="U49" s="188">
        <v>23</v>
      </c>
      <c r="V49" s="188">
        <v>1788.7270052556109</v>
      </c>
      <c r="W49" s="185">
        <f t="shared" si="33"/>
        <v>77.770739358939608</v>
      </c>
      <c r="X49" s="182">
        <f t="shared" si="41"/>
        <v>7</v>
      </c>
      <c r="Y49" s="632"/>
      <c r="Z49" s="188">
        <v>23</v>
      </c>
      <c r="AA49" s="188">
        <v>1787.9270052556112</v>
      </c>
      <c r="AB49" s="185">
        <f t="shared" si="34"/>
        <v>77.735956750243972</v>
      </c>
      <c r="AC49" s="182">
        <f t="shared" si="42"/>
        <v>7</v>
      </c>
      <c r="AD49" s="632"/>
      <c r="AE49" s="188">
        <v>23</v>
      </c>
      <c r="AF49" s="188">
        <v>1787.3270052556115</v>
      </c>
      <c r="AG49" s="185">
        <f t="shared" si="43"/>
        <v>77.709869793722234</v>
      </c>
      <c r="AH49" s="182">
        <f t="shared" si="44"/>
        <v>7</v>
      </c>
      <c r="AI49" s="632"/>
      <c r="AJ49" s="188">
        <v>23</v>
      </c>
      <c r="AK49" s="188">
        <v>1787.9270052556112</v>
      </c>
      <c r="AL49" s="185">
        <f t="shared" si="35"/>
        <v>77.735956750243972</v>
      </c>
      <c r="AM49" s="182">
        <f t="shared" si="45"/>
        <v>7</v>
      </c>
      <c r="AN49" s="632"/>
      <c r="AO49" s="188">
        <v>23</v>
      </c>
      <c r="AP49" s="188">
        <v>1787.5270052556114</v>
      </c>
      <c r="AQ49" s="185">
        <f t="shared" si="36"/>
        <v>77.718565445896147</v>
      </c>
      <c r="AR49" s="182">
        <f t="shared" si="46"/>
        <v>7</v>
      </c>
      <c r="AS49" s="632"/>
      <c r="AT49" s="188">
        <v>23</v>
      </c>
      <c r="AU49" s="188">
        <v>1787.3270052556111</v>
      </c>
      <c r="AV49" s="185">
        <f t="shared" si="37"/>
        <v>77.70986979372222</v>
      </c>
      <c r="AW49" s="182">
        <f t="shared" si="47"/>
        <v>7</v>
      </c>
      <c r="AX49" s="632"/>
    </row>
    <row r="50" spans="2:50" ht="14.25" customHeight="1">
      <c r="B50" s="631"/>
      <c r="C50" s="180">
        <v>4</v>
      </c>
      <c r="D50" s="183" t="s">
        <v>352</v>
      </c>
      <c r="E50" s="180">
        <v>23</v>
      </c>
      <c r="F50" s="180">
        <v>2000</v>
      </c>
      <c r="G50" s="185">
        <f t="shared" si="32"/>
        <v>86.956521739130437</v>
      </c>
      <c r="H50" s="632"/>
      <c r="I50" s="186">
        <f t="shared" si="38"/>
        <v>23</v>
      </c>
      <c r="J50" s="186">
        <f t="shared" si="38"/>
        <v>1788.9065231091006</v>
      </c>
      <c r="K50" s="187">
        <f t="shared" si="38"/>
        <v>77.778544483004353</v>
      </c>
      <c r="L50" s="633"/>
      <c r="M50" s="186">
        <f>RANK(K50, K$47:$K$61)</f>
        <v>6</v>
      </c>
      <c r="N50" s="631"/>
      <c r="O50" s="631"/>
      <c r="P50" s="188">
        <v>23</v>
      </c>
      <c r="Q50" s="188">
        <v>1789.8544053425392</v>
      </c>
      <c r="R50" s="185">
        <f t="shared" si="39"/>
        <v>77.819756754023445</v>
      </c>
      <c r="S50" s="182">
        <f t="shared" si="40"/>
        <v>6</v>
      </c>
      <c r="T50" s="632"/>
      <c r="U50" s="188">
        <v>23</v>
      </c>
      <c r="V50" s="188">
        <v>1789.4544053425393</v>
      </c>
      <c r="W50" s="185">
        <f t="shared" si="33"/>
        <v>77.802365449675619</v>
      </c>
      <c r="X50" s="182">
        <f t="shared" si="41"/>
        <v>6</v>
      </c>
      <c r="Y50" s="632"/>
      <c r="Z50" s="188">
        <v>23</v>
      </c>
      <c r="AA50" s="188">
        <v>1789.2544053425395</v>
      </c>
      <c r="AB50" s="185">
        <f t="shared" si="34"/>
        <v>77.793669797501721</v>
      </c>
      <c r="AC50" s="182">
        <f t="shared" si="42"/>
        <v>6</v>
      </c>
      <c r="AD50" s="632"/>
      <c r="AE50" s="188">
        <v>23</v>
      </c>
      <c r="AF50" s="188">
        <v>1788.4544053425395</v>
      </c>
      <c r="AG50" s="185">
        <f t="shared" si="43"/>
        <v>77.758887188806071</v>
      </c>
      <c r="AH50" s="182">
        <f t="shared" si="44"/>
        <v>6</v>
      </c>
      <c r="AI50" s="632"/>
      <c r="AJ50" s="188">
        <v>23</v>
      </c>
      <c r="AK50" s="188">
        <v>1788.0544053425399</v>
      </c>
      <c r="AL50" s="185">
        <f t="shared" si="35"/>
        <v>77.74149588445826</v>
      </c>
      <c r="AM50" s="182">
        <f t="shared" si="45"/>
        <v>6</v>
      </c>
      <c r="AN50" s="632"/>
      <c r="AO50" s="188">
        <v>23</v>
      </c>
      <c r="AP50" s="188">
        <v>1788.0544053425401</v>
      </c>
      <c r="AQ50" s="185">
        <f t="shared" si="36"/>
        <v>77.74149588445826</v>
      </c>
      <c r="AR50" s="182">
        <f t="shared" si="46"/>
        <v>6</v>
      </c>
      <c r="AS50" s="632"/>
      <c r="AT50" s="188">
        <v>23</v>
      </c>
      <c r="AU50" s="188">
        <v>1789.2192297084659</v>
      </c>
      <c r="AV50" s="185">
        <f t="shared" si="37"/>
        <v>77.792140422107209</v>
      </c>
      <c r="AW50" s="182">
        <f t="shared" si="47"/>
        <v>6</v>
      </c>
      <c r="AX50" s="632"/>
    </row>
    <row r="51" spans="2:50" ht="14.25" customHeight="1">
      <c r="B51" s="631"/>
      <c r="C51" s="180">
        <v>5</v>
      </c>
      <c r="D51" s="183" t="s">
        <v>441</v>
      </c>
      <c r="E51" s="180">
        <v>23</v>
      </c>
      <c r="F51" s="180">
        <v>2000</v>
      </c>
      <c r="G51" s="185">
        <f t="shared" si="32"/>
        <v>86.956521739130437</v>
      </c>
      <c r="H51" s="632"/>
      <c r="I51" s="186">
        <f t="shared" si="38"/>
        <v>23</v>
      </c>
      <c r="J51" s="186">
        <f t="shared" si="38"/>
        <v>1790.590708336849</v>
      </c>
      <c r="K51" s="187">
        <f t="shared" si="38"/>
        <v>77.851769927689091</v>
      </c>
      <c r="L51" s="633"/>
      <c r="M51" s="186">
        <f>RANK(K51, K$47:$K$61)</f>
        <v>5</v>
      </c>
      <c r="N51" s="631"/>
      <c r="O51" s="631"/>
      <c r="P51" s="188">
        <v>23</v>
      </c>
      <c r="Q51" s="188">
        <v>1792.8453796431068</v>
      </c>
      <c r="R51" s="185">
        <f t="shared" si="39"/>
        <v>77.949799114917681</v>
      </c>
      <c r="S51" s="182">
        <f t="shared" si="40"/>
        <v>5</v>
      </c>
      <c r="T51" s="632"/>
      <c r="U51" s="188">
        <v>23</v>
      </c>
      <c r="V51" s="188">
        <v>1791.281596452473</v>
      </c>
      <c r="W51" s="185">
        <f t="shared" si="33"/>
        <v>77.881808541411871</v>
      </c>
      <c r="X51" s="182">
        <f t="shared" si="41"/>
        <v>5</v>
      </c>
      <c r="Y51" s="632"/>
      <c r="Z51" s="188">
        <v>23</v>
      </c>
      <c r="AA51" s="188">
        <v>1790.4815964524732</v>
      </c>
      <c r="AB51" s="185">
        <f t="shared" si="34"/>
        <v>77.847025932716221</v>
      </c>
      <c r="AC51" s="182">
        <f t="shared" si="42"/>
        <v>5</v>
      </c>
      <c r="AD51" s="632"/>
      <c r="AE51" s="188">
        <v>23</v>
      </c>
      <c r="AF51" s="188">
        <v>1789.8815964524729</v>
      </c>
      <c r="AG51" s="185">
        <f t="shared" si="43"/>
        <v>77.820938976194469</v>
      </c>
      <c r="AH51" s="182">
        <f t="shared" si="44"/>
        <v>5</v>
      </c>
      <c r="AI51" s="632"/>
      <c r="AJ51" s="188">
        <v>23</v>
      </c>
      <c r="AK51" s="188">
        <v>1790.0815964524727</v>
      </c>
      <c r="AL51" s="185">
        <f t="shared" si="35"/>
        <v>77.829634628368382</v>
      </c>
      <c r="AM51" s="182">
        <f t="shared" si="45"/>
        <v>5</v>
      </c>
      <c r="AN51" s="632"/>
      <c r="AO51" s="188">
        <v>23</v>
      </c>
      <c r="AP51" s="188">
        <v>1789.2815964524727</v>
      </c>
      <c r="AQ51" s="185">
        <f t="shared" si="36"/>
        <v>77.794852019672732</v>
      </c>
      <c r="AR51" s="182">
        <f t="shared" si="46"/>
        <v>5</v>
      </c>
      <c r="AS51" s="632"/>
      <c r="AT51" s="188">
        <v>23</v>
      </c>
      <c r="AU51" s="188">
        <v>1790.2815964524727</v>
      </c>
      <c r="AV51" s="185">
        <f t="shared" si="37"/>
        <v>77.838330280542294</v>
      </c>
      <c r="AW51" s="182">
        <f t="shared" si="47"/>
        <v>5</v>
      </c>
      <c r="AX51" s="632"/>
    </row>
    <row r="52" spans="2:50" ht="14.25" customHeight="1">
      <c r="B52" s="631"/>
      <c r="C52" s="180">
        <v>6</v>
      </c>
      <c r="D52" s="183" t="s">
        <v>444</v>
      </c>
      <c r="E52" s="180">
        <v>22</v>
      </c>
      <c r="F52" s="180">
        <v>2000</v>
      </c>
      <c r="G52" s="185">
        <f t="shared" si="32"/>
        <v>90.909090909090907</v>
      </c>
      <c r="H52" s="632"/>
      <c r="I52" s="186">
        <f t="shared" si="38"/>
        <v>22</v>
      </c>
      <c r="J52" s="186">
        <f t="shared" si="38"/>
        <v>1786.7014195411177</v>
      </c>
      <c r="K52" s="187">
        <f t="shared" si="38"/>
        <v>81.213700888232637</v>
      </c>
      <c r="L52" s="633"/>
      <c r="M52" s="186">
        <f>RANK(K52, K$47:$K$61)</f>
        <v>4</v>
      </c>
      <c r="N52" s="631"/>
      <c r="O52" s="631"/>
      <c r="P52" s="188">
        <v>22</v>
      </c>
      <c r="Q52" s="188">
        <v>1786.2326750448842</v>
      </c>
      <c r="R52" s="185">
        <f t="shared" si="39"/>
        <v>81.192394320222007</v>
      </c>
      <c r="S52" s="182">
        <f t="shared" si="40"/>
        <v>4</v>
      </c>
      <c r="T52" s="632"/>
      <c r="U52" s="188">
        <v>22</v>
      </c>
      <c r="V52" s="188">
        <v>1787.0462102904894</v>
      </c>
      <c r="W52" s="185">
        <f t="shared" si="33"/>
        <v>81.229373195022248</v>
      </c>
      <c r="X52" s="182">
        <f t="shared" si="41"/>
        <v>4</v>
      </c>
      <c r="Y52" s="632"/>
      <c r="Z52" s="188">
        <v>22</v>
      </c>
      <c r="AA52" s="188">
        <v>1787.0462102904899</v>
      </c>
      <c r="AB52" s="185">
        <f t="shared" si="34"/>
        <v>81.229373195022262</v>
      </c>
      <c r="AC52" s="182">
        <f t="shared" si="42"/>
        <v>4</v>
      </c>
      <c r="AD52" s="632"/>
      <c r="AE52" s="188">
        <v>22</v>
      </c>
      <c r="AF52" s="188">
        <v>1787.0462102904901</v>
      </c>
      <c r="AG52" s="185">
        <f t="shared" si="43"/>
        <v>81.229373195022276</v>
      </c>
      <c r="AH52" s="182">
        <f t="shared" si="44"/>
        <v>4</v>
      </c>
      <c r="AI52" s="632"/>
      <c r="AJ52" s="188">
        <v>22</v>
      </c>
      <c r="AK52" s="188">
        <v>1786.64621029049</v>
      </c>
      <c r="AL52" s="185">
        <f t="shared" si="35"/>
        <v>81.211191376840461</v>
      </c>
      <c r="AM52" s="182">
        <f t="shared" si="45"/>
        <v>4</v>
      </c>
      <c r="AN52" s="632"/>
      <c r="AO52" s="188">
        <v>22</v>
      </c>
      <c r="AP52" s="188">
        <v>1786.6462102904902</v>
      </c>
      <c r="AQ52" s="185">
        <f t="shared" si="36"/>
        <v>81.211191376840461</v>
      </c>
      <c r="AR52" s="182">
        <f t="shared" si="46"/>
        <v>4</v>
      </c>
      <c r="AS52" s="632"/>
      <c r="AT52" s="188">
        <v>22</v>
      </c>
      <c r="AU52" s="188">
        <v>1786.2462102904904</v>
      </c>
      <c r="AV52" s="185">
        <f t="shared" si="37"/>
        <v>81.193009558658659</v>
      </c>
      <c r="AW52" s="182">
        <f t="shared" si="47"/>
        <v>4</v>
      </c>
      <c r="AX52" s="632"/>
    </row>
    <row r="53" spans="2:50" ht="14.25" customHeight="1">
      <c r="B53" s="631"/>
      <c r="C53" s="180">
        <v>7</v>
      </c>
      <c r="D53" s="183" t="s">
        <v>447</v>
      </c>
      <c r="E53" s="180">
        <v>20</v>
      </c>
      <c r="F53" s="180">
        <v>2000</v>
      </c>
      <c r="G53" s="185">
        <f t="shared" si="32"/>
        <v>100</v>
      </c>
      <c r="H53" s="632"/>
      <c r="I53" s="186">
        <f t="shared" si="38"/>
        <v>20</v>
      </c>
      <c r="J53" s="186">
        <f t="shared" si="38"/>
        <v>1788.1809538023849</v>
      </c>
      <c r="K53" s="187">
        <f t="shared" si="38"/>
        <v>89.409047690119252</v>
      </c>
      <c r="L53" s="633"/>
      <c r="M53" s="186">
        <f>RANK(K53, K$47:$K$61)</f>
        <v>1</v>
      </c>
      <c r="N53" s="631"/>
      <c r="O53" s="631"/>
      <c r="P53" s="188">
        <v>20</v>
      </c>
      <c r="Q53" s="188">
        <v>1786.7867129133915</v>
      </c>
      <c r="R53" s="185">
        <f t="shared" si="39"/>
        <v>89.339335645669578</v>
      </c>
      <c r="S53" s="182">
        <f t="shared" si="40"/>
        <v>1</v>
      </c>
      <c r="T53" s="632"/>
      <c r="U53" s="188">
        <v>20</v>
      </c>
      <c r="V53" s="188">
        <v>1787.7466606172175</v>
      </c>
      <c r="W53" s="185">
        <f t="shared" si="33"/>
        <v>89.387333030860873</v>
      </c>
      <c r="X53" s="182">
        <f t="shared" si="41"/>
        <v>1</v>
      </c>
      <c r="Y53" s="632"/>
      <c r="Z53" s="188">
        <v>20</v>
      </c>
      <c r="AA53" s="188">
        <v>1788.5466606172174</v>
      </c>
      <c r="AB53" s="185">
        <f t="shared" si="34"/>
        <v>89.427333030860865</v>
      </c>
      <c r="AC53" s="182">
        <f t="shared" si="42"/>
        <v>1</v>
      </c>
      <c r="AD53" s="632"/>
      <c r="AE53" s="188">
        <v>20</v>
      </c>
      <c r="AF53" s="188">
        <v>1788.9466606172173</v>
      </c>
      <c r="AG53" s="185">
        <f t="shared" si="43"/>
        <v>89.447333030860861</v>
      </c>
      <c r="AH53" s="182">
        <f t="shared" si="44"/>
        <v>1</v>
      </c>
      <c r="AI53" s="632"/>
      <c r="AJ53" s="188">
        <v>20</v>
      </c>
      <c r="AK53" s="188">
        <v>1788.5466606172174</v>
      </c>
      <c r="AL53" s="185">
        <f t="shared" si="35"/>
        <v>89.427333030860865</v>
      </c>
      <c r="AM53" s="182">
        <f t="shared" si="45"/>
        <v>1</v>
      </c>
      <c r="AN53" s="632"/>
      <c r="AO53" s="188">
        <v>20</v>
      </c>
      <c r="AP53" s="188">
        <v>1788.7466606172172</v>
      </c>
      <c r="AQ53" s="185">
        <f t="shared" si="36"/>
        <v>89.437333030860856</v>
      </c>
      <c r="AR53" s="182">
        <f t="shared" si="46"/>
        <v>2</v>
      </c>
      <c r="AS53" s="632"/>
      <c r="AT53" s="188">
        <v>20</v>
      </c>
      <c r="AU53" s="188">
        <v>1787.9466606172173</v>
      </c>
      <c r="AV53" s="185">
        <f t="shared" si="37"/>
        <v>89.397333030860864</v>
      </c>
      <c r="AW53" s="182">
        <f t="shared" si="47"/>
        <v>2</v>
      </c>
      <c r="AX53" s="632"/>
    </row>
    <row r="54" spans="2:50" ht="14.25" customHeight="1">
      <c r="B54" s="631"/>
      <c r="C54" s="180">
        <v>8</v>
      </c>
      <c r="D54" s="183" t="s">
        <v>356</v>
      </c>
      <c r="E54" s="180">
        <v>24</v>
      </c>
      <c r="F54" s="180">
        <v>2000</v>
      </c>
      <c r="G54" s="185">
        <f t="shared" si="32"/>
        <v>83.333333333333329</v>
      </c>
      <c r="H54" s="632"/>
      <c r="I54" s="186">
        <f t="shared" si="38"/>
        <v>24</v>
      </c>
      <c r="J54" s="186">
        <f t="shared" si="38"/>
        <v>1790.5796598909362</v>
      </c>
      <c r="K54" s="187">
        <f t="shared" si="38"/>
        <v>74.607485828788995</v>
      </c>
      <c r="L54" s="633"/>
      <c r="M54" s="186">
        <f>RANK(K54, K$47:$K$61)</f>
        <v>9</v>
      </c>
      <c r="N54" s="631"/>
      <c r="O54" s="631"/>
      <c r="P54" s="188">
        <v>24</v>
      </c>
      <c r="Q54" s="188">
        <v>1790.2082313195069</v>
      </c>
      <c r="R54" s="185">
        <f t="shared" si="39"/>
        <v>74.592009638312788</v>
      </c>
      <c r="S54" s="182">
        <f t="shared" si="40"/>
        <v>9</v>
      </c>
      <c r="T54" s="632"/>
      <c r="U54" s="188">
        <v>24</v>
      </c>
      <c r="V54" s="188">
        <v>1790.2082313195071</v>
      </c>
      <c r="W54" s="185">
        <f t="shared" si="33"/>
        <v>74.592009638312803</v>
      </c>
      <c r="X54" s="182">
        <f t="shared" si="41"/>
        <v>9</v>
      </c>
      <c r="Y54" s="632"/>
      <c r="Z54" s="188">
        <v>24</v>
      </c>
      <c r="AA54" s="188">
        <v>1789.6082313195075</v>
      </c>
      <c r="AB54" s="185">
        <f t="shared" si="34"/>
        <v>74.567009638312811</v>
      </c>
      <c r="AC54" s="182">
        <f t="shared" si="42"/>
        <v>9</v>
      </c>
      <c r="AD54" s="632"/>
      <c r="AE54" s="188">
        <v>24</v>
      </c>
      <c r="AF54" s="188">
        <v>1790.0082313195078</v>
      </c>
      <c r="AG54" s="185">
        <f t="shared" si="43"/>
        <v>74.583676304979491</v>
      </c>
      <c r="AH54" s="182">
        <f t="shared" si="44"/>
        <v>9</v>
      </c>
      <c r="AI54" s="632"/>
      <c r="AJ54" s="188">
        <v>24</v>
      </c>
      <c r="AK54" s="188">
        <v>1791.008231319508</v>
      </c>
      <c r="AL54" s="185">
        <f t="shared" si="35"/>
        <v>74.625342971646162</v>
      </c>
      <c r="AM54" s="182">
        <f t="shared" si="45"/>
        <v>9</v>
      </c>
      <c r="AN54" s="632"/>
      <c r="AO54" s="188">
        <v>24</v>
      </c>
      <c r="AP54" s="188">
        <v>1791.8082313195075</v>
      </c>
      <c r="AQ54" s="185">
        <f t="shared" si="36"/>
        <v>74.65867630497948</v>
      </c>
      <c r="AR54" s="182">
        <f t="shared" si="46"/>
        <v>9</v>
      </c>
      <c r="AS54" s="632"/>
      <c r="AT54" s="188">
        <v>24</v>
      </c>
      <c r="AU54" s="188">
        <v>1791.2082313195076</v>
      </c>
      <c r="AV54" s="185">
        <f t="shared" si="37"/>
        <v>74.633676304979488</v>
      </c>
      <c r="AW54" s="182">
        <f t="shared" si="47"/>
        <v>9</v>
      </c>
      <c r="AX54" s="632"/>
    </row>
    <row r="55" spans="2:50" ht="14.25" customHeight="1">
      <c r="B55" s="631"/>
      <c r="C55" s="180">
        <v>9</v>
      </c>
      <c r="D55" s="183" t="s">
        <v>542</v>
      </c>
      <c r="E55" s="180">
        <v>26</v>
      </c>
      <c r="F55" s="180">
        <v>2000</v>
      </c>
      <c r="G55" s="185">
        <f t="shared" si="32"/>
        <v>76.92307692307692</v>
      </c>
      <c r="H55" s="632"/>
      <c r="I55" s="186">
        <f t="shared" si="38"/>
        <v>26</v>
      </c>
      <c r="J55" s="186">
        <f t="shared" si="38"/>
        <v>1791.5947740209874</v>
      </c>
      <c r="K55" s="187">
        <f t="shared" si="38"/>
        <v>68.90749130849953</v>
      </c>
      <c r="L55" s="633"/>
      <c r="M55" s="186">
        <f>RANK(K55, K$47:$K$61)</f>
        <v>10</v>
      </c>
      <c r="N55" s="631"/>
      <c r="O55" s="631"/>
      <c r="P55" s="188">
        <v>26</v>
      </c>
      <c r="Q55" s="188">
        <v>1790.7662025924158</v>
      </c>
      <c r="R55" s="185">
        <f t="shared" si="39"/>
        <v>68.875623176631379</v>
      </c>
      <c r="S55" s="182">
        <f t="shared" si="40"/>
        <v>10</v>
      </c>
      <c r="T55" s="632"/>
      <c r="U55" s="188">
        <v>26</v>
      </c>
      <c r="V55" s="188">
        <v>1791.1662025924159</v>
      </c>
      <c r="W55" s="185">
        <f t="shared" si="33"/>
        <v>68.891007792015998</v>
      </c>
      <c r="X55" s="182">
        <f t="shared" si="41"/>
        <v>10</v>
      </c>
      <c r="Y55" s="632"/>
      <c r="Z55" s="188">
        <v>26</v>
      </c>
      <c r="AA55" s="188">
        <v>1792.1662025924159</v>
      </c>
      <c r="AB55" s="185">
        <f t="shared" si="34"/>
        <v>68.929469330477531</v>
      </c>
      <c r="AC55" s="182">
        <f t="shared" si="42"/>
        <v>10</v>
      </c>
      <c r="AD55" s="632"/>
      <c r="AE55" s="188">
        <v>26</v>
      </c>
      <c r="AF55" s="188">
        <v>1791.7662025924162</v>
      </c>
      <c r="AG55" s="185">
        <f t="shared" si="43"/>
        <v>68.914084715092926</v>
      </c>
      <c r="AH55" s="182">
        <f t="shared" si="44"/>
        <v>10</v>
      </c>
      <c r="AI55" s="632"/>
      <c r="AJ55" s="188">
        <v>26</v>
      </c>
      <c r="AK55" s="188">
        <v>1791.3662025924164</v>
      </c>
      <c r="AL55" s="185">
        <f t="shared" si="35"/>
        <v>68.898700099708321</v>
      </c>
      <c r="AM55" s="182">
        <f t="shared" si="45"/>
        <v>10</v>
      </c>
      <c r="AN55" s="632"/>
      <c r="AO55" s="188">
        <v>26</v>
      </c>
      <c r="AP55" s="188">
        <v>1792.3662025924164</v>
      </c>
      <c r="AQ55" s="185">
        <f t="shared" si="36"/>
        <v>68.937161638169854</v>
      </c>
      <c r="AR55" s="182">
        <f t="shared" si="46"/>
        <v>10</v>
      </c>
      <c r="AS55" s="632"/>
      <c r="AT55" s="188">
        <v>26</v>
      </c>
      <c r="AU55" s="188">
        <v>1791.5662025924164</v>
      </c>
      <c r="AV55" s="185">
        <f t="shared" si="37"/>
        <v>68.906392407400631</v>
      </c>
      <c r="AW55" s="182">
        <f t="shared" si="47"/>
        <v>10</v>
      </c>
      <c r="AX55" s="632"/>
    </row>
    <row r="56" spans="2:50" ht="14.25" customHeight="1">
      <c r="B56" s="631"/>
      <c r="C56" s="180">
        <v>10</v>
      </c>
      <c r="D56" s="183" t="s">
        <v>746</v>
      </c>
      <c r="E56" s="180">
        <v>20</v>
      </c>
      <c r="F56" s="180">
        <v>2000</v>
      </c>
      <c r="G56" s="185">
        <f t="shared" si="32"/>
        <v>100</v>
      </c>
      <c r="H56" s="632"/>
      <c r="I56" s="186">
        <f t="shared" si="38"/>
        <v>20</v>
      </c>
      <c r="J56" s="186">
        <f t="shared" si="38"/>
        <v>1724.7806071241555</v>
      </c>
      <c r="K56" s="187">
        <f t="shared" si="38"/>
        <v>86.239030356207778</v>
      </c>
      <c r="L56" s="633"/>
      <c r="M56" s="186">
        <f>RANK(K56, K$47:$K$61)</f>
        <v>2</v>
      </c>
      <c r="N56" s="631"/>
      <c r="O56" s="631"/>
      <c r="P56" s="188">
        <v>20</v>
      </c>
      <c r="Q56" s="188">
        <v>1627.7975607532055</v>
      </c>
      <c r="R56" s="185">
        <f t="shared" si="39"/>
        <v>81.389878037660282</v>
      </c>
      <c r="S56" s="182">
        <f t="shared" si="40"/>
        <v>3</v>
      </c>
      <c r="T56" s="632"/>
      <c r="U56" s="188">
        <v>20</v>
      </c>
      <c r="V56" s="188">
        <v>1664.0150943588505</v>
      </c>
      <c r="W56" s="185">
        <f t="shared" si="33"/>
        <v>83.20075471794253</v>
      </c>
      <c r="X56" s="182">
        <f t="shared" si="41"/>
        <v>3</v>
      </c>
      <c r="Y56" s="632"/>
      <c r="Z56" s="188">
        <v>20</v>
      </c>
      <c r="AA56" s="188">
        <v>1699.0982430470174</v>
      </c>
      <c r="AB56" s="185">
        <f t="shared" si="34"/>
        <v>84.954912152350872</v>
      </c>
      <c r="AC56" s="182">
        <f t="shared" si="42"/>
        <v>3</v>
      </c>
      <c r="AD56" s="632"/>
      <c r="AE56" s="188">
        <v>20</v>
      </c>
      <c r="AF56" s="188">
        <v>1733.4882079079575</v>
      </c>
      <c r="AG56" s="185">
        <f t="shared" si="43"/>
        <v>86.674410395397871</v>
      </c>
      <c r="AH56" s="182">
        <f t="shared" si="44"/>
        <v>2</v>
      </c>
      <c r="AI56" s="632"/>
      <c r="AJ56" s="188">
        <v>20</v>
      </c>
      <c r="AK56" s="188">
        <v>1768.9739720661164</v>
      </c>
      <c r="AL56" s="185">
        <f t="shared" si="35"/>
        <v>88.448698603305814</v>
      </c>
      <c r="AM56" s="182">
        <f t="shared" si="45"/>
        <v>2</v>
      </c>
      <c r="AN56" s="632"/>
      <c r="AO56" s="188">
        <v>20</v>
      </c>
      <c r="AP56" s="188">
        <v>1789.945585867971</v>
      </c>
      <c r="AQ56" s="185">
        <f t="shared" si="36"/>
        <v>89.497279293398549</v>
      </c>
      <c r="AR56" s="182">
        <f t="shared" si="46"/>
        <v>1</v>
      </c>
      <c r="AS56" s="632"/>
      <c r="AT56" s="188">
        <v>20</v>
      </c>
      <c r="AU56" s="188">
        <v>1790.1455858679708</v>
      </c>
      <c r="AV56" s="185">
        <f t="shared" si="37"/>
        <v>89.50727929339854</v>
      </c>
      <c r="AW56" s="182">
        <f t="shared" si="47"/>
        <v>1</v>
      </c>
      <c r="AX56" s="632"/>
    </row>
    <row r="57" spans="2:50" ht="14.25" customHeight="1">
      <c r="B57" s="631"/>
      <c r="C57" s="180">
        <v>11</v>
      </c>
      <c r="D57" s="183"/>
      <c r="E57" s="180"/>
      <c r="F57" s="180"/>
      <c r="G57" s="185"/>
      <c r="H57" s="632"/>
      <c r="I57" s="186"/>
      <c r="J57" s="186"/>
      <c r="K57" s="187"/>
      <c r="L57" s="633"/>
      <c r="M57" s="186"/>
      <c r="N57" s="631"/>
      <c r="O57" s="631"/>
      <c r="P57" s="188"/>
      <c r="Q57" s="188"/>
      <c r="R57" s="185"/>
      <c r="S57" s="182"/>
      <c r="T57" s="632"/>
      <c r="U57" s="188"/>
      <c r="V57" s="188"/>
      <c r="W57" s="185"/>
      <c r="X57" s="182"/>
      <c r="Y57" s="632"/>
      <c r="Z57" s="188"/>
      <c r="AA57" s="188"/>
      <c r="AB57" s="185"/>
      <c r="AC57" s="182"/>
      <c r="AD57" s="632"/>
      <c r="AE57" s="188"/>
      <c r="AF57" s="188"/>
      <c r="AG57" s="185"/>
      <c r="AH57" s="182"/>
      <c r="AI57" s="632"/>
      <c r="AJ57" s="188"/>
      <c r="AK57" s="188"/>
      <c r="AL57" s="185"/>
      <c r="AM57" s="182"/>
      <c r="AN57" s="632"/>
      <c r="AO57" s="188"/>
      <c r="AP57" s="188"/>
      <c r="AQ57" s="185"/>
      <c r="AR57" s="182"/>
      <c r="AS57" s="632"/>
      <c r="AT57" s="188"/>
      <c r="AU57" s="188"/>
      <c r="AV57" s="185"/>
      <c r="AW57" s="182"/>
      <c r="AX57" s="632"/>
    </row>
    <row r="58" spans="2:50" ht="14.25" customHeight="1">
      <c r="B58" s="631"/>
      <c r="C58" s="180">
        <v>12</v>
      </c>
      <c r="D58" s="183"/>
      <c r="E58" s="180"/>
      <c r="F58" s="180"/>
      <c r="G58" s="185"/>
      <c r="H58" s="632"/>
      <c r="I58" s="186"/>
      <c r="J58" s="186"/>
      <c r="K58" s="187"/>
      <c r="L58" s="633"/>
      <c r="M58" s="186"/>
      <c r="N58" s="631"/>
      <c r="O58" s="631"/>
      <c r="P58" s="188"/>
      <c r="Q58" s="188"/>
      <c r="R58" s="185"/>
      <c r="S58" s="182"/>
      <c r="T58" s="632"/>
      <c r="U58" s="188"/>
      <c r="V58" s="188"/>
      <c r="W58" s="185"/>
      <c r="X58" s="182"/>
      <c r="Y58" s="632"/>
      <c r="Z58" s="188"/>
      <c r="AA58" s="188"/>
      <c r="AB58" s="185"/>
      <c r="AC58" s="182"/>
      <c r="AD58" s="632"/>
      <c r="AE58" s="188"/>
      <c r="AF58" s="188"/>
      <c r="AG58" s="185"/>
      <c r="AH58" s="182"/>
      <c r="AI58" s="632"/>
      <c r="AJ58" s="188"/>
      <c r="AK58" s="188"/>
      <c r="AL58" s="185"/>
      <c r="AM58" s="182"/>
      <c r="AN58" s="632"/>
      <c r="AO58" s="188"/>
      <c r="AP58" s="188"/>
      <c r="AQ58" s="185"/>
      <c r="AR58" s="182"/>
      <c r="AS58" s="632"/>
      <c r="AT58" s="188"/>
      <c r="AU58" s="188"/>
      <c r="AV58" s="185"/>
      <c r="AW58" s="182"/>
      <c r="AX58" s="632"/>
    </row>
    <row r="59" spans="2:50" ht="14.25" customHeight="1">
      <c r="B59" s="631"/>
      <c r="C59" s="180">
        <v>13</v>
      </c>
      <c r="D59" s="183"/>
      <c r="E59" s="180"/>
      <c r="F59" s="180"/>
      <c r="G59" s="185"/>
      <c r="H59" s="632"/>
      <c r="I59" s="186"/>
      <c r="J59" s="186"/>
      <c r="K59" s="187"/>
      <c r="L59" s="633"/>
      <c r="M59" s="186"/>
      <c r="N59" s="631"/>
      <c r="O59" s="631"/>
      <c r="P59" s="188"/>
      <c r="Q59" s="188"/>
      <c r="R59" s="185"/>
      <c r="S59" s="182"/>
      <c r="T59" s="632"/>
      <c r="U59" s="188"/>
      <c r="V59" s="188"/>
      <c r="W59" s="185"/>
      <c r="X59" s="182"/>
      <c r="Y59" s="632"/>
      <c r="Z59" s="188"/>
      <c r="AA59" s="188"/>
      <c r="AB59" s="185"/>
      <c r="AC59" s="182"/>
      <c r="AD59" s="632"/>
      <c r="AE59" s="188"/>
      <c r="AF59" s="188"/>
      <c r="AG59" s="185"/>
      <c r="AH59" s="182"/>
      <c r="AI59" s="632"/>
      <c r="AJ59" s="188"/>
      <c r="AK59" s="188"/>
      <c r="AL59" s="185"/>
      <c r="AM59" s="182"/>
      <c r="AN59" s="632"/>
      <c r="AO59" s="188"/>
      <c r="AP59" s="188"/>
      <c r="AQ59" s="185"/>
      <c r="AR59" s="182"/>
      <c r="AS59" s="632"/>
      <c r="AT59" s="188"/>
      <c r="AU59" s="188"/>
      <c r="AV59" s="185"/>
      <c r="AW59" s="182"/>
      <c r="AX59" s="632"/>
    </row>
    <row r="60" spans="2:50" ht="14.25" customHeight="1">
      <c r="B60" s="631"/>
      <c r="C60" s="180">
        <v>14</v>
      </c>
      <c r="D60" s="183"/>
      <c r="E60" s="180"/>
      <c r="F60" s="180"/>
      <c r="G60" s="185"/>
      <c r="H60" s="632"/>
      <c r="I60" s="186"/>
      <c r="J60" s="186"/>
      <c r="K60" s="187"/>
      <c r="L60" s="633"/>
      <c r="M60" s="186"/>
      <c r="N60" s="631"/>
      <c r="O60" s="631"/>
      <c r="P60" s="188"/>
      <c r="Q60" s="188"/>
      <c r="R60" s="185"/>
      <c r="S60" s="182"/>
      <c r="T60" s="632"/>
      <c r="U60" s="188"/>
      <c r="V60" s="188"/>
      <c r="W60" s="185"/>
      <c r="X60" s="182"/>
      <c r="Y60" s="632"/>
      <c r="Z60" s="188"/>
      <c r="AA60" s="188"/>
      <c r="AB60" s="185"/>
      <c r="AC60" s="182"/>
      <c r="AD60" s="632"/>
      <c r="AE60" s="188"/>
      <c r="AF60" s="188"/>
      <c r="AG60" s="185"/>
      <c r="AH60" s="182"/>
      <c r="AI60" s="632"/>
      <c r="AJ60" s="188"/>
      <c r="AK60" s="188"/>
      <c r="AL60" s="185"/>
      <c r="AM60" s="182"/>
      <c r="AN60" s="632"/>
      <c r="AO60" s="188"/>
      <c r="AP60" s="188"/>
      <c r="AQ60" s="185"/>
      <c r="AR60" s="182"/>
      <c r="AS60" s="632"/>
      <c r="AT60" s="188"/>
      <c r="AU60" s="188"/>
      <c r="AV60" s="185"/>
      <c r="AW60" s="182"/>
      <c r="AX60" s="632"/>
    </row>
    <row r="61" spans="2:50" ht="14.25" customHeight="1">
      <c r="B61" s="631"/>
      <c r="C61" s="180">
        <v>15</v>
      </c>
      <c r="D61" s="183"/>
      <c r="E61" s="180"/>
      <c r="F61" s="180"/>
      <c r="G61" s="185"/>
      <c r="H61" s="632"/>
      <c r="I61" s="186"/>
      <c r="J61" s="186"/>
      <c r="K61" s="187"/>
      <c r="L61" s="633"/>
      <c r="M61" s="186"/>
      <c r="N61" s="631"/>
      <c r="O61" s="631"/>
      <c r="P61" s="188"/>
      <c r="Q61" s="188"/>
      <c r="R61" s="185"/>
      <c r="S61" s="182"/>
      <c r="T61" s="632"/>
      <c r="U61" s="188"/>
      <c r="V61" s="188"/>
      <c r="W61" s="185"/>
      <c r="X61" s="182"/>
      <c r="Y61" s="632"/>
      <c r="Z61" s="188"/>
      <c r="AA61" s="188"/>
      <c r="AB61" s="185"/>
      <c r="AC61" s="182"/>
      <c r="AD61" s="632"/>
      <c r="AE61" s="188"/>
      <c r="AF61" s="188"/>
      <c r="AG61" s="185"/>
      <c r="AH61" s="182"/>
      <c r="AI61" s="632"/>
      <c r="AJ61" s="188"/>
      <c r="AK61" s="188"/>
      <c r="AL61" s="185"/>
      <c r="AM61" s="182"/>
      <c r="AN61" s="632"/>
      <c r="AO61" s="188"/>
      <c r="AP61" s="188"/>
      <c r="AQ61" s="185"/>
      <c r="AR61" s="182"/>
      <c r="AS61" s="632"/>
      <c r="AT61" s="188"/>
      <c r="AU61" s="188"/>
      <c r="AV61" s="185"/>
      <c r="AW61" s="182"/>
      <c r="AX61" s="632"/>
    </row>
    <row r="62" spans="2:50" ht="14.25" customHeight="1">
      <c r="B62" s="646" t="s">
        <v>783</v>
      </c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647"/>
      <c r="N62" s="664" t="s">
        <v>369</v>
      </c>
      <c r="O62" s="664" t="s">
        <v>105</v>
      </c>
      <c r="P62" s="666">
        <v>46161</v>
      </c>
      <c r="Q62" s="667"/>
      <c r="R62" s="667"/>
      <c r="S62" s="667"/>
      <c r="T62" s="667"/>
      <c r="U62" s="668">
        <v>46162</v>
      </c>
      <c r="V62" s="669"/>
      <c r="W62" s="669"/>
      <c r="X62" s="669"/>
      <c r="Y62" s="669"/>
      <c r="Z62" s="666">
        <v>46163</v>
      </c>
      <c r="AA62" s="667"/>
      <c r="AB62" s="667"/>
      <c r="AC62" s="667"/>
      <c r="AD62" s="667"/>
      <c r="AE62" s="668">
        <v>46164</v>
      </c>
      <c r="AF62" s="669"/>
      <c r="AG62" s="669"/>
      <c r="AH62" s="669"/>
      <c r="AI62" s="669"/>
      <c r="AJ62" s="656">
        <v>46165</v>
      </c>
      <c r="AK62" s="657"/>
      <c r="AL62" s="657"/>
      <c r="AM62" s="657"/>
      <c r="AN62" s="658"/>
      <c r="AO62" s="668">
        <v>46166</v>
      </c>
      <c r="AP62" s="669"/>
      <c r="AQ62" s="669"/>
      <c r="AR62" s="669"/>
      <c r="AS62" s="669"/>
      <c r="AT62" s="656">
        <v>46167</v>
      </c>
      <c r="AU62" s="657"/>
      <c r="AV62" s="657"/>
      <c r="AW62" s="657"/>
      <c r="AX62" s="65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65"/>
      <c r="O63" s="665"/>
      <c r="P63" s="659">
        <v>46161</v>
      </c>
      <c r="Q63" s="659"/>
      <c r="R63" s="659"/>
      <c r="S63" s="659"/>
      <c r="T63" s="659"/>
      <c r="U63" s="660">
        <v>46162</v>
      </c>
      <c r="V63" s="660"/>
      <c r="W63" s="660"/>
      <c r="X63" s="660"/>
      <c r="Y63" s="660"/>
      <c r="Z63" s="659">
        <v>46163</v>
      </c>
      <c r="AA63" s="659"/>
      <c r="AB63" s="659"/>
      <c r="AC63" s="659"/>
      <c r="AD63" s="659"/>
      <c r="AE63" s="660">
        <v>46164</v>
      </c>
      <c r="AF63" s="660"/>
      <c r="AG63" s="660"/>
      <c r="AH63" s="660"/>
      <c r="AI63" s="660"/>
      <c r="AJ63" s="661">
        <v>46165</v>
      </c>
      <c r="AK63" s="662"/>
      <c r="AL63" s="662"/>
      <c r="AM63" s="662"/>
      <c r="AN63" s="663"/>
      <c r="AO63" s="660">
        <v>46166</v>
      </c>
      <c r="AP63" s="660"/>
      <c r="AQ63" s="660"/>
      <c r="AR63" s="660"/>
      <c r="AS63" s="660"/>
      <c r="AT63" s="661">
        <v>46167</v>
      </c>
      <c r="AU63" s="662"/>
      <c r="AV63" s="662"/>
      <c r="AW63" s="662"/>
      <c r="AX63" s="663"/>
    </row>
    <row r="64" spans="2:50" ht="14.25" customHeight="1">
      <c r="B64" s="631" t="s">
        <v>162</v>
      </c>
      <c r="C64" s="631" t="s">
        <v>157</v>
      </c>
      <c r="D64" s="631"/>
      <c r="E64" s="631" t="s">
        <v>158</v>
      </c>
      <c r="F64" s="631"/>
      <c r="G64" s="631"/>
      <c r="H64" s="631" t="s">
        <v>163</v>
      </c>
      <c r="I64" s="635" t="s">
        <v>370</v>
      </c>
      <c r="J64" s="635"/>
      <c r="K64" s="635"/>
      <c r="L64" s="635" t="s">
        <v>163</v>
      </c>
      <c r="M64" s="635" t="s">
        <v>165</v>
      </c>
      <c r="N64" s="631"/>
      <c r="O64" s="631" t="s">
        <v>164</v>
      </c>
      <c r="P64" s="631" t="s">
        <v>160</v>
      </c>
      <c r="Q64" s="631"/>
      <c r="R64" s="631"/>
      <c r="S64" s="631"/>
      <c r="T64" s="631" t="s">
        <v>163</v>
      </c>
      <c r="U64" s="631" t="s">
        <v>160</v>
      </c>
      <c r="V64" s="631"/>
      <c r="W64" s="631"/>
      <c r="X64" s="631"/>
      <c r="Y64" s="631" t="s">
        <v>163</v>
      </c>
      <c r="Z64" s="631" t="s">
        <v>160</v>
      </c>
      <c r="AA64" s="631"/>
      <c r="AB64" s="631"/>
      <c r="AC64" s="631"/>
      <c r="AD64" s="631" t="s">
        <v>163</v>
      </c>
      <c r="AE64" s="631" t="s">
        <v>160</v>
      </c>
      <c r="AF64" s="631"/>
      <c r="AG64" s="631"/>
      <c r="AH64" s="631"/>
      <c r="AI64" s="631" t="s">
        <v>163</v>
      </c>
      <c r="AJ64" s="631" t="s">
        <v>160</v>
      </c>
      <c r="AK64" s="631"/>
      <c r="AL64" s="631"/>
      <c r="AM64" s="631"/>
      <c r="AN64" s="631" t="s">
        <v>163</v>
      </c>
      <c r="AO64" s="631" t="s">
        <v>160</v>
      </c>
      <c r="AP64" s="631"/>
      <c r="AQ64" s="631"/>
      <c r="AR64" s="631"/>
      <c r="AS64" s="631" t="s">
        <v>163</v>
      </c>
      <c r="AT64" s="631" t="s">
        <v>160</v>
      </c>
      <c r="AU64" s="631"/>
      <c r="AV64" s="631"/>
      <c r="AW64" s="631"/>
      <c r="AX64" s="631" t="s">
        <v>163</v>
      </c>
    </row>
    <row r="65" spans="2:50" ht="14.25" customHeight="1">
      <c r="B65" s="631"/>
      <c r="C65" s="631"/>
      <c r="D65" s="631"/>
      <c r="E65" s="631" t="s">
        <v>371</v>
      </c>
      <c r="F65" s="631"/>
      <c r="G65" s="631"/>
      <c r="H65" s="631"/>
      <c r="I65" s="635" t="s">
        <v>371</v>
      </c>
      <c r="J65" s="635"/>
      <c r="K65" s="635"/>
      <c r="L65" s="635"/>
      <c r="M65" s="635"/>
      <c r="N65" s="631"/>
      <c r="O65" s="631"/>
      <c r="P65" s="631" t="s">
        <v>372</v>
      </c>
      <c r="Q65" s="631"/>
      <c r="R65" s="631"/>
      <c r="S65" s="631"/>
      <c r="T65" s="631"/>
      <c r="U65" s="631" t="s">
        <v>372</v>
      </c>
      <c r="V65" s="631"/>
      <c r="W65" s="631"/>
      <c r="X65" s="631"/>
      <c r="Y65" s="631"/>
      <c r="Z65" s="631" t="s">
        <v>372</v>
      </c>
      <c r="AA65" s="631"/>
      <c r="AB65" s="631"/>
      <c r="AC65" s="631"/>
      <c r="AD65" s="631"/>
      <c r="AE65" s="631" t="s">
        <v>372</v>
      </c>
      <c r="AF65" s="631"/>
      <c r="AG65" s="631"/>
      <c r="AH65" s="631"/>
      <c r="AI65" s="631"/>
      <c r="AJ65" s="631" t="s">
        <v>372</v>
      </c>
      <c r="AK65" s="631"/>
      <c r="AL65" s="631"/>
      <c r="AM65" s="631"/>
      <c r="AN65" s="631"/>
      <c r="AO65" s="631" t="s">
        <v>372</v>
      </c>
      <c r="AP65" s="631"/>
      <c r="AQ65" s="631"/>
      <c r="AR65" s="631"/>
      <c r="AS65" s="631"/>
      <c r="AT65" s="631" t="s">
        <v>372</v>
      </c>
      <c r="AU65" s="631"/>
      <c r="AV65" s="631"/>
      <c r="AW65" s="631"/>
      <c r="AX65" s="631"/>
    </row>
    <row r="66" spans="2:50" ht="14.25" customHeight="1">
      <c r="B66" s="631"/>
      <c r="C66" s="631"/>
      <c r="D66" s="631"/>
      <c r="E66" s="180" t="s">
        <v>159</v>
      </c>
      <c r="F66" s="180" t="s">
        <v>373</v>
      </c>
      <c r="G66" s="180" t="s">
        <v>161</v>
      </c>
      <c r="H66" s="631"/>
      <c r="I66" s="181" t="s">
        <v>159</v>
      </c>
      <c r="J66" s="181" t="s">
        <v>373</v>
      </c>
      <c r="K66" s="181" t="s">
        <v>161</v>
      </c>
      <c r="L66" s="635"/>
      <c r="M66" s="635"/>
      <c r="N66" s="631"/>
      <c r="O66" s="631"/>
      <c r="P66" s="180" t="s">
        <v>159</v>
      </c>
      <c r="Q66" s="180" t="s">
        <v>373</v>
      </c>
      <c r="R66" s="180" t="s">
        <v>161</v>
      </c>
      <c r="S66" s="182" t="s">
        <v>165</v>
      </c>
      <c r="T66" s="631"/>
      <c r="U66" s="180" t="s">
        <v>159</v>
      </c>
      <c r="V66" s="180" t="s">
        <v>373</v>
      </c>
      <c r="W66" s="180" t="s">
        <v>161</v>
      </c>
      <c r="X66" s="182" t="s">
        <v>165</v>
      </c>
      <c r="Y66" s="631"/>
      <c r="Z66" s="180" t="s">
        <v>159</v>
      </c>
      <c r="AA66" s="180" t="s">
        <v>373</v>
      </c>
      <c r="AB66" s="180" t="s">
        <v>161</v>
      </c>
      <c r="AC66" s="182" t="s">
        <v>165</v>
      </c>
      <c r="AD66" s="631"/>
      <c r="AE66" s="180" t="s">
        <v>159</v>
      </c>
      <c r="AF66" s="180" t="s">
        <v>373</v>
      </c>
      <c r="AG66" s="180" t="s">
        <v>161</v>
      </c>
      <c r="AH66" s="182" t="s">
        <v>165</v>
      </c>
      <c r="AI66" s="631"/>
      <c r="AJ66" s="180" t="s">
        <v>159</v>
      </c>
      <c r="AK66" s="180" t="s">
        <v>373</v>
      </c>
      <c r="AL66" s="180" t="s">
        <v>161</v>
      </c>
      <c r="AM66" s="182" t="s">
        <v>165</v>
      </c>
      <c r="AN66" s="631"/>
      <c r="AO66" s="180" t="s">
        <v>159</v>
      </c>
      <c r="AP66" s="180" t="s">
        <v>373</v>
      </c>
      <c r="AQ66" s="180" t="s">
        <v>161</v>
      </c>
      <c r="AR66" s="182" t="s">
        <v>165</v>
      </c>
      <c r="AS66" s="631"/>
      <c r="AT66" s="180" t="s">
        <v>159</v>
      </c>
      <c r="AU66" s="180" t="s">
        <v>373</v>
      </c>
      <c r="AV66" s="180" t="s">
        <v>161</v>
      </c>
      <c r="AW66" s="182" t="s">
        <v>165</v>
      </c>
      <c r="AX66" s="631"/>
    </row>
    <row r="67" spans="2:50" ht="14.25" customHeight="1">
      <c r="B67" s="631" t="s">
        <v>137</v>
      </c>
      <c r="C67" s="180">
        <v>1</v>
      </c>
      <c r="D67" s="183" t="s">
        <v>353</v>
      </c>
      <c r="E67" s="180">
        <v>21</v>
      </c>
      <c r="F67" s="180">
        <v>2000</v>
      </c>
      <c r="G67" s="185">
        <f t="shared" ref="G67:G76" si="48">F67/E67</f>
        <v>95.238095238095241</v>
      </c>
      <c r="H67" s="632">
        <f>AVERAGE(G67:G81)</f>
        <v>89.060649495432102</v>
      </c>
      <c r="I67" s="186">
        <f>AVERAGE(P67,U67,Z67,AE67,AJ67,AO67,AT67)</f>
        <v>21</v>
      </c>
      <c r="J67" s="186">
        <f>AVERAGE(Q67,V67,AA67,AF67,AK67,AP67,AU67)</f>
        <v>1789.267804192647</v>
      </c>
      <c r="K67" s="187">
        <f>AVERAGE(R67,W67,AB67,AG67,AL67,AQ67,AV67)</f>
        <v>85.203228771078443</v>
      </c>
      <c r="L67" s="633">
        <f>IFERROR(AVERAGE(K67:K81),"-")</f>
        <v>79.699950787579468</v>
      </c>
      <c r="M67" s="186">
        <f>RANK(K67, K$67:$K$81)</f>
        <v>3</v>
      </c>
      <c r="N67" s="631"/>
      <c r="O67" s="631"/>
      <c r="P67" s="188">
        <v>21</v>
      </c>
      <c r="Q67" s="188">
        <v>1789.7535184783621</v>
      </c>
      <c r="R67" s="185">
        <f>IFERROR(Q67/P67,"")</f>
        <v>85.226358022779152</v>
      </c>
      <c r="S67" s="182">
        <f>RANK(R67, R$67:R$81)</f>
        <v>3</v>
      </c>
      <c r="T67" s="632">
        <f>AVERAGE(R67:R81)</f>
        <v>79.690149855592225</v>
      </c>
      <c r="U67" s="188">
        <v>21</v>
      </c>
      <c r="V67" s="188">
        <v>1789.353518478362</v>
      </c>
      <c r="W67" s="185">
        <f t="shared" ref="W67:W76" si="49">IFERROR(V67/U67,"")</f>
        <v>85.207310403731526</v>
      </c>
      <c r="X67" s="182">
        <f>RANK(W67, W$67:W$81)</f>
        <v>3</v>
      </c>
      <c r="Y67" s="632">
        <f>AVERAGE(W67:W81)</f>
        <v>79.699875325774201</v>
      </c>
      <c r="Z67" s="188">
        <v>21</v>
      </c>
      <c r="AA67" s="188">
        <v>1788.9535184783617</v>
      </c>
      <c r="AB67" s="185">
        <f t="shared" ref="AB67:AB76" si="50">IFERROR(AA67/Z67,"")</f>
        <v>85.188262784683886</v>
      </c>
      <c r="AC67" s="182">
        <f>RANK(AB67, AB$67:AB$81)</f>
        <v>3</v>
      </c>
      <c r="AD67" s="632">
        <f>AVERAGE(AB67:AB81)</f>
        <v>79.702502437792631</v>
      </c>
      <c r="AE67" s="188">
        <v>21</v>
      </c>
      <c r="AF67" s="188">
        <v>1788.7535184783615</v>
      </c>
      <c r="AG67" s="185">
        <f>IFERROR(AF67/AE67,"")</f>
        <v>85.178738975160073</v>
      </c>
      <c r="AH67" s="182">
        <f>RANK(AG67, AG$67:AG$81)</f>
        <v>3</v>
      </c>
      <c r="AI67" s="632">
        <f>AVERAGE(AG67:AG81)</f>
        <v>79.700981494967323</v>
      </c>
      <c r="AJ67" s="188">
        <v>21</v>
      </c>
      <c r="AK67" s="188">
        <v>1789.1535184783613</v>
      </c>
      <c r="AL67" s="185">
        <f t="shared" ref="AL67:AL76" si="51">IFERROR(AK67/AJ67,"")</f>
        <v>85.197786594207685</v>
      </c>
      <c r="AM67" s="182">
        <f>RANK(AL67, AL$67:AL$81)</f>
        <v>3</v>
      </c>
      <c r="AN67" s="632">
        <f>AVERAGE(AL67:AL81)</f>
        <v>79.70019475996321</v>
      </c>
      <c r="AO67" s="188">
        <v>21</v>
      </c>
      <c r="AP67" s="188">
        <v>1789.1535184783611</v>
      </c>
      <c r="AQ67" s="185">
        <f t="shared" ref="AQ67:AQ76" si="52">IFERROR(AP67/AO67,"")</f>
        <v>85.19778659420767</v>
      </c>
      <c r="AR67" s="182">
        <f>RANK(AQ67, AQ$67:AQ$81)</f>
        <v>3</v>
      </c>
      <c r="AS67" s="632">
        <f>AVERAGE(AQ67:AQ81)</f>
        <v>79.703778118633508</v>
      </c>
      <c r="AT67" s="188">
        <v>21</v>
      </c>
      <c r="AU67" s="188">
        <v>1789.753518478361</v>
      </c>
      <c r="AV67" s="185">
        <f t="shared" ref="AV67:AV76" si="53">IFERROR(AU67/AT67,"")</f>
        <v>85.226358022779095</v>
      </c>
      <c r="AW67" s="182">
        <f>RANK(AV67, AV$67:AV$81)</f>
        <v>3</v>
      </c>
      <c r="AX67" s="632">
        <f>AVERAGE(AV67:AV81)</f>
        <v>79.702173520333261</v>
      </c>
    </row>
    <row r="68" spans="2:50" ht="14.25" customHeight="1">
      <c r="B68" s="631"/>
      <c r="C68" s="180">
        <v>2</v>
      </c>
      <c r="D68" s="183" t="s">
        <v>354</v>
      </c>
      <c r="E68" s="180">
        <v>24</v>
      </c>
      <c r="F68" s="180">
        <v>2000</v>
      </c>
      <c r="G68" s="185">
        <f t="shared" si="48"/>
        <v>83.333333333333329</v>
      </c>
      <c r="H68" s="632"/>
      <c r="I68" s="186">
        <f t="shared" ref="I68:K76" si="54">AVERAGE(P68,U68,Z68,AE68,AJ68,AO68,AT68)</f>
        <v>24</v>
      </c>
      <c r="J68" s="186">
        <f t="shared" si="54"/>
        <v>1793.3831010773927</v>
      </c>
      <c r="K68" s="187">
        <f t="shared" si="54"/>
        <v>74.724295878224694</v>
      </c>
      <c r="L68" s="633"/>
      <c r="M68" s="186">
        <f>RANK(K68, K$67:$K$81)</f>
        <v>8</v>
      </c>
      <c r="N68" s="631"/>
      <c r="O68" s="631"/>
      <c r="P68" s="188">
        <v>24</v>
      </c>
      <c r="Q68" s="188">
        <v>1792.6116725059642</v>
      </c>
      <c r="R68" s="185">
        <f t="shared" ref="R68:R76" si="55">IFERROR(Q68/P68,"")</f>
        <v>74.692153021081836</v>
      </c>
      <c r="S68" s="182">
        <f t="shared" ref="S68:S76" si="56">RANK(R68, R$67:R$81)</f>
        <v>8</v>
      </c>
      <c r="T68" s="632"/>
      <c r="U68" s="188">
        <v>24</v>
      </c>
      <c r="V68" s="188">
        <v>1792.8116725059642</v>
      </c>
      <c r="W68" s="185">
        <f t="shared" si="49"/>
        <v>74.700486354415176</v>
      </c>
      <c r="X68" s="182">
        <f t="shared" ref="X68:X76" si="57">RANK(W68, W$67:W$81)</f>
        <v>8</v>
      </c>
      <c r="Y68" s="632"/>
      <c r="Z68" s="188">
        <v>24</v>
      </c>
      <c r="AA68" s="188">
        <v>1793.811672505964</v>
      </c>
      <c r="AB68" s="185">
        <f t="shared" si="50"/>
        <v>74.742153021081833</v>
      </c>
      <c r="AC68" s="182">
        <f t="shared" ref="AC68:AC76" si="58">RANK(AB68, AB$67:AB$81)</f>
        <v>8</v>
      </c>
      <c r="AD68" s="632"/>
      <c r="AE68" s="188">
        <v>24</v>
      </c>
      <c r="AF68" s="188">
        <v>1794.2116725059641</v>
      </c>
      <c r="AG68" s="185">
        <f t="shared" ref="AG68:AG76" si="59">IFERROR(AF68/AE68,"")</f>
        <v>74.758819687748499</v>
      </c>
      <c r="AH68" s="182">
        <f t="shared" ref="AH68:AH76" si="60">RANK(AG68, AG$67:AG$81)</f>
        <v>8</v>
      </c>
      <c r="AI68" s="632"/>
      <c r="AJ68" s="188">
        <v>24</v>
      </c>
      <c r="AK68" s="188">
        <v>1793.2116725059639</v>
      </c>
      <c r="AL68" s="185">
        <f t="shared" si="51"/>
        <v>74.717153021081828</v>
      </c>
      <c r="AM68" s="182">
        <f t="shared" ref="AM68:AM76" si="61">RANK(AL68, AL$67:AL$81)</f>
        <v>8</v>
      </c>
      <c r="AN68" s="632"/>
      <c r="AO68" s="188">
        <v>24</v>
      </c>
      <c r="AP68" s="188">
        <v>1793.6116725059642</v>
      </c>
      <c r="AQ68" s="185">
        <f t="shared" si="52"/>
        <v>74.733819687748507</v>
      </c>
      <c r="AR68" s="182">
        <f t="shared" ref="AR68:AR76" si="62">RANK(AQ68, AQ$67:AQ$81)</f>
        <v>8</v>
      </c>
      <c r="AS68" s="632"/>
      <c r="AT68" s="188">
        <v>24</v>
      </c>
      <c r="AU68" s="188">
        <v>1793.4116725059646</v>
      </c>
      <c r="AV68" s="185">
        <f t="shared" si="53"/>
        <v>74.725486354415196</v>
      </c>
      <c r="AW68" s="182">
        <f t="shared" ref="AW68:AW76" si="63">RANK(AV68, AV$67:AV$81)</f>
        <v>8</v>
      </c>
      <c r="AX68" s="632"/>
    </row>
    <row r="69" spans="2:50" ht="14.25" customHeight="1">
      <c r="B69" s="631"/>
      <c r="C69" s="180">
        <v>3</v>
      </c>
      <c r="D69" s="183" t="s">
        <v>355</v>
      </c>
      <c r="E69" s="180">
        <v>23</v>
      </c>
      <c r="F69" s="180">
        <v>2000</v>
      </c>
      <c r="G69" s="185">
        <f t="shared" si="48"/>
        <v>86.956521739130437</v>
      </c>
      <c r="H69" s="632"/>
      <c r="I69" s="186">
        <f t="shared" si="54"/>
        <v>23</v>
      </c>
      <c r="J69" s="186">
        <f t="shared" si="54"/>
        <v>1789.8127195413251</v>
      </c>
      <c r="K69" s="187">
        <f t="shared" si="54"/>
        <v>77.817944327883694</v>
      </c>
      <c r="L69" s="633"/>
      <c r="M69" s="186">
        <f>RANK(K69, K$67:$K$81)</f>
        <v>6</v>
      </c>
      <c r="N69" s="631"/>
      <c r="O69" s="631"/>
      <c r="P69" s="188">
        <v>23</v>
      </c>
      <c r="Q69" s="188">
        <v>1787.7270052556109</v>
      </c>
      <c r="R69" s="185">
        <f t="shared" si="55"/>
        <v>77.727261098070045</v>
      </c>
      <c r="S69" s="182">
        <f t="shared" si="56"/>
        <v>7</v>
      </c>
      <c r="T69" s="632"/>
      <c r="U69" s="188">
        <v>23</v>
      </c>
      <c r="V69" s="188">
        <v>1788.3270052556109</v>
      </c>
      <c r="W69" s="185">
        <f t="shared" si="49"/>
        <v>77.753348054591783</v>
      </c>
      <c r="X69" s="182">
        <f t="shared" si="57"/>
        <v>6</v>
      </c>
      <c r="Y69" s="632"/>
      <c r="Z69" s="188">
        <v>23</v>
      </c>
      <c r="AA69" s="188">
        <v>1789.3270052556109</v>
      </c>
      <c r="AB69" s="185">
        <f t="shared" si="50"/>
        <v>77.796826315461345</v>
      </c>
      <c r="AC69" s="182">
        <f t="shared" si="58"/>
        <v>6</v>
      </c>
      <c r="AD69" s="632"/>
      <c r="AE69" s="188">
        <v>23</v>
      </c>
      <c r="AF69" s="188">
        <v>1790.3270052556109</v>
      </c>
      <c r="AG69" s="185">
        <f t="shared" si="59"/>
        <v>77.840304576330908</v>
      </c>
      <c r="AH69" s="182">
        <f t="shared" si="60"/>
        <v>6</v>
      </c>
      <c r="AI69" s="632"/>
      <c r="AJ69" s="188">
        <v>23</v>
      </c>
      <c r="AK69" s="188">
        <v>1790.9270052556108</v>
      </c>
      <c r="AL69" s="185">
        <f t="shared" si="51"/>
        <v>77.866391532852646</v>
      </c>
      <c r="AM69" s="182">
        <f t="shared" si="61"/>
        <v>6</v>
      </c>
      <c r="AN69" s="632"/>
      <c r="AO69" s="188">
        <v>23</v>
      </c>
      <c r="AP69" s="188">
        <v>1791.1270052556108</v>
      </c>
      <c r="AQ69" s="185">
        <f t="shared" si="52"/>
        <v>77.875087185026558</v>
      </c>
      <c r="AR69" s="182">
        <f t="shared" si="62"/>
        <v>6</v>
      </c>
      <c r="AS69" s="632"/>
      <c r="AT69" s="188">
        <v>23</v>
      </c>
      <c r="AU69" s="188">
        <v>1790.9270052556105</v>
      </c>
      <c r="AV69" s="185">
        <f t="shared" si="53"/>
        <v>77.866391532852631</v>
      </c>
      <c r="AW69" s="182">
        <f t="shared" si="63"/>
        <v>6</v>
      </c>
      <c r="AX69" s="632"/>
    </row>
    <row r="70" spans="2:50" ht="14.25" customHeight="1">
      <c r="B70" s="631"/>
      <c r="C70" s="180">
        <v>4</v>
      </c>
      <c r="D70" s="183" t="s">
        <v>352</v>
      </c>
      <c r="E70" s="180">
        <v>23</v>
      </c>
      <c r="F70" s="180">
        <v>2000</v>
      </c>
      <c r="G70" s="185">
        <f t="shared" si="48"/>
        <v>86.956521739130437</v>
      </c>
      <c r="H70" s="632"/>
      <c r="I70" s="186">
        <f t="shared" si="54"/>
        <v>23</v>
      </c>
      <c r="J70" s="186">
        <f t="shared" si="54"/>
        <v>1787.7620868513229</v>
      </c>
      <c r="K70" s="187">
        <f t="shared" si="54"/>
        <v>77.728786384840149</v>
      </c>
      <c r="L70" s="633"/>
      <c r="M70" s="186">
        <f>RANK(K70, K$67:$K$81)</f>
        <v>7</v>
      </c>
      <c r="N70" s="631"/>
      <c r="O70" s="631"/>
      <c r="P70" s="188">
        <v>23</v>
      </c>
      <c r="Q70" s="188">
        <v>1789.0192297084657</v>
      </c>
      <c r="R70" s="185">
        <f t="shared" si="55"/>
        <v>77.783444769933297</v>
      </c>
      <c r="S70" s="182">
        <f t="shared" si="56"/>
        <v>6</v>
      </c>
      <c r="T70" s="632"/>
      <c r="U70" s="188">
        <v>23</v>
      </c>
      <c r="V70" s="188">
        <v>1788.0192297084659</v>
      </c>
      <c r="W70" s="185">
        <f t="shared" si="49"/>
        <v>77.739966509063734</v>
      </c>
      <c r="X70" s="182">
        <f t="shared" si="57"/>
        <v>7</v>
      </c>
      <c r="Y70" s="632"/>
      <c r="Z70" s="188">
        <v>23</v>
      </c>
      <c r="AA70" s="188">
        <v>1787.4192297084658</v>
      </c>
      <c r="AB70" s="185">
        <f t="shared" si="50"/>
        <v>77.713879552541997</v>
      </c>
      <c r="AC70" s="182">
        <f t="shared" si="58"/>
        <v>7</v>
      </c>
      <c r="AD70" s="632"/>
      <c r="AE70" s="188">
        <v>23</v>
      </c>
      <c r="AF70" s="188">
        <v>1786.8192297084661</v>
      </c>
      <c r="AG70" s="185">
        <f t="shared" si="59"/>
        <v>77.687792596020259</v>
      </c>
      <c r="AH70" s="182">
        <f t="shared" si="60"/>
        <v>7</v>
      </c>
      <c r="AI70" s="632"/>
      <c r="AJ70" s="188">
        <v>23</v>
      </c>
      <c r="AK70" s="188">
        <v>1787.4192297084662</v>
      </c>
      <c r="AL70" s="185">
        <f t="shared" si="51"/>
        <v>77.713879552542011</v>
      </c>
      <c r="AM70" s="182">
        <f t="shared" si="61"/>
        <v>7</v>
      </c>
      <c r="AN70" s="632"/>
      <c r="AO70" s="188">
        <v>23</v>
      </c>
      <c r="AP70" s="188">
        <v>1787.8192297084663</v>
      </c>
      <c r="AQ70" s="185">
        <f t="shared" si="52"/>
        <v>77.731270856889836</v>
      </c>
      <c r="AR70" s="182">
        <f t="shared" si="62"/>
        <v>7</v>
      </c>
      <c r="AS70" s="632"/>
      <c r="AT70" s="188">
        <v>23</v>
      </c>
      <c r="AU70" s="188">
        <v>1787.8192297084661</v>
      </c>
      <c r="AV70" s="185">
        <f t="shared" si="53"/>
        <v>77.731270856889836</v>
      </c>
      <c r="AW70" s="182">
        <f t="shared" si="63"/>
        <v>7</v>
      </c>
      <c r="AX70" s="632"/>
    </row>
    <row r="71" spans="2:50" ht="14.25" customHeight="1">
      <c r="B71" s="631"/>
      <c r="C71" s="180">
        <v>5</v>
      </c>
      <c r="D71" s="183" t="s">
        <v>441</v>
      </c>
      <c r="E71" s="180">
        <v>23</v>
      </c>
      <c r="F71" s="180">
        <v>2000</v>
      </c>
      <c r="G71" s="185">
        <f t="shared" si="48"/>
        <v>86.956521739130437</v>
      </c>
      <c r="H71" s="632"/>
      <c r="I71" s="186">
        <f t="shared" si="54"/>
        <v>23</v>
      </c>
      <c r="J71" s="186">
        <f t="shared" si="54"/>
        <v>1791.1101678810435</v>
      </c>
      <c r="K71" s="187">
        <f t="shared" si="54"/>
        <v>77.874355125262781</v>
      </c>
      <c r="L71" s="633"/>
      <c r="M71" s="186">
        <f>RANK(K71, K$67:$K$81)</f>
        <v>5</v>
      </c>
      <c r="N71" s="631"/>
      <c r="O71" s="631"/>
      <c r="P71" s="188">
        <v>23</v>
      </c>
      <c r="Q71" s="188">
        <v>1790.6815964524726</v>
      </c>
      <c r="R71" s="185">
        <f t="shared" si="55"/>
        <v>77.855721584890119</v>
      </c>
      <c r="S71" s="182">
        <f t="shared" si="56"/>
        <v>5</v>
      </c>
      <c r="T71" s="632"/>
      <c r="U71" s="188">
        <v>23</v>
      </c>
      <c r="V71" s="188">
        <v>1790.4815964524728</v>
      </c>
      <c r="W71" s="185">
        <f t="shared" si="49"/>
        <v>77.847025932716207</v>
      </c>
      <c r="X71" s="182">
        <f t="shared" si="57"/>
        <v>5</v>
      </c>
      <c r="Y71" s="632"/>
      <c r="Z71" s="188">
        <v>23</v>
      </c>
      <c r="AA71" s="188">
        <v>1790.8815964524724</v>
      </c>
      <c r="AB71" s="185">
        <f t="shared" si="50"/>
        <v>77.864417237064018</v>
      </c>
      <c r="AC71" s="182">
        <f t="shared" si="58"/>
        <v>5</v>
      </c>
      <c r="AD71" s="632"/>
      <c r="AE71" s="188">
        <v>23</v>
      </c>
      <c r="AF71" s="188">
        <v>1790.881596452472</v>
      </c>
      <c r="AG71" s="185">
        <f t="shared" si="59"/>
        <v>77.864417237064004</v>
      </c>
      <c r="AH71" s="182">
        <f t="shared" si="60"/>
        <v>5</v>
      </c>
      <c r="AI71" s="632"/>
      <c r="AJ71" s="188">
        <v>23</v>
      </c>
      <c r="AK71" s="188">
        <v>1791.2815964524721</v>
      </c>
      <c r="AL71" s="185">
        <f t="shared" si="51"/>
        <v>77.881808541411829</v>
      </c>
      <c r="AM71" s="182">
        <f t="shared" si="61"/>
        <v>5</v>
      </c>
      <c r="AN71" s="632"/>
      <c r="AO71" s="188">
        <v>23</v>
      </c>
      <c r="AP71" s="188">
        <v>1791.881596452472</v>
      </c>
      <c r="AQ71" s="185">
        <f t="shared" si="52"/>
        <v>77.907895497933566</v>
      </c>
      <c r="AR71" s="182">
        <f t="shared" si="62"/>
        <v>5</v>
      </c>
      <c r="AS71" s="632"/>
      <c r="AT71" s="188">
        <v>23</v>
      </c>
      <c r="AU71" s="188">
        <v>1791.6815964524719</v>
      </c>
      <c r="AV71" s="185">
        <f t="shared" si="53"/>
        <v>77.899199845759654</v>
      </c>
      <c r="AW71" s="182">
        <f t="shared" si="63"/>
        <v>5</v>
      </c>
      <c r="AX71" s="632"/>
    </row>
    <row r="72" spans="2:50" ht="14.25" customHeight="1">
      <c r="B72" s="631"/>
      <c r="C72" s="180">
        <v>6</v>
      </c>
      <c r="D72" s="183" t="s">
        <v>444</v>
      </c>
      <c r="E72" s="180">
        <v>22</v>
      </c>
      <c r="F72" s="180">
        <v>2000</v>
      </c>
      <c r="G72" s="185">
        <f t="shared" si="48"/>
        <v>90.909090909090907</v>
      </c>
      <c r="H72" s="632"/>
      <c r="I72" s="186">
        <f t="shared" si="54"/>
        <v>22</v>
      </c>
      <c r="J72" s="186">
        <f t="shared" si="54"/>
        <v>1786.2176388619196</v>
      </c>
      <c r="K72" s="187">
        <f t="shared" si="54"/>
        <v>81.191710857359993</v>
      </c>
      <c r="L72" s="633"/>
      <c r="M72" s="186">
        <f>RANK(K72, K$67:$K$81)</f>
        <v>4</v>
      </c>
      <c r="N72" s="631"/>
      <c r="O72" s="631"/>
      <c r="P72" s="188">
        <v>22</v>
      </c>
      <c r="Q72" s="188">
        <v>1785.8462102904907</v>
      </c>
      <c r="R72" s="185">
        <f t="shared" si="55"/>
        <v>81.174827740476857</v>
      </c>
      <c r="S72" s="182">
        <f t="shared" si="56"/>
        <v>4</v>
      </c>
      <c r="T72" s="632"/>
      <c r="U72" s="188">
        <v>22</v>
      </c>
      <c r="V72" s="188">
        <v>1786.6462102904909</v>
      </c>
      <c r="W72" s="185">
        <f t="shared" si="49"/>
        <v>81.211191376840489</v>
      </c>
      <c r="X72" s="182">
        <f t="shared" si="57"/>
        <v>4</v>
      </c>
      <c r="Y72" s="632"/>
      <c r="Z72" s="188">
        <v>22</v>
      </c>
      <c r="AA72" s="188">
        <v>1786.246210290491</v>
      </c>
      <c r="AB72" s="185">
        <f t="shared" si="50"/>
        <v>81.193009558658687</v>
      </c>
      <c r="AC72" s="182">
        <f t="shared" si="58"/>
        <v>4</v>
      </c>
      <c r="AD72" s="632"/>
      <c r="AE72" s="188">
        <v>22</v>
      </c>
      <c r="AF72" s="188">
        <v>1786.2462102904913</v>
      </c>
      <c r="AG72" s="185">
        <f t="shared" si="59"/>
        <v>81.193009558658687</v>
      </c>
      <c r="AH72" s="182">
        <f t="shared" si="60"/>
        <v>4</v>
      </c>
      <c r="AI72" s="632"/>
      <c r="AJ72" s="188">
        <v>22</v>
      </c>
      <c r="AK72" s="188">
        <v>1785.2462102904913</v>
      </c>
      <c r="AL72" s="185">
        <f t="shared" si="51"/>
        <v>81.147555013204155</v>
      </c>
      <c r="AM72" s="182">
        <f t="shared" si="61"/>
        <v>4</v>
      </c>
      <c r="AN72" s="632"/>
      <c r="AO72" s="188">
        <v>22</v>
      </c>
      <c r="AP72" s="188">
        <v>1786.2462102904913</v>
      </c>
      <c r="AQ72" s="185">
        <f t="shared" si="52"/>
        <v>81.193009558658687</v>
      </c>
      <c r="AR72" s="182">
        <f t="shared" si="62"/>
        <v>4</v>
      </c>
      <c r="AS72" s="632"/>
      <c r="AT72" s="188">
        <v>22</v>
      </c>
      <c r="AU72" s="188">
        <v>1787.0462102904912</v>
      </c>
      <c r="AV72" s="185">
        <f t="shared" si="53"/>
        <v>81.229373195022333</v>
      </c>
      <c r="AW72" s="182">
        <f t="shared" si="63"/>
        <v>4</v>
      </c>
      <c r="AX72" s="632"/>
    </row>
    <row r="73" spans="2:50" ht="14.25" customHeight="1">
      <c r="B73" s="631"/>
      <c r="C73" s="180">
        <v>7</v>
      </c>
      <c r="D73" s="183" t="s">
        <v>447</v>
      </c>
      <c r="E73" s="180">
        <v>20</v>
      </c>
      <c r="F73" s="180">
        <v>2000</v>
      </c>
      <c r="G73" s="185">
        <f t="shared" si="48"/>
        <v>100</v>
      </c>
      <c r="H73" s="632"/>
      <c r="I73" s="186">
        <f t="shared" si="54"/>
        <v>20</v>
      </c>
      <c r="J73" s="186">
        <f t="shared" si="54"/>
        <v>1788.746660617217</v>
      </c>
      <c r="K73" s="187">
        <f t="shared" si="54"/>
        <v>89.437333030860856</v>
      </c>
      <c r="L73" s="633"/>
      <c r="M73" s="186">
        <f>RANK(K73, K$67:$K$81)</f>
        <v>2</v>
      </c>
      <c r="N73" s="631"/>
      <c r="O73" s="631"/>
      <c r="P73" s="188">
        <v>20</v>
      </c>
      <c r="Q73" s="188">
        <v>1787.7466606172172</v>
      </c>
      <c r="R73" s="185">
        <f t="shared" si="55"/>
        <v>89.387333030860859</v>
      </c>
      <c r="S73" s="182">
        <f t="shared" si="56"/>
        <v>2</v>
      </c>
      <c r="T73" s="632"/>
      <c r="U73" s="188">
        <v>20</v>
      </c>
      <c r="V73" s="188">
        <v>1788.5466606172172</v>
      </c>
      <c r="W73" s="185">
        <f t="shared" si="49"/>
        <v>89.427333030860865</v>
      </c>
      <c r="X73" s="182">
        <f t="shared" si="57"/>
        <v>2</v>
      </c>
      <c r="Y73" s="632"/>
      <c r="Z73" s="188">
        <v>20</v>
      </c>
      <c r="AA73" s="188">
        <v>1789.1466606172173</v>
      </c>
      <c r="AB73" s="185">
        <f t="shared" si="50"/>
        <v>89.457333030860866</v>
      </c>
      <c r="AC73" s="182">
        <f t="shared" si="58"/>
        <v>2</v>
      </c>
      <c r="AD73" s="632"/>
      <c r="AE73" s="188">
        <v>20</v>
      </c>
      <c r="AF73" s="188">
        <v>1789.9466606172173</v>
      </c>
      <c r="AG73" s="185">
        <f t="shared" si="59"/>
        <v>89.497333030860858</v>
      </c>
      <c r="AH73" s="182">
        <f t="shared" si="60"/>
        <v>1</v>
      </c>
      <c r="AI73" s="632"/>
      <c r="AJ73" s="188">
        <v>20</v>
      </c>
      <c r="AK73" s="188">
        <v>1789.3466606172174</v>
      </c>
      <c r="AL73" s="185">
        <f t="shared" si="51"/>
        <v>89.467333030860871</v>
      </c>
      <c r="AM73" s="182">
        <f t="shared" si="61"/>
        <v>2</v>
      </c>
      <c r="AN73" s="632"/>
      <c r="AO73" s="188">
        <v>20</v>
      </c>
      <c r="AP73" s="188">
        <v>1788.7466606172175</v>
      </c>
      <c r="AQ73" s="185">
        <f t="shared" si="52"/>
        <v>89.43733303086087</v>
      </c>
      <c r="AR73" s="182">
        <f t="shared" si="62"/>
        <v>2</v>
      </c>
      <c r="AS73" s="632"/>
      <c r="AT73" s="188">
        <v>20</v>
      </c>
      <c r="AU73" s="188">
        <v>1787.7466606172172</v>
      </c>
      <c r="AV73" s="185">
        <f t="shared" si="53"/>
        <v>89.387333030860859</v>
      </c>
      <c r="AW73" s="182">
        <f t="shared" si="63"/>
        <v>2</v>
      </c>
      <c r="AX73" s="632"/>
    </row>
    <row r="74" spans="2:50" ht="14.25" customHeight="1">
      <c r="B74" s="631"/>
      <c r="C74" s="180">
        <v>8</v>
      </c>
      <c r="D74" s="183" t="s">
        <v>356</v>
      </c>
      <c r="E74" s="180">
        <v>24</v>
      </c>
      <c r="F74" s="180">
        <v>2000</v>
      </c>
      <c r="G74" s="185">
        <f t="shared" si="48"/>
        <v>83.333333333333329</v>
      </c>
      <c r="H74" s="632"/>
      <c r="I74" s="186">
        <f t="shared" si="54"/>
        <v>24</v>
      </c>
      <c r="J74" s="186">
        <f t="shared" si="54"/>
        <v>1790.6939456052223</v>
      </c>
      <c r="K74" s="187">
        <f t="shared" si="54"/>
        <v>74.61224773355093</v>
      </c>
      <c r="L74" s="633"/>
      <c r="M74" s="186">
        <f>RANK(K74, K$67:$K$81)</f>
        <v>9</v>
      </c>
      <c r="N74" s="631"/>
      <c r="O74" s="631"/>
      <c r="P74" s="188">
        <v>24</v>
      </c>
      <c r="Q74" s="188">
        <v>1791.008231319508</v>
      </c>
      <c r="R74" s="185">
        <f t="shared" si="55"/>
        <v>74.625342971646162</v>
      </c>
      <c r="S74" s="182">
        <f t="shared" si="56"/>
        <v>9</v>
      </c>
      <c r="T74" s="632"/>
      <c r="U74" s="188">
        <v>24</v>
      </c>
      <c r="V74" s="188">
        <v>1791.008231319508</v>
      </c>
      <c r="W74" s="185">
        <f t="shared" si="49"/>
        <v>74.625342971646162</v>
      </c>
      <c r="X74" s="182">
        <f t="shared" si="57"/>
        <v>9</v>
      </c>
      <c r="Y74" s="632"/>
      <c r="Z74" s="188">
        <v>24</v>
      </c>
      <c r="AA74" s="188">
        <v>1790.808231319508</v>
      </c>
      <c r="AB74" s="185">
        <f t="shared" si="50"/>
        <v>74.617009638312837</v>
      </c>
      <c r="AC74" s="182">
        <f t="shared" si="58"/>
        <v>9</v>
      </c>
      <c r="AD74" s="632"/>
      <c r="AE74" s="188">
        <v>24</v>
      </c>
      <c r="AF74" s="188">
        <v>1790.4082313195083</v>
      </c>
      <c r="AG74" s="185">
        <f t="shared" si="59"/>
        <v>74.600342971646185</v>
      </c>
      <c r="AH74" s="182">
        <f t="shared" si="60"/>
        <v>9</v>
      </c>
      <c r="AI74" s="632"/>
      <c r="AJ74" s="188">
        <v>24</v>
      </c>
      <c r="AK74" s="188">
        <v>1790.6082313195084</v>
      </c>
      <c r="AL74" s="185">
        <f t="shared" si="51"/>
        <v>74.608676304979511</v>
      </c>
      <c r="AM74" s="182">
        <f t="shared" si="61"/>
        <v>9</v>
      </c>
      <c r="AN74" s="632"/>
      <c r="AO74" s="188">
        <v>24</v>
      </c>
      <c r="AP74" s="188">
        <v>1790.6082313195084</v>
      </c>
      <c r="AQ74" s="185">
        <f t="shared" si="52"/>
        <v>74.608676304979511</v>
      </c>
      <c r="AR74" s="182">
        <f t="shared" si="62"/>
        <v>9</v>
      </c>
      <c r="AS74" s="632"/>
      <c r="AT74" s="188">
        <v>24</v>
      </c>
      <c r="AU74" s="188">
        <v>1790.4082313195083</v>
      </c>
      <c r="AV74" s="185">
        <f t="shared" si="53"/>
        <v>74.600342971646185</v>
      </c>
      <c r="AW74" s="182">
        <f t="shared" si="63"/>
        <v>9</v>
      </c>
      <c r="AX74" s="632"/>
    </row>
    <row r="75" spans="2:50" ht="14.25" customHeight="1">
      <c r="B75" s="631"/>
      <c r="C75" s="180">
        <v>9</v>
      </c>
      <c r="D75" s="183" t="s">
        <v>542</v>
      </c>
      <c r="E75" s="180">
        <v>26</v>
      </c>
      <c r="F75" s="180">
        <v>2000</v>
      </c>
      <c r="G75" s="185">
        <f t="shared" si="48"/>
        <v>76.92307692307692</v>
      </c>
      <c r="H75" s="632"/>
      <c r="I75" s="186">
        <f t="shared" si="54"/>
        <v>26</v>
      </c>
      <c r="J75" s="186">
        <f t="shared" si="54"/>
        <v>1791.7947740209879</v>
      </c>
      <c r="K75" s="187">
        <f t="shared" si="54"/>
        <v>68.91518361619184</v>
      </c>
      <c r="L75" s="633"/>
      <c r="M75" s="186">
        <f>RANK(K75, K$67:$K$81)</f>
        <v>10</v>
      </c>
      <c r="N75" s="631"/>
      <c r="O75" s="631"/>
      <c r="P75" s="188">
        <v>26</v>
      </c>
      <c r="Q75" s="188">
        <v>1791.9662025924163</v>
      </c>
      <c r="R75" s="185">
        <f t="shared" si="55"/>
        <v>68.921777022785236</v>
      </c>
      <c r="S75" s="182">
        <f t="shared" si="56"/>
        <v>10</v>
      </c>
      <c r="T75" s="632"/>
      <c r="U75" s="188">
        <v>26</v>
      </c>
      <c r="V75" s="188">
        <v>1792.1662025924161</v>
      </c>
      <c r="W75" s="185">
        <f t="shared" si="49"/>
        <v>68.929469330477545</v>
      </c>
      <c r="X75" s="182">
        <f t="shared" si="57"/>
        <v>10</v>
      </c>
      <c r="Y75" s="632"/>
      <c r="Z75" s="188">
        <v>26</v>
      </c>
      <c r="AA75" s="188">
        <v>1792.5662025924162</v>
      </c>
      <c r="AB75" s="185">
        <f t="shared" si="50"/>
        <v>68.944853945862164</v>
      </c>
      <c r="AC75" s="182">
        <f t="shared" si="58"/>
        <v>10</v>
      </c>
      <c r="AD75" s="632"/>
      <c r="AE75" s="188">
        <v>26</v>
      </c>
      <c r="AF75" s="188">
        <v>1791.9662025924165</v>
      </c>
      <c r="AG75" s="185">
        <f t="shared" si="59"/>
        <v>68.92177702278525</v>
      </c>
      <c r="AH75" s="182">
        <f t="shared" si="60"/>
        <v>10</v>
      </c>
      <c r="AI75" s="632"/>
      <c r="AJ75" s="188">
        <v>26</v>
      </c>
      <c r="AK75" s="188">
        <v>1791.7662025924167</v>
      </c>
      <c r="AL75" s="185">
        <f t="shared" si="51"/>
        <v>68.914084715092955</v>
      </c>
      <c r="AM75" s="182">
        <f t="shared" si="61"/>
        <v>10</v>
      </c>
      <c r="AN75" s="632"/>
      <c r="AO75" s="188">
        <v>26</v>
      </c>
      <c r="AP75" s="188">
        <v>1790.7662025924169</v>
      </c>
      <c r="AQ75" s="185">
        <f t="shared" si="52"/>
        <v>68.875623176631422</v>
      </c>
      <c r="AR75" s="182">
        <f t="shared" si="62"/>
        <v>10</v>
      </c>
      <c r="AS75" s="632"/>
      <c r="AT75" s="188">
        <v>26</v>
      </c>
      <c r="AU75" s="188">
        <v>1791.3662025924173</v>
      </c>
      <c r="AV75" s="185">
        <f t="shared" si="53"/>
        <v>68.89870009970835</v>
      </c>
      <c r="AW75" s="182">
        <f t="shared" si="63"/>
        <v>10</v>
      </c>
      <c r="AX75" s="632"/>
    </row>
    <row r="76" spans="2:50" ht="14.25" customHeight="1">
      <c r="B76" s="631"/>
      <c r="C76" s="180">
        <v>10</v>
      </c>
      <c r="D76" s="183" t="s">
        <v>746</v>
      </c>
      <c r="E76" s="180">
        <v>20</v>
      </c>
      <c r="F76" s="180">
        <v>2000</v>
      </c>
      <c r="G76" s="185">
        <f t="shared" si="48"/>
        <v>100</v>
      </c>
      <c r="H76" s="632"/>
      <c r="I76" s="186">
        <f t="shared" si="54"/>
        <v>20</v>
      </c>
      <c r="J76" s="186">
        <f t="shared" si="54"/>
        <v>1789.8884430108283</v>
      </c>
      <c r="K76" s="187">
        <f t="shared" si="54"/>
        <v>89.494422150541396</v>
      </c>
      <c r="L76" s="633"/>
      <c r="M76" s="186">
        <f>RANK(K76, K$67:$K$81)</f>
        <v>1</v>
      </c>
      <c r="N76" s="631"/>
      <c r="O76" s="631"/>
      <c r="P76" s="188">
        <v>20</v>
      </c>
      <c r="Q76" s="188">
        <v>1790.1455858679708</v>
      </c>
      <c r="R76" s="185">
        <f t="shared" si="55"/>
        <v>89.50727929339854</v>
      </c>
      <c r="S76" s="182">
        <f t="shared" si="56"/>
        <v>1</v>
      </c>
      <c r="T76" s="632"/>
      <c r="U76" s="188">
        <v>20</v>
      </c>
      <c r="V76" s="188">
        <v>1791.1455858679708</v>
      </c>
      <c r="W76" s="185">
        <f t="shared" si="49"/>
        <v>89.557279293398537</v>
      </c>
      <c r="X76" s="182">
        <f t="shared" si="57"/>
        <v>1</v>
      </c>
      <c r="Y76" s="632"/>
      <c r="Z76" s="188">
        <v>20</v>
      </c>
      <c r="AA76" s="188">
        <v>1790.145585867971</v>
      </c>
      <c r="AB76" s="185">
        <f t="shared" si="50"/>
        <v>89.507279293398554</v>
      </c>
      <c r="AC76" s="182">
        <f t="shared" si="58"/>
        <v>1</v>
      </c>
      <c r="AD76" s="632"/>
      <c r="AE76" s="188">
        <v>20</v>
      </c>
      <c r="AF76" s="188">
        <v>1789.3455858679713</v>
      </c>
      <c r="AG76" s="185">
        <f t="shared" si="59"/>
        <v>89.467279293398562</v>
      </c>
      <c r="AH76" s="182">
        <f t="shared" si="60"/>
        <v>2</v>
      </c>
      <c r="AI76" s="632"/>
      <c r="AJ76" s="188">
        <v>20</v>
      </c>
      <c r="AK76" s="188">
        <v>1789.7455858679712</v>
      </c>
      <c r="AL76" s="185">
        <f t="shared" si="51"/>
        <v>89.487279293398558</v>
      </c>
      <c r="AM76" s="182">
        <f t="shared" si="61"/>
        <v>1</v>
      </c>
      <c r="AN76" s="632"/>
      <c r="AO76" s="188">
        <v>20</v>
      </c>
      <c r="AP76" s="188">
        <v>1789.5455858679711</v>
      </c>
      <c r="AQ76" s="185">
        <f t="shared" si="52"/>
        <v>89.477279293398553</v>
      </c>
      <c r="AR76" s="182">
        <f t="shared" si="62"/>
        <v>1</v>
      </c>
      <c r="AS76" s="632"/>
      <c r="AT76" s="188">
        <v>20</v>
      </c>
      <c r="AU76" s="188">
        <v>1789.145585867971</v>
      </c>
      <c r="AV76" s="185">
        <f t="shared" si="53"/>
        <v>89.457279293398557</v>
      </c>
      <c r="AW76" s="182">
        <f t="shared" si="63"/>
        <v>1</v>
      </c>
      <c r="AX76" s="632"/>
    </row>
    <row r="77" spans="2:50" ht="14.25" customHeight="1">
      <c r="B77" s="631"/>
      <c r="C77" s="180">
        <v>11</v>
      </c>
      <c r="D77" s="183"/>
      <c r="E77" s="180"/>
      <c r="F77" s="180"/>
      <c r="G77" s="185"/>
      <c r="H77" s="632"/>
      <c r="I77" s="186"/>
      <c r="J77" s="186"/>
      <c r="K77" s="187"/>
      <c r="L77" s="633"/>
      <c r="M77" s="186"/>
      <c r="N77" s="631"/>
      <c r="O77" s="631"/>
      <c r="P77" s="188"/>
      <c r="Q77" s="188"/>
      <c r="R77" s="185"/>
      <c r="S77" s="182"/>
      <c r="T77" s="632"/>
      <c r="U77" s="188"/>
      <c r="V77" s="188"/>
      <c r="W77" s="185"/>
      <c r="X77" s="182"/>
      <c r="Y77" s="632"/>
      <c r="Z77" s="188"/>
      <c r="AA77" s="188"/>
      <c r="AB77" s="185"/>
      <c r="AC77" s="182"/>
      <c r="AD77" s="632"/>
      <c r="AE77" s="188"/>
      <c r="AF77" s="188"/>
      <c r="AG77" s="185"/>
      <c r="AH77" s="182"/>
      <c r="AI77" s="632"/>
      <c r="AJ77" s="188"/>
      <c r="AK77" s="188"/>
      <c r="AL77" s="185"/>
      <c r="AM77" s="182"/>
      <c r="AN77" s="632"/>
      <c r="AO77" s="188"/>
      <c r="AP77" s="188"/>
      <c r="AQ77" s="185"/>
      <c r="AR77" s="182"/>
      <c r="AS77" s="632"/>
      <c r="AT77" s="188"/>
      <c r="AU77" s="188"/>
      <c r="AV77" s="185"/>
      <c r="AW77" s="182"/>
      <c r="AX77" s="632"/>
    </row>
    <row r="78" spans="2:50" ht="14.25" customHeight="1">
      <c r="B78" s="631"/>
      <c r="C78" s="180">
        <v>12</v>
      </c>
      <c r="D78" s="183"/>
      <c r="E78" s="180"/>
      <c r="F78" s="180"/>
      <c r="G78" s="185"/>
      <c r="H78" s="632"/>
      <c r="I78" s="186"/>
      <c r="J78" s="186"/>
      <c r="K78" s="187"/>
      <c r="L78" s="633"/>
      <c r="M78" s="186"/>
      <c r="N78" s="631"/>
      <c r="O78" s="631"/>
      <c r="P78" s="188"/>
      <c r="Q78" s="188"/>
      <c r="R78" s="185"/>
      <c r="S78" s="182"/>
      <c r="T78" s="632"/>
      <c r="U78" s="188"/>
      <c r="V78" s="188"/>
      <c r="W78" s="185"/>
      <c r="X78" s="182"/>
      <c r="Y78" s="632"/>
      <c r="Z78" s="188"/>
      <c r="AA78" s="188"/>
      <c r="AB78" s="185"/>
      <c r="AC78" s="182"/>
      <c r="AD78" s="632"/>
      <c r="AE78" s="188"/>
      <c r="AF78" s="188"/>
      <c r="AG78" s="185"/>
      <c r="AH78" s="182"/>
      <c r="AI78" s="632"/>
      <c r="AJ78" s="188"/>
      <c r="AK78" s="188"/>
      <c r="AL78" s="185"/>
      <c r="AM78" s="182"/>
      <c r="AN78" s="632"/>
      <c r="AO78" s="188"/>
      <c r="AP78" s="188"/>
      <c r="AQ78" s="185"/>
      <c r="AR78" s="182"/>
      <c r="AS78" s="632"/>
      <c r="AT78" s="188"/>
      <c r="AU78" s="188"/>
      <c r="AV78" s="185"/>
      <c r="AW78" s="182"/>
      <c r="AX78" s="632"/>
    </row>
    <row r="79" spans="2:50" ht="14.25" customHeight="1">
      <c r="B79" s="631"/>
      <c r="C79" s="180">
        <v>13</v>
      </c>
      <c r="D79" s="183"/>
      <c r="E79" s="180"/>
      <c r="F79" s="180"/>
      <c r="G79" s="185"/>
      <c r="H79" s="632"/>
      <c r="I79" s="186"/>
      <c r="J79" s="186"/>
      <c r="K79" s="187"/>
      <c r="L79" s="633"/>
      <c r="M79" s="186"/>
      <c r="N79" s="631"/>
      <c r="O79" s="631"/>
      <c r="P79" s="188"/>
      <c r="Q79" s="188"/>
      <c r="R79" s="185"/>
      <c r="S79" s="182"/>
      <c r="T79" s="632"/>
      <c r="U79" s="188"/>
      <c r="V79" s="188"/>
      <c r="W79" s="185"/>
      <c r="X79" s="182"/>
      <c r="Y79" s="632"/>
      <c r="Z79" s="188"/>
      <c r="AA79" s="188"/>
      <c r="AB79" s="185"/>
      <c r="AC79" s="182"/>
      <c r="AD79" s="632"/>
      <c r="AE79" s="188"/>
      <c r="AF79" s="188"/>
      <c r="AG79" s="185"/>
      <c r="AH79" s="182"/>
      <c r="AI79" s="632"/>
      <c r="AJ79" s="188"/>
      <c r="AK79" s="188"/>
      <c r="AL79" s="185"/>
      <c r="AM79" s="182"/>
      <c r="AN79" s="632"/>
      <c r="AO79" s="188"/>
      <c r="AP79" s="188"/>
      <c r="AQ79" s="185"/>
      <c r="AR79" s="182"/>
      <c r="AS79" s="632"/>
      <c r="AT79" s="188"/>
      <c r="AU79" s="188"/>
      <c r="AV79" s="185"/>
      <c r="AW79" s="182"/>
      <c r="AX79" s="632"/>
    </row>
    <row r="80" spans="2:50" ht="14.25" customHeight="1">
      <c r="B80" s="631"/>
      <c r="C80" s="180">
        <v>14</v>
      </c>
      <c r="D80" s="183"/>
      <c r="E80" s="180"/>
      <c r="F80" s="180"/>
      <c r="G80" s="185"/>
      <c r="H80" s="632"/>
      <c r="I80" s="186"/>
      <c r="J80" s="186"/>
      <c r="K80" s="187"/>
      <c r="L80" s="633"/>
      <c r="M80" s="186"/>
      <c r="N80" s="631"/>
      <c r="O80" s="631"/>
      <c r="P80" s="188"/>
      <c r="Q80" s="188"/>
      <c r="R80" s="185"/>
      <c r="S80" s="182"/>
      <c r="T80" s="632"/>
      <c r="U80" s="188"/>
      <c r="V80" s="188"/>
      <c r="W80" s="185"/>
      <c r="X80" s="182"/>
      <c r="Y80" s="632"/>
      <c r="Z80" s="188"/>
      <c r="AA80" s="188"/>
      <c r="AB80" s="185"/>
      <c r="AC80" s="182"/>
      <c r="AD80" s="632"/>
      <c r="AE80" s="188"/>
      <c r="AF80" s="188"/>
      <c r="AG80" s="185"/>
      <c r="AH80" s="182"/>
      <c r="AI80" s="632"/>
      <c r="AJ80" s="188"/>
      <c r="AK80" s="188"/>
      <c r="AL80" s="185"/>
      <c r="AM80" s="182"/>
      <c r="AN80" s="632"/>
      <c r="AO80" s="188"/>
      <c r="AP80" s="188"/>
      <c r="AQ80" s="185"/>
      <c r="AR80" s="182"/>
      <c r="AS80" s="632"/>
      <c r="AT80" s="188"/>
      <c r="AU80" s="188"/>
      <c r="AV80" s="185"/>
      <c r="AW80" s="182"/>
      <c r="AX80" s="632"/>
    </row>
    <row r="81" spans="2:50" ht="14.25" customHeight="1">
      <c r="B81" s="631"/>
      <c r="C81" s="180">
        <v>15</v>
      </c>
      <c r="D81" s="183"/>
      <c r="E81" s="180"/>
      <c r="F81" s="180"/>
      <c r="G81" s="185"/>
      <c r="H81" s="632"/>
      <c r="I81" s="186"/>
      <c r="J81" s="186"/>
      <c r="K81" s="187"/>
      <c r="L81" s="633"/>
      <c r="M81" s="186"/>
      <c r="N81" s="631"/>
      <c r="O81" s="631"/>
      <c r="P81" s="188"/>
      <c r="Q81" s="188"/>
      <c r="R81" s="185"/>
      <c r="S81" s="182"/>
      <c r="T81" s="632"/>
      <c r="U81" s="188"/>
      <c r="V81" s="188"/>
      <c r="W81" s="185"/>
      <c r="X81" s="182"/>
      <c r="Y81" s="632"/>
      <c r="Z81" s="188"/>
      <c r="AA81" s="188"/>
      <c r="AB81" s="185"/>
      <c r="AC81" s="182"/>
      <c r="AD81" s="632"/>
      <c r="AE81" s="188"/>
      <c r="AF81" s="188"/>
      <c r="AG81" s="185"/>
      <c r="AH81" s="182"/>
      <c r="AI81" s="632"/>
      <c r="AJ81" s="188"/>
      <c r="AK81" s="188"/>
      <c r="AL81" s="185"/>
      <c r="AM81" s="182"/>
      <c r="AN81" s="632"/>
      <c r="AO81" s="188"/>
      <c r="AP81" s="188"/>
      <c r="AQ81" s="185"/>
      <c r="AR81" s="182"/>
      <c r="AS81" s="632"/>
      <c r="AT81" s="188"/>
      <c r="AU81" s="188"/>
      <c r="AV81" s="185"/>
      <c r="AW81" s="182"/>
      <c r="AX81" s="632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E25:G25"/>
    <mergeCell ref="I25:K25"/>
    <mergeCell ref="P25:S25"/>
    <mergeCell ref="U25:X25"/>
    <mergeCell ref="Z25:AC25"/>
    <mergeCell ref="AE25:AH25"/>
    <mergeCell ref="P24:S24"/>
    <mergeCell ref="E24:G24"/>
    <mergeCell ref="H24:H26"/>
    <mergeCell ref="I24:K24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T23:AX23"/>
    <mergeCell ref="AT22:AX22"/>
    <mergeCell ref="AS24:AS26"/>
    <mergeCell ref="AT24:AW24"/>
    <mergeCell ref="AX24:AX26"/>
    <mergeCell ref="AX27:AX41"/>
    <mergeCell ref="AT25:AW25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81"/>
  <sheetViews>
    <sheetView zoomScaleNormal="100" workbookViewId="0">
      <pane xSplit="13" ySplit="1" topLeftCell="N41" activePane="bottomRight" state="frozen"/>
      <selection activeCell="L95" sqref="L95"/>
      <selection pane="topRight" activeCell="L95" sqref="L95"/>
      <selection pane="bottomLeft" activeCell="L95" sqref="L95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4" t="s">
        <v>696</v>
      </c>
      <c r="C1" s="175"/>
    </row>
    <row r="2" spans="1:50" ht="14.25" customHeight="1">
      <c r="B2" s="646" t="s">
        <v>619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7"/>
      <c r="N2" s="664" t="s">
        <v>369</v>
      </c>
      <c r="O2" s="664" t="s">
        <v>105</v>
      </c>
      <c r="P2" s="666">
        <f>'[2]（５-1）品群別人時生產性(18℃-飯糰)'!P82:T82</f>
        <v>0</v>
      </c>
      <c r="Q2" s="667"/>
      <c r="R2" s="667"/>
      <c r="S2" s="667"/>
      <c r="T2" s="667"/>
      <c r="U2" s="668">
        <f>P2+1</f>
        <v>1</v>
      </c>
      <c r="V2" s="669"/>
      <c r="W2" s="669"/>
      <c r="X2" s="669"/>
      <c r="Y2" s="669"/>
      <c r="Z2" s="666">
        <f t="shared" ref="Z2" si="0">U2+1</f>
        <v>2</v>
      </c>
      <c r="AA2" s="667"/>
      <c r="AB2" s="667"/>
      <c r="AC2" s="667"/>
      <c r="AD2" s="667"/>
      <c r="AE2" s="668">
        <f t="shared" ref="AE2" si="1">Z2+1</f>
        <v>3</v>
      </c>
      <c r="AF2" s="669"/>
      <c r="AG2" s="669"/>
      <c r="AH2" s="669"/>
      <c r="AI2" s="669"/>
      <c r="AJ2" s="656">
        <f t="shared" ref="AJ2" si="2">AE2+1</f>
        <v>4</v>
      </c>
      <c r="AK2" s="657"/>
      <c r="AL2" s="657"/>
      <c r="AM2" s="657"/>
      <c r="AN2" s="658"/>
      <c r="AO2" s="668">
        <f t="shared" ref="AO2" si="3">AJ2+1</f>
        <v>5</v>
      </c>
      <c r="AP2" s="669"/>
      <c r="AQ2" s="669"/>
      <c r="AR2" s="669"/>
      <c r="AS2" s="669"/>
      <c r="AT2" s="656">
        <f t="shared" ref="AT2" si="4">AO2+1</f>
        <v>6</v>
      </c>
      <c r="AU2" s="657"/>
      <c r="AV2" s="657"/>
      <c r="AW2" s="657"/>
      <c r="AX2" s="658"/>
    </row>
    <row r="3" spans="1:50" ht="14.25" customHeight="1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665"/>
      <c r="O3" s="665"/>
      <c r="P3" s="659">
        <f>P2</f>
        <v>0</v>
      </c>
      <c r="Q3" s="659"/>
      <c r="R3" s="659"/>
      <c r="S3" s="659"/>
      <c r="T3" s="659"/>
      <c r="U3" s="660">
        <f>U2</f>
        <v>1</v>
      </c>
      <c r="V3" s="660"/>
      <c r="W3" s="660"/>
      <c r="X3" s="660"/>
      <c r="Y3" s="660"/>
      <c r="Z3" s="659">
        <f t="shared" ref="Z3" si="5">Z2</f>
        <v>2</v>
      </c>
      <c r="AA3" s="659"/>
      <c r="AB3" s="659"/>
      <c r="AC3" s="659"/>
      <c r="AD3" s="659"/>
      <c r="AE3" s="660">
        <f t="shared" ref="AE3" si="6">AE2</f>
        <v>3</v>
      </c>
      <c r="AF3" s="660"/>
      <c r="AG3" s="660"/>
      <c r="AH3" s="660"/>
      <c r="AI3" s="660"/>
      <c r="AJ3" s="661">
        <f t="shared" ref="AJ3" si="7">AJ2</f>
        <v>4</v>
      </c>
      <c r="AK3" s="662"/>
      <c r="AL3" s="662"/>
      <c r="AM3" s="662"/>
      <c r="AN3" s="663"/>
      <c r="AO3" s="660">
        <f t="shared" ref="AO3" si="8">AO2</f>
        <v>5</v>
      </c>
      <c r="AP3" s="660"/>
      <c r="AQ3" s="660"/>
      <c r="AR3" s="660"/>
      <c r="AS3" s="660"/>
      <c r="AT3" s="661">
        <f t="shared" ref="AT3" si="9">AT2</f>
        <v>6</v>
      </c>
      <c r="AU3" s="662"/>
      <c r="AV3" s="662"/>
      <c r="AW3" s="662"/>
      <c r="AX3" s="663"/>
    </row>
    <row r="4" spans="1:50" ht="14.25" customHeight="1">
      <c r="B4" s="631" t="s">
        <v>162</v>
      </c>
      <c r="C4" s="631" t="s">
        <v>157</v>
      </c>
      <c r="D4" s="631"/>
      <c r="E4" s="631" t="s">
        <v>158</v>
      </c>
      <c r="F4" s="631"/>
      <c r="G4" s="631"/>
      <c r="H4" s="631" t="s">
        <v>163</v>
      </c>
      <c r="I4" s="635" t="s">
        <v>370</v>
      </c>
      <c r="J4" s="635"/>
      <c r="K4" s="635"/>
      <c r="L4" s="635" t="s">
        <v>163</v>
      </c>
      <c r="M4" s="635" t="s">
        <v>165</v>
      </c>
      <c r="N4" s="631"/>
      <c r="O4" s="631" t="s">
        <v>164</v>
      </c>
      <c r="P4" s="631" t="s">
        <v>160</v>
      </c>
      <c r="Q4" s="631"/>
      <c r="R4" s="631"/>
      <c r="S4" s="631"/>
      <c r="T4" s="631" t="s">
        <v>163</v>
      </c>
      <c r="U4" s="631" t="s">
        <v>160</v>
      </c>
      <c r="V4" s="631"/>
      <c r="W4" s="631"/>
      <c r="X4" s="631"/>
      <c r="Y4" s="631" t="s">
        <v>163</v>
      </c>
      <c r="Z4" s="631" t="s">
        <v>160</v>
      </c>
      <c r="AA4" s="631"/>
      <c r="AB4" s="631"/>
      <c r="AC4" s="631"/>
      <c r="AD4" s="631" t="s">
        <v>163</v>
      </c>
      <c r="AE4" s="631" t="s">
        <v>160</v>
      </c>
      <c r="AF4" s="631"/>
      <c r="AG4" s="631"/>
      <c r="AH4" s="631"/>
      <c r="AI4" s="631" t="s">
        <v>163</v>
      </c>
      <c r="AJ4" s="631" t="s">
        <v>160</v>
      </c>
      <c r="AK4" s="631"/>
      <c r="AL4" s="631"/>
      <c r="AM4" s="631"/>
      <c r="AN4" s="631" t="s">
        <v>163</v>
      </c>
      <c r="AO4" s="631" t="s">
        <v>160</v>
      </c>
      <c r="AP4" s="631"/>
      <c r="AQ4" s="631"/>
      <c r="AR4" s="631"/>
      <c r="AS4" s="631" t="s">
        <v>163</v>
      </c>
      <c r="AT4" s="631" t="s">
        <v>160</v>
      </c>
      <c r="AU4" s="631"/>
      <c r="AV4" s="631"/>
      <c r="AW4" s="631"/>
      <c r="AX4" s="631" t="s">
        <v>163</v>
      </c>
    </row>
    <row r="5" spans="1:50" ht="14.25" customHeight="1">
      <c r="B5" s="631"/>
      <c r="C5" s="631"/>
      <c r="D5" s="631"/>
      <c r="E5" s="631" t="s">
        <v>371</v>
      </c>
      <c r="F5" s="631"/>
      <c r="G5" s="631"/>
      <c r="H5" s="631"/>
      <c r="I5" s="635" t="s">
        <v>371</v>
      </c>
      <c r="J5" s="635"/>
      <c r="K5" s="635"/>
      <c r="L5" s="635"/>
      <c r="M5" s="635"/>
      <c r="N5" s="631"/>
      <c r="O5" s="631"/>
      <c r="P5" s="631" t="s">
        <v>372</v>
      </c>
      <c r="Q5" s="631"/>
      <c r="R5" s="631"/>
      <c r="S5" s="631"/>
      <c r="T5" s="631"/>
      <c r="U5" s="631" t="s">
        <v>372</v>
      </c>
      <c r="V5" s="631"/>
      <c r="W5" s="631"/>
      <c r="X5" s="631"/>
      <c r="Y5" s="631"/>
      <c r="Z5" s="631" t="s">
        <v>372</v>
      </c>
      <c r="AA5" s="631"/>
      <c r="AB5" s="631"/>
      <c r="AC5" s="631"/>
      <c r="AD5" s="631"/>
      <c r="AE5" s="631" t="s">
        <v>372</v>
      </c>
      <c r="AF5" s="631"/>
      <c r="AG5" s="631"/>
      <c r="AH5" s="631"/>
      <c r="AI5" s="631"/>
      <c r="AJ5" s="631" t="s">
        <v>372</v>
      </c>
      <c r="AK5" s="631"/>
      <c r="AL5" s="631"/>
      <c r="AM5" s="631"/>
      <c r="AN5" s="631"/>
      <c r="AO5" s="631" t="s">
        <v>372</v>
      </c>
      <c r="AP5" s="631"/>
      <c r="AQ5" s="631"/>
      <c r="AR5" s="631"/>
      <c r="AS5" s="631"/>
      <c r="AT5" s="631" t="s">
        <v>372</v>
      </c>
      <c r="AU5" s="631"/>
      <c r="AV5" s="631"/>
      <c r="AW5" s="631"/>
      <c r="AX5" s="631"/>
    </row>
    <row r="6" spans="1:50" ht="14.25" customHeight="1">
      <c r="B6" s="631"/>
      <c r="C6" s="631"/>
      <c r="D6" s="631"/>
      <c r="E6" s="180" t="s">
        <v>159</v>
      </c>
      <c r="F6" s="180" t="s">
        <v>373</v>
      </c>
      <c r="G6" s="180" t="s">
        <v>161</v>
      </c>
      <c r="H6" s="631"/>
      <c r="I6" s="181" t="s">
        <v>159</v>
      </c>
      <c r="J6" s="181" t="s">
        <v>373</v>
      </c>
      <c r="K6" s="181" t="s">
        <v>161</v>
      </c>
      <c r="L6" s="635"/>
      <c r="M6" s="635"/>
      <c r="N6" s="631"/>
      <c r="O6" s="631"/>
      <c r="P6" s="180" t="s">
        <v>159</v>
      </c>
      <c r="Q6" s="180" t="s">
        <v>373</v>
      </c>
      <c r="R6" s="180" t="s">
        <v>161</v>
      </c>
      <c r="S6" s="182" t="s">
        <v>165</v>
      </c>
      <c r="T6" s="631"/>
      <c r="U6" s="180" t="s">
        <v>159</v>
      </c>
      <c r="V6" s="180" t="s">
        <v>373</v>
      </c>
      <c r="W6" s="180" t="s">
        <v>161</v>
      </c>
      <c r="X6" s="182" t="s">
        <v>165</v>
      </c>
      <c r="Y6" s="631"/>
      <c r="Z6" s="180" t="s">
        <v>159</v>
      </c>
      <c r="AA6" s="180" t="s">
        <v>373</v>
      </c>
      <c r="AB6" s="180" t="s">
        <v>161</v>
      </c>
      <c r="AC6" s="182" t="s">
        <v>165</v>
      </c>
      <c r="AD6" s="631"/>
      <c r="AE6" s="180" t="s">
        <v>159</v>
      </c>
      <c r="AF6" s="180" t="s">
        <v>373</v>
      </c>
      <c r="AG6" s="180" t="s">
        <v>161</v>
      </c>
      <c r="AH6" s="182" t="s">
        <v>165</v>
      </c>
      <c r="AI6" s="631"/>
      <c r="AJ6" s="180" t="s">
        <v>159</v>
      </c>
      <c r="AK6" s="180" t="s">
        <v>373</v>
      </c>
      <c r="AL6" s="180" t="s">
        <v>161</v>
      </c>
      <c r="AM6" s="182" t="s">
        <v>165</v>
      </c>
      <c r="AN6" s="631"/>
      <c r="AO6" s="180" t="s">
        <v>159</v>
      </c>
      <c r="AP6" s="180" t="s">
        <v>373</v>
      </c>
      <c r="AQ6" s="180" t="s">
        <v>161</v>
      </c>
      <c r="AR6" s="182" t="s">
        <v>165</v>
      </c>
      <c r="AS6" s="631"/>
      <c r="AT6" s="180" t="s">
        <v>159</v>
      </c>
      <c r="AU6" s="180" t="s">
        <v>373</v>
      </c>
      <c r="AV6" s="180" t="s">
        <v>161</v>
      </c>
      <c r="AW6" s="182" t="s">
        <v>165</v>
      </c>
      <c r="AX6" s="631"/>
    </row>
    <row r="7" spans="1:50" ht="14.25" customHeight="1">
      <c r="B7" s="631" t="s">
        <v>433</v>
      </c>
      <c r="C7" s="180">
        <v>1</v>
      </c>
      <c r="D7" s="183"/>
      <c r="E7" s="180"/>
      <c r="F7" s="180"/>
      <c r="G7" s="185"/>
      <c r="H7" s="632"/>
      <c r="I7" s="186"/>
      <c r="J7" s="186"/>
      <c r="K7" s="187"/>
      <c r="L7" s="633"/>
      <c r="M7" s="186"/>
      <c r="N7" s="631"/>
      <c r="O7" s="631"/>
      <c r="P7" s="188"/>
      <c r="Q7" s="188"/>
      <c r="R7" s="185"/>
      <c r="S7" s="182"/>
      <c r="T7" s="632"/>
      <c r="U7" s="188"/>
      <c r="V7" s="188"/>
      <c r="W7" s="185"/>
      <c r="X7" s="182"/>
      <c r="Y7" s="632"/>
      <c r="Z7" s="188"/>
      <c r="AA7" s="188"/>
      <c r="AB7" s="185"/>
      <c r="AC7" s="182"/>
      <c r="AD7" s="632"/>
      <c r="AE7" s="188"/>
      <c r="AF7" s="188"/>
      <c r="AG7" s="185"/>
      <c r="AH7" s="182"/>
      <c r="AI7" s="632"/>
      <c r="AJ7" s="188"/>
      <c r="AK7" s="188"/>
      <c r="AL7" s="185"/>
      <c r="AM7" s="182"/>
      <c r="AN7" s="632"/>
      <c r="AO7" s="188"/>
      <c r="AP7" s="188"/>
      <c r="AQ7" s="185"/>
      <c r="AR7" s="182"/>
      <c r="AS7" s="632"/>
      <c r="AT7" s="188"/>
      <c r="AU7" s="188"/>
      <c r="AV7" s="185"/>
      <c r="AW7" s="182"/>
      <c r="AX7" s="632"/>
    </row>
    <row r="8" spans="1:50" ht="14.25" customHeight="1">
      <c r="B8" s="631"/>
      <c r="C8" s="180">
        <v>2</v>
      </c>
      <c r="D8" s="183"/>
      <c r="E8" s="180"/>
      <c r="F8" s="180"/>
      <c r="G8" s="185"/>
      <c r="H8" s="632"/>
      <c r="I8" s="186"/>
      <c r="J8" s="186"/>
      <c r="K8" s="187"/>
      <c r="L8" s="633"/>
      <c r="M8" s="186"/>
      <c r="N8" s="631"/>
      <c r="O8" s="631"/>
      <c r="P8" s="188"/>
      <c r="Q8" s="188"/>
      <c r="R8" s="185"/>
      <c r="S8" s="182"/>
      <c r="T8" s="632"/>
      <c r="U8" s="188"/>
      <c r="V8" s="188"/>
      <c r="W8" s="185"/>
      <c r="X8" s="182"/>
      <c r="Y8" s="632"/>
      <c r="Z8" s="188"/>
      <c r="AA8" s="188"/>
      <c r="AB8" s="185"/>
      <c r="AC8" s="182"/>
      <c r="AD8" s="632"/>
      <c r="AE8" s="188"/>
      <c r="AF8" s="188"/>
      <c r="AG8" s="185"/>
      <c r="AH8" s="182"/>
      <c r="AI8" s="632"/>
      <c r="AJ8" s="188"/>
      <c r="AK8" s="188"/>
      <c r="AL8" s="185"/>
      <c r="AM8" s="182"/>
      <c r="AN8" s="632"/>
      <c r="AO8" s="188"/>
      <c r="AP8" s="188"/>
      <c r="AQ8" s="185"/>
      <c r="AR8" s="182"/>
      <c r="AS8" s="632"/>
      <c r="AT8" s="188"/>
      <c r="AU8" s="188"/>
      <c r="AV8" s="185"/>
      <c r="AW8" s="182"/>
      <c r="AX8" s="632"/>
    </row>
    <row r="9" spans="1:50" ht="14.25" customHeight="1">
      <c r="B9" s="631"/>
      <c r="C9" s="180">
        <v>3</v>
      </c>
      <c r="D9" s="183"/>
      <c r="E9" s="180"/>
      <c r="F9" s="180"/>
      <c r="G9" s="185"/>
      <c r="H9" s="632"/>
      <c r="I9" s="186"/>
      <c r="J9" s="186"/>
      <c r="K9" s="187"/>
      <c r="L9" s="633"/>
      <c r="M9" s="186"/>
      <c r="N9" s="631"/>
      <c r="O9" s="631"/>
      <c r="P9" s="188"/>
      <c r="Q9" s="188"/>
      <c r="R9" s="185"/>
      <c r="S9" s="182"/>
      <c r="T9" s="632"/>
      <c r="U9" s="188"/>
      <c r="V9" s="188"/>
      <c r="W9" s="185"/>
      <c r="X9" s="182"/>
      <c r="Y9" s="632"/>
      <c r="Z9" s="188"/>
      <c r="AA9" s="188"/>
      <c r="AB9" s="185"/>
      <c r="AC9" s="182"/>
      <c r="AD9" s="632"/>
      <c r="AE9" s="188"/>
      <c r="AF9" s="188"/>
      <c r="AG9" s="185"/>
      <c r="AH9" s="182"/>
      <c r="AI9" s="632"/>
      <c r="AJ9" s="188"/>
      <c r="AK9" s="188"/>
      <c r="AL9" s="185"/>
      <c r="AM9" s="182"/>
      <c r="AN9" s="632"/>
      <c r="AO9" s="188"/>
      <c r="AP9" s="188"/>
      <c r="AQ9" s="185"/>
      <c r="AR9" s="182"/>
      <c r="AS9" s="632"/>
      <c r="AT9" s="188"/>
      <c r="AU9" s="188"/>
      <c r="AV9" s="185"/>
      <c r="AW9" s="182"/>
      <c r="AX9" s="632"/>
    </row>
    <row r="10" spans="1:50" ht="14.25" customHeight="1">
      <c r="B10" s="631"/>
      <c r="C10" s="180">
        <v>4</v>
      </c>
      <c r="D10" s="183"/>
      <c r="E10" s="180"/>
      <c r="F10" s="180"/>
      <c r="G10" s="185"/>
      <c r="H10" s="632"/>
      <c r="I10" s="186"/>
      <c r="J10" s="186"/>
      <c r="K10" s="187"/>
      <c r="L10" s="633"/>
      <c r="M10" s="186"/>
      <c r="N10" s="631"/>
      <c r="O10" s="631"/>
      <c r="P10" s="188"/>
      <c r="Q10" s="188"/>
      <c r="R10" s="185"/>
      <c r="S10" s="182"/>
      <c r="T10" s="632"/>
      <c r="U10" s="188"/>
      <c r="V10" s="188"/>
      <c r="W10" s="185"/>
      <c r="X10" s="182"/>
      <c r="Y10" s="632"/>
      <c r="Z10" s="188"/>
      <c r="AA10" s="188"/>
      <c r="AB10" s="185"/>
      <c r="AC10" s="182"/>
      <c r="AD10" s="632"/>
      <c r="AE10" s="188"/>
      <c r="AF10" s="188"/>
      <c r="AG10" s="185"/>
      <c r="AH10" s="182"/>
      <c r="AI10" s="632"/>
      <c r="AJ10" s="188"/>
      <c r="AK10" s="188"/>
      <c r="AL10" s="185"/>
      <c r="AM10" s="182"/>
      <c r="AN10" s="632"/>
      <c r="AO10" s="188"/>
      <c r="AP10" s="188"/>
      <c r="AQ10" s="185"/>
      <c r="AR10" s="182"/>
      <c r="AS10" s="632"/>
      <c r="AT10" s="188"/>
      <c r="AU10" s="188"/>
      <c r="AV10" s="185"/>
      <c r="AW10" s="182"/>
      <c r="AX10" s="632"/>
    </row>
    <row r="11" spans="1:50" ht="14.25" customHeight="1">
      <c r="B11" s="631"/>
      <c r="C11" s="180">
        <v>5</v>
      </c>
      <c r="D11" s="183"/>
      <c r="E11" s="180"/>
      <c r="F11" s="180"/>
      <c r="G11" s="185"/>
      <c r="H11" s="632"/>
      <c r="I11" s="186"/>
      <c r="J11" s="186"/>
      <c r="K11" s="187"/>
      <c r="L11" s="633"/>
      <c r="M11" s="186"/>
      <c r="N11" s="631"/>
      <c r="O11" s="631"/>
      <c r="P11" s="188"/>
      <c r="Q11" s="188"/>
      <c r="R11" s="185"/>
      <c r="S11" s="182"/>
      <c r="T11" s="632"/>
      <c r="U11" s="188"/>
      <c r="V11" s="188"/>
      <c r="W11" s="185"/>
      <c r="X11" s="182"/>
      <c r="Y11" s="632"/>
      <c r="Z11" s="188"/>
      <c r="AA11" s="188"/>
      <c r="AB11" s="185"/>
      <c r="AC11" s="182"/>
      <c r="AD11" s="632"/>
      <c r="AE11" s="188"/>
      <c r="AF11" s="188"/>
      <c r="AG11" s="185"/>
      <c r="AH11" s="182"/>
      <c r="AI11" s="632"/>
      <c r="AJ11" s="188"/>
      <c r="AK11" s="188"/>
      <c r="AL11" s="185"/>
      <c r="AM11" s="182"/>
      <c r="AN11" s="632"/>
      <c r="AO11" s="188"/>
      <c r="AP11" s="188"/>
      <c r="AQ11" s="185"/>
      <c r="AR11" s="182"/>
      <c r="AS11" s="632"/>
      <c r="AT11" s="188"/>
      <c r="AU11" s="188"/>
      <c r="AV11" s="185"/>
      <c r="AW11" s="182"/>
      <c r="AX11" s="632"/>
    </row>
    <row r="12" spans="1:50" ht="14.25" customHeight="1">
      <c r="B12" s="631"/>
      <c r="C12" s="180">
        <v>6</v>
      </c>
      <c r="D12" s="183"/>
      <c r="E12" s="180"/>
      <c r="F12" s="180"/>
      <c r="G12" s="185"/>
      <c r="H12" s="632"/>
      <c r="I12" s="186"/>
      <c r="J12" s="186"/>
      <c r="K12" s="187"/>
      <c r="L12" s="633"/>
      <c r="M12" s="186"/>
      <c r="N12" s="631"/>
      <c r="O12" s="631"/>
      <c r="P12" s="188"/>
      <c r="Q12" s="188"/>
      <c r="R12" s="185"/>
      <c r="S12" s="182"/>
      <c r="T12" s="632"/>
      <c r="U12" s="188"/>
      <c r="V12" s="188"/>
      <c r="W12" s="185"/>
      <c r="X12" s="182"/>
      <c r="Y12" s="632"/>
      <c r="Z12" s="188"/>
      <c r="AA12" s="188"/>
      <c r="AB12" s="185"/>
      <c r="AC12" s="182"/>
      <c r="AD12" s="632"/>
      <c r="AE12" s="188"/>
      <c r="AF12" s="188"/>
      <c r="AG12" s="185"/>
      <c r="AH12" s="182"/>
      <c r="AI12" s="632"/>
      <c r="AJ12" s="188"/>
      <c r="AK12" s="188"/>
      <c r="AL12" s="185"/>
      <c r="AM12" s="182"/>
      <c r="AN12" s="632"/>
      <c r="AO12" s="188"/>
      <c r="AP12" s="188"/>
      <c r="AQ12" s="185"/>
      <c r="AR12" s="182"/>
      <c r="AS12" s="632"/>
      <c r="AT12" s="188"/>
      <c r="AU12" s="188"/>
      <c r="AV12" s="185"/>
      <c r="AW12" s="182"/>
      <c r="AX12" s="632"/>
    </row>
    <row r="13" spans="1:50" ht="14.25" customHeight="1">
      <c r="B13" s="631"/>
      <c r="C13" s="180">
        <v>7</v>
      </c>
      <c r="D13" s="183"/>
      <c r="E13" s="180"/>
      <c r="F13" s="180"/>
      <c r="G13" s="185"/>
      <c r="H13" s="632"/>
      <c r="I13" s="186"/>
      <c r="J13" s="186"/>
      <c r="K13" s="187"/>
      <c r="L13" s="633"/>
      <c r="M13" s="186"/>
      <c r="N13" s="631"/>
      <c r="O13" s="631"/>
      <c r="P13" s="188"/>
      <c r="Q13" s="188"/>
      <c r="R13" s="185"/>
      <c r="S13" s="182"/>
      <c r="T13" s="632"/>
      <c r="U13" s="188"/>
      <c r="V13" s="188"/>
      <c r="W13" s="185"/>
      <c r="X13" s="182"/>
      <c r="Y13" s="632"/>
      <c r="Z13" s="188"/>
      <c r="AA13" s="188"/>
      <c r="AB13" s="185"/>
      <c r="AC13" s="182"/>
      <c r="AD13" s="632"/>
      <c r="AE13" s="188"/>
      <c r="AF13" s="188"/>
      <c r="AG13" s="185"/>
      <c r="AH13" s="182"/>
      <c r="AI13" s="632"/>
      <c r="AJ13" s="188"/>
      <c r="AK13" s="188"/>
      <c r="AL13" s="185"/>
      <c r="AM13" s="182"/>
      <c r="AN13" s="632"/>
      <c r="AO13" s="188"/>
      <c r="AP13" s="188"/>
      <c r="AQ13" s="185"/>
      <c r="AR13" s="182"/>
      <c r="AS13" s="632"/>
      <c r="AT13" s="188"/>
      <c r="AU13" s="188"/>
      <c r="AV13" s="185"/>
      <c r="AW13" s="182"/>
      <c r="AX13" s="632"/>
    </row>
    <row r="14" spans="1:50" ht="14.25" customHeight="1">
      <c r="B14" s="631"/>
      <c r="C14" s="180">
        <v>8</v>
      </c>
      <c r="D14" s="183"/>
      <c r="E14" s="180"/>
      <c r="F14" s="180"/>
      <c r="G14" s="185"/>
      <c r="H14" s="632"/>
      <c r="I14" s="186"/>
      <c r="J14" s="186"/>
      <c r="K14" s="187"/>
      <c r="L14" s="633"/>
      <c r="M14" s="186"/>
      <c r="N14" s="631"/>
      <c r="O14" s="631"/>
      <c r="P14" s="188"/>
      <c r="Q14" s="188"/>
      <c r="R14" s="185"/>
      <c r="S14" s="182"/>
      <c r="T14" s="632"/>
      <c r="U14" s="188"/>
      <c r="V14" s="188"/>
      <c r="W14" s="185"/>
      <c r="X14" s="182"/>
      <c r="Y14" s="632"/>
      <c r="Z14" s="188"/>
      <c r="AA14" s="188"/>
      <c r="AB14" s="185"/>
      <c r="AC14" s="182"/>
      <c r="AD14" s="632"/>
      <c r="AE14" s="188"/>
      <c r="AF14" s="188"/>
      <c r="AG14" s="185"/>
      <c r="AH14" s="182"/>
      <c r="AI14" s="632"/>
      <c r="AJ14" s="188"/>
      <c r="AK14" s="188"/>
      <c r="AL14" s="185"/>
      <c r="AM14" s="182"/>
      <c r="AN14" s="632"/>
      <c r="AO14" s="188"/>
      <c r="AP14" s="188"/>
      <c r="AQ14" s="185"/>
      <c r="AR14" s="182"/>
      <c r="AS14" s="632"/>
      <c r="AT14" s="188"/>
      <c r="AU14" s="188"/>
      <c r="AV14" s="185"/>
      <c r="AW14" s="182"/>
      <c r="AX14" s="632"/>
    </row>
    <row r="15" spans="1:50" ht="14.25" customHeight="1">
      <c r="B15" s="631"/>
      <c r="C15" s="180">
        <v>9</v>
      </c>
      <c r="D15" s="183"/>
      <c r="E15" s="180"/>
      <c r="F15" s="180"/>
      <c r="G15" s="185"/>
      <c r="H15" s="632"/>
      <c r="I15" s="186"/>
      <c r="J15" s="186"/>
      <c r="K15" s="187"/>
      <c r="L15" s="633"/>
      <c r="M15" s="186"/>
      <c r="N15" s="631"/>
      <c r="O15" s="631"/>
      <c r="P15" s="188"/>
      <c r="Q15" s="188"/>
      <c r="R15" s="185"/>
      <c r="S15" s="182"/>
      <c r="T15" s="632"/>
      <c r="U15" s="188"/>
      <c r="V15" s="188"/>
      <c r="W15" s="185"/>
      <c r="X15" s="182"/>
      <c r="Y15" s="632"/>
      <c r="Z15" s="188"/>
      <c r="AA15" s="188"/>
      <c r="AB15" s="185"/>
      <c r="AC15" s="182"/>
      <c r="AD15" s="632"/>
      <c r="AE15" s="188"/>
      <c r="AF15" s="188"/>
      <c r="AG15" s="185"/>
      <c r="AH15" s="182"/>
      <c r="AI15" s="632"/>
      <c r="AJ15" s="188"/>
      <c r="AK15" s="188"/>
      <c r="AL15" s="185"/>
      <c r="AM15" s="182"/>
      <c r="AN15" s="632"/>
      <c r="AO15" s="188"/>
      <c r="AP15" s="188"/>
      <c r="AQ15" s="185"/>
      <c r="AR15" s="182"/>
      <c r="AS15" s="632"/>
      <c r="AT15" s="188"/>
      <c r="AU15" s="188"/>
      <c r="AV15" s="185"/>
      <c r="AW15" s="182"/>
      <c r="AX15" s="632"/>
    </row>
    <row r="16" spans="1:50" ht="14.25" customHeight="1">
      <c r="B16" s="631"/>
      <c r="C16" s="180">
        <v>10</v>
      </c>
      <c r="D16" s="183"/>
      <c r="E16" s="180"/>
      <c r="F16" s="180"/>
      <c r="G16" s="185"/>
      <c r="H16" s="632"/>
      <c r="I16" s="186"/>
      <c r="J16" s="186"/>
      <c r="K16" s="187"/>
      <c r="L16" s="633"/>
      <c r="M16" s="186"/>
      <c r="N16" s="631"/>
      <c r="O16" s="631"/>
      <c r="P16" s="188"/>
      <c r="Q16" s="188"/>
      <c r="R16" s="185"/>
      <c r="S16" s="182"/>
      <c r="T16" s="632"/>
      <c r="U16" s="188"/>
      <c r="V16" s="188"/>
      <c r="W16" s="185"/>
      <c r="X16" s="182"/>
      <c r="Y16" s="632"/>
      <c r="Z16" s="188"/>
      <c r="AA16" s="188"/>
      <c r="AB16" s="185"/>
      <c r="AC16" s="182"/>
      <c r="AD16" s="632"/>
      <c r="AE16" s="188"/>
      <c r="AF16" s="188"/>
      <c r="AG16" s="185"/>
      <c r="AH16" s="182"/>
      <c r="AI16" s="632"/>
      <c r="AJ16" s="188"/>
      <c r="AK16" s="188"/>
      <c r="AL16" s="185"/>
      <c r="AM16" s="182"/>
      <c r="AN16" s="632"/>
      <c r="AO16" s="188"/>
      <c r="AP16" s="188"/>
      <c r="AQ16" s="185"/>
      <c r="AR16" s="182"/>
      <c r="AS16" s="632"/>
      <c r="AT16" s="188"/>
      <c r="AU16" s="188"/>
      <c r="AV16" s="185"/>
      <c r="AW16" s="182"/>
      <c r="AX16" s="632"/>
    </row>
    <row r="17" spans="2:50" ht="14.25" customHeight="1">
      <c r="B17" s="631"/>
      <c r="C17" s="180">
        <v>11</v>
      </c>
      <c r="D17" s="183"/>
      <c r="E17" s="180"/>
      <c r="F17" s="180"/>
      <c r="G17" s="185"/>
      <c r="H17" s="632"/>
      <c r="I17" s="186"/>
      <c r="J17" s="186"/>
      <c r="K17" s="187"/>
      <c r="L17" s="633"/>
      <c r="M17" s="186"/>
      <c r="N17" s="631"/>
      <c r="O17" s="631"/>
      <c r="P17" s="188"/>
      <c r="Q17" s="188"/>
      <c r="R17" s="185"/>
      <c r="S17" s="182"/>
      <c r="T17" s="632"/>
      <c r="U17" s="188"/>
      <c r="V17" s="188"/>
      <c r="W17" s="185"/>
      <c r="X17" s="182"/>
      <c r="Y17" s="632"/>
      <c r="Z17" s="188"/>
      <c r="AA17" s="188"/>
      <c r="AB17" s="185"/>
      <c r="AC17" s="182"/>
      <c r="AD17" s="632"/>
      <c r="AE17" s="188"/>
      <c r="AF17" s="188"/>
      <c r="AG17" s="185"/>
      <c r="AH17" s="182"/>
      <c r="AI17" s="632"/>
      <c r="AJ17" s="188"/>
      <c r="AK17" s="188"/>
      <c r="AL17" s="185"/>
      <c r="AM17" s="182"/>
      <c r="AN17" s="632"/>
      <c r="AO17" s="188"/>
      <c r="AP17" s="188"/>
      <c r="AQ17" s="185"/>
      <c r="AR17" s="182"/>
      <c r="AS17" s="632"/>
      <c r="AT17" s="188"/>
      <c r="AU17" s="188"/>
      <c r="AV17" s="185"/>
      <c r="AW17" s="182"/>
      <c r="AX17" s="632"/>
    </row>
    <row r="18" spans="2:50" ht="14.25" customHeight="1">
      <c r="B18" s="631"/>
      <c r="C18" s="180">
        <v>12</v>
      </c>
      <c r="D18" s="183"/>
      <c r="E18" s="180"/>
      <c r="F18" s="180"/>
      <c r="G18" s="185"/>
      <c r="H18" s="632"/>
      <c r="I18" s="186"/>
      <c r="J18" s="186"/>
      <c r="K18" s="187"/>
      <c r="L18" s="633"/>
      <c r="M18" s="186"/>
      <c r="N18" s="631"/>
      <c r="O18" s="631"/>
      <c r="P18" s="188"/>
      <c r="Q18" s="188"/>
      <c r="R18" s="185"/>
      <c r="S18" s="182"/>
      <c r="T18" s="632"/>
      <c r="U18" s="188"/>
      <c r="V18" s="188"/>
      <c r="W18" s="185"/>
      <c r="X18" s="182"/>
      <c r="Y18" s="632"/>
      <c r="Z18" s="188"/>
      <c r="AA18" s="188"/>
      <c r="AB18" s="185"/>
      <c r="AC18" s="182"/>
      <c r="AD18" s="632"/>
      <c r="AE18" s="188"/>
      <c r="AF18" s="188"/>
      <c r="AG18" s="185"/>
      <c r="AH18" s="182"/>
      <c r="AI18" s="632"/>
      <c r="AJ18" s="188"/>
      <c r="AK18" s="188"/>
      <c r="AL18" s="185"/>
      <c r="AM18" s="182"/>
      <c r="AN18" s="632"/>
      <c r="AO18" s="188"/>
      <c r="AP18" s="188"/>
      <c r="AQ18" s="185"/>
      <c r="AR18" s="182"/>
      <c r="AS18" s="632"/>
      <c r="AT18" s="188"/>
      <c r="AU18" s="188"/>
      <c r="AV18" s="185"/>
      <c r="AW18" s="182"/>
      <c r="AX18" s="632"/>
    </row>
    <row r="19" spans="2:50" ht="14.25" customHeight="1">
      <c r="B19" s="631"/>
      <c r="C19" s="180">
        <v>13</v>
      </c>
      <c r="D19" s="183"/>
      <c r="E19" s="180"/>
      <c r="F19" s="180"/>
      <c r="G19" s="185"/>
      <c r="H19" s="632"/>
      <c r="I19" s="186"/>
      <c r="J19" s="186"/>
      <c r="K19" s="187"/>
      <c r="L19" s="633"/>
      <c r="M19" s="186"/>
      <c r="N19" s="631"/>
      <c r="O19" s="631"/>
      <c r="P19" s="188"/>
      <c r="Q19" s="188"/>
      <c r="R19" s="185"/>
      <c r="S19" s="182"/>
      <c r="T19" s="632"/>
      <c r="U19" s="188"/>
      <c r="V19" s="188"/>
      <c r="W19" s="185"/>
      <c r="X19" s="182"/>
      <c r="Y19" s="632"/>
      <c r="Z19" s="188"/>
      <c r="AA19" s="188"/>
      <c r="AB19" s="185"/>
      <c r="AC19" s="182"/>
      <c r="AD19" s="632"/>
      <c r="AE19" s="188"/>
      <c r="AF19" s="188"/>
      <c r="AG19" s="185"/>
      <c r="AH19" s="182"/>
      <c r="AI19" s="632"/>
      <c r="AJ19" s="188"/>
      <c r="AK19" s="188"/>
      <c r="AL19" s="185"/>
      <c r="AM19" s="182"/>
      <c r="AN19" s="632"/>
      <c r="AO19" s="188"/>
      <c r="AP19" s="188"/>
      <c r="AQ19" s="185"/>
      <c r="AR19" s="182"/>
      <c r="AS19" s="632"/>
      <c r="AT19" s="188"/>
      <c r="AU19" s="188"/>
      <c r="AV19" s="185"/>
      <c r="AW19" s="182"/>
      <c r="AX19" s="632"/>
    </row>
    <row r="20" spans="2:50" ht="14.25" customHeight="1">
      <c r="B20" s="631"/>
      <c r="C20" s="180">
        <v>14</v>
      </c>
      <c r="D20" s="183"/>
      <c r="E20" s="180"/>
      <c r="F20" s="180"/>
      <c r="G20" s="185"/>
      <c r="H20" s="632"/>
      <c r="I20" s="186"/>
      <c r="J20" s="186"/>
      <c r="K20" s="187"/>
      <c r="L20" s="633"/>
      <c r="M20" s="186"/>
      <c r="N20" s="631"/>
      <c r="O20" s="631"/>
      <c r="P20" s="188"/>
      <c r="Q20" s="188"/>
      <c r="R20" s="185"/>
      <c r="S20" s="182"/>
      <c r="T20" s="632"/>
      <c r="U20" s="188"/>
      <c r="V20" s="188"/>
      <c r="W20" s="185"/>
      <c r="X20" s="182"/>
      <c r="Y20" s="632"/>
      <c r="Z20" s="188"/>
      <c r="AA20" s="188"/>
      <c r="AB20" s="185"/>
      <c r="AC20" s="182"/>
      <c r="AD20" s="632"/>
      <c r="AE20" s="188"/>
      <c r="AF20" s="188"/>
      <c r="AG20" s="185"/>
      <c r="AH20" s="182"/>
      <c r="AI20" s="632"/>
      <c r="AJ20" s="188"/>
      <c r="AK20" s="188"/>
      <c r="AL20" s="185"/>
      <c r="AM20" s="182"/>
      <c r="AN20" s="632"/>
      <c r="AO20" s="188"/>
      <c r="AP20" s="188"/>
      <c r="AQ20" s="185"/>
      <c r="AR20" s="182"/>
      <c r="AS20" s="632"/>
      <c r="AT20" s="188"/>
      <c r="AU20" s="188"/>
      <c r="AV20" s="185"/>
      <c r="AW20" s="182"/>
      <c r="AX20" s="632"/>
    </row>
    <row r="21" spans="2:50" ht="14.25" customHeight="1">
      <c r="B21" s="631"/>
      <c r="C21" s="180">
        <v>15</v>
      </c>
      <c r="D21" s="183"/>
      <c r="E21" s="180"/>
      <c r="F21" s="180"/>
      <c r="G21" s="185"/>
      <c r="H21" s="632"/>
      <c r="I21" s="186"/>
      <c r="J21" s="186"/>
      <c r="K21" s="187"/>
      <c r="L21" s="633"/>
      <c r="M21" s="186"/>
      <c r="N21" s="631"/>
      <c r="O21" s="631"/>
      <c r="P21" s="188"/>
      <c r="Q21" s="188"/>
      <c r="R21" s="185"/>
      <c r="S21" s="182"/>
      <c r="T21" s="632"/>
      <c r="U21" s="188"/>
      <c r="V21" s="188"/>
      <c r="W21" s="185"/>
      <c r="X21" s="182"/>
      <c r="Y21" s="632"/>
      <c r="Z21" s="188"/>
      <c r="AA21" s="188"/>
      <c r="AB21" s="185"/>
      <c r="AC21" s="182"/>
      <c r="AD21" s="632"/>
      <c r="AE21" s="188"/>
      <c r="AF21" s="188"/>
      <c r="AG21" s="185"/>
      <c r="AH21" s="182"/>
      <c r="AI21" s="632"/>
      <c r="AJ21" s="188"/>
      <c r="AK21" s="188"/>
      <c r="AL21" s="185"/>
      <c r="AM21" s="182"/>
      <c r="AN21" s="632"/>
      <c r="AO21" s="188"/>
      <c r="AP21" s="188"/>
      <c r="AQ21" s="185"/>
      <c r="AR21" s="182"/>
      <c r="AS21" s="632"/>
      <c r="AT21" s="188"/>
      <c r="AU21" s="188"/>
      <c r="AV21" s="185"/>
      <c r="AW21" s="182"/>
      <c r="AX21" s="632"/>
    </row>
    <row r="22" spans="2:50" ht="14.25" customHeight="1">
      <c r="B22" s="646" t="s">
        <v>695</v>
      </c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47"/>
      <c r="N22" s="664" t="s">
        <v>369</v>
      </c>
      <c r="O22" s="664" t="s">
        <v>105</v>
      </c>
      <c r="P22" s="666">
        <f>'[3]（５-1）品群別人時生產性(18℃-飯糰)'!P22:T22</f>
        <v>5</v>
      </c>
      <c r="Q22" s="667"/>
      <c r="R22" s="667"/>
      <c r="S22" s="667"/>
      <c r="T22" s="667"/>
      <c r="U22" s="668">
        <f>P22+1</f>
        <v>6</v>
      </c>
      <c r="V22" s="669"/>
      <c r="W22" s="669"/>
      <c r="X22" s="669"/>
      <c r="Y22" s="669"/>
      <c r="Z22" s="666">
        <f t="shared" ref="Z22" si="10">U22+1</f>
        <v>7</v>
      </c>
      <c r="AA22" s="667"/>
      <c r="AB22" s="667"/>
      <c r="AC22" s="667"/>
      <c r="AD22" s="667"/>
      <c r="AE22" s="668">
        <f t="shared" ref="AE22" si="11">Z22+1</f>
        <v>8</v>
      </c>
      <c r="AF22" s="669"/>
      <c r="AG22" s="669"/>
      <c r="AH22" s="669"/>
      <c r="AI22" s="669"/>
      <c r="AJ22" s="656">
        <f t="shared" ref="AJ22" si="12">AE22+1</f>
        <v>9</v>
      </c>
      <c r="AK22" s="657"/>
      <c r="AL22" s="657"/>
      <c r="AM22" s="657"/>
      <c r="AN22" s="658"/>
      <c r="AO22" s="668">
        <f t="shared" ref="AO22" si="13">AJ22+1</f>
        <v>10</v>
      </c>
      <c r="AP22" s="669"/>
      <c r="AQ22" s="669"/>
      <c r="AR22" s="669"/>
      <c r="AS22" s="669"/>
      <c r="AT22" s="656">
        <f t="shared" ref="AT22" si="14">AO22+1</f>
        <v>11</v>
      </c>
      <c r="AU22" s="657"/>
      <c r="AV22" s="657"/>
      <c r="AW22" s="657"/>
      <c r="AX22" s="658"/>
    </row>
    <row r="23" spans="2:50" ht="14.25" customHeight="1"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9"/>
      <c r="N23" s="665"/>
      <c r="O23" s="665"/>
      <c r="P23" s="659">
        <f>P22</f>
        <v>5</v>
      </c>
      <c r="Q23" s="659"/>
      <c r="R23" s="659"/>
      <c r="S23" s="659"/>
      <c r="T23" s="659"/>
      <c r="U23" s="660">
        <f>U22</f>
        <v>6</v>
      </c>
      <c r="V23" s="660"/>
      <c r="W23" s="660"/>
      <c r="X23" s="660"/>
      <c r="Y23" s="660"/>
      <c r="Z23" s="659">
        <f t="shared" ref="Z23" si="15">Z22</f>
        <v>7</v>
      </c>
      <c r="AA23" s="659"/>
      <c r="AB23" s="659"/>
      <c r="AC23" s="659"/>
      <c r="AD23" s="659"/>
      <c r="AE23" s="660">
        <f t="shared" ref="AE23" si="16">AE22</f>
        <v>8</v>
      </c>
      <c r="AF23" s="660"/>
      <c r="AG23" s="660"/>
      <c r="AH23" s="660"/>
      <c r="AI23" s="660"/>
      <c r="AJ23" s="661">
        <f t="shared" ref="AJ23" si="17">AJ22</f>
        <v>9</v>
      </c>
      <c r="AK23" s="662"/>
      <c r="AL23" s="662"/>
      <c r="AM23" s="662"/>
      <c r="AN23" s="663"/>
      <c r="AO23" s="660">
        <f t="shared" ref="AO23" si="18">AO22</f>
        <v>10</v>
      </c>
      <c r="AP23" s="660"/>
      <c r="AQ23" s="660"/>
      <c r="AR23" s="660"/>
      <c r="AS23" s="660"/>
      <c r="AT23" s="661">
        <f t="shared" ref="AT23" si="19">AT22</f>
        <v>11</v>
      </c>
      <c r="AU23" s="662"/>
      <c r="AV23" s="662"/>
      <c r="AW23" s="662"/>
      <c r="AX23" s="663"/>
    </row>
    <row r="24" spans="2:50" ht="14.25" customHeight="1">
      <c r="B24" s="631" t="s">
        <v>162</v>
      </c>
      <c r="C24" s="631" t="s">
        <v>157</v>
      </c>
      <c r="D24" s="631"/>
      <c r="E24" s="631" t="s">
        <v>158</v>
      </c>
      <c r="F24" s="631"/>
      <c r="G24" s="631"/>
      <c r="H24" s="631" t="s">
        <v>163</v>
      </c>
      <c r="I24" s="635" t="s">
        <v>370</v>
      </c>
      <c r="J24" s="635"/>
      <c r="K24" s="635"/>
      <c r="L24" s="635" t="s">
        <v>163</v>
      </c>
      <c r="M24" s="635" t="s">
        <v>165</v>
      </c>
      <c r="N24" s="631"/>
      <c r="O24" s="631" t="s">
        <v>164</v>
      </c>
      <c r="P24" s="631" t="s">
        <v>160</v>
      </c>
      <c r="Q24" s="631"/>
      <c r="R24" s="631"/>
      <c r="S24" s="631"/>
      <c r="T24" s="631" t="s">
        <v>163</v>
      </c>
      <c r="U24" s="631" t="s">
        <v>160</v>
      </c>
      <c r="V24" s="631"/>
      <c r="W24" s="631"/>
      <c r="X24" s="631"/>
      <c r="Y24" s="631" t="s">
        <v>163</v>
      </c>
      <c r="Z24" s="631" t="s">
        <v>160</v>
      </c>
      <c r="AA24" s="631"/>
      <c r="AB24" s="631"/>
      <c r="AC24" s="631"/>
      <c r="AD24" s="631" t="s">
        <v>163</v>
      </c>
      <c r="AE24" s="631" t="s">
        <v>160</v>
      </c>
      <c r="AF24" s="631"/>
      <c r="AG24" s="631"/>
      <c r="AH24" s="631"/>
      <c r="AI24" s="631" t="s">
        <v>163</v>
      </c>
      <c r="AJ24" s="631" t="s">
        <v>160</v>
      </c>
      <c r="AK24" s="631"/>
      <c r="AL24" s="631"/>
      <c r="AM24" s="631"/>
      <c r="AN24" s="631" t="s">
        <v>163</v>
      </c>
      <c r="AO24" s="631" t="s">
        <v>160</v>
      </c>
      <c r="AP24" s="631"/>
      <c r="AQ24" s="631"/>
      <c r="AR24" s="631"/>
      <c r="AS24" s="631" t="s">
        <v>163</v>
      </c>
      <c r="AT24" s="631" t="s">
        <v>160</v>
      </c>
      <c r="AU24" s="631"/>
      <c r="AV24" s="631"/>
      <c r="AW24" s="631"/>
      <c r="AX24" s="631" t="s">
        <v>163</v>
      </c>
    </row>
    <row r="25" spans="2:50" ht="14.25" customHeight="1">
      <c r="B25" s="631"/>
      <c r="C25" s="631"/>
      <c r="D25" s="631"/>
      <c r="E25" s="631" t="s">
        <v>371</v>
      </c>
      <c r="F25" s="631"/>
      <c r="G25" s="631"/>
      <c r="H25" s="631"/>
      <c r="I25" s="635" t="s">
        <v>371</v>
      </c>
      <c r="J25" s="635"/>
      <c r="K25" s="635"/>
      <c r="L25" s="635"/>
      <c r="M25" s="635"/>
      <c r="N25" s="631"/>
      <c r="O25" s="631"/>
      <c r="P25" s="631" t="s">
        <v>372</v>
      </c>
      <c r="Q25" s="631"/>
      <c r="R25" s="631"/>
      <c r="S25" s="631"/>
      <c r="T25" s="631"/>
      <c r="U25" s="631" t="s">
        <v>372</v>
      </c>
      <c r="V25" s="631"/>
      <c r="W25" s="631"/>
      <c r="X25" s="631"/>
      <c r="Y25" s="631"/>
      <c r="Z25" s="631" t="s">
        <v>372</v>
      </c>
      <c r="AA25" s="631"/>
      <c r="AB25" s="631"/>
      <c r="AC25" s="631"/>
      <c r="AD25" s="631"/>
      <c r="AE25" s="631" t="s">
        <v>372</v>
      </c>
      <c r="AF25" s="631"/>
      <c r="AG25" s="631"/>
      <c r="AH25" s="631"/>
      <c r="AI25" s="631"/>
      <c r="AJ25" s="631" t="s">
        <v>372</v>
      </c>
      <c r="AK25" s="631"/>
      <c r="AL25" s="631"/>
      <c r="AM25" s="631"/>
      <c r="AN25" s="631"/>
      <c r="AO25" s="631" t="s">
        <v>372</v>
      </c>
      <c r="AP25" s="631"/>
      <c r="AQ25" s="631"/>
      <c r="AR25" s="631"/>
      <c r="AS25" s="631"/>
      <c r="AT25" s="631" t="s">
        <v>372</v>
      </c>
      <c r="AU25" s="631"/>
      <c r="AV25" s="631"/>
      <c r="AW25" s="631"/>
      <c r="AX25" s="631"/>
    </row>
    <row r="26" spans="2:50" ht="14.25" customHeight="1">
      <c r="B26" s="631"/>
      <c r="C26" s="631"/>
      <c r="D26" s="631"/>
      <c r="E26" s="180" t="s">
        <v>159</v>
      </c>
      <c r="F26" s="180" t="s">
        <v>373</v>
      </c>
      <c r="G26" s="180" t="s">
        <v>161</v>
      </c>
      <c r="H26" s="631"/>
      <c r="I26" s="181" t="s">
        <v>159</v>
      </c>
      <c r="J26" s="181" t="s">
        <v>373</v>
      </c>
      <c r="K26" s="181" t="s">
        <v>161</v>
      </c>
      <c r="L26" s="635"/>
      <c r="M26" s="635"/>
      <c r="N26" s="631"/>
      <c r="O26" s="631"/>
      <c r="P26" s="180" t="s">
        <v>159</v>
      </c>
      <c r="Q26" s="180" t="s">
        <v>373</v>
      </c>
      <c r="R26" s="180" t="s">
        <v>161</v>
      </c>
      <c r="S26" s="182" t="s">
        <v>165</v>
      </c>
      <c r="T26" s="631"/>
      <c r="U26" s="180" t="s">
        <v>159</v>
      </c>
      <c r="V26" s="180" t="s">
        <v>373</v>
      </c>
      <c r="W26" s="180" t="s">
        <v>161</v>
      </c>
      <c r="X26" s="182" t="s">
        <v>165</v>
      </c>
      <c r="Y26" s="631"/>
      <c r="Z26" s="180" t="s">
        <v>159</v>
      </c>
      <c r="AA26" s="180" t="s">
        <v>373</v>
      </c>
      <c r="AB26" s="180" t="s">
        <v>161</v>
      </c>
      <c r="AC26" s="182" t="s">
        <v>165</v>
      </c>
      <c r="AD26" s="631"/>
      <c r="AE26" s="180" t="s">
        <v>159</v>
      </c>
      <c r="AF26" s="180" t="s">
        <v>373</v>
      </c>
      <c r="AG26" s="180" t="s">
        <v>161</v>
      </c>
      <c r="AH26" s="182" t="s">
        <v>165</v>
      </c>
      <c r="AI26" s="631"/>
      <c r="AJ26" s="180" t="s">
        <v>159</v>
      </c>
      <c r="AK26" s="180" t="s">
        <v>373</v>
      </c>
      <c r="AL26" s="180" t="s">
        <v>161</v>
      </c>
      <c r="AM26" s="182" t="s">
        <v>165</v>
      </c>
      <c r="AN26" s="631"/>
      <c r="AO26" s="180" t="s">
        <v>159</v>
      </c>
      <c r="AP26" s="180" t="s">
        <v>373</v>
      </c>
      <c r="AQ26" s="180" t="s">
        <v>161</v>
      </c>
      <c r="AR26" s="182" t="s">
        <v>165</v>
      </c>
      <c r="AS26" s="631"/>
      <c r="AT26" s="180" t="s">
        <v>159</v>
      </c>
      <c r="AU26" s="180" t="s">
        <v>373</v>
      </c>
      <c r="AV26" s="180" t="s">
        <v>161</v>
      </c>
      <c r="AW26" s="182" t="s">
        <v>165</v>
      </c>
      <c r="AX26" s="631"/>
    </row>
    <row r="27" spans="2:50" ht="14.25" customHeight="1">
      <c r="B27" s="631" t="s">
        <v>433</v>
      </c>
      <c r="C27" s="180">
        <v>1</v>
      </c>
      <c r="D27" s="183"/>
      <c r="E27" s="180"/>
      <c r="F27" s="180"/>
      <c r="G27" s="185"/>
      <c r="H27" s="632"/>
      <c r="I27" s="186"/>
      <c r="J27" s="186"/>
      <c r="K27" s="187"/>
      <c r="L27" s="633"/>
      <c r="M27" s="186"/>
      <c r="N27" s="631"/>
      <c r="O27" s="631"/>
      <c r="P27" s="188"/>
      <c r="Q27" s="188"/>
      <c r="R27" s="185"/>
      <c r="S27" s="182"/>
      <c r="T27" s="632"/>
      <c r="U27" s="188"/>
      <c r="V27" s="188"/>
      <c r="W27" s="185"/>
      <c r="X27" s="182"/>
      <c r="Y27" s="632"/>
      <c r="Z27" s="188"/>
      <c r="AA27" s="188"/>
      <c r="AB27" s="185"/>
      <c r="AC27" s="182"/>
      <c r="AD27" s="632"/>
      <c r="AE27" s="188"/>
      <c r="AF27" s="188"/>
      <c r="AG27" s="185"/>
      <c r="AH27" s="182"/>
      <c r="AI27" s="632"/>
      <c r="AJ27" s="188"/>
      <c r="AK27" s="188"/>
      <c r="AL27" s="185"/>
      <c r="AM27" s="182"/>
      <c r="AN27" s="632"/>
      <c r="AO27" s="188"/>
      <c r="AP27" s="188"/>
      <c r="AQ27" s="185"/>
      <c r="AR27" s="182"/>
      <c r="AS27" s="632"/>
      <c r="AT27" s="188"/>
      <c r="AU27" s="188"/>
      <c r="AV27" s="185"/>
      <c r="AW27" s="182"/>
      <c r="AX27" s="632"/>
    </row>
    <row r="28" spans="2:50" ht="14.25" customHeight="1">
      <c r="B28" s="631"/>
      <c r="C28" s="180">
        <v>2</v>
      </c>
      <c r="D28" s="183"/>
      <c r="E28" s="180"/>
      <c r="F28" s="180"/>
      <c r="G28" s="185"/>
      <c r="H28" s="632"/>
      <c r="I28" s="186"/>
      <c r="J28" s="186"/>
      <c r="K28" s="187"/>
      <c r="L28" s="633"/>
      <c r="M28" s="186"/>
      <c r="N28" s="631"/>
      <c r="O28" s="631"/>
      <c r="P28" s="188"/>
      <c r="Q28" s="188"/>
      <c r="R28" s="185"/>
      <c r="S28" s="182"/>
      <c r="T28" s="632"/>
      <c r="U28" s="188"/>
      <c r="V28" s="188"/>
      <c r="W28" s="185"/>
      <c r="X28" s="182"/>
      <c r="Y28" s="632"/>
      <c r="Z28" s="188"/>
      <c r="AA28" s="188"/>
      <c r="AB28" s="185"/>
      <c r="AC28" s="182"/>
      <c r="AD28" s="632"/>
      <c r="AE28" s="188"/>
      <c r="AF28" s="188"/>
      <c r="AG28" s="185"/>
      <c r="AH28" s="182"/>
      <c r="AI28" s="632"/>
      <c r="AJ28" s="188"/>
      <c r="AK28" s="188"/>
      <c r="AL28" s="185"/>
      <c r="AM28" s="182"/>
      <c r="AN28" s="632"/>
      <c r="AO28" s="188"/>
      <c r="AP28" s="188"/>
      <c r="AQ28" s="185"/>
      <c r="AR28" s="182"/>
      <c r="AS28" s="632"/>
      <c r="AT28" s="188"/>
      <c r="AU28" s="188"/>
      <c r="AV28" s="185"/>
      <c r="AW28" s="182"/>
      <c r="AX28" s="632"/>
    </row>
    <row r="29" spans="2:50" ht="14.25" customHeight="1">
      <c r="B29" s="631"/>
      <c r="C29" s="180">
        <v>3</v>
      </c>
      <c r="D29" s="183"/>
      <c r="E29" s="180"/>
      <c r="F29" s="180"/>
      <c r="G29" s="185"/>
      <c r="H29" s="632"/>
      <c r="I29" s="186"/>
      <c r="J29" s="186"/>
      <c r="K29" s="187"/>
      <c r="L29" s="633"/>
      <c r="M29" s="186"/>
      <c r="N29" s="631"/>
      <c r="O29" s="631"/>
      <c r="P29" s="188"/>
      <c r="Q29" s="188"/>
      <c r="R29" s="185"/>
      <c r="S29" s="182"/>
      <c r="T29" s="632"/>
      <c r="U29" s="188"/>
      <c r="V29" s="188"/>
      <c r="W29" s="185"/>
      <c r="X29" s="182"/>
      <c r="Y29" s="632"/>
      <c r="Z29" s="188"/>
      <c r="AA29" s="188"/>
      <c r="AB29" s="185"/>
      <c r="AC29" s="182"/>
      <c r="AD29" s="632"/>
      <c r="AE29" s="188"/>
      <c r="AF29" s="188"/>
      <c r="AG29" s="185"/>
      <c r="AH29" s="182"/>
      <c r="AI29" s="632"/>
      <c r="AJ29" s="188"/>
      <c r="AK29" s="188"/>
      <c r="AL29" s="185"/>
      <c r="AM29" s="182"/>
      <c r="AN29" s="632"/>
      <c r="AO29" s="188"/>
      <c r="AP29" s="188"/>
      <c r="AQ29" s="185"/>
      <c r="AR29" s="182"/>
      <c r="AS29" s="632"/>
      <c r="AT29" s="188"/>
      <c r="AU29" s="188"/>
      <c r="AV29" s="185"/>
      <c r="AW29" s="182"/>
      <c r="AX29" s="632"/>
    </row>
    <row r="30" spans="2:50" ht="14.25" customHeight="1">
      <c r="B30" s="631"/>
      <c r="C30" s="180">
        <v>4</v>
      </c>
      <c r="D30" s="183"/>
      <c r="E30" s="180"/>
      <c r="F30" s="180"/>
      <c r="G30" s="185"/>
      <c r="H30" s="632"/>
      <c r="I30" s="186"/>
      <c r="J30" s="186"/>
      <c r="K30" s="187"/>
      <c r="L30" s="633"/>
      <c r="M30" s="186"/>
      <c r="N30" s="631"/>
      <c r="O30" s="631"/>
      <c r="P30" s="188"/>
      <c r="Q30" s="188"/>
      <c r="R30" s="185"/>
      <c r="S30" s="182"/>
      <c r="T30" s="632"/>
      <c r="U30" s="188"/>
      <c r="V30" s="188"/>
      <c r="W30" s="185"/>
      <c r="X30" s="182"/>
      <c r="Y30" s="632"/>
      <c r="Z30" s="188"/>
      <c r="AA30" s="188"/>
      <c r="AB30" s="185"/>
      <c r="AC30" s="182"/>
      <c r="AD30" s="632"/>
      <c r="AE30" s="188"/>
      <c r="AF30" s="188"/>
      <c r="AG30" s="185"/>
      <c r="AH30" s="182"/>
      <c r="AI30" s="632"/>
      <c r="AJ30" s="188"/>
      <c r="AK30" s="188"/>
      <c r="AL30" s="185"/>
      <c r="AM30" s="182"/>
      <c r="AN30" s="632"/>
      <c r="AO30" s="188"/>
      <c r="AP30" s="188"/>
      <c r="AQ30" s="185"/>
      <c r="AR30" s="182"/>
      <c r="AS30" s="632"/>
      <c r="AT30" s="188"/>
      <c r="AU30" s="188"/>
      <c r="AV30" s="185"/>
      <c r="AW30" s="182"/>
      <c r="AX30" s="632"/>
    </row>
    <row r="31" spans="2:50" ht="14.25" customHeight="1">
      <c r="B31" s="631"/>
      <c r="C31" s="180">
        <v>5</v>
      </c>
      <c r="D31" s="183"/>
      <c r="E31" s="180"/>
      <c r="F31" s="180"/>
      <c r="G31" s="185"/>
      <c r="H31" s="632"/>
      <c r="I31" s="186"/>
      <c r="J31" s="186"/>
      <c r="K31" s="187"/>
      <c r="L31" s="633"/>
      <c r="M31" s="186"/>
      <c r="N31" s="631"/>
      <c r="O31" s="631"/>
      <c r="P31" s="188"/>
      <c r="Q31" s="188"/>
      <c r="R31" s="185"/>
      <c r="S31" s="182"/>
      <c r="T31" s="632"/>
      <c r="U31" s="188"/>
      <c r="V31" s="188"/>
      <c r="W31" s="185"/>
      <c r="X31" s="182"/>
      <c r="Y31" s="632"/>
      <c r="Z31" s="188"/>
      <c r="AA31" s="188"/>
      <c r="AB31" s="185"/>
      <c r="AC31" s="182"/>
      <c r="AD31" s="632"/>
      <c r="AE31" s="188"/>
      <c r="AF31" s="188"/>
      <c r="AG31" s="185"/>
      <c r="AH31" s="182"/>
      <c r="AI31" s="632"/>
      <c r="AJ31" s="188"/>
      <c r="AK31" s="188"/>
      <c r="AL31" s="185"/>
      <c r="AM31" s="182"/>
      <c r="AN31" s="632"/>
      <c r="AO31" s="188"/>
      <c r="AP31" s="188"/>
      <c r="AQ31" s="185"/>
      <c r="AR31" s="182"/>
      <c r="AS31" s="632"/>
      <c r="AT31" s="188"/>
      <c r="AU31" s="188"/>
      <c r="AV31" s="185"/>
      <c r="AW31" s="182"/>
      <c r="AX31" s="632"/>
    </row>
    <row r="32" spans="2:50" ht="14.25" customHeight="1">
      <c r="B32" s="631"/>
      <c r="C32" s="180">
        <v>6</v>
      </c>
      <c r="D32" s="183"/>
      <c r="E32" s="180"/>
      <c r="F32" s="180"/>
      <c r="G32" s="185"/>
      <c r="H32" s="632"/>
      <c r="I32" s="186"/>
      <c r="J32" s="186"/>
      <c r="K32" s="187"/>
      <c r="L32" s="633"/>
      <c r="M32" s="186"/>
      <c r="N32" s="631"/>
      <c r="O32" s="631"/>
      <c r="P32" s="188"/>
      <c r="Q32" s="188"/>
      <c r="R32" s="185"/>
      <c r="S32" s="182"/>
      <c r="T32" s="632"/>
      <c r="U32" s="188"/>
      <c r="V32" s="188"/>
      <c r="W32" s="185"/>
      <c r="X32" s="182"/>
      <c r="Y32" s="632"/>
      <c r="Z32" s="188"/>
      <c r="AA32" s="188"/>
      <c r="AB32" s="185"/>
      <c r="AC32" s="182"/>
      <c r="AD32" s="632"/>
      <c r="AE32" s="188"/>
      <c r="AF32" s="188"/>
      <c r="AG32" s="185"/>
      <c r="AH32" s="182"/>
      <c r="AI32" s="632"/>
      <c r="AJ32" s="188"/>
      <c r="AK32" s="188"/>
      <c r="AL32" s="185"/>
      <c r="AM32" s="182"/>
      <c r="AN32" s="632"/>
      <c r="AO32" s="188"/>
      <c r="AP32" s="188"/>
      <c r="AQ32" s="185"/>
      <c r="AR32" s="182"/>
      <c r="AS32" s="632"/>
      <c r="AT32" s="188"/>
      <c r="AU32" s="188"/>
      <c r="AV32" s="185"/>
      <c r="AW32" s="182"/>
      <c r="AX32" s="632"/>
    </row>
    <row r="33" spans="2:50" ht="14.25" customHeight="1">
      <c r="B33" s="631"/>
      <c r="C33" s="180">
        <v>7</v>
      </c>
      <c r="D33" s="183"/>
      <c r="E33" s="180"/>
      <c r="F33" s="180"/>
      <c r="G33" s="185"/>
      <c r="H33" s="632"/>
      <c r="I33" s="186"/>
      <c r="J33" s="186"/>
      <c r="K33" s="187"/>
      <c r="L33" s="633"/>
      <c r="M33" s="186"/>
      <c r="N33" s="631"/>
      <c r="O33" s="631"/>
      <c r="P33" s="188"/>
      <c r="Q33" s="188"/>
      <c r="R33" s="185"/>
      <c r="S33" s="182"/>
      <c r="T33" s="632"/>
      <c r="U33" s="188"/>
      <c r="V33" s="188"/>
      <c r="W33" s="185"/>
      <c r="X33" s="182"/>
      <c r="Y33" s="632"/>
      <c r="Z33" s="188"/>
      <c r="AA33" s="188"/>
      <c r="AB33" s="185"/>
      <c r="AC33" s="182"/>
      <c r="AD33" s="632"/>
      <c r="AE33" s="188"/>
      <c r="AF33" s="188"/>
      <c r="AG33" s="185"/>
      <c r="AH33" s="182"/>
      <c r="AI33" s="632"/>
      <c r="AJ33" s="188"/>
      <c r="AK33" s="188"/>
      <c r="AL33" s="185"/>
      <c r="AM33" s="182"/>
      <c r="AN33" s="632"/>
      <c r="AO33" s="188"/>
      <c r="AP33" s="188"/>
      <c r="AQ33" s="185"/>
      <c r="AR33" s="182"/>
      <c r="AS33" s="632"/>
      <c r="AT33" s="188"/>
      <c r="AU33" s="188"/>
      <c r="AV33" s="185"/>
      <c r="AW33" s="182"/>
      <c r="AX33" s="632"/>
    </row>
    <row r="34" spans="2:50" ht="14.25" customHeight="1">
      <c r="B34" s="631"/>
      <c r="C34" s="180">
        <v>8</v>
      </c>
      <c r="D34" s="183"/>
      <c r="E34" s="180"/>
      <c r="F34" s="180"/>
      <c r="G34" s="185"/>
      <c r="H34" s="632"/>
      <c r="I34" s="186"/>
      <c r="J34" s="186"/>
      <c r="K34" s="187"/>
      <c r="L34" s="633"/>
      <c r="M34" s="186"/>
      <c r="N34" s="631"/>
      <c r="O34" s="631"/>
      <c r="P34" s="188"/>
      <c r="Q34" s="188"/>
      <c r="R34" s="185"/>
      <c r="S34" s="182"/>
      <c r="T34" s="632"/>
      <c r="U34" s="188"/>
      <c r="V34" s="188"/>
      <c r="W34" s="185"/>
      <c r="X34" s="182"/>
      <c r="Y34" s="632"/>
      <c r="Z34" s="188"/>
      <c r="AA34" s="188"/>
      <c r="AB34" s="185"/>
      <c r="AC34" s="182"/>
      <c r="AD34" s="632"/>
      <c r="AE34" s="188"/>
      <c r="AF34" s="188"/>
      <c r="AG34" s="185"/>
      <c r="AH34" s="182"/>
      <c r="AI34" s="632"/>
      <c r="AJ34" s="188"/>
      <c r="AK34" s="188"/>
      <c r="AL34" s="185"/>
      <c r="AM34" s="182"/>
      <c r="AN34" s="632"/>
      <c r="AO34" s="188"/>
      <c r="AP34" s="188"/>
      <c r="AQ34" s="185"/>
      <c r="AR34" s="182"/>
      <c r="AS34" s="632"/>
      <c r="AT34" s="188"/>
      <c r="AU34" s="188"/>
      <c r="AV34" s="185"/>
      <c r="AW34" s="182"/>
      <c r="AX34" s="632"/>
    </row>
    <row r="35" spans="2:50" ht="14.25" customHeight="1">
      <c r="B35" s="631"/>
      <c r="C35" s="180">
        <v>9</v>
      </c>
      <c r="D35" s="183"/>
      <c r="E35" s="180"/>
      <c r="F35" s="180"/>
      <c r="G35" s="185"/>
      <c r="H35" s="632"/>
      <c r="I35" s="186"/>
      <c r="J35" s="186"/>
      <c r="K35" s="187"/>
      <c r="L35" s="633"/>
      <c r="M35" s="186"/>
      <c r="N35" s="631"/>
      <c r="O35" s="631"/>
      <c r="P35" s="188"/>
      <c r="Q35" s="188"/>
      <c r="R35" s="185"/>
      <c r="S35" s="182"/>
      <c r="T35" s="632"/>
      <c r="U35" s="188"/>
      <c r="V35" s="188"/>
      <c r="W35" s="185"/>
      <c r="X35" s="182"/>
      <c r="Y35" s="632"/>
      <c r="Z35" s="188"/>
      <c r="AA35" s="188"/>
      <c r="AB35" s="185"/>
      <c r="AC35" s="182"/>
      <c r="AD35" s="632"/>
      <c r="AE35" s="188"/>
      <c r="AF35" s="188"/>
      <c r="AG35" s="185"/>
      <c r="AH35" s="182"/>
      <c r="AI35" s="632"/>
      <c r="AJ35" s="188"/>
      <c r="AK35" s="188"/>
      <c r="AL35" s="185"/>
      <c r="AM35" s="182"/>
      <c r="AN35" s="632"/>
      <c r="AO35" s="188"/>
      <c r="AP35" s="188"/>
      <c r="AQ35" s="185"/>
      <c r="AR35" s="182"/>
      <c r="AS35" s="632"/>
      <c r="AT35" s="188"/>
      <c r="AU35" s="188"/>
      <c r="AV35" s="185"/>
      <c r="AW35" s="182"/>
      <c r="AX35" s="632"/>
    </row>
    <row r="36" spans="2:50" ht="14.25" customHeight="1">
      <c r="B36" s="631"/>
      <c r="C36" s="180">
        <v>10</v>
      </c>
      <c r="D36" s="183"/>
      <c r="E36" s="180"/>
      <c r="F36" s="180"/>
      <c r="G36" s="185"/>
      <c r="H36" s="632"/>
      <c r="I36" s="186"/>
      <c r="J36" s="186"/>
      <c r="K36" s="187"/>
      <c r="L36" s="633"/>
      <c r="M36" s="186"/>
      <c r="N36" s="631"/>
      <c r="O36" s="631"/>
      <c r="P36" s="188"/>
      <c r="Q36" s="188"/>
      <c r="R36" s="185"/>
      <c r="S36" s="182"/>
      <c r="T36" s="632"/>
      <c r="U36" s="188"/>
      <c r="V36" s="188"/>
      <c r="W36" s="185"/>
      <c r="X36" s="182"/>
      <c r="Y36" s="632"/>
      <c r="Z36" s="188"/>
      <c r="AA36" s="188"/>
      <c r="AB36" s="185"/>
      <c r="AC36" s="182"/>
      <c r="AD36" s="632"/>
      <c r="AE36" s="188"/>
      <c r="AF36" s="188"/>
      <c r="AG36" s="185"/>
      <c r="AH36" s="182"/>
      <c r="AI36" s="632"/>
      <c r="AJ36" s="188"/>
      <c r="AK36" s="188"/>
      <c r="AL36" s="185"/>
      <c r="AM36" s="182"/>
      <c r="AN36" s="632"/>
      <c r="AO36" s="188"/>
      <c r="AP36" s="188"/>
      <c r="AQ36" s="185"/>
      <c r="AR36" s="182"/>
      <c r="AS36" s="632"/>
      <c r="AT36" s="188"/>
      <c r="AU36" s="188"/>
      <c r="AV36" s="185"/>
      <c r="AW36" s="182"/>
      <c r="AX36" s="632"/>
    </row>
    <row r="37" spans="2:50" ht="14.25" customHeight="1">
      <c r="B37" s="631"/>
      <c r="C37" s="180">
        <v>11</v>
      </c>
      <c r="D37" s="183"/>
      <c r="E37" s="180"/>
      <c r="F37" s="180"/>
      <c r="G37" s="185"/>
      <c r="H37" s="632"/>
      <c r="I37" s="186"/>
      <c r="J37" s="186"/>
      <c r="K37" s="187"/>
      <c r="L37" s="633"/>
      <c r="M37" s="186"/>
      <c r="N37" s="631"/>
      <c r="O37" s="631"/>
      <c r="P37" s="188"/>
      <c r="Q37" s="188"/>
      <c r="R37" s="185"/>
      <c r="S37" s="182"/>
      <c r="T37" s="632"/>
      <c r="U37" s="188"/>
      <c r="V37" s="188"/>
      <c r="W37" s="185"/>
      <c r="X37" s="182"/>
      <c r="Y37" s="632"/>
      <c r="Z37" s="188"/>
      <c r="AA37" s="188"/>
      <c r="AB37" s="185"/>
      <c r="AC37" s="182"/>
      <c r="AD37" s="632"/>
      <c r="AE37" s="188"/>
      <c r="AF37" s="188"/>
      <c r="AG37" s="185"/>
      <c r="AH37" s="182"/>
      <c r="AI37" s="632"/>
      <c r="AJ37" s="188"/>
      <c r="AK37" s="188"/>
      <c r="AL37" s="185"/>
      <c r="AM37" s="182"/>
      <c r="AN37" s="632"/>
      <c r="AO37" s="188"/>
      <c r="AP37" s="188"/>
      <c r="AQ37" s="185"/>
      <c r="AR37" s="182"/>
      <c r="AS37" s="632"/>
      <c r="AT37" s="188"/>
      <c r="AU37" s="188"/>
      <c r="AV37" s="185"/>
      <c r="AW37" s="182"/>
      <c r="AX37" s="632"/>
    </row>
    <row r="38" spans="2:50" ht="14.25" customHeight="1">
      <c r="B38" s="631"/>
      <c r="C38" s="180">
        <v>12</v>
      </c>
      <c r="D38" s="183"/>
      <c r="E38" s="180"/>
      <c r="F38" s="180"/>
      <c r="G38" s="185"/>
      <c r="H38" s="632"/>
      <c r="I38" s="186"/>
      <c r="J38" s="186"/>
      <c r="K38" s="187"/>
      <c r="L38" s="633"/>
      <c r="M38" s="186"/>
      <c r="N38" s="631"/>
      <c r="O38" s="631"/>
      <c r="P38" s="188"/>
      <c r="Q38" s="188"/>
      <c r="R38" s="185"/>
      <c r="S38" s="182"/>
      <c r="T38" s="632"/>
      <c r="U38" s="188"/>
      <c r="V38" s="188"/>
      <c r="W38" s="185"/>
      <c r="X38" s="182"/>
      <c r="Y38" s="632"/>
      <c r="Z38" s="188"/>
      <c r="AA38" s="188"/>
      <c r="AB38" s="185"/>
      <c r="AC38" s="182"/>
      <c r="AD38" s="632"/>
      <c r="AE38" s="188"/>
      <c r="AF38" s="188"/>
      <c r="AG38" s="185"/>
      <c r="AH38" s="182"/>
      <c r="AI38" s="632"/>
      <c r="AJ38" s="188"/>
      <c r="AK38" s="188"/>
      <c r="AL38" s="185"/>
      <c r="AM38" s="182"/>
      <c r="AN38" s="632"/>
      <c r="AO38" s="188"/>
      <c r="AP38" s="188"/>
      <c r="AQ38" s="185"/>
      <c r="AR38" s="182"/>
      <c r="AS38" s="632"/>
      <c r="AT38" s="188"/>
      <c r="AU38" s="188"/>
      <c r="AV38" s="185"/>
      <c r="AW38" s="182"/>
      <c r="AX38" s="632"/>
    </row>
    <row r="39" spans="2:50" ht="14.25" customHeight="1">
      <c r="B39" s="631"/>
      <c r="C39" s="180">
        <v>13</v>
      </c>
      <c r="D39" s="183"/>
      <c r="E39" s="180"/>
      <c r="F39" s="180"/>
      <c r="G39" s="185"/>
      <c r="H39" s="632"/>
      <c r="I39" s="186"/>
      <c r="J39" s="186"/>
      <c r="K39" s="187"/>
      <c r="L39" s="633"/>
      <c r="M39" s="186"/>
      <c r="N39" s="631"/>
      <c r="O39" s="631"/>
      <c r="P39" s="188"/>
      <c r="Q39" s="188"/>
      <c r="R39" s="185"/>
      <c r="S39" s="182"/>
      <c r="T39" s="632"/>
      <c r="U39" s="188"/>
      <c r="V39" s="188"/>
      <c r="W39" s="185"/>
      <c r="X39" s="182"/>
      <c r="Y39" s="632"/>
      <c r="Z39" s="188"/>
      <c r="AA39" s="188"/>
      <c r="AB39" s="185"/>
      <c r="AC39" s="182"/>
      <c r="AD39" s="632"/>
      <c r="AE39" s="188"/>
      <c r="AF39" s="188"/>
      <c r="AG39" s="185"/>
      <c r="AH39" s="182"/>
      <c r="AI39" s="632"/>
      <c r="AJ39" s="188"/>
      <c r="AK39" s="188"/>
      <c r="AL39" s="185"/>
      <c r="AM39" s="182"/>
      <c r="AN39" s="632"/>
      <c r="AO39" s="188"/>
      <c r="AP39" s="188"/>
      <c r="AQ39" s="185"/>
      <c r="AR39" s="182"/>
      <c r="AS39" s="632"/>
      <c r="AT39" s="188"/>
      <c r="AU39" s="188"/>
      <c r="AV39" s="185"/>
      <c r="AW39" s="182"/>
      <c r="AX39" s="632"/>
    </row>
    <row r="40" spans="2:50" ht="14.25" customHeight="1">
      <c r="B40" s="631"/>
      <c r="C40" s="180">
        <v>14</v>
      </c>
      <c r="D40" s="183"/>
      <c r="E40" s="180"/>
      <c r="F40" s="180"/>
      <c r="G40" s="185"/>
      <c r="H40" s="632"/>
      <c r="I40" s="186"/>
      <c r="J40" s="186"/>
      <c r="K40" s="187"/>
      <c r="L40" s="633"/>
      <c r="M40" s="186"/>
      <c r="N40" s="631"/>
      <c r="O40" s="631"/>
      <c r="P40" s="188"/>
      <c r="Q40" s="188"/>
      <c r="R40" s="185"/>
      <c r="S40" s="182"/>
      <c r="T40" s="632"/>
      <c r="U40" s="188"/>
      <c r="V40" s="188"/>
      <c r="W40" s="185"/>
      <c r="X40" s="182"/>
      <c r="Y40" s="632"/>
      <c r="Z40" s="188"/>
      <c r="AA40" s="188"/>
      <c r="AB40" s="185"/>
      <c r="AC40" s="182"/>
      <c r="AD40" s="632"/>
      <c r="AE40" s="188"/>
      <c r="AF40" s="188"/>
      <c r="AG40" s="185"/>
      <c r="AH40" s="182"/>
      <c r="AI40" s="632"/>
      <c r="AJ40" s="188"/>
      <c r="AK40" s="188"/>
      <c r="AL40" s="185"/>
      <c r="AM40" s="182"/>
      <c r="AN40" s="632"/>
      <c r="AO40" s="188"/>
      <c r="AP40" s="188"/>
      <c r="AQ40" s="185"/>
      <c r="AR40" s="182"/>
      <c r="AS40" s="632"/>
      <c r="AT40" s="188"/>
      <c r="AU40" s="188"/>
      <c r="AV40" s="185"/>
      <c r="AW40" s="182"/>
      <c r="AX40" s="632"/>
    </row>
    <row r="41" spans="2:50" ht="14.25" customHeight="1">
      <c r="B41" s="631"/>
      <c r="C41" s="180">
        <v>15</v>
      </c>
      <c r="D41" s="183"/>
      <c r="E41" s="180"/>
      <c r="F41" s="180"/>
      <c r="G41" s="185"/>
      <c r="H41" s="632"/>
      <c r="I41" s="186"/>
      <c r="J41" s="186"/>
      <c r="K41" s="187"/>
      <c r="L41" s="633"/>
      <c r="M41" s="186"/>
      <c r="N41" s="631"/>
      <c r="O41" s="631"/>
      <c r="P41" s="188"/>
      <c r="Q41" s="188"/>
      <c r="R41" s="185"/>
      <c r="S41" s="182"/>
      <c r="T41" s="632"/>
      <c r="U41" s="188"/>
      <c r="V41" s="188"/>
      <c r="W41" s="185"/>
      <c r="X41" s="182"/>
      <c r="Y41" s="632"/>
      <c r="Z41" s="188"/>
      <c r="AA41" s="188"/>
      <c r="AB41" s="185"/>
      <c r="AC41" s="182"/>
      <c r="AD41" s="632"/>
      <c r="AE41" s="188"/>
      <c r="AF41" s="188"/>
      <c r="AG41" s="185"/>
      <c r="AH41" s="182"/>
      <c r="AI41" s="632"/>
      <c r="AJ41" s="188"/>
      <c r="AK41" s="188"/>
      <c r="AL41" s="185"/>
      <c r="AM41" s="182"/>
      <c r="AN41" s="632"/>
      <c r="AO41" s="188"/>
      <c r="AP41" s="188"/>
      <c r="AQ41" s="185"/>
      <c r="AR41" s="182"/>
      <c r="AS41" s="632"/>
      <c r="AT41" s="188"/>
      <c r="AU41" s="188"/>
      <c r="AV41" s="185"/>
      <c r="AW41" s="182"/>
      <c r="AX41" s="632"/>
    </row>
    <row r="42" spans="2:50" ht="14.25" customHeight="1">
      <c r="B42" s="645" t="s">
        <v>743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7"/>
      <c r="N42" s="664" t="s">
        <v>369</v>
      </c>
      <c r="O42" s="664" t="s">
        <v>105</v>
      </c>
      <c r="P42" s="666">
        <f>'[4]（５-1）品群別人時生產性(18℃-飯糰)'!P42:T42</f>
        <v>0</v>
      </c>
      <c r="Q42" s="667"/>
      <c r="R42" s="667"/>
      <c r="S42" s="667"/>
      <c r="T42" s="667"/>
      <c r="U42" s="668">
        <f>P42+1</f>
        <v>1</v>
      </c>
      <c r="V42" s="669"/>
      <c r="W42" s="669"/>
      <c r="X42" s="669"/>
      <c r="Y42" s="669"/>
      <c r="Z42" s="666">
        <f t="shared" ref="Z42" si="20">U42+1</f>
        <v>2</v>
      </c>
      <c r="AA42" s="667"/>
      <c r="AB42" s="667"/>
      <c r="AC42" s="667"/>
      <c r="AD42" s="667"/>
      <c r="AE42" s="668">
        <f t="shared" ref="AE42" si="21">Z42+1</f>
        <v>3</v>
      </c>
      <c r="AF42" s="669"/>
      <c r="AG42" s="669"/>
      <c r="AH42" s="669"/>
      <c r="AI42" s="669"/>
      <c r="AJ42" s="656">
        <f t="shared" ref="AJ42" si="22">AE42+1</f>
        <v>4</v>
      </c>
      <c r="AK42" s="657"/>
      <c r="AL42" s="657"/>
      <c r="AM42" s="657"/>
      <c r="AN42" s="658"/>
      <c r="AO42" s="668">
        <f t="shared" ref="AO42" si="23">AJ42+1</f>
        <v>5</v>
      </c>
      <c r="AP42" s="669"/>
      <c r="AQ42" s="669"/>
      <c r="AR42" s="669"/>
      <c r="AS42" s="669"/>
      <c r="AT42" s="656">
        <f t="shared" ref="AT42" si="24">AO42+1</f>
        <v>6</v>
      </c>
      <c r="AU42" s="657"/>
      <c r="AV42" s="657"/>
      <c r="AW42" s="657"/>
      <c r="AX42" s="658"/>
    </row>
    <row r="43" spans="2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65"/>
      <c r="O43" s="665"/>
      <c r="P43" s="659">
        <f>P42</f>
        <v>0</v>
      </c>
      <c r="Q43" s="659"/>
      <c r="R43" s="659"/>
      <c r="S43" s="659"/>
      <c r="T43" s="659"/>
      <c r="U43" s="660">
        <f>U42</f>
        <v>1</v>
      </c>
      <c r="V43" s="660"/>
      <c r="W43" s="660"/>
      <c r="X43" s="660"/>
      <c r="Y43" s="660"/>
      <c r="Z43" s="659">
        <f t="shared" ref="Z43" si="25">Z42</f>
        <v>2</v>
      </c>
      <c r="AA43" s="659"/>
      <c r="AB43" s="659"/>
      <c r="AC43" s="659"/>
      <c r="AD43" s="659"/>
      <c r="AE43" s="660">
        <f t="shared" ref="AE43" si="26">AE42</f>
        <v>3</v>
      </c>
      <c r="AF43" s="660"/>
      <c r="AG43" s="660"/>
      <c r="AH43" s="660"/>
      <c r="AI43" s="660"/>
      <c r="AJ43" s="661">
        <f t="shared" ref="AJ43" si="27">AJ42</f>
        <v>4</v>
      </c>
      <c r="AK43" s="662"/>
      <c r="AL43" s="662"/>
      <c r="AM43" s="662"/>
      <c r="AN43" s="663"/>
      <c r="AO43" s="660">
        <f t="shared" ref="AO43" si="28">AO42</f>
        <v>5</v>
      </c>
      <c r="AP43" s="660"/>
      <c r="AQ43" s="660"/>
      <c r="AR43" s="660"/>
      <c r="AS43" s="660"/>
      <c r="AT43" s="661">
        <f t="shared" ref="AT43" si="29">AT42</f>
        <v>6</v>
      </c>
      <c r="AU43" s="662"/>
      <c r="AV43" s="662"/>
      <c r="AW43" s="662"/>
      <c r="AX43" s="663"/>
    </row>
    <row r="44" spans="2:50" ht="14.25" customHeight="1">
      <c r="B44" s="631" t="s">
        <v>162</v>
      </c>
      <c r="C44" s="631" t="s">
        <v>157</v>
      </c>
      <c r="D44" s="631"/>
      <c r="E44" s="631" t="s">
        <v>158</v>
      </c>
      <c r="F44" s="631"/>
      <c r="G44" s="631"/>
      <c r="H44" s="631" t="s">
        <v>163</v>
      </c>
      <c r="I44" s="635" t="s">
        <v>370</v>
      </c>
      <c r="J44" s="635"/>
      <c r="K44" s="635"/>
      <c r="L44" s="635" t="s">
        <v>163</v>
      </c>
      <c r="M44" s="635" t="s">
        <v>165</v>
      </c>
      <c r="N44" s="631"/>
      <c r="O44" s="631" t="s">
        <v>164</v>
      </c>
      <c r="P44" s="631" t="s">
        <v>160</v>
      </c>
      <c r="Q44" s="631"/>
      <c r="R44" s="631"/>
      <c r="S44" s="631"/>
      <c r="T44" s="631" t="s">
        <v>163</v>
      </c>
      <c r="U44" s="631" t="s">
        <v>160</v>
      </c>
      <c r="V44" s="631"/>
      <c r="W44" s="631"/>
      <c r="X44" s="631"/>
      <c r="Y44" s="631" t="s">
        <v>163</v>
      </c>
      <c r="Z44" s="631" t="s">
        <v>160</v>
      </c>
      <c r="AA44" s="631"/>
      <c r="AB44" s="631"/>
      <c r="AC44" s="631"/>
      <c r="AD44" s="631" t="s">
        <v>163</v>
      </c>
      <c r="AE44" s="631" t="s">
        <v>160</v>
      </c>
      <c r="AF44" s="631"/>
      <c r="AG44" s="631"/>
      <c r="AH44" s="631"/>
      <c r="AI44" s="631" t="s">
        <v>163</v>
      </c>
      <c r="AJ44" s="631" t="s">
        <v>160</v>
      </c>
      <c r="AK44" s="631"/>
      <c r="AL44" s="631"/>
      <c r="AM44" s="631"/>
      <c r="AN44" s="631" t="s">
        <v>163</v>
      </c>
      <c r="AO44" s="631" t="s">
        <v>160</v>
      </c>
      <c r="AP44" s="631"/>
      <c r="AQ44" s="631"/>
      <c r="AR44" s="631"/>
      <c r="AS44" s="631" t="s">
        <v>163</v>
      </c>
      <c r="AT44" s="631" t="s">
        <v>160</v>
      </c>
      <c r="AU44" s="631"/>
      <c r="AV44" s="631"/>
      <c r="AW44" s="631"/>
      <c r="AX44" s="631" t="s">
        <v>163</v>
      </c>
    </row>
    <row r="45" spans="2:50" ht="14.25" customHeight="1">
      <c r="B45" s="631"/>
      <c r="C45" s="631"/>
      <c r="D45" s="631"/>
      <c r="E45" s="631" t="s">
        <v>371</v>
      </c>
      <c r="F45" s="631"/>
      <c r="G45" s="631"/>
      <c r="H45" s="631"/>
      <c r="I45" s="635" t="s">
        <v>371</v>
      </c>
      <c r="J45" s="635"/>
      <c r="K45" s="635"/>
      <c r="L45" s="635"/>
      <c r="M45" s="635"/>
      <c r="N45" s="631"/>
      <c r="O45" s="631"/>
      <c r="P45" s="631" t="s">
        <v>372</v>
      </c>
      <c r="Q45" s="631"/>
      <c r="R45" s="631"/>
      <c r="S45" s="631"/>
      <c r="T45" s="631"/>
      <c r="U45" s="631" t="s">
        <v>372</v>
      </c>
      <c r="V45" s="631"/>
      <c r="W45" s="631"/>
      <c r="X45" s="631"/>
      <c r="Y45" s="631"/>
      <c r="Z45" s="631" t="s">
        <v>372</v>
      </c>
      <c r="AA45" s="631"/>
      <c r="AB45" s="631"/>
      <c r="AC45" s="631"/>
      <c r="AD45" s="631"/>
      <c r="AE45" s="631" t="s">
        <v>372</v>
      </c>
      <c r="AF45" s="631"/>
      <c r="AG45" s="631"/>
      <c r="AH45" s="631"/>
      <c r="AI45" s="631"/>
      <c r="AJ45" s="631" t="s">
        <v>372</v>
      </c>
      <c r="AK45" s="631"/>
      <c r="AL45" s="631"/>
      <c r="AM45" s="631"/>
      <c r="AN45" s="631"/>
      <c r="AO45" s="631" t="s">
        <v>372</v>
      </c>
      <c r="AP45" s="631"/>
      <c r="AQ45" s="631"/>
      <c r="AR45" s="631"/>
      <c r="AS45" s="631"/>
      <c r="AT45" s="631" t="s">
        <v>372</v>
      </c>
      <c r="AU45" s="631"/>
      <c r="AV45" s="631"/>
      <c r="AW45" s="631"/>
      <c r="AX45" s="631"/>
    </row>
    <row r="46" spans="2:50" ht="14.25" customHeight="1">
      <c r="B46" s="631"/>
      <c r="C46" s="631"/>
      <c r="D46" s="631"/>
      <c r="E46" s="180" t="s">
        <v>159</v>
      </c>
      <c r="F46" s="180" t="s">
        <v>373</v>
      </c>
      <c r="G46" s="180" t="s">
        <v>161</v>
      </c>
      <c r="H46" s="631"/>
      <c r="I46" s="181" t="s">
        <v>159</v>
      </c>
      <c r="J46" s="181" t="s">
        <v>373</v>
      </c>
      <c r="K46" s="181" t="s">
        <v>161</v>
      </c>
      <c r="L46" s="635"/>
      <c r="M46" s="635"/>
      <c r="N46" s="631"/>
      <c r="O46" s="631"/>
      <c r="P46" s="180" t="s">
        <v>159</v>
      </c>
      <c r="Q46" s="180" t="s">
        <v>373</v>
      </c>
      <c r="R46" s="180" t="s">
        <v>161</v>
      </c>
      <c r="S46" s="182" t="s">
        <v>165</v>
      </c>
      <c r="T46" s="631"/>
      <c r="U46" s="180" t="s">
        <v>159</v>
      </c>
      <c r="V46" s="180" t="s">
        <v>373</v>
      </c>
      <c r="W46" s="180" t="s">
        <v>161</v>
      </c>
      <c r="X46" s="182" t="s">
        <v>165</v>
      </c>
      <c r="Y46" s="631"/>
      <c r="Z46" s="180" t="s">
        <v>159</v>
      </c>
      <c r="AA46" s="180" t="s">
        <v>373</v>
      </c>
      <c r="AB46" s="180" t="s">
        <v>161</v>
      </c>
      <c r="AC46" s="182" t="s">
        <v>165</v>
      </c>
      <c r="AD46" s="631"/>
      <c r="AE46" s="180" t="s">
        <v>159</v>
      </c>
      <c r="AF46" s="180" t="s">
        <v>373</v>
      </c>
      <c r="AG46" s="180" t="s">
        <v>161</v>
      </c>
      <c r="AH46" s="182" t="s">
        <v>165</v>
      </c>
      <c r="AI46" s="631"/>
      <c r="AJ46" s="180" t="s">
        <v>159</v>
      </c>
      <c r="AK46" s="180" t="s">
        <v>373</v>
      </c>
      <c r="AL46" s="180" t="s">
        <v>161</v>
      </c>
      <c r="AM46" s="182" t="s">
        <v>165</v>
      </c>
      <c r="AN46" s="631"/>
      <c r="AO46" s="180" t="s">
        <v>159</v>
      </c>
      <c r="AP46" s="180" t="s">
        <v>373</v>
      </c>
      <c r="AQ46" s="180" t="s">
        <v>161</v>
      </c>
      <c r="AR46" s="182" t="s">
        <v>165</v>
      </c>
      <c r="AS46" s="631"/>
      <c r="AT46" s="180" t="s">
        <v>159</v>
      </c>
      <c r="AU46" s="180" t="s">
        <v>373</v>
      </c>
      <c r="AV46" s="180" t="s">
        <v>161</v>
      </c>
      <c r="AW46" s="182" t="s">
        <v>165</v>
      </c>
      <c r="AX46" s="631"/>
    </row>
    <row r="47" spans="2:50" ht="14.25" customHeight="1">
      <c r="B47" s="631" t="s">
        <v>433</v>
      </c>
      <c r="C47" s="180">
        <v>1</v>
      </c>
      <c r="D47" s="183"/>
      <c r="E47" s="180"/>
      <c r="F47" s="180"/>
      <c r="G47" s="185"/>
      <c r="H47" s="632"/>
      <c r="I47" s="186"/>
      <c r="J47" s="186"/>
      <c r="K47" s="187"/>
      <c r="L47" s="633"/>
      <c r="M47" s="186"/>
      <c r="N47" s="631"/>
      <c r="O47" s="631"/>
      <c r="P47" s="188"/>
      <c r="Q47" s="188"/>
      <c r="R47" s="185"/>
      <c r="S47" s="182"/>
      <c r="T47" s="632"/>
      <c r="U47" s="188"/>
      <c r="V47" s="188"/>
      <c r="W47" s="185"/>
      <c r="X47" s="182"/>
      <c r="Y47" s="632"/>
      <c r="Z47" s="188"/>
      <c r="AA47" s="188"/>
      <c r="AB47" s="185"/>
      <c r="AC47" s="182"/>
      <c r="AD47" s="632"/>
      <c r="AE47" s="188"/>
      <c r="AF47" s="188"/>
      <c r="AG47" s="185"/>
      <c r="AH47" s="182"/>
      <c r="AI47" s="632"/>
      <c r="AJ47" s="188"/>
      <c r="AK47" s="188"/>
      <c r="AL47" s="185"/>
      <c r="AM47" s="182"/>
      <c r="AN47" s="632"/>
      <c r="AO47" s="188"/>
      <c r="AP47" s="188"/>
      <c r="AQ47" s="185"/>
      <c r="AR47" s="182"/>
      <c r="AS47" s="632"/>
      <c r="AT47" s="188"/>
      <c r="AU47" s="188"/>
      <c r="AV47" s="185"/>
      <c r="AW47" s="182"/>
      <c r="AX47" s="632"/>
    </row>
    <row r="48" spans="2:50" ht="14.25" customHeight="1">
      <c r="B48" s="631"/>
      <c r="C48" s="180">
        <v>2</v>
      </c>
      <c r="D48" s="183"/>
      <c r="E48" s="180"/>
      <c r="F48" s="180"/>
      <c r="G48" s="185"/>
      <c r="H48" s="632"/>
      <c r="I48" s="186"/>
      <c r="J48" s="186"/>
      <c r="K48" s="187"/>
      <c r="L48" s="633"/>
      <c r="M48" s="186"/>
      <c r="N48" s="631"/>
      <c r="O48" s="631"/>
      <c r="P48" s="188"/>
      <c r="Q48" s="188"/>
      <c r="R48" s="185"/>
      <c r="S48" s="182"/>
      <c r="T48" s="632"/>
      <c r="U48" s="188"/>
      <c r="V48" s="188"/>
      <c r="W48" s="185"/>
      <c r="X48" s="182"/>
      <c r="Y48" s="632"/>
      <c r="Z48" s="188"/>
      <c r="AA48" s="188"/>
      <c r="AB48" s="185"/>
      <c r="AC48" s="182"/>
      <c r="AD48" s="632"/>
      <c r="AE48" s="188"/>
      <c r="AF48" s="188"/>
      <c r="AG48" s="185"/>
      <c r="AH48" s="182"/>
      <c r="AI48" s="632"/>
      <c r="AJ48" s="188"/>
      <c r="AK48" s="188"/>
      <c r="AL48" s="185"/>
      <c r="AM48" s="182"/>
      <c r="AN48" s="632"/>
      <c r="AO48" s="188"/>
      <c r="AP48" s="188"/>
      <c r="AQ48" s="185"/>
      <c r="AR48" s="182"/>
      <c r="AS48" s="632"/>
      <c r="AT48" s="188"/>
      <c r="AU48" s="188"/>
      <c r="AV48" s="185"/>
      <c r="AW48" s="182"/>
      <c r="AX48" s="632"/>
    </row>
    <row r="49" spans="2:50" ht="14.25" customHeight="1">
      <c r="B49" s="631"/>
      <c r="C49" s="180">
        <v>3</v>
      </c>
      <c r="D49" s="183"/>
      <c r="E49" s="180"/>
      <c r="F49" s="180"/>
      <c r="G49" s="185"/>
      <c r="H49" s="632"/>
      <c r="I49" s="186"/>
      <c r="J49" s="186"/>
      <c r="K49" s="187"/>
      <c r="L49" s="633"/>
      <c r="M49" s="186"/>
      <c r="N49" s="631"/>
      <c r="O49" s="631"/>
      <c r="P49" s="188"/>
      <c r="Q49" s="188"/>
      <c r="R49" s="185"/>
      <c r="S49" s="182"/>
      <c r="T49" s="632"/>
      <c r="U49" s="188"/>
      <c r="V49" s="188"/>
      <c r="W49" s="185"/>
      <c r="X49" s="182"/>
      <c r="Y49" s="632"/>
      <c r="Z49" s="188"/>
      <c r="AA49" s="188"/>
      <c r="AB49" s="185"/>
      <c r="AC49" s="182"/>
      <c r="AD49" s="632"/>
      <c r="AE49" s="188"/>
      <c r="AF49" s="188"/>
      <c r="AG49" s="185"/>
      <c r="AH49" s="182"/>
      <c r="AI49" s="632"/>
      <c r="AJ49" s="188"/>
      <c r="AK49" s="188"/>
      <c r="AL49" s="185"/>
      <c r="AM49" s="182"/>
      <c r="AN49" s="632"/>
      <c r="AO49" s="188"/>
      <c r="AP49" s="188"/>
      <c r="AQ49" s="185"/>
      <c r="AR49" s="182"/>
      <c r="AS49" s="632"/>
      <c r="AT49" s="188"/>
      <c r="AU49" s="188"/>
      <c r="AV49" s="185"/>
      <c r="AW49" s="182"/>
      <c r="AX49" s="632"/>
    </row>
    <row r="50" spans="2:50" ht="14.25" customHeight="1">
      <c r="B50" s="631"/>
      <c r="C50" s="180">
        <v>4</v>
      </c>
      <c r="D50" s="183"/>
      <c r="E50" s="180"/>
      <c r="F50" s="180"/>
      <c r="G50" s="185"/>
      <c r="H50" s="632"/>
      <c r="I50" s="186"/>
      <c r="J50" s="186"/>
      <c r="K50" s="187"/>
      <c r="L50" s="633"/>
      <c r="M50" s="186"/>
      <c r="N50" s="631"/>
      <c r="O50" s="631"/>
      <c r="P50" s="188"/>
      <c r="Q50" s="188"/>
      <c r="R50" s="185"/>
      <c r="S50" s="182"/>
      <c r="T50" s="632"/>
      <c r="U50" s="188"/>
      <c r="V50" s="188"/>
      <c r="W50" s="185"/>
      <c r="X50" s="182"/>
      <c r="Y50" s="632"/>
      <c r="Z50" s="188"/>
      <c r="AA50" s="188"/>
      <c r="AB50" s="185"/>
      <c r="AC50" s="182"/>
      <c r="AD50" s="632"/>
      <c r="AE50" s="188"/>
      <c r="AF50" s="188"/>
      <c r="AG50" s="185"/>
      <c r="AH50" s="182"/>
      <c r="AI50" s="632"/>
      <c r="AJ50" s="188"/>
      <c r="AK50" s="188"/>
      <c r="AL50" s="185"/>
      <c r="AM50" s="182"/>
      <c r="AN50" s="632"/>
      <c r="AO50" s="188"/>
      <c r="AP50" s="188"/>
      <c r="AQ50" s="185"/>
      <c r="AR50" s="182"/>
      <c r="AS50" s="632"/>
      <c r="AT50" s="188"/>
      <c r="AU50" s="188"/>
      <c r="AV50" s="185"/>
      <c r="AW50" s="182"/>
      <c r="AX50" s="632"/>
    </row>
    <row r="51" spans="2:50" ht="14.25" customHeight="1">
      <c r="B51" s="631"/>
      <c r="C51" s="180">
        <v>5</v>
      </c>
      <c r="D51" s="183"/>
      <c r="E51" s="180"/>
      <c r="F51" s="180"/>
      <c r="G51" s="185"/>
      <c r="H51" s="632"/>
      <c r="I51" s="186"/>
      <c r="J51" s="186"/>
      <c r="K51" s="187"/>
      <c r="L51" s="633"/>
      <c r="M51" s="186"/>
      <c r="N51" s="631"/>
      <c r="O51" s="631"/>
      <c r="P51" s="188"/>
      <c r="Q51" s="188"/>
      <c r="R51" s="185"/>
      <c r="S51" s="182"/>
      <c r="T51" s="632"/>
      <c r="U51" s="188"/>
      <c r="V51" s="188"/>
      <c r="W51" s="185"/>
      <c r="X51" s="182"/>
      <c r="Y51" s="632"/>
      <c r="Z51" s="188"/>
      <c r="AA51" s="188"/>
      <c r="AB51" s="185"/>
      <c r="AC51" s="182"/>
      <c r="AD51" s="632"/>
      <c r="AE51" s="188"/>
      <c r="AF51" s="188"/>
      <c r="AG51" s="185"/>
      <c r="AH51" s="182"/>
      <c r="AI51" s="632"/>
      <c r="AJ51" s="188"/>
      <c r="AK51" s="188"/>
      <c r="AL51" s="185"/>
      <c r="AM51" s="182"/>
      <c r="AN51" s="632"/>
      <c r="AO51" s="188"/>
      <c r="AP51" s="188"/>
      <c r="AQ51" s="185"/>
      <c r="AR51" s="182"/>
      <c r="AS51" s="632"/>
      <c r="AT51" s="188"/>
      <c r="AU51" s="188"/>
      <c r="AV51" s="185"/>
      <c r="AW51" s="182"/>
      <c r="AX51" s="632"/>
    </row>
    <row r="52" spans="2:50" ht="14.25" customHeight="1">
      <c r="B52" s="631"/>
      <c r="C52" s="180">
        <v>6</v>
      </c>
      <c r="D52" s="183"/>
      <c r="E52" s="180"/>
      <c r="F52" s="180"/>
      <c r="G52" s="185"/>
      <c r="H52" s="632"/>
      <c r="I52" s="186"/>
      <c r="J52" s="186"/>
      <c r="K52" s="187"/>
      <c r="L52" s="633"/>
      <c r="M52" s="186"/>
      <c r="N52" s="631"/>
      <c r="O52" s="631"/>
      <c r="P52" s="188"/>
      <c r="Q52" s="188"/>
      <c r="R52" s="185"/>
      <c r="S52" s="182"/>
      <c r="T52" s="632"/>
      <c r="U52" s="188"/>
      <c r="V52" s="188"/>
      <c r="W52" s="185"/>
      <c r="X52" s="182"/>
      <c r="Y52" s="632"/>
      <c r="Z52" s="188"/>
      <c r="AA52" s="188"/>
      <c r="AB52" s="185"/>
      <c r="AC52" s="182"/>
      <c r="AD52" s="632"/>
      <c r="AE52" s="188"/>
      <c r="AF52" s="188"/>
      <c r="AG52" s="185"/>
      <c r="AH52" s="182"/>
      <c r="AI52" s="632"/>
      <c r="AJ52" s="188"/>
      <c r="AK52" s="188"/>
      <c r="AL52" s="185"/>
      <c r="AM52" s="182"/>
      <c r="AN52" s="632"/>
      <c r="AO52" s="188"/>
      <c r="AP52" s="188"/>
      <c r="AQ52" s="185"/>
      <c r="AR52" s="182"/>
      <c r="AS52" s="632"/>
      <c r="AT52" s="188"/>
      <c r="AU52" s="188"/>
      <c r="AV52" s="185"/>
      <c r="AW52" s="182"/>
      <c r="AX52" s="632"/>
    </row>
    <row r="53" spans="2:50" ht="14.25" customHeight="1">
      <c r="B53" s="631"/>
      <c r="C53" s="180">
        <v>7</v>
      </c>
      <c r="D53" s="183"/>
      <c r="E53" s="180"/>
      <c r="F53" s="180"/>
      <c r="G53" s="185"/>
      <c r="H53" s="632"/>
      <c r="I53" s="186"/>
      <c r="J53" s="186"/>
      <c r="K53" s="187"/>
      <c r="L53" s="633"/>
      <c r="M53" s="186"/>
      <c r="N53" s="631"/>
      <c r="O53" s="631"/>
      <c r="P53" s="188"/>
      <c r="Q53" s="188"/>
      <c r="R53" s="185"/>
      <c r="S53" s="182"/>
      <c r="T53" s="632"/>
      <c r="U53" s="188"/>
      <c r="V53" s="188"/>
      <c r="W53" s="185"/>
      <c r="X53" s="182"/>
      <c r="Y53" s="632"/>
      <c r="Z53" s="188"/>
      <c r="AA53" s="188"/>
      <c r="AB53" s="185"/>
      <c r="AC53" s="182"/>
      <c r="AD53" s="632"/>
      <c r="AE53" s="188"/>
      <c r="AF53" s="188"/>
      <c r="AG53" s="185"/>
      <c r="AH53" s="182"/>
      <c r="AI53" s="632"/>
      <c r="AJ53" s="188"/>
      <c r="AK53" s="188"/>
      <c r="AL53" s="185"/>
      <c r="AM53" s="182"/>
      <c r="AN53" s="632"/>
      <c r="AO53" s="188"/>
      <c r="AP53" s="188"/>
      <c r="AQ53" s="185"/>
      <c r="AR53" s="182"/>
      <c r="AS53" s="632"/>
      <c r="AT53" s="188"/>
      <c r="AU53" s="188"/>
      <c r="AV53" s="185"/>
      <c r="AW53" s="182"/>
      <c r="AX53" s="632"/>
    </row>
    <row r="54" spans="2:50" ht="14.25" customHeight="1">
      <c r="B54" s="631"/>
      <c r="C54" s="180">
        <v>8</v>
      </c>
      <c r="D54" s="183"/>
      <c r="E54" s="180"/>
      <c r="F54" s="180"/>
      <c r="G54" s="185"/>
      <c r="H54" s="632"/>
      <c r="I54" s="186"/>
      <c r="J54" s="186"/>
      <c r="K54" s="187"/>
      <c r="L54" s="633"/>
      <c r="M54" s="186"/>
      <c r="N54" s="631"/>
      <c r="O54" s="631"/>
      <c r="P54" s="188"/>
      <c r="Q54" s="188"/>
      <c r="R54" s="185"/>
      <c r="S54" s="182"/>
      <c r="T54" s="632"/>
      <c r="U54" s="188"/>
      <c r="V54" s="188"/>
      <c r="W54" s="185"/>
      <c r="X54" s="182"/>
      <c r="Y54" s="632"/>
      <c r="Z54" s="188"/>
      <c r="AA54" s="188"/>
      <c r="AB54" s="185"/>
      <c r="AC54" s="182"/>
      <c r="AD54" s="632"/>
      <c r="AE54" s="188"/>
      <c r="AF54" s="188"/>
      <c r="AG54" s="185"/>
      <c r="AH54" s="182"/>
      <c r="AI54" s="632"/>
      <c r="AJ54" s="188"/>
      <c r="AK54" s="188"/>
      <c r="AL54" s="185"/>
      <c r="AM54" s="182"/>
      <c r="AN54" s="632"/>
      <c r="AO54" s="188"/>
      <c r="AP54" s="188"/>
      <c r="AQ54" s="185"/>
      <c r="AR54" s="182"/>
      <c r="AS54" s="632"/>
      <c r="AT54" s="188"/>
      <c r="AU54" s="188"/>
      <c r="AV54" s="185"/>
      <c r="AW54" s="182"/>
      <c r="AX54" s="632"/>
    </row>
    <row r="55" spans="2:50" ht="14.25" customHeight="1">
      <c r="B55" s="631"/>
      <c r="C55" s="180">
        <v>9</v>
      </c>
      <c r="D55" s="183"/>
      <c r="E55" s="180"/>
      <c r="F55" s="180"/>
      <c r="G55" s="185"/>
      <c r="H55" s="632"/>
      <c r="I55" s="186"/>
      <c r="J55" s="186"/>
      <c r="K55" s="187"/>
      <c r="L55" s="633"/>
      <c r="M55" s="186"/>
      <c r="N55" s="631"/>
      <c r="O55" s="631"/>
      <c r="P55" s="188"/>
      <c r="Q55" s="188"/>
      <c r="R55" s="185"/>
      <c r="S55" s="182"/>
      <c r="T55" s="632"/>
      <c r="U55" s="188"/>
      <c r="V55" s="188"/>
      <c r="W55" s="185"/>
      <c r="X55" s="182"/>
      <c r="Y55" s="632"/>
      <c r="Z55" s="188"/>
      <c r="AA55" s="188"/>
      <c r="AB55" s="185"/>
      <c r="AC55" s="182"/>
      <c r="AD55" s="632"/>
      <c r="AE55" s="188"/>
      <c r="AF55" s="188"/>
      <c r="AG55" s="185"/>
      <c r="AH55" s="182"/>
      <c r="AI55" s="632"/>
      <c r="AJ55" s="188"/>
      <c r="AK55" s="188"/>
      <c r="AL55" s="185"/>
      <c r="AM55" s="182"/>
      <c r="AN55" s="632"/>
      <c r="AO55" s="188"/>
      <c r="AP55" s="188"/>
      <c r="AQ55" s="185"/>
      <c r="AR55" s="182"/>
      <c r="AS55" s="632"/>
      <c r="AT55" s="188"/>
      <c r="AU55" s="188"/>
      <c r="AV55" s="185"/>
      <c r="AW55" s="182"/>
      <c r="AX55" s="632"/>
    </row>
    <row r="56" spans="2:50" ht="14.25" customHeight="1">
      <c r="B56" s="631"/>
      <c r="C56" s="180">
        <v>10</v>
      </c>
      <c r="D56" s="183"/>
      <c r="E56" s="180"/>
      <c r="F56" s="180"/>
      <c r="G56" s="185"/>
      <c r="H56" s="632"/>
      <c r="I56" s="186"/>
      <c r="J56" s="186"/>
      <c r="K56" s="187"/>
      <c r="L56" s="633"/>
      <c r="M56" s="186"/>
      <c r="N56" s="631"/>
      <c r="O56" s="631"/>
      <c r="P56" s="188"/>
      <c r="Q56" s="188"/>
      <c r="R56" s="185"/>
      <c r="S56" s="182"/>
      <c r="T56" s="632"/>
      <c r="U56" s="188"/>
      <c r="V56" s="188"/>
      <c r="W56" s="185"/>
      <c r="X56" s="182"/>
      <c r="Y56" s="632"/>
      <c r="Z56" s="188"/>
      <c r="AA56" s="188"/>
      <c r="AB56" s="185"/>
      <c r="AC56" s="182"/>
      <c r="AD56" s="632"/>
      <c r="AE56" s="188"/>
      <c r="AF56" s="188"/>
      <c r="AG56" s="185"/>
      <c r="AH56" s="182"/>
      <c r="AI56" s="632"/>
      <c r="AJ56" s="188"/>
      <c r="AK56" s="188"/>
      <c r="AL56" s="185"/>
      <c r="AM56" s="182"/>
      <c r="AN56" s="632"/>
      <c r="AO56" s="188"/>
      <c r="AP56" s="188"/>
      <c r="AQ56" s="185"/>
      <c r="AR56" s="182"/>
      <c r="AS56" s="632"/>
      <c r="AT56" s="188"/>
      <c r="AU56" s="188"/>
      <c r="AV56" s="185"/>
      <c r="AW56" s="182"/>
      <c r="AX56" s="632"/>
    </row>
    <row r="57" spans="2:50" ht="14.25" customHeight="1">
      <c r="B57" s="631"/>
      <c r="C57" s="180">
        <v>11</v>
      </c>
      <c r="D57" s="183"/>
      <c r="E57" s="180"/>
      <c r="F57" s="180"/>
      <c r="G57" s="185"/>
      <c r="H57" s="632"/>
      <c r="I57" s="186"/>
      <c r="J57" s="186"/>
      <c r="K57" s="187"/>
      <c r="L57" s="633"/>
      <c r="M57" s="186"/>
      <c r="N57" s="631"/>
      <c r="O57" s="631"/>
      <c r="P57" s="188"/>
      <c r="Q57" s="188"/>
      <c r="R57" s="185"/>
      <c r="S57" s="182"/>
      <c r="T57" s="632"/>
      <c r="U57" s="188"/>
      <c r="V57" s="188"/>
      <c r="W57" s="185"/>
      <c r="X57" s="182"/>
      <c r="Y57" s="632"/>
      <c r="Z57" s="188"/>
      <c r="AA57" s="188"/>
      <c r="AB57" s="185"/>
      <c r="AC57" s="182"/>
      <c r="AD57" s="632"/>
      <c r="AE57" s="188"/>
      <c r="AF57" s="188"/>
      <c r="AG57" s="185"/>
      <c r="AH57" s="182"/>
      <c r="AI57" s="632"/>
      <c r="AJ57" s="188"/>
      <c r="AK57" s="188"/>
      <c r="AL57" s="185"/>
      <c r="AM57" s="182"/>
      <c r="AN57" s="632"/>
      <c r="AO57" s="188"/>
      <c r="AP57" s="188"/>
      <c r="AQ57" s="185"/>
      <c r="AR57" s="182"/>
      <c r="AS57" s="632"/>
      <c r="AT57" s="188"/>
      <c r="AU57" s="188"/>
      <c r="AV57" s="185"/>
      <c r="AW57" s="182"/>
      <c r="AX57" s="632"/>
    </row>
    <row r="58" spans="2:50" ht="14.25" customHeight="1">
      <c r="B58" s="631"/>
      <c r="C58" s="180">
        <v>12</v>
      </c>
      <c r="D58" s="183"/>
      <c r="E58" s="180"/>
      <c r="F58" s="180"/>
      <c r="G58" s="185"/>
      <c r="H58" s="632"/>
      <c r="I58" s="186"/>
      <c r="J58" s="186"/>
      <c r="K58" s="187"/>
      <c r="L58" s="633"/>
      <c r="M58" s="186"/>
      <c r="N58" s="631"/>
      <c r="O58" s="631"/>
      <c r="P58" s="188"/>
      <c r="Q58" s="188"/>
      <c r="R58" s="185"/>
      <c r="S58" s="182"/>
      <c r="T58" s="632"/>
      <c r="U58" s="188"/>
      <c r="V58" s="188"/>
      <c r="W58" s="185"/>
      <c r="X58" s="182"/>
      <c r="Y58" s="632"/>
      <c r="Z58" s="188"/>
      <c r="AA58" s="188"/>
      <c r="AB58" s="185"/>
      <c r="AC58" s="182"/>
      <c r="AD58" s="632"/>
      <c r="AE58" s="188"/>
      <c r="AF58" s="188"/>
      <c r="AG58" s="185"/>
      <c r="AH58" s="182"/>
      <c r="AI58" s="632"/>
      <c r="AJ58" s="188"/>
      <c r="AK58" s="188"/>
      <c r="AL58" s="185"/>
      <c r="AM58" s="182"/>
      <c r="AN58" s="632"/>
      <c r="AO58" s="188"/>
      <c r="AP58" s="188"/>
      <c r="AQ58" s="185"/>
      <c r="AR58" s="182"/>
      <c r="AS58" s="632"/>
      <c r="AT58" s="188"/>
      <c r="AU58" s="188"/>
      <c r="AV58" s="185"/>
      <c r="AW58" s="182"/>
      <c r="AX58" s="632"/>
    </row>
    <row r="59" spans="2:50" ht="14.25" customHeight="1">
      <c r="B59" s="631"/>
      <c r="C59" s="180">
        <v>13</v>
      </c>
      <c r="D59" s="183"/>
      <c r="E59" s="180"/>
      <c r="F59" s="180"/>
      <c r="G59" s="185"/>
      <c r="H59" s="632"/>
      <c r="I59" s="186"/>
      <c r="J59" s="186"/>
      <c r="K59" s="187"/>
      <c r="L59" s="633"/>
      <c r="M59" s="186"/>
      <c r="N59" s="631"/>
      <c r="O59" s="631"/>
      <c r="P59" s="188"/>
      <c r="Q59" s="188"/>
      <c r="R59" s="185"/>
      <c r="S59" s="182"/>
      <c r="T59" s="632"/>
      <c r="U59" s="188"/>
      <c r="V59" s="188"/>
      <c r="W59" s="185"/>
      <c r="X59" s="182"/>
      <c r="Y59" s="632"/>
      <c r="Z59" s="188"/>
      <c r="AA59" s="188"/>
      <c r="AB59" s="185"/>
      <c r="AC59" s="182"/>
      <c r="AD59" s="632"/>
      <c r="AE59" s="188"/>
      <c r="AF59" s="188"/>
      <c r="AG59" s="185"/>
      <c r="AH59" s="182"/>
      <c r="AI59" s="632"/>
      <c r="AJ59" s="188"/>
      <c r="AK59" s="188"/>
      <c r="AL59" s="185"/>
      <c r="AM59" s="182"/>
      <c r="AN59" s="632"/>
      <c r="AO59" s="188"/>
      <c r="AP59" s="188"/>
      <c r="AQ59" s="185"/>
      <c r="AR59" s="182"/>
      <c r="AS59" s="632"/>
      <c r="AT59" s="188"/>
      <c r="AU59" s="188"/>
      <c r="AV59" s="185"/>
      <c r="AW59" s="182"/>
      <c r="AX59" s="632"/>
    </row>
    <row r="60" spans="2:50" ht="14.25" customHeight="1">
      <c r="B60" s="631"/>
      <c r="C60" s="180">
        <v>14</v>
      </c>
      <c r="D60" s="183"/>
      <c r="E60" s="180"/>
      <c r="F60" s="180"/>
      <c r="G60" s="185"/>
      <c r="H60" s="632"/>
      <c r="I60" s="186"/>
      <c r="J60" s="186"/>
      <c r="K60" s="187"/>
      <c r="L60" s="633"/>
      <c r="M60" s="186"/>
      <c r="N60" s="631"/>
      <c r="O60" s="631"/>
      <c r="P60" s="188"/>
      <c r="Q60" s="188"/>
      <c r="R60" s="185"/>
      <c r="S60" s="182"/>
      <c r="T60" s="632"/>
      <c r="U60" s="188"/>
      <c r="V60" s="188"/>
      <c r="W60" s="185"/>
      <c r="X60" s="182"/>
      <c r="Y60" s="632"/>
      <c r="Z60" s="188"/>
      <c r="AA60" s="188"/>
      <c r="AB60" s="185"/>
      <c r="AC60" s="182"/>
      <c r="AD60" s="632"/>
      <c r="AE60" s="188"/>
      <c r="AF60" s="188"/>
      <c r="AG60" s="185"/>
      <c r="AH60" s="182"/>
      <c r="AI60" s="632"/>
      <c r="AJ60" s="188"/>
      <c r="AK60" s="188"/>
      <c r="AL60" s="185"/>
      <c r="AM60" s="182"/>
      <c r="AN60" s="632"/>
      <c r="AO60" s="188"/>
      <c r="AP60" s="188"/>
      <c r="AQ60" s="185"/>
      <c r="AR60" s="182"/>
      <c r="AS60" s="632"/>
      <c r="AT60" s="188"/>
      <c r="AU60" s="188"/>
      <c r="AV60" s="185"/>
      <c r="AW60" s="182"/>
      <c r="AX60" s="632"/>
    </row>
    <row r="61" spans="2:50" ht="14.25" customHeight="1">
      <c r="B61" s="631"/>
      <c r="C61" s="180">
        <v>15</v>
      </c>
      <c r="D61" s="183"/>
      <c r="E61" s="180"/>
      <c r="F61" s="180"/>
      <c r="G61" s="185"/>
      <c r="H61" s="632"/>
      <c r="I61" s="186"/>
      <c r="J61" s="186"/>
      <c r="K61" s="187"/>
      <c r="L61" s="633"/>
      <c r="M61" s="186"/>
      <c r="N61" s="631"/>
      <c r="O61" s="631"/>
      <c r="P61" s="188"/>
      <c r="Q61" s="188"/>
      <c r="R61" s="185"/>
      <c r="S61" s="182"/>
      <c r="T61" s="632"/>
      <c r="U61" s="188"/>
      <c r="V61" s="188"/>
      <c r="W61" s="185"/>
      <c r="X61" s="182"/>
      <c r="Y61" s="632"/>
      <c r="Z61" s="188"/>
      <c r="AA61" s="188"/>
      <c r="AB61" s="185"/>
      <c r="AC61" s="182"/>
      <c r="AD61" s="632"/>
      <c r="AE61" s="188"/>
      <c r="AF61" s="188"/>
      <c r="AG61" s="185"/>
      <c r="AH61" s="182"/>
      <c r="AI61" s="632"/>
      <c r="AJ61" s="188"/>
      <c r="AK61" s="188"/>
      <c r="AL61" s="185"/>
      <c r="AM61" s="182"/>
      <c r="AN61" s="632"/>
      <c r="AO61" s="188"/>
      <c r="AP61" s="188"/>
      <c r="AQ61" s="185"/>
      <c r="AR61" s="182"/>
      <c r="AS61" s="632"/>
      <c r="AT61" s="188"/>
      <c r="AU61" s="188"/>
      <c r="AV61" s="185"/>
      <c r="AW61" s="182"/>
      <c r="AX61" s="632"/>
    </row>
    <row r="62" spans="2:50" ht="14.25" customHeight="1">
      <c r="B62" s="646" t="s">
        <v>783</v>
      </c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647"/>
      <c r="N62" s="664" t="s">
        <v>369</v>
      </c>
      <c r="O62" s="664" t="s">
        <v>105</v>
      </c>
      <c r="P62" s="666">
        <f>'[5]（５-1）品群別人時生產性(18℃-飯糰)'!P62:T62</f>
        <v>0</v>
      </c>
      <c r="Q62" s="667"/>
      <c r="R62" s="667"/>
      <c r="S62" s="667"/>
      <c r="T62" s="667"/>
      <c r="U62" s="668">
        <f>P62+1</f>
        <v>1</v>
      </c>
      <c r="V62" s="669"/>
      <c r="W62" s="669"/>
      <c r="X62" s="669"/>
      <c r="Y62" s="669"/>
      <c r="Z62" s="666">
        <f t="shared" ref="Z62" si="30">U62+1</f>
        <v>2</v>
      </c>
      <c r="AA62" s="667"/>
      <c r="AB62" s="667"/>
      <c r="AC62" s="667"/>
      <c r="AD62" s="667"/>
      <c r="AE62" s="668">
        <f t="shared" ref="AE62" si="31">Z62+1</f>
        <v>3</v>
      </c>
      <c r="AF62" s="669"/>
      <c r="AG62" s="669"/>
      <c r="AH62" s="669"/>
      <c r="AI62" s="669"/>
      <c r="AJ62" s="656">
        <f t="shared" ref="AJ62" si="32">AE62+1</f>
        <v>4</v>
      </c>
      <c r="AK62" s="657"/>
      <c r="AL62" s="657"/>
      <c r="AM62" s="657"/>
      <c r="AN62" s="658"/>
      <c r="AO62" s="668">
        <f t="shared" ref="AO62" si="33">AJ62+1</f>
        <v>5</v>
      </c>
      <c r="AP62" s="669"/>
      <c r="AQ62" s="669"/>
      <c r="AR62" s="669"/>
      <c r="AS62" s="669"/>
      <c r="AT62" s="656">
        <f t="shared" ref="AT62" si="34">AO62+1</f>
        <v>6</v>
      </c>
      <c r="AU62" s="657"/>
      <c r="AV62" s="657"/>
      <c r="AW62" s="657"/>
      <c r="AX62" s="65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65"/>
      <c r="O63" s="665"/>
      <c r="P63" s="659">
        <f>P62</f>
        <v>0</v>
      </c>
      <c r="Q63" s="659"/>
      <c r="R63" s="659"/>
      <c r="S63" s="659"/>
      <c r="T63" s="659"/>
      <c r="U63" s="660">
        <f>U62</f>
        <v>1</v>
      </c>
      <c r="V63" s="660"/>
      <c r="W63" s="660"/>
      <c r="X63" s="660"/>
      <c r="Y63" s="660"/>
      <c r="Z63" s="659">
        <f t="shared" ref="Z63" si="35">Z62</f>
        <v>2</v>
      </c>
      <c r="AA63" s="659"/>
      <c r="AB63" s="659"/>
      <c r="AC63" s="659"/>
      <c r="AD63" s="659"/>
      <c r="AE63" s="660">
        <f t="shared" ref="AE63" si="36">AE62</f>
        <v>3</v>
      </c>
      <c r="AF63" s="660"/>
      <c r="AG63" s="660"/>
      <c r="AH63" s="660"/>
      <c r="AI63" s="660"/>
      <c r="AJ63" s="661">
        <f t="shared" ref="AJ63" si="37">AJ62</f>
        <v>4</v>
      </c>
      <c r="AK63" s="662"/>
      <c r="AL63" s="662"/>
      <c r="AM63" s="662"/>
      <c r="AN63" s="663"/>
      <c r="AO63" s="660">
        <f t="shared" ref="AO63" si="38">AO62</f>
        <v>5</v>
      </c>
      <c r="AP63" s="660"/>
      <c r="AQ63" s="660"/>
      <c r="AR63" s="660"/>
      <c r="AS63" s="660"/>
      <c r="AT63" s="661">
        <f t="shared" ref="AT63" si="39">AT62</f>
        <v>6</v>
      </c>
      <c r="AU63" s="662"/>
      <c r="AV63" s="662"/>
      <c r="AW63" s="662"/>
      <c r="AX63" s="663"/>
    </row>
    <row r="64" spans="2:50" ht="14.25" customHeight="1">
      <c r="B64" s="631" t="s">
        <v>162</v>
      </c>
      <c r="C64" s="631" t="s">
        <v>157</v>
      </c>
      <c r="D64" s="631"/>
      <c r="E64" s="631" t="s">
        <v>158</v>
      </c>
      <c r="F64" s="631"/>
      <c r="G64" s="631"/>
      <c r="H64" s="631" t="s">
        <v>163</v>
      </c>
      <c r="I64" s="635" t="s">
        <v>370</v>
      </c>
      <c r="J64" s="635"/>
      <c r="K64" s="635"/>
      <c r="L64" s="635" t="s">
        <v>163</v>
      </c>
      <c r="M64" s="635" t="s">
        <v>165</v>
      </c>
      <c r="N64" s="631"/>
      <c r="O64" s="631" t="s">
        <v>164</v>
      </c>
      <c r="P64" s="631" t="s">
        <v>160</v>
      </c>
      <c r="Q64" s="631"/>
      <c r="R64" s="631"/>
      <c r="S64" s="631"/>
      <c r="T64" s="631" t="s">
        <v>163</v>
      </c>
      <c r="U64" s="631" t="s">
        <v>160</v>
      </c>
      <c r="V64" s="631"/>
      <c r="W64" s="631"/>
      <c r="X64" s="631"/>
      <c r="Y64" s="631" t="s">
        <v>163</v>
      </c>
      <c r="Z64" s="631" t="s">
        <v>160</v>
      </c>
      <c r="AA64" s="631"/>
      <c r="AB64" s="631"/>
      <c r="AC64" s="631"/>
      <c r="AD64" s="631" t="s">
        <v>163</v>
      </c>
      <c r="AE64" s="631" t="s">
        <v>160</v>
      </c>
      <c r="AF64" s="631"/>
      <c r="AG64" s="631"/>
      <c r="AH64" s="631"/>
      <c r="AI64" s="631" t="s">
        <v>163</v>
      </c>
      <c r="AJ64" s="631" t="s">
        <v>160</v>
      </c>
      <c r="AK64" s="631"/>
      <c r="AL64" s="631"/>
      <c r="AM64" s="631"/>
      <c r="AN64" s="631" t="s">
        <v>163</v>
      </c>
      <c r="AO64" s="631" t="s">
        <v>160</v>
      </c>
      <c r="AP64" s="631"/>
      <c r="AQ64" s="631"/>
      <c r="AR64" s="631"/>
      <c r="AS64" s="631" t="s">
        <v>163</v>
      </c>
      <c r="AT64" s="631" t="s">
        <v>160</v>
      </c>
      <c r="AU64" s="631"/>
      <c r="AV64" s="631"/>
      <c r="AW64" s="631"/>
      <c r="AX64" s="631" t="s">
        <v>163</v>
      </c>
    </row>
    <row r="65" spans="2:50" ht="14.25" customHeight="1">
      <c r="B65" s="631"/>
      <c r="C65" s="631"/>
      <c r="D65" s="631"/>
      <c r="E65" s="631" t="s">
        <v>371</v>
      </c>
      <c r="F65" s="631"/>
      <c r="G65" s="631"/>
      <c r="H65" s="631"/>
      <c r="I65" s="635" t="s">
        <v>371</v>
      </c>
      <c r="J65" s="635"/>
      <c r="K65" s="635"/>
      <c r="L65" s="635"/>
      <c r="M65" s="635"/>
      <c r="N65" s="631"/>
      <c r="O65" s="631"/>
      <c r="P65" s="631" t="s">
        <v>372</v>
      </c>
      <c r="Q65" s="631"/>
      <c r="R65" s="631"/>
      <c r="S65" s="631"/>
      <c r="T65" s="631"/>
      <c r="U65" s="631" t="s">
        <v>372</v>
      </c>
      <c r="V65" s="631"/>
      <c r="W65" s="631"/>
      <c r="X65" s="631"/>
      <c r="Y65" s="631"/>
      <c r="Z65" s="631" t="s">
        <v>372</v>
      </c>
      <c r="AA65" s="631"/>
      <c r="AB65" s="631"/>
      <c r="AC65" s="631"/>
      <c r="AD65" s="631"/>
      <c r="AE65" s="631" t="s">
        <v>372</v>
      </c>
      <c r="AF65" s="631"/>
      <c r="AG65" s="631"/>
      <c r="AH65" s="631"/>
      <c r="AI65" s="631"/>
      <c r="AJ65" s="631" t="s">
        <v>372</v>
      </c>
      <c r="AK65" s="631"/>
      <c r="AL65" s="631"/>
      <c r="AM65" s="631"/>
      <c r="AN65" s="631"/>
      <c r="AO65" s="631" t="s">
        <v>372</v>
      </c>
      <c r="AP65" s="631"/>
      <c r="AQ65" s="631"/>
      <c r="AR65" s="631"/>
      <c r="AS65" s="631"/>
      <c r="AT65" s="631" t="s">
        <v>372</v>
      </c>
      <c r="AU65" s="631"/>
      <c r="AV65" s="631"/>
      <c r="AW65" s="631"/>
      <c r="AX65" s="631"/>
    </row>
    <row r="66" spans="2:50" ht="14.25" customHeight="1">
      <c r="B66" s="631"/>
      <c r="C66" s="631"/>
      <c r="D66" s="631"/>
      <c r="E66" s="180" t="s">
        <v>159</v>
      </c>
      <c r="F66" s="180" t="s">
        <v>373</v>
      </c>
      <c r="G66" s="180" t="s">
        <v>161</v>
      </c>
      <c r="H66" s="631"/>
      <c r="I66" s="181" t="s">
        <v>159</v>
      </c>
      <c r="J66" s="181" t="s">
        <v>373</v>
      </c>
      <c r="K66" s="181" t="s">
        <v>161</v>
      </c>
      <c r="L66" s="635"/>
      <c r="M66" s="635"/>
      <c r="N66" s="631"/>
      <c r="O66" s="631"/>
      <c r="P66" s="180" t="s">
        <v>159</v>
      </c>
      <c r="Q66" s="180" t="s">
        <v>373</v>
      </c>
      <c r="R66" s="180" t="s">
        <v>161</v>
      </c>
      <c r="S66" s="182" t="s">
        <v>165</v>
      </c>
      <c r="T66" s="631"/>
      <c r="U66" s="180" t="s">
        <v>159</v>
      </c>
      <c r="V66" s="180" t="s">
        <v>373</v>
      </c>
      <c r="W66" s="180" t="s">
        <v>161</v>
      </c>
      <c r="X66" s="182" t="s">
        <v>165</v>
      </c>
      <c r="Y66" s="631"/>
      <c r="Z66" s="180" t="s">
        <v>159</v>
      </c>
      <c r="AA66" s="180" t="s">
        <v>373</v>
      </c>
      <c r="AB66" s="180" t="s">
        <v>161</v>
      </c>
      <c r="AC66" s="182" t="s">
        <v>165</v>
      </c>
      <c r="AD66" s="631"/>
      <c r="AE66" s="180" t="s">
        <v>159</v>
      </c>
      <c r="AF66" s="180" t="s">
        <v>373</v>
      </c>
      <c r="AG66" s="180" t="s">
        <v>161</v>
      </c>
      <c r="AH66" s="182" t="s">
        <v>165</v>
      </c>
      <c r="AI66" s="631"/>
      <c r="AJ66" s="180" t="s">
        <v>159</v>
      </c>
      <c r="AK66" s="180" t="s">
        <v>373</v>
      </c>
      <c r="AL66" s="180" t="s">
        <v>161</v>
      </c>
      <c r="AM66" s="182" t="s">
        <v>165</v>
      </c>
      <c r="AN66" s="631"/>
      <c r="AO66" s="180" t="s">
        <v>159</v>
      </c>
      <c r="AP66" s="180" t="s">
        <v>373</v>
      </c>
      <c r="AQ66" s="180" t="s">
        <v>161</v>
      </c>
      <c r="AR66" s="182" t="s">
        <v>165</v>
      </c>
      <c r="AS66" s="631"/>
      <c r="AT66" s="180" t="s">
        <v>159</v>
      </c>
      <c r="AU66" s="180" t="s">
        <v>373</v>
      </c>
      <c r="AV66" s="180" t="s">
        <v>161</v>
      </c>
      <c r="AW66" s="182" t="s">
        <v>165</v>
      </c>
      <c r="AX66" s="631"/>
    </row>
    <row r="67" spans="2:50" ht="14.25" customHeight="1">
      <c r="B67" s="631" t="s">
        <v>433</v>
      </c>
      <c r="C67" s="180">
        <v>1</v>
      </c>
      <c r="D67" s="183"/>
      <c r="E67" s="180"/>
      <c r="F67" s="180"/>
      <c r="G67" s="185"/>
      <c r="H67" s="632"/>
      <c r="I67" s="186"/>
      <c r="J67" s="186"/>
      <c r="K67" s="187"/>
      <c r="L67" s="633"/>
      <c r="M67" s="186"/>
      <c r="N67" s="631"/>
      <c r="O67" s="631"/>
      <c r="P67" s="188"/>
      <c r="Q67" s="188"/>
      <c r="R67" s="185"/>
      <c r="S67" s="182"/>
      <c r="T67" s="632"/>
      <c r="U67" s="188"/>
      <c r="V67" s="188"/>
      <c r="W67" s="185"/>
      <c r="X67" s="182"/>
      <c r="Y67" s="632"/>
      <c r="Z67" s="188"/>
      <c r="AA67" s="188"/>
      <c r="AB67" s="185"/>
      <c r="AC67" s="182"/>
      <c r="AD67" s="632"/>
      <c r="AE67" s="188"/>
      <c r="AF67" s="188"/>
      <c r="AG67" s="185"/>
      <c r="AH67" s="182"/>
      <c r="AI67" s="632"/>
      <c r="AJ67" s="188"/>
      <c r="AK67" s="188"/>
      <c r="AL67" s="185"/>
      <c r="AM67" s="182"/>
      <c r="AN67" s="632"/>
      <c r="AO67" s="188"/>
      <c r="AP67" s="188"/>
      <c r="AQ67" s="185"/>
      <c r="AR67" s="182"/>
      <c r="AS67" s="632"/>
      <c r="AT67" s="188"/>
      <c r="AU67" s="188"/>
      <c r="AV67" s="185"/>
      <c r="AW67" s="182"/>
      <c r="AX67" s="632"/>
    </row>
    <row r="68" spans="2:50" ht="14.25" customHeight="1">
      <c r="B68" s="631"/>
      <c r="C68" s="180">
        <v>2</v>
      </c>
      <c r="D68" s="183"/>
      <c r="E68" s="180"/>
      <c r="F68" s="180"/>
      <c r="G68" s="185"/>
      <c r="H68" s="632"/>
      <c r="I68" s="186"/>
      <c r="J68" s="186"/>
      <c r="K68" s="187"/>
      <c r="L68" s="633"/>
      <c r="M68" s="186"/>
      <c r="N68" s="631"/>
      <c r="O68" s="631"/>
      <c r="P68" s="188"/>
      <c r="Q68" s="188"/>
      <c r="R68" s="185"/>
      <c r="S68" s="182"/>
      <c r="T68" s="632"/>
      <c r="U68" s="188"/>
      <c r="V68" s="188"/>
      <c r="W68" s="185"/>
      <c r="X68" s="182"/>
      <c r="Y68" s="632"/>
      <c r="Z68" s="188"/>
      <c r="AA68" s="188"/>
      <c r="AB68" s="185"/>
      <c r="AC68" s="182"/>
      <c r="AD68" s="632"/>
      <c r="AE68" s="188"/>
      <c r="AF68" s="188"/>
      <c r="AG68" s="185"/>
      <c r="AH68" s="182"/>
      <c r="AI68" s="632"/>
      <c r="AJ68" s="188"/>
      <c r="AK68" s="188"/>
      <c r="AL68" s="185"/>
      <c r="AM68" s="182"/>
      <c r="AN68" s="632"/>
      <c r="AO68" s="188"/>
      <c r="AP68" s="188"/>
      <c r="AQ68" s="185"/>
      <c r="AR68" s="182"/>
      <c r="AS68" s="632"/>
      <c r="AT68" s="188"/>
      <c r="AU68" s="188"/>
      <c r="AV68" s="185"/>
      <c r="AW68" s="182"/>
      <c r="AX68" s="632"/>
    </row>
    <row r="69" spans="2:50" ht="14.25" customHeight="1">
      <c r="B69" s="631"/>
      <c r="C69" s="180">
        <v>3</v>
      </c>
      <c r="D69" s="183"/>
      <c r="E69" s="180"/>
      <c r="F69" s="180"/>
      <c r="G69" s="185"/>
      <c r="H69" s="632"/>
      <c r="I69" s="186"/>
      <c r="J69" s="186"/>
      <c r="K69" s="187"/>
      <c r="L69" s="633"/>
      <c r="M69" s="186"/>
      <c r="N69" s="631"/>
      <c r="O69" s="631"/>
      <c r="P69" s="188"/>
      <c r="Q69" s="188"/>
      <c r="R69" s="185"/>
      <c r="S69" s="182"/>
      <c r="T69" s="632"/>
      <c r="U69" s="188"/>
      <c r="V69" s="188"/>
      <c r="W69" s="185"/>
      <c r="X69" s="182"/>
      <c r="Y69" s="632"/>
      <c r="Z69" s="188"/>
      <c r="AA69" s="188"/>
      <c r="AB69" s="185"/>
      <c r="AC69" s="182"/>
      <c r="AD69" s="632"/>
      <c r="AE69" s="188"/>
      <c r="AF69" s="188"/>
      <c r="AG69" s="185"/>
      <c r="AH69" s="182"/>
      <c r="AI69" s="632"/>
      <c r="AJ69" s="188"/>
      <c r="AK69" s="188"/>
      <c r="AL69" s="185"/>
      <c r="AM69" s="182"/>
      <c r="AN69" s="632"/>
      <c r="AO69" s="188"/>
      <c r="AP69" s="188"/>
      <c r="AQ69" s="185"/>
      <c r="AR69" s="182"/>
      <c r="AS69" s="632"/>
      <c r="AT69" s="188"/>
      <c r="AU69" s="188"/>
      <c r="AV69" s="185"/>
      <c r="AW69" s="182"/>
      <c r="AX69" s="632"/>
    </row>
    <row r="70" spans="2:50" ht="14.25" customHeight="1">
      <c r="B70" s="631"/>
      <c r="C70" s="180">
        <v>4</v>
      </c>
      <c r="D70" s="183"/>
      <c r="E70" s="180"/>
      <c r="F70" s="180"/>
      <c r="G70" s="185"/>
      <c r="H70" s="632"/>
      <c r="I70" s="186"/>
      <c r="J70" s="186"/>
      <c r="K70" s="187"/>
      <c r="L70" s="633"/>
      <c r="M70" s="186"/>
      <c r="N70" s="631"/>
      <c r="O70" s="631"/>
      <c r="P70" s="188"/>
      <c r="Q70" s="188"/>
      <c r="R70" s="185"/>
      <c r="S70" s="182"/>
      <c r="T70" s="632"/>
      <c r="U70" s="188"/>
      <c r="V70" s="188"/>
      <c r="W70" s="185"/>
      <c r="X70" s="182"/>
      <c r="Y70" s="632"/>
      <c r="Z70" s="188"/>
      <c r="AA70" s="188"/>
      <c r="AB70" s="185"/>
      <c r="AC70" s="182"/>
      <c r="AD70" s="632"/>
      <c r="AE70" s="188"/>
      <c r="AF70" s="188"/>
      <c r="AG70" s="185"/>
      <c r="AH70" s="182"/>
      <c r="AI70" s="632"/>
      <c r="AJ70" s="188"/>
      <c r="AK70" s="188"/>
      <c r="AL70" s="185"/>
      <c r="AM70" s="182"/>
      <c r="AN70" s="632"/>
      <c r="AO70" s="188"/>
      <c r="AP70" s="188"/>
      <c r="AQ70" s="185"/>
      <c r="AR70" s="182"/>
      <c r="AS70" s="632"/>
      <c r="AT70" s="188"/>
      <c r="AU70" s="188"/>
      <c r="AV70" s="185"/>
      <c r="AW70" s="182"/>
      <c r="AX70" s="632"/>
    </row>
    <row r="71" spans="2:50" ht="14.25" customHeight="1">
      <c r="B71" s="631"/>
      <c r="C71" s="180">
        <v>5</v>
      </c>
      <c r="D71" s="183"/>
      <c r="E71" s="180"/>
      <c r="F71" s="180"/>
      <c r="G71" s="185"/>
      <c r="H71" s="632"/>
      <c r="I71" s="186"/>
      <c r="J71" s="186"/>
      <c r="K71" s="187"/>
      <c r="L71" s="633"/>
      <c r="M71" s="186"/>
      <c r="N71" s="631"/>
      <c r="O71" s="631"/>
      <c r="P71" s="188"/>
      <c r="Q71" s="188"/>
      <c r="R71" s="185"/>
      <c r="S71" s="182"/>
      <c r="T71" s="632"/>
      <c r="U71" s="188"/>
      <c r="V71" s="188"/>
      <c r="W71" s="185"/>
      <c r="X71" s="182"/>
      <c r="Y71" s="632"/>
      <c r="Z71" s="188"/>
      <c r="AA71" s="188"/>
      <c r="AB71" s="185"/>
      <c r="AC71" s="182"/>
      <c r="AD71" s="632"/>
      <c r="AE71" s="188"/>
      <c r="AF71" s="188"/>
      <c r="AG71" s="185"/>
      <c r="AH71" s="182"/>
      <c r="AI71" s="632"/>
      <c r="AJ71" s="188"/>
      <c r="AK71" s="188"/>
      <c r="AL71" s="185"/>
      <c r="AM71" s="182"/>
      <c r="AN71" s="632"/>
      <c r="AO71" s="188"/>
      <c r="AP71" s="188"/>
      <c r="AQ71" s="185"/>
      <c r="AR71" s="182"/>
      <c r="AS71" s="632"/>
      <c r="AT71" s="188"/>
      <c r="AU71" s="188"/>
      <c r="AV71" s="185"/>
      <c r="AW71" s="182"/>
      <c r="AX71" s="632"/>
    </row>
    <row r="72" spans="2:50" ht="14.25" customHeight="1">
      <c r="B72" s="631"/>
      <c r="C72" s="180">
        <v>6</v>
      </c>
      <c r="D72" s="183"/>
      <c r="E72" s="180"/>
      <c r="F72" s="180"/>
      <c r="G72" s="185"/>
      <c r="H72" s="632"/>
      <c r="I72" s="186"/>
      <c r="J72" s="186"/>
      <c r="K72" s="187"/>
      <c r="L72" s="633"/>
      <c r="M72" s="186"/>
      <c r="N72" s="631"/>
      <c r="O72" s="631"/>
      <c r="P72" s="188"/>
      <c r="Q72" s="188"/>
      <c r="R72" s="185"/>
      <c r="S72" s="182"/>
      <c r="T72" s="632"/>
      <c r="U72" s="188"/>
      <c r="V72" s="188"/>
      <c r="W72" s="185"/>
      <c r="X72" s="182"/>
      <c r="Y72" s="632"/>
      <c r="Z72" s="188"/>
      <c r="AA72" s="188"/>
      <c r="AB72" s="185"/>
      <c r="AC72" s="182"/>
      <c r="AD72" s="632"/>
      <c r="AE72" s="188"/>
      <c r="AF72" s="188"/>
      <c r="AG72" s="185"/>
      <c r="AH72" s="182"/>
      <c r="AI72" s="632"/>
      <c r="AJ72" s="188"/>
      <c r="AK72" s="188"/>
      <c r="AL72" s="185"/>
      <c r="AM72" s="182"/>
      <c r="AN72" s="632"/>
      <c r="AO72" s="188"/>
      <c r="AP72" s="188"/>
      <c r="AQ72" s="185"/>
      <c r="AR72" s="182"/>
      <c r="AS72" s="632"/>
      <c r="AT72" s="188"/>
      <c r="AU72" s="188"/>
      <c r="AV72" s="185"/>
      <c r="AW72" s="182"/>
      <c r="AX72" s="632"/>
    </row>
    <row r="73" spans="2:50" ht="14.25" customHeight="1">
      <c r="B73" s="631"/>
      <c r="C73" s="180">
        <v>7</v>
      </c>
      <c r="D73" s="183"/>
      <c r="E73" s="180"/>
      <c r="F73" s="180"/>
      <c r="G73" s="185"/>
      <c r="H73" s="632"/>
      <c r="I73" s="186"/>
      <c r="J73" s="186"/>
      <c r="K73" s="187"/>
      <c r="L73" s="633"/>
      <c r="M73" s="186"/>
      <c r="N73" s="631"/>
      <c r="O73" s="631"/>
      <c r="P73" s="188"/>
      <c r="Q73" s="188"/>
      <c r="R73" s="185"/>
      <c r="S73" s="182"/>
      <c r="T73" s="632"/>
      <c r="U73" s="188"/>
      <c r="V73" s="188"/>
      <c r="W73" s="185"/>
      <c r="X73" s="182"/>
      <c r="Y73" s="632"/>
      <c r="Z73" s="188"/>
      <c r="AA73" s="188"/>
      <c r="AB73" s="185"/>
      <c r="AC73" s="182"/>
      <c r="AD73" s="632"/>
      <c r="AE73" s="188"/>
      <c r="AF73" s="188"/>
      <c r="AG73" s="185"/>
      <c r="AH73" s="182"/>
      <c r="AI73" s="632"/>
      <c r="AJ73" s="188"/>
      <c r="AK73" s="188"/>
      <c r="AL73" s="185"/>
      <c r="AM73" s="182"/>
      <c r="AN73" s="632"/>
      <c r="AO73" s="188"/>
      <c r="AP73" s="188"/>
      <c r="AQ73" s="185"/>
      <c r="AR73" s="182"/>
      <c r="AS73" s="632"/>
      <c r="AT73" s="188"/>
      <c r="AU73" s="188"/>
      <c r="AV73" s="185"/>
      <c r="AW73" s="182"/>
      <c r="AX73" s="632"/>
    </row>
    <row r="74" spans="2:50" ht="14.25" customHeight="1">
      <c r="B74" s="631"/>
      <c r="C74" s="180">
        <v>8</v>
      </c>
      <c r="D74" s="183"/>
      <c r="E74" s="180"/>
      <c r="F74" s="180"/>
      <c r="G74" s="185"/>
      <c r="H74" s="632"/>
      <c r="I74" s="186"/>
      <c r="J74" s="186"/>
      <c r="K74" s="187"/>
      <c r="L74" s="633"/>
      <c r="M74" s="186"/>
      <c r="N74" s="631"/>
      <c r="O74" s="631"/>
      <c r="P74" s="188"/>
      <c r="Q74" s="188"/>
      <c r="R74" s="185"/>
      <c r="S74" s="182"/>
      <c r="T74" s="632"/>
      <c r="U74" s="188"/>
      <c r="V74" s="188"/>
      <c r="W74" s="185"/>
      <c r="X74" s="182"/>
      <c r="Y74" s="632"/>
      <c r="Z74" s="188"/>
      <c r="AA74" s="188"/>
      <c r="AB74" s="185"/>
      <c r="AC74" s="182"/>
      <c r="AD74" s="632"/>
      <c r="AE74" s="188"/>
      <c r="AF74" s="188"/>
      <c r="AG74" s="185"/>
      <c r="AH74" s="182"/>
      <c r="AI74" s="632"/>
      <c r="AJ74" s="188"/>
      <c r="AK74" s="188"/>
      <c r="AL74" s="185"/>
      <c r="AM74" s="182"/>
      <c r="AN74" s="632"/>
      <c r="AO74" s="188"/>
      <c r="AP74" s="188"/>
      <c r="AQ74" s="185"/>
      <c r="AR74" s="182"/>
      <c r="AS74" s="632"/>
      <c r="AT74" s="188"/>
      <c r="AU74" s="188"/>
      <c r="AV74" s="185"/>
      <c r="AW74" s="182"/>
      <c r="AX74" s="632"/>
    </row>
    <row r="75" spans="2:50" ht="14.25" customHeight="1">
      <c r="B75" s="631"/>
      <c r="C75" s="180">
        <v>9</v>
      </c>
      <c r="D75" s="183"/>
      <c r="E75" s="180"/>
      <c r="F75" s="180"/>
      <c r="G75" s="185"/>
      <c r="H75" s="632"/>
      <c r="I75" s="186"/>
      <c r="J75" s="186"/>
      <c r="K75" s="187"/>
      <c r="L75" s="633"/>
      <c r="M75" s="186"/>
      <c r="N75" s="631"/>
      <c r="O75" s="631"/>
      <c r="P75" s="188"/>
      <c r="Q75" s="188"/>
      <c r="R75" s="185"/>
      <c r="S75" s="182"/>
      <c r="T75" s="632"/>
      <c r="U75" s="188"/>
      <c r="V75" s="188"/>
      <c r="W75" s="185"/>
      <c r="X75" s="182"/>
      <c r="Y75" s="632"/>
      <c r="Z75" s="188"/>
      <c r="AA75" s="188"/>
      <c r="AB75" s="185"/>
      <c r="AC75" s="182"/>
      <c r="AD75" s="632"/>
      <c r="AE75" s="188"/>
      <c r="AF75" s="188"/>
      <c r="AG75" s="185"/>
      <c r="AH75" s="182"/>
      <c r="AI75" s="632"/>
      <c r="AJ75" s="188"/>
      <c r="AK75" s="188"/>
      <c r="AL75" s="185"/>
      <c r="AM75" s="182"/>
      <c r="AN75" s="632"/>
      <c r="AO75" s="188"/>
      <c r="AP75" s="188"/>
      <c r="AQ75" s="185"/>
      <c r="AR75" s="182"/>
      <c r="AS75" s="632"/>
      <c r="AT75" s="188"/>
      <c r="AU75" s="188"/>
      <c r="AV75" s="185"/>
      <c r="AW75" s="182"/>
      <c r="AX75" s="632"/>
    </row>
    <row r="76" spans="2:50" ht="14.25" customHeight="1">
      <c r="B76" s="631"/>
      <c r="C76" s="180">
        <v>10</v>
      </c>
      <c r="D76" s="183"/>
      <c r="E76" s="180"/>
      <c r="F76" s="180"/>
      <c r="G76" s="185"/>
      <c r="H76" s="632"/>
      <c r="I76" s="186"/>
      <c r="J76" s="186"/>
      <c r="K76" s="187"/>
      <c r="L76" s="633"/>
      <c r="M76" s="186"/>
      <c r="N76" s="631"/>
      <c r="O76" s="631"/>
      <c r="P76" s="188"/>
      <c r="Q76" s="188"/>
      <c r="R76" s="185"/>
      <c r="S76" s="182"/>
      <c r="T76" s="632"/>
      <c r="U76" s="188"/>
      <c r="V76" s="188"/>
      <c r="W76" s="185"/>
      <c r="X76" s="182"/>
      <c r="Y76" s="632"/>
      <c r="Z76" s="188"/>
      <c r="AA76" s="188"/>
      <c r="AB76" s="185"/>
      <c r="AC76" s="182"/>
      <c r="AD76" s="632"/>
      <c r="AE76" s="188"/>
      <c r="AF76" s="188"/>
      <c r="AG76" s="185"/>
      <c r="AH76" s="182"/>
      <c r="AI76" s="632"/>
      <c r="AJ76" s="188"/>
      <c r="AK76" s="188"/>
      <c r="AL76" s="185"/>
      <c r="AM76" s="182"/>
      <c r="AN76" s="632"/>
      <c r="AO76" s="188"/>
      <c r="AP76" s="188"/>
      <c r="AQ76" s="185"/>
      <c r="AR76" s="182"/>
      <c r="AS76" s="632"/>
      <c r="AT76" s="188"/>
      <c r="AU76" s="188"/>
      <c r="AV76" s="185"/>
      <c r="AW76" s="182"/>
      <c r="AX76" s="632"/>
    </row>
    <row r="77" spans="2:50" ht="14.25" customHeight="1">
      <c r="B77" s="631"/>
      <c r="C77" s="180">
        <v>11</v>
      </c>
      <c r="D77" s="183"/>
      <c r="E77" s="180"/>
      <c r="F77" s="180"/>
      <c r="G77" s="185"/>
      <c r="H77" s="632"/>
      <c r="I77" s="186"/>
      <c r="J77" s="186"/>
      <c r="K77" s="187"/>
      <c r="L77" s="633"/>
      <c r="M77" s="186"/>
      <c r="N77" s="631"/>
      <c r="O77" s="631"/>
      <c r="P77" s="188"/>
      <c r="Q77" s="188"/>
      <c r="R77" s="185"/>
      <c r="S77" s="182"/>
      <c r="T77" s="632"/>
      <c r="U77" s="188"/>
      <c r="V77" s="188"/>
      <c r="W77" s="185"/>
      <c r="X77" s="182"/>
      <c r="Y77" s="632"/>
      <c r="Z77" s="188"/>
      <c r="AA77" s="188"/>
      <c r="AB77" s="185"/>
      <c r="AC77" s="182"/>
      <c r="AD77" s="632"/>
      <c r="AE77" s="188"/>
      <c r="AF77" s="188"/>
      <c r="AG77" s="185"/>
      <c r="AH77" s="182"/>
      <c r="AI77" s="632"/>
      <c r="AJ77" s="188"/>
      <c r="AK77" s="188"/>
      <c r="AL77" s="185"/>
      <c r="AM77" s="182"/>
      <c r="AN77" s="632"/>
      <c r="AO77" s="188"/>
      <c r="AP77" s="188"/>
      <c r="AQ77" s="185"/>
      <c r="AR77" s="182"/>
      <c r="AS77" s="632"/>
      <c r="AT77" s="188"/>
      <c r="AU77" s="188"/>
      <c r="AV77" s="185"/>
      <c r="AW77" s="182"/>
      <c r="AX77" s="632"/>
    </row>
    <row r="78" spans="2:50" ht="14.25" customHeight="1">
      <c r="B78" s="631"/>
      <c r="C78" s="180">
        <v>12</v>
      </c>
      <c r="D78" s="183"/>
      <c r="E78" s="180"/>
      <c r="F78" s="180"/>
      <c r="G78" s="185"/>
      <c r="H78" s="632"/>
      <c r="I78" s="186"/>
      <c r="J78" s="186"/>
      <c r="K78" s="187"/>
      <c r="L78" s="633"/>
      <c r="M78" s="186"/>
      <c r="N78" s="631"/>
      <c r="O78" s="631"/>
      <c r="P78" s="188"/>
      <c r="Q78" s="188"/>
      <c r="R78" s="185"/>
      <c r="S78" s="182"/>
      <c r="T78" s="632"/>
      <c r="U78" s="188"/>
      <c r="V78" s="188"/>
      <c r="W78" s="185"/>
      <c r="X78" s="182"/>
      <c r="Y78" s="632"/>
      <c r="Z78" s="188"/>
      <c r="AA78" s="188"/>
      <c r="AB78" s="185"/>
      <c r="AC78" s="182"/>
      <c r="AD78" s="632"/>
      <c r="AE78" s="188"/>
      <c r="AF78" s="188"/>
      <c r="AG78" s="185"/>
      <c r="AH78" s="182"/>
      <c r="AI78" s="632"/>
      <c r="AJ78" s="188"/>
      <c r="AK78" s="188"/>
      <c r="AL78" s="185"/>
      <c r="AM78" s="182"/>
      <c r="AN78" s="632"/>
      <c r="AO78" s="188"/>
      <c r="AP78" s="188"/>
      <c r="AQ78" s="185"/>
      <c r="AR78" s="182"/>
      <c r="AS78" s="632"/>
      <c r="AT78" s="188"/>
      <c r="AU78" s="188"/>
      <c r="AV78" s="185"/>
      <c r="AW78" s="182"/>
      <c r="AX78" s="632"/>
    </row>
    <row r="79" spans="2:50" ht="14.25" customHeight="1">
      <c r="B79" s="631"/>
      <c r="C79" s="180">
        <v>13</v>
      </c>
      <c r="D79" s="183"/>
      <c r="E79" s="180"/>
      <c r="F79" s="180"/>
      <c r="G79" s="185"/>
      <c r="H79" s="632"/>
      <c r="I79" s="186"/>
      <c r="J79" s="186"/>
      <c r="K79" s="187"/>
      <c r="L79" s="633"/>
      <c r="M79" s="186"/>
      <c r="N79" s="631"/>
      <c r="O79" s="631"/>
      <c r="P79" s="188"/>
      <c r="Q79" s="188"/>
      <c r="R79" s="185"/>
      <c r="S79" s="182"/>
      <c r="T79" s="632"/>
      <c r="U79" s="188"/>
      <c r="V79" s="188"/>
      <c r="W79" s="185"/>
      <c r="X79" s="182"/>
      <c r="Y79" s="632"/>
      <c r="Z79" s="188"/>
      <c r="AA79" s="188"/>
      <c r="AB79" s="185"/>
      <c r="AC79" s="182"/>
      <c r="AD79" s="632"/>
      <c r="AE79" s="188"/>
      <c r="AF79" s="188"/>
      <c r="AG79" s="185"/>
      <c r="AH79" s="182"/>
      <c r="AI79" s="632"/>
      <c r="AJ79" s="188"/>
      <c r="AK79" s="188"/>
      <c r="AL79" s="185"/>
      <c r="AM79" s="182"/>
      <c r="AN79" s="632"/>
      <c r="AO79" s="188"/>
      <c r="AP79" s="188"/>
      <c r="AQ79" s="185"/>
      <c r="AR79" s="182"/>
      <c r="AS79" s="632"/>
      <c r="AT79" s="188"/>
      <c r="AU79" s="188"/>
      <c r="AV79" s="185"/>
      <c r="AW79" s="182"/>
      <c r="AX79" s="632"/>
    </row>
    <row r="80" spans="2:50" ht="14.25" customHeight="1">
      <c r="B80" s="631"/>
      <c r="C80" s="180">
        <v>14</v>
      </c>
      <c r="D80" s="183"/>
      <c r="E80" s="180"/>
      <c r="F80" s="180"/>
      <c r="G80" s="185"/>
      <c r="H80" s="632"/>
      <c r="I80" s="186"/>
      <c r="J80" s="186"/>
      <c r="K80" s="187"/>
      <c r="L80" s="633"/>
      <c r="M80" s="186"/>
      <c r="N80" s="631"/>
      <c r="O80" s="631"/>
      <c r="P80" s="188"/>
      <c r="Q80" s="188"/>
      <c r="R80" s="185"/>
      <c r="S80" s="182"/>
      <c r="T80" s="632"/>
      <c r="U80" s="188"/>
      <c r="V80" s="188"/>
      <c r="W80" s="185"/>
      <c r="X80" s="182"/>
      <c r="Y80" s="632"/>
      <c r="Z80" s="188"/>
      <c r="AA80" s="188"/>
      <c r="AB80" s="185"/>
      <c r="AC80" s="182"/>
      <c r="AD80" s="632"/>
      <c r="AE80" s="188"/>
      <c r="AF80" s="188"/>
      <c r="AG80" s="185"/>
      <c r="AH80" s="182"/>
      <c r="AI80" s="632"/>
      <c r="AJ80" s="188"/>
      <c r="AK80" s="188"/>
      <c r="AL80" s="185"/>
      <c r="AM80" s="182"/>
      <c r="AN80" s="632"/>
      <c r="AO80" s="188"/>
      <c r="AP80" s="188"/>
      <c r="AQ80" s="185"/>
      <c r="AR80" s="182"/>
      <c r="AS80" s="632"/>
      <c r="AT80" s="188"/>
      <c r="AU80" s="188"/>
      <c r="AV80" s="185"/>
      <c r="AW80" s="182"/>
      <c r="AX80" s="632"/>
    </row>
    <row r="81" spans="2:50" ht="14.25" customHeight="1">
      <c r="B81" s="631"/>
      <c r="C81" s="180">
        <v>15</v>
      </c>
      <c r="D81" s="183"/>
      <c r="E81" s="180"/>
      <c r="F81" s="180"/>
      <c r="G81" s="185"/>
      <c r="H81" s="632"/>
      <c r="I81" s="186"/>
      <c r="J81" s="186"/>
      <c r="K81" s="187"/>
      <c r="L81" s="633"/>
      <c r="M81" s="186"/>
      <c r="N81" s="631"/>
      <c r="O81" s="631"/>
      <c r="P81" s="188"/>
      <c r="Q81" s="188"/>
      <c r="R81" s="185"/>
      <c r="S81" s="182"/>
      <c r="T81" s="632"/>
      <c r="U81" s="188"/>
      <c r="V81" s="188"/>
      <c r="W81" s="185"/>
      <c r="X81" s="182"/>
      <c r="Y81" s="632"/>
      <c r="Z81" s="188"/>
      <c r="AA81" s="188"/>
      <c r="AB81" s="185"/>
      <c r="AC81" s="182"/>
      <c r="AD81" s="632"/>
      <c r="AE81" s="188"/>
      <c r="AF81" s="188"/>
      <c r="AG81" s="185"/>
      <c r="AH81" s="182"/>
      <c r="AI81" s="632"/>
      <c r="AJ81" s="188"/>
      <c r="AK81" s="188"/>
      <c r="AL81" s="185"/>
      <c r="AM81" s="182"/>
      <c r="AN81" s="632"/>
      <c r="AO81" s="188"/>
      <c r="AP81" s="188"/>
      <c r="AQ81" s="185"/>
      <c r="AR81" s="182"/>
      <c r="AS81" s="632"/>
      <c r="AT81" s="188"/>
      <c r="AU81" s="188"/>
      <c r="AV81" s="185"/>
      <c r="AW81" s="182"/>
      <c r="AX81" s="632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81"/>
  <sheetViews>
    <sheetView zoomScaleNormal="100" workbookViewId="0">
      <pane xSplit="13" ySplit="1" topLeftCell="N59" activePane="bottomRight" state="frozen"/>
      <selection activeCell="L95" sqref="L95"/>
      <selection pane="topRight" activeCell="L95" sqref="L95"/>
      <selection pane="bottomLeft" activeCell="L95" sqref="L95"/>
      <selection pane="bottomRight" activeCell="L67" sqref="L67:L8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4" t="s">
        <v>696</v>
      </c>
      <c r="C1" s="175">
        <f>AVERAGE(L7,L27,L47,L67)</f>
        <v>162.26278175725193</v>
      </c>
    </row>
    <row r="2" spans="1:50" ht="14.25" customHeight="1">
      <c r="B2" s="646" t="s">
        <v>619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7"/>
      <c r="N2" s="664" t="s">
        <v>369</v>
      </c>
      <c r="O2" s="664" t="s">
        <v>105</v>
      </c>
      <c r="P2" s="666">
        <v>46140</v>
      </c>
      <c r="Q2" s="667"/>
      <c r="R2" s="667"/>
      <c r="S2" s="667"/>
      <c r="T2" s="667"/>
      <c r="U2" s="668">
        <v>46141</v>
      </c>
      <c r="V2" s="669"/>
      <c r="W2" s="669"/>
      <c r="X2" s="669"/>
      <c r="Y2" s="669"/>
      <c r="Z2" s="666">
        <v>46142</v>
      </c>
      <c r="AA2" s="667"/>
      <c r="AB2" s="667"/>
      <c r="AC2" s="667"/>
      <c r="AD2" s="667"/>
      <c r="AE2" s="668">
        <v>46143</v>
      </c>
      <c r="AF2" s="669"/>
      <c r="AG2" s="669"/>
      <c r="AH2" s="669"/>
      <c r="AI2" s="669"/>
      <c r="AJ2" s="656">
        <v>46144</v>
      </c>
      <c r="AK2" s="657"/>
      <c r="AL2" s="657"/>
      <c r="AM2" s="657"/>
      <c r="AN2" s="658"/>
      <c r="AO2" s="668">
        <v>46145</v>
      </c>
      <c r="AP2" s="669"/>
      <c r="AQ2" s="669"/>
      <c r="AR2" s="669"/>
      <c r="AS2" s="669"/>
      <c r="AT2" s="656">
        <v>46146</v>
      </c>
      <c r="AU2" s="657"/>
      <c r="AV2" s="657"/>
      <c r="AW2" s="657"/>
      <c r="AX2" s="658"/>
    </row>
    <row r="3" spans="1:50" ht="14.25" customHeight="1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665"/>
      <c r="O3" s="665"/>
      <c r="P3" s="659">
        <v>46140</v>
      </c>
      <c r="Q3" s="659"/>
      <c r="R3" s="659"/>
      <c r="S3" s="659"/>
      <c r="T3" s="659"/>
      <c r="U3" s="660">
        <v>46141</v>
      </c>
      <c r="V3" s="660"/>
      <c r="W3" s="660"/>
      <c r="X3" s="660"/>
      <c r="Y3" s="660"/>
      <c r="Z3" s="659">
        <v>46142</v>
      </c>
      <c r="AA3" s="659"/>
      <c r="AB3" s="659"/>
      <c r="AC3" s="659"/>
      <c r="AD3" s="659"/>
      <c r="AE3" s="660">
        <v>46143</v>
      </c>
      <c r="AF3" s="660"/>
      <c r="AG3" s="660"/>
      <c r="AH3" s="660"/>
      <c r="AI3" s="660"/>
      <c r="AJ3" s="661">
        <v>46144</v>
      </c>
      <c r="AK3" s="662"/>
      <c r="AL3" s="662"/>
      <c r="AM3" s="662"/>
      <c r="AN3" s="663"/>
      <c r="AO3" s="660">
        <v>46145</v>
      </c>
      <c r="AP3" s="660"/>
      <c r="AQ3" s="660"/>
      <c r="AR3" s="660"/>
      <c r="AS3" s="660"/>
      <c r="AT3" s="661">
        <v>46146</v>
      </c>
      <c r="AU3" s="662"/>
      <c r="AV3" s="662"/>
      <c r="AW3" s="662"/>
      <c r="AX3" s="663"/>
    </row>
    <row r="4" spans="1:50" ht="14.25" customHeight="1">
      <c r="B4" s="631" t="s">
        <v>162</v>
      </c>
      <c r="C4" s="631" t="s">
        <v>157</v>
      </c>
      <c r="D4" s="631"/>
      <c r="E4" s="631" t="s">
        <v>158</v>
      </c>
      <c r="F4" s="631"/>
      <c r="G4" s="631"/>
      <c r="H4" s="631" t="s">
        <v>163</v>
      </c>
      <c r="I4" s="635" t="s">
        <v>370</v>
      </c>
      <c r="J4" s="635"/>
      <c r="K4" s="635"/>
      <c r="L4" s="635" t="s">
        <v>163</v>
      </c>
      <c r="M4" s="635" t="s">
        <v>165</v>
      </c>
      <c r="N4" s="631"/>
      <c r="O4" s="631" t="s">
        <v>164</v>
      </c>
      <c r="P4" s="631" t="s">
        <v>160</v>
      </c>
      <c r="Q4" s="631"/>
      <c r="R4" s="631"/>
      <c r="S4" s="631"/>
      <c r="T4" s="631" t="s">
        <v>163</v>
      </c>
      <c r="U4" s="631" t="s">
        <v>160</v>
      </c>
      <c r="V4" s="631"/>
      <c r="W4" s="631"/>
      <c r="X4" s="631"/>
      <c r="Y4" s="631" t="s">
        <v>163</v>
      </c>
      <c r="Z4" s="631" t="s">
        <v>160</v>
      </c>
      <c r="AA4" s="631"/>
      <c r="AB4" s="631"/>
      <c r="AC4" s="631"/>
      <c r="AD4" s="631" t="s">
        <v>163</v>
      </c>
      <c r="AE4" s="631" t="s">
        <v>160</v>
      </c>
      <c r="AF4" s="631"/>
      <c r="AG4" s="631"/>
      <c r="AH4" s="631"/>
      <c r="AI4" s="631" t="s">
        <v>163</v>
      </c>
      <c r="AJ4" s="631" t="s">
        <v>160</v>
      </c>
      <c r="AK4" s="631"/>
      <c r="AL4" s="631"/>
      <c r="AM4" s="631"/>
      <c r="AN4" s="631" t="s">
        <v>163</v>
      </c>
      <c r="AO4" s="631" t="s">
        <v>160</v>
      </c>
      <c r="AP4" s="631"/>
      <c r="AQ4" s="631"/>
      <c r="AR4" s="631"/>
      <c r="AS4" s="631" t="s">
        <v>163</v>
      </c>
      <c r="AT4" s="631" t="s">
        <v>160</v>
      </c>
      <c r="AU4" s="631"/>
      <c r="AV4" s="631"/>
      <c r="AW4" s="631"/>
      <c r="AX4" s="631" t="s">
        <v>163</v>
      </c>
    </row>
    <row r="5" spans="1:50" ht="14.25" customHeight="1">
      <c r="B5" s="631"/>
      <c r="C5" s="631"/>
      <c r="D5" s="631"/>
      <c r="E5" s="631" t="s">
        <v>371</v>
      </c>
      <c r="F5" s="631"/>
      <c r="G5" s="631"/>
      <c r="H5" s="631"/>
      <c r="I5" s="635" t="s">
        <v>371</v>
      </c>
      <c r="J5" s="635"/>
      <c r="K5" s="635"/>
      <c r="L5" s="635"/>
      <c r="M5" s="635"/>
      <c r="N5" s="631"/>
      <c r="O5" s="631"/>
      <c r="P5" s="631" t="s">
        <v>372</v>
      </c>
      <c r="Q5" s="631"/>
      <c r="R5" s="631"/>
      <c r="S5" s="631"/>
      <c r="T5" s="631"/>
      <c r="U5" s="631" t="s">
        <v>372</v>
      </c>
      <c r="V5" s="631"/>
      <c r="W5" s="631"/>
      <c r="X5" s="631"/>
      <c r="Y5" s="631"/>
      <c r="Z5" s="631" t="s">
        <v>372</v>
      </c>
      <c r="AA5" s="631"/>
      <c r="AB5" s="631"/>
      <c r="AC5" s="631"/>
      <c r="AD5" s="631"/>
      <c r="AE5" s="631" t="s">
        <v>372</v>
      </c>
      <c r="AF5" s="631"/>
      <c r="AG5" s="631"/>
      <c r="AH5" s="631"/>
      <c r="AI5" s="631"/>
      <c r="AJ5" s="631" t="s">
        <v>372</v>
      </c>
      <c r="AK5" s="631"/>
      <c r="AL5" s="631"/>
      <c r="AM5" s="631"/>
      <c r="AN5" s="631"/>
      <c r="AO5" s="631" t="s">
        <v>372</v>
      </c>
      <c r="AP5" s="631"/>
      <c r="AQ5" s="631"/>
      <c r="AR5" s="631"/>
      <c r="AS5" s="631"/>
      <c r="AT5" s="631" t="s">
        <v>372</v>
      </c>
      <c r="AU5" s="631"/>
      <c r="AV5" s="631"/>
      <c r="AW5" s="631"/>
      <c r="AX5" s="631"/>
    </row>
    <row r="6" spans="1:50" ht="14.25" customHeight="1">
      <c r="B6" s="631"/>
      <c r="C6" s="631"/>
      <c r="D6" s="631"/>
      <c r="E6" s="180" t="s">
        <v>159</v>
      </c>
      <c r="F6" s="180" t="s">
        <v>373</v>
      </c>
      <c r="G6" s="180" t="s">
        <v>161</v>
      </c>
      <c r="H6" s="631"/>
      <c r="I6" s="181" t="s">
        <v>159</v>
      </c>
      <c r="J6" s="181" t="s">
        <v>373</v>
      </c>
      <c r="K6" s="181" t="s">
        <v>161</v>
      </c>
      <c r="L6" s="635"/>
      <c r="M6" s="635"/>
      <c r="N6" s="631"/>
      <c r="O6" s="631"/>
      <c r="P6" s="180" t="s">
        <v>159</v>
      </c>
      <c r="Q6" s="180" t="s">
        <v>373</v>
      </c>
      <c r="R6" s="180" t="s">
        <v>161</v>
      </c>
      <c r="S6" s="182" t="s">
        <v>165</v>
      </c>
      <c r="T6" s="631"/>
      <c r="U6" s="180" t="s">
        <v>159</v>
      </c>
      <c r="V6" s="180" t="s">
        <v>373</v>
      </c>
      <c r="W6" s="180" t="s">
        <v>161</v>
      </c>
      <c r="X6" s="182" t="s">
        <v>165</v>
      </c>
      <c r="Y6" s="631"/>
      <c r="Z6" s="180" t="s">
        <v>159</v>
      </c>
      <c r="AA6" s="180" t="s">
        <v>373</v>
      </c>
      <c r="AB6" s="180" t="s">
        <v>161</v>
      </c>
      <c r="AC6" s="182" t="s">
        <v>165</v>
      </c>
      <c r="AD6" s="631"/>
      <c r="AE6" s="180" t="s">
        <v>159</v>
      </c>
      <c r="AF6" s="180" t="s">
        <v>373</v>
      </c>
      <c r="AG6" s="180" t="s">
        <v>161</v>
      </c>
      <c r="AH6" s="182" t="s">
        <v>165</v>
      </c>
      <c r="AI6" s="631"/>
      <c r="AJ6" s="180" t="s">
        <v>159</v>
      </c>
      <c r="AK6" s="180" t="s">
        <v>373</v>
      </c>
      <c r="AL6" s="180" t="s">
        <v>161</v>
      </c>
      <c r="AM6" s="182" t="s">
        <v>165</v>
      </c>
      <c r="AN6" s="631"/>
      <c r="AO6" s="180" t="s">
        <v>159</v>
      </c>
      <c r="AP6" s="180" t="s">
        <v>373</v>
      </c>
      <c r="AQ6" s="180" t="s">
        <v>161</v>
      </c>
      <c r="AR6" s="182" t="s">
        <v>165</v>
      </c>
      <c r="AS6" s="631"/>
      <c r="AT6" s="180" t="s">
        <v>159</v>
      </c>
      <c r="AU6" s="180" t="s">
        <v>373</v>
      </c>
      <c r="AV6" s="180" t="s">
        <v>161</v>
      </c>
      <c r="AW6" s="182" t="s">
        <v>165</v>
      </c>
      <c r="AX6" s="631"/>
    </row>
    <row r="7" spans="1:50" ht="14.25" customHeight="1">
      <c r="B7" s="631" t="s">
        <v>377</v>
      </c>
      <c r="C7" s="180">
        <v>1</v>
      </c>
      <c r="D7" s="183" t="s">
        <v>586</v>
      </c>
      <c r="E7" s="180">
        <v>20</v>
      </c>
      <c r="F7" s="180">
        <v>3600</v>
      </c>
      <c r="G7" s="185">
        <f t="shared" ref="G7:G11" si="0">F7/E7</f>
        <v>180</v>
      </c>
      <c r="H7" s="632">
        <f>AVERAGE(G7:G21)</f>
        <v>183.96992481203011</v>
      </c>
      <c r="I7" s="186">
        <f>AVERAGE(P7,U7,Z7,AE7,AJ7,AO7,AT7)</f>
        <v>20</v>
      </c>
      <c r="J7" s="186">
        <f>AVERAGE(Q7,V7,AA7,AF7,AK7,AP7,AU7)</f>
        <v>3257.0218312293314</v>
      </c>
      <c r="K7" s="187">
        <f>AVERAGE(R7,W7,AB7,AG7,AL7,AQ7,AV7)</f>
        <v>162.85109156146657</v>
      </c>
      <c r="L7" s="633">
        <f>IFERROR(AVERAGE(K7:K21),"-")</f>
        <v>163.07026614315444</v>
      </c>
      <c r="M7" s="186">
        <f>RANK(K7, K$7:$K$21)</f>
        <v>4</v>
      </c>
      <c r="N7" s="631"/>
      <c r="O7" s="631"/>
      <c r="P7" s="188">
        <v>20</v>
      </c>
      <c r="Q7" s="188">
        <v>3257.7315802560033</v>
      </c>
      <c r="R7" s="185">
        <f>IFERROR(Q7/P7,"")</f>
        <v>162.88657901280015</v>
      </c>
      <c r="S7" s="182">
        <f>RANK(R7, R$7:R$21)</f>
        <v>3</v>
      </c>
      <c r="T7" s="632">
        <f>AVERAGE(R7:R21)</f>
        <v>161.473679611622</v>
      </c>
      <c r="U7" s="188">
        <v>20</v>
      </c>
      <c r="V7" s="188">
        <v>3255.9315802560041</v>
      </c>
      <c r="W7" s="185">
        <f t="shared" ref="W7:W11" si="1">IFERROR(V7/U7,"")</f>
        <v>162.79657901280021</v>
      </c>
      <c r="X7" s="182">
        <f>RANK(W7, W$7:W$21)</f>
        <v>3</v>
      </c>
      <c r="Y7" s="632">
        <f>AVERAGE(W7:W21)</f>
        <v>162.14278323759945</v>
      </c>
      <c r="Z7" s="188">
        <v>20</v>
      </c>
      <c r="AA7" s="188">
        <v>3257.0500464532588</v>
      </c>
      <c r="AB7" s="185">
        <f t="shared" ref="AB7:AB11" si="2">IFERROR(AA7/Z7,"")</f>
        <v>162.85250232266293</v>
      </c>
      <c r="AC7" s="182">
        <f>RANK(AB7, AB$7:AB$21)</f>
        <v>3</v>
      </c>
      <c r="AD7" s="632">
        <f>AVERAGE(AB7:AB21)</f>
        <v>162.88976558621806</v>
      </c>
      <c r="AE7" s="188">
        <v>20</v>
      </c>
      <c r="AF7" s="188">
        <v>3256.6900464532591</v>
      </c>
      <c r="AG7" s="185">
        <f>IFERROR(AF7/AE7,"")</f>
        <v>162.83450232266296</v>
      </c>
      <c r="AH7" s="182">
        <f>RANK(AG7, AG$7:AG$21)</f>
        <v>4</v>
      </c>
      <c r="AI7" s="632">
        <f>AVERAGE(AG7:AG21)</f>
        <v>163.72155483142674</v>
      </c>
      <c r="AJ7" s="188">
        <v>20</v>
      </c>
      <c r="AK7" s="188">
        <v>3257.7700464532595</v>
      </c>
      <c r="AL7" s="185">
        <f t="shared" ref="AL7:AL11" si="3">IFERROR(AK7/AJ7,"")</f>
        <v>162.88850232266299</v>
      </c>
      <c r="AM7" s="182">
        <f>RANK(AL7, AL$7:AL$21)</f>
        <v>4</v>
      </c>
      <c r="AN7" s="632">
        <f>AVERAGE(AL7:AL21)</f>
        <v>163.76537738781772</v>
      </c>
      <c r="AO7" s="188">
        <v>20</v>
      </c>
      <c r="AP7" s="188">
        <v>3256.3300464532599</v>
      </c>
      <c r="AQ7" s="185">
        <f t="shared" ref="AQ7:AQ11" si="4">IFERROR(AP7/AO7,"")</f>
        <v>162.81650232266298</v>
      </c>
      <c r="AR7" s="182">
        <f>RANK(AQ7, AQ$7:AQ$21)</f>
        <v>4</v>
      </c>
      <c r="AS7" s="632">
        <f>AVERAGE(AQ7:AQ21)</f>
        <v>163.75258863102962</v>
      </c>
      <c r="AT7" s="188">
        <v>20</v>
      </c>
      <c r="AU7" s="188">
        <v>3257.6494722802759</v>
      </c>
      <c r="AV7" s="185">
        <f t="shared" ref="AV7:AV11" si="5">IFERROR(AU7/AT7,"")</f>
        <v>162.8824736140138</v>
      </c>
      <c r="AW7" s="182">
        <f>RANK(AV7, AV$7:AV$21)</f>
        <v>4</v>
      </c>
      <c r="AX7" s="632">
        <f>AVERAGE(AV7:AV21)</f>
        <v>163.74611371636746</v>
      </c>
    </row>
    <row r="8" spans="1:50" ht="14.25" customHeight="1">
      <c r="B8" s="631"/>
      <c r="C8" s="180">
        <v>2</v>
      </c>
      <c r="D8" s="183" t="s">
        <v>587</v>
      </c>
      <c r="E8" s="180">
        <v>21</v>
      </c>
      <c r="F8" s="180">
        <v>3600</v>
      </c>
      <c r="G8" s="185">
        <f t="shared" si="0"/>
        <v>171.42857142857142</v>
      </c>
      <c r="H8" s="632"/>
      <c r="I8" s="186">
        <f t="shared" ref="I8:K11" si="6">AVERAGE(P8,U8,Z8,AE8,AJ8,AO8,AT8)</f>
        <v>21</v>
      </c>
      <c r="J8" s="186">
        <f t="shared" si="6"/>
        <v>3258.2142282390128</v>
      </c>
      <c r="K8" s="187">
        <f t="shared" si="6"/>
        <v>155.15305848757203</v>
      </c>
      <c r="L8" s="633"/>
      <c r="M8" s="186">
        <f>RANK(K8, K$7:$K$21)</f>
        <v>5</v>
      </c>
      <c r="N8" s="631"/>
      <c r="O8" s="631"/>
      <c r="P8" s="188">
        <v>21</v>
      </c>
      <c r="Q8" s="188">
        <v>3259.4998993927506</v>
      </c>
      <c r="R8" s="185">
        <f t="shared" ref="R8:R11" si="7">IFERROR(Q8/P8,"")</f>
        <v>155.21428092346432</v>
      </c>
      <c r="S8" s="182">
        <f t="shared" ref="S8:S11" si="8">RANK(R8, R$7:R$21)</f>
        <v>5</v>
      </c>
      <c r="T8" s="632"/>
      <c r="U8" s="188">
        <v>21</v>
      </c>
      <c r="V8" s="188">
        <v>3259.1398993927505</v>
      </c>
      <c r="W8" s="185">
        <f t="shared" si="1"/>
        <v>155.19713806632146</v>
      </c>
      <c r="X8" s="182">
        <f t="shared" ref="X8:X11" si="9">RANK(W8, W$7:W$21)</f>
        <v>5</v>
      </c>
      <c r="Y8" s="632"/>
      <c r="Z8" s="188">
        <v>21</v>
      </c>
      <c r="AA8" s="188">
        <v>3258.5639597775166</v>
      </c>
      <c r="AB8" s="185">
        <f t="shared" si="2"/>
        <v>155.16971237035793</v>
      </c>
      <c r="AC8" s="182">
        <f t="shared" ref="AC8:AC11" si="10">RANK(AB8, AB$7:AB$21)</f>
        <v>5</v>
      </c>
      <c r="AD8" s="632"/>
      <c r="AE8" s="188">
        <v>21</v>
      </c>
      <c r="AF8" s="188">
        <v>3257.1239597775175</v>
      </c>
      <c r="AG8" s="185">
        <f t="shared" ref="AG8:AG11" si="11">IFERROR(AF8/AE8,"")</f>
        <v>155.10114094178655</v>
      </c>
      <c r="AH8" s="182">
        <f t="shared" ref="AH8:AH11" si="12">RANK(AG8, AG$7:AG$21)</f>
        <v>5</v>
      </c>
      <c r="AI8" s="632"/>
      <c r="AJ8" s="188">
        <v>21</v>
      </c>
      <c r="AK8" s="188">
        <v>3258.2039597775183</v>
      </c>
      <c r="AL8" s="185">
        <f t="shared" si="3"/>
        <v>155.15256951321516</v>
      </c>
      <c r="AM8" s="182">
        <f t="shared" ref="AM8:AM11" si="13">RANK(AL8, AL$7:AL$21)</f>
        <v>5</v>
      </c>
      <c r="AN8" s="632"/>
      <c r="AO8" s="188">
        <v>21</v>
      </c>
      <c r="AP8" s="188">
        <v>3257.1239597775179</v>
      </c>
      <c r="AQ8" s="185">
        <f t="shared" si="4"/>
        <v>155.10114094178658</v>
      </c>
      <c r="AR8" s="182">
        <f t="shared" ref="AR8:AR11" si="14">RANK(AQ8, AQ$7:AQ$21)</f>
        <v>5</v>
      </c>
      <c r="AS8" s="632"/>
      <c r="AT8" s="188">
        <v>21</v>
      </c>
      <c r="AU8" s="188">
        <v>3257.8439597775186</v>
      </c>
      <c r="AV8" s="185">
        <f t="shared" si="5"/>
        <v>155.13542665607233</v>
      </c>
      <c r="AW8" s="182">
        <f t="shared" ref="AW8:AW11" si="15">RANK(AV8, AV$7:AV$21)</f>
        <v>5</v>
      </c>
      <c r="AX8" s="632"/>
    </row>
    <row r="9" spans="1:50" ht="14.25" customHeight="1">
      <c r="B9" s="631"/>
      <c r="C9" s="180">
        <v>3</v>
      </c>
      <c r="D9" s="183" t="s">
        <v>606</v>
      </c>
      <c r="E9" s="180">
        <v>19</v>
      </c>
      <c r="F9" s="180">
        <v>3600</v>
      </c>
      <c r="G9" s="185">
        <f t="shared" si="0"/>
        <v>189.47368421052633</v>
      </c>
      <c r="H9" s="632"/>
      <c r="I9" s="186">
        <f t="shared" si="6"/>
        <v>19</v>
      </c>
      <c r="J9" s="186">
        <f t="shared" si="6"/>
        <v>3170.9267633689415</v>
      </c>
      <c r="K9" s="187">
        <f t="shared" si="6"/>
        <v>166.89088228257586</v>
      </c>
      <c r="L9" s="633"/>
      <c r="M9" s="186">
        <f>RANK(K9, K$7:$K$21)</f>
        <v>2</v>
      </c>
      <c r="N9" s="631"/>
      <c r="O9" s="631"/>
      <c r="P9" s="188">
        <v>19</v>
      </c>
      <c r="Q9" s="188">
        <v>3171.6560903523614</v>
      </c>
      <c r="R9" s="185">
        <f t="shared" si="7"/>
        <v>166.92926791328219</v>
      </c>
      <c r="S9" s="182">
        <f t="shared" si="8"/>
        <v>2</v>
      </c>
      <c r="T9" s="632"/>
      <c r="U9" s="188">
        <v>19</v>
      </c>
      <c r="V9" s="188">
        <v>3170.5760903523615</v>
      </c>
      <c r="W9" s="185">
        <f t="shared" si="1"/>
        <v>166.87242580801902</v>
      </c>
      <c r="X9" s="182">
        <f t="shared" si="9"/>
        <v>2</v>
      </c>
      <c r="Y9" s="632"/>
      <c r="Z9" s="188">
        <v>19</v>
      </c>
      <c r="AA9" s="188">
        <v>3170.7441853969599</v>
      </c>
      <c r="AB9" s="185">
        <f t="shared" si="2"/>
        <v>166.88127291562947</v>
      </c>
      <c r="AC9" s="182">
        <f t="shared" si="10"/>
        <v>2</v>
      </c>
      <c r="AD9" s="632"/>
      <c r="AE9" s="188">
        <v>19</v>
      </c>
      <c r="AF9" s="188">
        <v>3170.0677443702275</v>
      </c>
      <c r="AG9" s="185">
        <f t="shared" si="11"/>
        <v>166.84567075632776</v>
      </c>
      <c r="AH9" s="182">
        <f t="shared" si="12"/>
        <v>3</v>
      </c>
      <c r="AI9" s="632"/>
      <c r="AJ9" s="188">
        <v>19</v>
      </c>
      <c r="AK9" s="188">
        <v>3171.5077443702266</v>
      </c>
      <c r="AL9" s="185">
        <f t="shared" si="3"/>
        <v>166.92146023001192</v>
      </c>
      <c r="AM9" s="182">
        <f t="shared" si="13"/>
        <v>2</v>
      </c>
      <c r="AN9" s="632"/>
      <c r="AO9" s="188">
        <v>19</v>
      </c>
      <c r="AP9" s="188">
        <v>3171.5077443702257</v>
      </c>
      <c r="AQ9" s="185">
        <f t="shared" si="4"/>
        <v>166.92146023001189</v>
      </c>
      <c r="AR9" s="182">
        <f t="shared" si="14"/>
        <v>3</v>
      </c>
      <c r="AS9" s="632"/>
      <c r="AT9" s="188">
        <v>19</v>
      </c>
      <c r="AU9" s="188">
        <v>3170.4277443702254</v>
      </c>
      <c r="AV9" s="185">
        <f t="shared" si="5"/>
        <v>166.86461812474872</v>
      </c>
      <c r="AW9" s="182">
        <f t="shared" si="15"/>
        <v>3</v>
      </c>
      <c r="AX9" s="632"/>
    </row>
    <row r="10" spans="1:50" ht="14.25" customHeight="1">
      <c r="B10" s="631"/>
      <c r="C10" s="180">
        <v>4</v>
      </c>
      <c r="D10" s="183" t="s">
        <v>620</v>
      </c>
      <c r="E10" s="180">
        <v>19</v>
      </c>
      <c r="F10" s="180">
        <v>3600</v>
      </c>
      <c r="G10" s="185">
        <f t="shared" si="0"/>
        <v>189.47368421052633</v>
      </c>
      <c r="H10" s="632"/>
      <c r="I10" s="186">
        <f t="shared" si="6"/>
        <v>19</v>
      </c>
      <c r="J10" s="186">
        <f t="shared" si="6"/>
        <v>3106.4853322042131</v>
      </c>
      <c r="K10" s="187">
        <f t="shared" si="6"/>
        <v>163.49922801074803</v>
      </c>
      <c r="L10" s="633"/>
      <c r="M10" s="186">
        <f>RANK(K10, K$7:$K$21)</f>
        <v>3</v>
      </c>
      <c r="N10" s="631"/>
      <c r="O10" s="631"/>
      <c r="P10" s="188">
        <v>19</v>
      </c>
      <c r="Q10" s="188">
        <v>2951.9999999999995</v>
      </c>
      <c r="R10" s="185">
        <f t="shared" si="7"/>
        <v>155.36842105263156</v>
      </c>
      <c r="S10" s="182">
        <f t="shared" si="8"/>
        <v>4</v>
      </c>
      <c r="T10" s="632"/>
      <c r="U10" s="188">
        <v>19</v>
      </c>
      <c r="V10" s="188">
        <v>3018.6805587535687</v>
      </c>
      <c r="W10" s="185">
        <f t="shared" si="1"/>
        <v>158.87792414492466</v>
      </c>
      <c r="X10" s="182">
        <f t="shared" si="9"/>
        <v>4</v>
      </c>
      <c r="Y10" s="632"/>
      <c r="Z10" s="188">
        <v>19</v>
      </c>
      <c r="AA10" s="188">
        <v>3089.6543321636545</v>
      </c>
      <c r="AB10" s="185">
        <f t="shared" si="2"/>
        <v>162.61338590335023</v>
      </c>
      <c r="AC10" s="182">
        <f t="shared" si="10"/>
        <v>4</v>
      </c>
      <c r="AD10" s="632"/>
      <c r="AE10" s="188">
        <v>19</v>
      </c>
      <c r="AF10" s="188">
        <v>3170.6356086280675</v>
      </c>
      <c r="AG10" s="185">
        <f t="shared" si="11"/>
        <v>166.87555834884566</v>
      </c>
      <c r="AH10" s="182">
        <f t="shared" si="12"/>
        <v>2</v>
      </c>
      <c r="AI10" s="632"/>
      <c r="AJ10" s="188">
        <v>19</v>
      </c>
      <c r="AK10" s="188">
        <v>3170.6356086280666</v>
      </c>
      <c r="AL10" s="185">
        <f t="shared" si="3"/>
        <v>166.8755583488456</v>
      </c>
      <c r="AM10" s="182">
        <f t="shared" si="13"/>
        <v>3</v>
      </c>
      <c r="AN10" s="632"/>
      <c r="AO10" s="188">
        <v>19</v>
      </c>
      <c r="AP10" s="188">
        <v>3172.0756086280653</v>
      </c>
      <c r="AQ10" s="185">
        <f t="shared" si="4"/>
        <v>166.95134782252975</v>
      </c>
      <c r="AR10" s="182">
        <f t="shared" si="14"/>
        <v>2</v>
      </c>
      <c r="AS10" s="632"/>
      <c r="AT10" s="188">
        <v>19</v>
      </c>
      <c r="AU10" s="188">
        <v>3171.7156086280652</v>
      </c>
      <c r="AV10" s="185">
        <f t="shared" si="5"/>
        <v>166.93240045410869</v>
      </c>
      <c r="AW10" s="182">
        <f t="shared" si="15"/>
        <v>1</v>
      </c>
      <c r="AX10" s="632"/>
    </row>
    <row r="11" spans="1:50" ht="14.25" customHeight="1">
      <c r="B11" s="631"/>
      <c r="C11" s="180">
        <v>5</v>
      </c>
      <c r="D11" s="183" t="s">
        <v>588</v>
      </c>
      <c r="E11" s="180">
        <v>19</v>
      </c>
      <c r="F11" s="180">
        <v>3600</v>
      </c>
      <c r="G11" s="185">
        <f t="shared" si="0"/>
        <v>189.47368421052633</v>
      </c>
      <c r="H11" s="632"/>
      <c r="I11" s="186">
        <f t="shared" si="6"/>
        <v>19</v>
      </c>
      <c r="J11" s="186">
        <f t="shared" si="6"/>
        <v>3172.184337094784</v>
      </c>
      <c r="K11" s="187">
        <f t="shared" si="6"/>
        <v>166.95707037340972</v>
      </c>
      <c r="L11" s="633"/>
      <c r="M11" s="186">
        <f>RANK(K11, K$7:$K$21)</f>
        <v>1</v>
      </c>
      <c r="N11" s="631"/>
      <c r="O11" s="631"/>
      <c r="P11" s="188">
        <v>19</v>
      </c>
      <c r="Q11" s="188">
        <v>3172.4271339627066</v>
      </c>
      <c r="R11" s="185">
        <f t="shared" si="7"/>
        <v>166.96984915593194</v>
      </c>
      <c r="S11" s="182">
        <f t="shared" si="8"/>
        <v>1</v>
      </c>
      <c r="T11" s="632"/>
      <c r="U11" s="188">
        <v>19</v>
      </c>
      <c r="V11" s="188">
        <v>3172.4271339627066</v>
      </c>
      <c r="W11" s="185">
        <f t="shared" si="1"/>
        <v>166.96984915593194</v>
      </c>
      <c r="X11" s="182">
        <f t="shared" si="9"/>
        <v>1</v>
      </c>
      <c r="Y11" s="632"/>
      <c r="Z11" s="188">
        <v>19</v>
      </c>
      <c r="AA11" s="188">
        <v>3171.7071339627068</v>
      </c>
      <c r="AB11" s="185">
        <f t="shared" si="2"/>
        <v>166.93195441908983</v>
      </c>
      <c r="AC11" s="182">
        <f t="shared" si="10"/>
        <v>1</v>
      </c>
      <c r="AD11" s="632"/>
      <c r="AE11" s="188">
        <v>19</v>
      </c>
      <c r="AF11" s="188">
        <v>3172.0671339627065</v>
      </c>
      <c r="AG11" s="185">
        <f t="shared" si="11"/>
        <v>166.95090178751087</v>
      </c>
      <c r="AH11" s="182">
        <f t="shared" si="12"/>
        <v>1</v>
      </c>
      <c r="AI11" s="632"/>
      <c r="AJ11" s="188">
        <v>19</v>
      </c>
      <c r="AK11" s="188">
        <v>3172.7871339627059</v>
      </c>
      <c r="AL11" s="185">
        <f t="shared" si="3"/>
        <v>166.98879652435295</v>
      </c>
      <c r="AM11" s="182">
        <f t="shared" si="13"/>
        <v>1</v>
      </c>
      <c r="AN11" s="632"/>
      <c r="AO11" s="188">
        <v>19</v>
      </c>
      <c r="AP11" s="188">
        <v>3172.4773449249806</v>
      </c>
      <c r="AQ11" s="185">
        <f t="shared" si="4"/>
        <v>166.97249183815688</v>
      </c>
      <c r="AR11" s="182">
        <f t="shared" si="14"/>
        <v>1</v>
      </c>
      <c r="AS11" s="632"/>
      <c r="AT11" s="188">
        <v>19</v>
      </c>
      <c r="AU11" s="188">
        <v>3171.3973449249802</v>
      </c>
      <c r="AV11" s="185">
        <f t="shared" si="5"/>
        <v>166.91564973289368</v>
      </c>
      <c r="AW11" s="182">
        <f t="shared" si="15"/>
        <v>2</v>
      </c>
      <c r="AX11" s="632"/>
    </row>
    <row r="12" spans="1:50" ht="14.25" customHeight="1">
      <c r="B12" s="631"/>
      <c r="C12" s="180">
        <v>6</v>
      </c>
      <c r="D12" s="183"/>
      <c r="E12" s="180"/>
      <c r="F12" s="180"/>
      <c r="G12" s="185"/>
      <c r="H12" s="632"/>
      <c r="I12" s="186"/>
      <c r="J12" s="186"/>
      <c r="K12" s="187"/>
      <c r="L12" s="633"/>
      <c r="M12" s="186"/>
      <c r="N12" s="631"/>
      <c r="O12" s="631"/>
      <c r="P12" s="188"/>
      <c r="Q12" s="188"/>
      <c r="R12" s="185"/>
      <c r="S12" s="182"/>
      <c r="T12" s="632"/>
      <c r="U12" s="188"/>
      <c r="V12" s="188"/>
      <c r="W12" s="185"/>
      <c r="X12" s="182"/>
      <c r="Y12" s="632"/>
      <c r="Z12" s="188"/>
      <c r="AA12" s="188"/>
      <c r="AB12" s="185"/>
      <c r="AC12" s="182"/>
      <c r="AD12" s="632"/>
      <c r="AE12" s="188"/>
      <c r="AF12" s="188"/>
      <c r="AG12" s="185"/>
      <c r="AH12" s="182"/>
      <c r="AI12" s="632"/>
      <c r="AJ12" s="188"/>
      <c r="AK12" s="188"/>
      <c r="AL12" s="185"/>
      <c r="AM12" s="182"/>
      <c r="AN12" s="632"/>
      <c r="AO12" s="188"/>
      <c r="AP12" s="188"/>
      <c r="AQ12" s="185"/>
      <c r="AR12" s="182"/>
      <c r="AS12" s="632"/>
      <c r="AT12" s="188"/>
      <c r="AU12" s="188"/>
      <c r="AV12" s="185"/>
      <c r="AW12" s="182"/>
      <c r="AX12" s="632"/>
    </row>
    <row r="13" spans="1:50" ht="14.25" customHeight="1">
      <c r="B13" s="631"/>
      <c r="C13" s="180">
        <v>7</v>
      </c>
      <c r="D13" s="183"/>
      <c r="E13" s="180"/>
      <c r="F13" s="180"/>
      <c r="G13" s="185"/>
      <c r="H13" s="632"/>
      <c r="I13" s="186"/>
      <c r="J13" s="186"/>
      <c r="K13" s="187"/>
      <c r="L13" s="633"/>
      <c r="M13" s="186"/>
      <c r="N13" s="631"/>
      <c r="O13" s="631"/>
      <c r="P13" s="188"/>
      <c r="Q13" s="188"/>
      <c r="R13" s="185"/>
      <c r="S13" s="182"/>
      <c r="T13" s="632"/>
      <c r="U13" s="188"/>
      <c r="V13" s="188"/>
      <c r="W13" s="185"/>
      <c r="X13" s="182"/>
      <c r="Y13" s="632"/>
      <c r="Z13" s="188"/>
      <c r="AA13" s="188"/>
      <c r="AB13" s="185"/>
      <c r="AC13" s="182"/>
      <c r="AD13" s="632"/>
      <c r="AE13" s="188"/>
      <c r="AF13" s="188"/>
      <c r="AG13" s="185"/>
      <c r="AH13" s="182"/>
      <c r="AI13" s="632"/>
      <c r="AJ13" s="188"/>
      <c r="AK13" s="188"/>
      <c r="AL13" s="185"/>
      <c r="AM13" s="182"/>
      <c r="AN13" s="632"/>
      <c r="AO13" s="188"/>
      <c r="AP13" s="188"/>
      <c r="AQ13" s="185"/>
      <c r="AR13" s="182"/>
      <c r="AS13" s="632"/>
      <c r="AT13" s="188"/>
      <c r="AU13" s="188"/>
      <c r="AV13" s="185"/>
      <c r="AW13" s="182"/>
      <c r="AX13" s="632"/>
    </row>
    <row r="14" spans="1:50" ht="14.25" customHeight="1">
      <c r="B14" s="631"/>
      <c r="C14" s="180">
        <v>8</v>
      </c>
      <c r="D14" s="183"/>
      <c r="E14" s="180"/>
      <c r="F14" s="180"/>
      <c r="G14" s="185"/>
      <c r="H14" s="632"/>
      <c r="I14" s="186"/>
      <c r="J14" s="186"/>
      <c r="K14" s="187"/>
      <c r="L14" s="633"/>
      <c r="M14" s="186"/>
      <c r="N14" s="631"/>
      <c r="O14" s="631"/>
      <c r="P14" s="188"/>
      <c r="Q14" s="188"/>
      <c r="R14" s="185"/>
      <c r="S14" s="182"/>
      <c r="T14" s="632"/>
      <c r="U14" s="188"/>
      <c r="V14" s="188"/>
      <c r="W14" s="185"/>
      <c r="X14" s="182"/>
      <c r="Y14" s="632"/>
      <c r="Z14" s="188"/>
      <c r="AA14" s="188"/>
      <c r="AB14" s="185"/>
      <c r="AC14" s="182"/>
      <c r="AD14" s="632"/>
      <c r="AE14" s="188"/>
      <c r="AF14" s="188"/>
      <c r="AG14" s="185"/>
      <c r="AH14" s="182"/>
      <c r="AI14" s="632"/>
      <c r="AJ14" s="188"/>
      <c r="AK14" s="188"/>
      <c r="AL14" s="185"/>
      <c r="AM14" s="182"/>
      <c r="AN14" s="632"/>
      <c r="AO14" s="188"/>
      <c r="AP14" s="188"/>
      <c r="AQ14" s="185"/>
      <c r="AR14" s="182"/>
      <c r="AS14" s="632"/>
      <c r="AT14" s="188"/>
      <c r="AU14" s="188"/>
      <c r="AV14" s="185"/>
      <c r="AW14" s="182"/>
      <c r="AX14" s="632"/>
    </row>
    <row r="15" spans="1:50" ht="14.25" customHeight="1">
      <c r="B15" s="631"/>
      <c r="C15" s="180">
        <v>9</v>
      </c>
      <c r="D15" s="183"/>
      <c r="E15" s="180"/>
      <c r="F15" s="180"/>
      <c r="G15" s="185"/>
      <c r="H15" s="632"/>
      <c r="I15" s="186"/>
      <c r="J15" s="186"/>
      <c r="K15" s="187"/>
      <c r="L15" s="633"/>
      <c r="M15" s="186"/>
      <c r="N15" s="631"/>
      <c r="O15" s="631"/>
      <c r="P15" s="188"/>
      <c r="Q15" s="188"/>
      <c r="R15" s="185"/>
      <c r="S15" s="182"/>
      <c r="T15" s="632"/>
      <c r="U15" s="188"/>
      <c r="V15" s="188"/>
      <c r="W15" s="185"/>
      <c r="X15" s="182"/>
      <c r="Y15" s="632"/>
      <c r="Z15" s="188"/>
      <c r="AA15" s="188"/>
      <c r="AB15" s="185"/>
      <c r="AC15" s="182"/>
      <c r="AD15" s="632"/>
      <c r="AE15" s="188"/>
      <c r="AF15" s="188"/>
      <c r="AG15" s="185"/>
      <c r="AH15" s="182"/>
      <c r="AI15" s="632"/>
      <c r="AJ15" s="188"/>
      <c r="AK15" s="188"/>
      <c r="AL15" s="185"/>
      <c r="AM15" s="182"/>
      <c r="AN15" s="632"/>
      <c r="AO15" s="188"/>
      <c r="AP15" s="188"/>
      <c r="AQ15" s="185"/>
      <c r="AR15" s="182"/>
      <c r="AS15" s="632"/>
      <c r="AT15" s="188"/>
      <c r="AU15" s="188"/>
      <c r="AV15" s="185"/>
      <c r="AW15" s="182"/>
      <c r="AX15" s="632"/>
    </row>
    <row r="16" spans="1:50" ht="14.25" customHeight="1">
      <c r="B16" s="631"/>
      <c r="C16" s="180">
        <v>10</v>
      </c>
      <c r="D16" s="183"/>
      <c r="E16" s="180"/>
      <c r="F16" s="180"/>
      <c r="G16" s="185"/>
      <c r="H16" s="632"/>
      <c r="I16" s="186"/>
      <c r="J16" s="186"/>
      <c r="K16" s="187"/>
      <c r="L16" s="633"/>
      <c r="M16" s="186"/>
      <c r="N16" s="631"/>
      <c r="O16" s="631"/>
      <c r="P16" s="188"/>
      <c r="Q16" s="188"/>
      <c r="R16" s="185"/>
      <c r="S16" s="182"/>
      <c r="T16" s="632"/>
      <c r="U16" s="188"/>
      <c r="V16" s="188"/>
      <c r="W16" s="185"/>
      <c r="X16" s="182"/>
      <c r="Y16" s="632"/>
      <c r="Z16" s="188"/>
      <c r="AA16" s="188"/>
      <c r="AB16" s="185"/>
      <c r="AC16" s="182"/>
      <c r="AD16" s="632"/>
      <c r="AE16" s="188"/>
      <c r="AF16" s="188"/>
      <c r="AG16" s="185"/>
      <c r="AH16" s="182"/>
      <c r="AI16" s="632"/>
      <c r="AJ16" s="188"/>
      <c r="AK16" s="188"/>
      <c r="AL16" s="185"/>
      <c r="AM16" s="182"/>
      <c r="AN16" s="632"/>
      <c r="AO16" s="188"/>
      <c r="AP16" s="188"/>
      <c r="AQ16" s="185"/>
      <c r="AR16" s="182"/>
      <c r="AS16" s="632"/>
      <c r="AT16" s="188"/>
      <c r="AU16" s="188"/>
      <c r="AV16" s="185"/>
      <c r="AW16" s="182"/>
      <c r="AX16" s="632"/>
    </row>
    <row r="17" spans="2:50" ht="14.25" customHeight="1">
      <c r="B17" s="631"/>
      <c r="C17" s="180">
        <v>11</v>
      </c>
      <c r="D17" s="183"/>
      <c r="E17" s="180"/>
      <c r="F17" s="180"/>
      <c r="G17" s="185"/>
      <c r="H17" s="632"/>
      <c r="I17" s="186"/>
      <c r="J17" s="186"/>
      <c r="K17" s="187"/>
      <c r="L17" s="633"/>
      <c r="M17" s="186"/>
      <c r="N17" s="631"/>
      <c r="O17" s="631"/>
      <c r="P17" s="188"/>
      <c r="Q17" s="188"/>
      <c r="R17" s="185"/>
      <c r="S17" s="182"/>
      <c r="T17" s="632"/>
      <c r="U17" s="188"/>
      <c r="V17" s="188"/>
      <c r="W17" s="185"/>
      <c r="X17" s="182"/>
      <c r="Y17" s="632"/>
      <c r="Z17" s="188"/>
      <c r="AA17" s="188"/>
      <c r="AB17" s="185"/>
      <c r="AC17" s="182"/>
      <c r="AD17" s="632"/>
      <c r="AE17" s="188"/>
      <c r="AF17" s="188"/>
      <c r="AG17" s="185"/>
      <c r="AH17" s="182"/>
      <c r="AI17" s="632"/>
      <c r="AJ17" s="188"/>
      <c r="AK17" s="188"/>
      <c r="AL17" s="185"/>
      <c r="AM17" s="182"/>
      <c r="AN17" s="632"/>
      <c r="AO17" s="188"/>
      <c r="AP17" s="188"/>
      <c r="AQ17" s="185"/>
      <c r="AR17" s="182"/>
      <c r="AS17" s="632"/>
      <c r="AT17" s="188"/>
      <c r="AU17" s="188"/>
      <c r="AV17" s="185"/>
      <c r="AW17" s="182"/>
      <c r="AX17" s="632"/>
    </row>
    <row r="18" spans="2:50" ht="14.25" customHeight="1">
      <c r="B18" s="631"/>
      <c r="C18" s="180">
        <v>12</v>
      </c>
      <c r="D18" s="183"/>
      <c r="E18" s="180"/>
      <c r="F18" s="180"/>
      <c r="G18" s="185"/>
      <c r="H18" s="632"/>
      <c r="I18" s="186"/>
      <c r="J18" s="186"/>
      <c r="K18" s="187"/>
      <c r="L18" s="633"/>
      <c r="M18" s="186"/>
      <c r="N18" s="631"/>
      <c r="O18" s="631"/>
      <c r="P18" s="188"/>
      <c r="Q18" s="188"/>
      <c r="R18" s="185"/>
      <c r="S18" s="182"/>
      <c r="T18" s="632"/>
      <c r="U18" s="188"/>
      <c r="V18" s="188"/>
      <c r="W18" s="185"/>
      <c r="X18" s="182"/>
      <c r="Y18" s="632"/>
      <c r="Z18" s="188"/>
      <c r="AA18" s="188"/>
      <c r="AB18" s="185"/>
      <c r="AC18" s="182"/>
      <c r="AD18" s="632"/>
      <c r="AE18" s="188"/>
      <c r="AF18" s="188"/>
      <c r="AG18" s="185"/>
      <c r="AH18" s="182"/>
      <c r="AI18" s="632"/>
      <c r="AJ18" s="188"/>
      <c r="AK18" s="188"/>
      <c r="AL18" s="185"/>
      <c r="AM18" s="182"/>
      <c r="AN18" s="632"/>
      <c r="AO18" s="188"/>
      <c r="AP18" s="188"/>
      <c r="AQ18" s="185"/>
      <c r="AR18" s="182"/>
      <c r="AS18" s="632"/>
      <c r="AT18" s="188"/>
      <c r="AU18" s="188"/>
      <c r="AV18" s="185"/>
      <c r="AW18" s="182"/>
      <c r="AX18" s="632"/>
    </row>
    <row r="19" spans="2:50" ht="14.25" customHeight="1">
      <c r="B19" s="631"/>
      <c r="C19" s="180">
        <v>13</v>
      </c>
      <c r="D19" s="183"/>
      <c r="E19" s="180"/>
      <c r="F19" s="180"/>
      <c r="G19" s="185"/>
      <c r="H19" s="632"/>
      <c r="I19" s="186"/>
      <c r="J19" s="186"/>
      <c r="K19" s="187"/>
      <c r="L19" s="633"/>
      <c r="M19" s="186"/>
      <c r="N19" s="631"/>
      <c r="O19" s="631"/>
      <c r="P19" s="188"/>
      <c r="Q19" s="188"/>
      <c r="R19" s="185"/>
      <c r="S19" s="182"/>
      <c r="T19" s="632"/>
      <c r="U19" s="188"/>
      <c r="V19" s="188"/>
      <c r="W19" s="185"/>
      <c r="X19" s="182"/>
      <c r="Y19" s="632"/>
      <c r="Z19" s="188"/>
      <c r="AA19" s="188"/>
      <c r="AB19" s="185"/>
      <c r="AC19" s="182"/>
      <c r="AD19" s="632"/>
      <c r="AE19" s="188"/>
      <c r="AF19" s="188"/>
      <c r="AG19" s="185"/>
      <c r="AH19" s="182"/>
      <c r="AI19" s="632"/>
      <c r="AJ19" s="188"/>
      <c r="AK19" s="188"/>
      <c r="AL19" s="185"/>
      <c r="AM19" s="182"/>
      <c r="AN19" s="632"/>
      <c r="AO19" s="188"/>
      <c r="AP19" s="188"/>
      <c r="AQ19" s="185"/>
      <c r="AR19" s="182"/>
      <c r="AS19" s="632"/>
      <c r="AT19" s="188"/>
      <c r="AU19" s="188"/>
      <c r="AV19" s="185"/>
      <c r="AW19" s="182"/>
      <c r="AX19" s="632"/>
    </row>
    <row r="20" spans="2:50" ht="14.25" customHeight="1">
      <c r="B20" s="631"/>
      <c r="C20" s="180">
        <v>14</v>
      </c>
      <c r="D20" s="183"/>
      <c r="E20" s="180"/>
      <c r="F20" s="180"/>
      <c r="G20" s="185"/>
      <c r="H20" s="632"/>
      <c r="I20" s="186"/>
      <c r="J20" s="186"/>
      <c r="K20" s="187"/>
      <c r="L20" s="633"/>
      <c r="M20" s="186"/>
      <c r="N20" s="631"/>
      <c r="O20" s="631"/>
      <c r="P20" s="188"/>
      <c r="Q20" s="188"/>
      <c r="R20" s="185"/>
      <c r="S20" s="182"/>
      <c r="T20" s="632"/>
      <c r="U20" s="188"/>
      <c r="V20" s="188"/>
      <c r="W20" s="185"/>
      <c r="X20" s="182"/>
      <c r="Y20" s="632"/>
      <c r="Z20" s="188"/>
      <c r="AA20" s="188"/>
      <c r="AB20" s="185"/>
      <c r="AC20" s="182"/>
      <c r="AD20" s="632"/>
      <c r="AE20" s="188"/>
      <c r="AF20" s="188"/>
      <c r="AG20" s="185"/>
      <c r="AH20" s="182"/>
      <c r="AI20" s="632"/>
      <c r="AJ20" s="188"/>
      <c r="AK20" s="188"/>
      <c r="AL20" s="185"/>
      <c r="AM20" s="182"/>
      <c r="AN20" s="632"/>
      <c r="AO20" s="188"/>
      <c r="AP20" s="188"/>
      <c r="AQ20" s="185"/>
      <c r="AR20" s="182"/>
      <c r="AS20" s="632"/>
      <c r="AT20" s="188"/>
      <c r="AU20" s="188"/>
      <c r="AV20" s="185"/>
      <c r="AW20" s="182"/>
      <c r="AX20" s="632"/>
    </row>
    <row r="21" spans="2:50" ht="14.25" customHeight="1">
      <c r="B21" s="631"/>
      <c r="C21" s="180">
        <v>15</v>
      </c>
      <c r="D21" s="183"/>
      <c r="E21" s="180"/>
      <c r="F21" s="180"/>
      <c r="G21" s="185"/>
      <c r="H21" s="632"/>
      <c r="I21" s="186"/>
      <c r="J21" s="186"/>
      <c r="K21" s="187"/>
      <c r="L21" s="633"/>
      <c r="M21" s="186"/>
      <c r="N21" s="631"/>
      <c r="O21" s="631"/>
      <c r="P21" s="188"/>
      <c r="Q21" s="188"/>
      <c r="R21" s="185"/>
      <c r="S21" s="182"/>
      <c r="T21" s="632"/>
      <c r="U21" s="188"/>
      <c r="V21" s="188"/>
      <c r="W21" s="185"/>
      <c r="X21" s="182"/>
      <c r="Y21" s="632"/>
      <c r="Z21" s="188"/>
      <c r="AA21" s="188"/>
      <c r="AB21" s="185"/>
      <c r="AC21" s="182"/>
      <c r="AD21" s="632"/>
      <c r="AE21" s="188"/>
      <c r="AF21" s="188"/>
      <c r="AG21" s="185"/>
      <c r="AH21" s="182"/>
      <c r="AI21" s="632"/>
      <c r="AJ21" s="188"/>
      <c r="AK21" s="188"/>
      <c r="AL21" s="185"/>
      <c r="AM21" s="182"/>
      <c r="AN21" s="632"/>
      <c r="AO21" s="188"/>
      <c r="AP21" s="188"/>
      <c r="AQ21" s="185"/>
      <c r="AR21" s="182"/>
      <c r="AS21" s="632"/>
      <c r="AT21" s="188"/>
      <c r="AU21" s="188"/>
      <c r="AV21" s="185"/>
      <c r="AW21" s="182"/>
      <c r="AX21" s="632"/>
    </row>
    <row r="22" spans="2:50" ht="14.25" customHeight="1">
      <c r="B22" s="646" t="s">
        <v>695</v>
      </c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47"/>
      <c r="N22" s="664" t="s">
        <v>369</v>
      </c>
      <c r="O22" s="664" t="s">
        <v>105</v>
      </c>
      <c r="P22" s="666">
        <v>46147</v>
      </c>
      <c r="Q22" s="667"/>
      <c r="R22" s="667"/>
      <c r="S22" s="667"/>
      <c r="T22" s="667"/>
      <c r="U22" s="668">
        <v>46148</v>
      </c>
      <c r="V22" s="669"/>
      <c r="W22" s="669"/>
      <c r="X22" s="669"/>
      <c r="Y22" s="669"/>
      <c r="Z22" s="666">
        <v>46149</v>
      </c>
      <c r="AA22" s="667"/>
      <c r="AB22" s="667"/>
      <c r="AC22" s="667"/>
      <c r="AD22" s="667"/>
      <c r="AE22" s="668">
        <v>46150</v>
      </c>
      <c r="AF22" s="669"/>
      <c r="AG22" s="669"/>
      <c r="AH22" s="669"/>
      <c r="AI22" s="669"/>
      <c r="AJ22" s="656">
        <v>46151</v>
      </c>
      <c r="AK22" s="657"/>
      <c r="AL22" s="657"/>
      <c r="AM22" s="657"/>
      <c r="AN22" s="658"/>
      <c r="AO22" s="668">
        <v>46152</v>
      </c>
      <c r="AP22" s="669"/>
      <c r="AQ22" s="669"/>
      <c r="AR22" s="669"/>
      <c r="AS22" s="669"/>
      <c r="AT22" s="656">
        <v>46153</v>
      </c>
      <c r="AU22" s="657"/>
      <c r="AV22" s="657"/>
      <c r="AW22" s="657"/>
      <c r="AX22" s="658"/>
    </row>
    <row r="23" spans="2:50" ht="14.25" customHeight="1"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9"/>
      <c r="N23" s="665"/>
      <c r="O23" s="665"/>
      <c r="P23" s="659">
        <v>46147</v>
      </c>
      <c r="Q23" s="659"/>
      <c r="R23" s="659"/>
      <c r="S23" s="659"/>
      <c r="T23" s="659"/>
      <c r="U23" s="660">
        <v>46148</v>
      </c>
      <c r="V23" s="660"/>
      <c r="W23" s="660"/>
      <c r="X23" s="660"/>
      <c r="Y23" s="660"/>
      <c r="Z23" s="659">
        <v>46149</v>
      </c>
      <c r="AA23" s="659"/>
      <c r="AB23" s="659"/>
      <c r="AC23" s="659"/>
      <c r="AD23" s="659"/>
      <c r="AE23" s="660">
        <v>46150</v>
      </c>
      <c r="AF23" s="660"/>
      <c r="AG23" s="660"/>
      <c r="AH23" s="660"/>
      <c r="AI23" s="660"/>
      <c r="AJ23" s="661">
        <v>46151</v>
      </c>
      <c r="AK23" s="662"/>
      <c r="AL23" s="662"/>
      <c r="AM23" s="662"/>
      <c r="AN23" s="663"/>
      <c r="AO23" s="660">
        <v>46152</v>
      </c>
      <c r="AP23" s="660"/>
      <c r="AQ23" s="660"/>
      <c r="AR23" s="660"/>
      <c r="AS23" s="660"/>
      <c r="AT23" s="661">
        <v>46153</v>
      </c>
      <c r="AU23" s="662"/>
      <c r="AV23" s="662"/>
      <c r="AW23" s="662"/>
      <c r="AX23" s="663"/>
    </row>
    <row r="24" spans="2:50" ht="14.25" customHeight="1">
      <c r="B24" s="631" t="s">
        <v>162</v>
      </c>
      <c r="C24" s="631" t="s">
        <v>157</v>
      </c>
      <c r="D24" s="631"/>
      <c r="E24" s="631" t="s">
        <v>158</v>
      </c>
      <c r="F24" s="631"/>
      <c r="G24" s="631"/>
      <c r="H24" s="631" t="s">
        <v>163</v>
      </c>
      <c r="I24" s="635" t="s">
        <v>370</v>
      </c>
      <c r="J24" s="635"/>
      <c r="K24" s="635"/>
      <c r="L24" s="635" t="s">
        <v>163</v>
      </c>
      <c r="M24" s="635" t="s">
        <v>165</v>
      </c>
      <c r="N24" s="631"/>
      <c r="O24" s="631" t="s">
        <v>164</v>
      </c>
      <c r="P24" s="631" t="s">
        <v>160</v>
      </c>
      <c r="Q24" s="631"/>
      <c r="R24" s="631"/>
      <c r="S24" s="631"/>
      <c r="T24" s="631" t="s">
        <v>163</v>
      </c>
      <c r="U24" s="631" t="s">
        <v>160</v>
      </c>
      <c r="V24" s="631"/>
      <c r="W24" s="631"/>
      <c r="X24" s="631"/>
      <c r="Y24" s="631" t="s">
        <v>163</v>
      </c>
      <c r="Z24" s="631" t="s">
        <v>160</v>
      </c>
      <c r="AA24" s="631"/>
      <c r="AB24" s="631"/>
      <c r="AC24" s="631"/>
      <c r="AD24" s="631" t="s">
        <v>163</v>
      </c>
      <c r="AE24" s="631" t="s">
        <v>160</v>
      </c>
      <c r="AF24" s="631"/>
      <c r="AG24" s="631"/>
      <c r="AH24" s="631"/>
      <c r="AI24" s="631" t="s">
        <v>163</v>
      </c>
      <c r="AJ24" s="631" t="s">
        <v>160</v>
      </c>
      <c r="AK24" s="631"/>
      <c r="AL24" s="631"/>
      <c r="AM24" s="631"/>
      <c r="AN24" s="631" t="s">
        <v>163</v>
      </c>
      <c r="AO24" s="631" t="s">
        <v>160</v>
      </c>
      <c r="AP24" s="631"/>
      <c r="AQ24" s="631"/>
      <c r="AR24" s="631"/>
      <c r="AS24" s="631" t="s">
        <v>163</v>
      </c>
      <c r="AT24" s="631" t="s">
        <v>160</v>
      </c>
      <c r="AU24" s="631"/>
      <c r="AV24" s="631"/>
      <c r="AW24" s="631"/>
      <c r="AX24" s="631" t="s">
        <v>163</v>
      </c>
    </row>
    <row r="25" spans="2:50" ht="14.25" customHeight="1">
      <c r="B25" s="631"/>
      <c r="C25" s="631"/>
      <c r="D25" s="631"/>
      <c r="E25" s="631" t="s">
        <v>371</v>
      </c>
      <c r="F25" s="631"/>
      <c r="G25" s="631"/>
      <c r="H25" s="631"/>
      <c r="I25" s="635" t="s">
        <v>371</v>
      </c>
      <c r="J25" s="635"/>
      <c r="K25" s="635"/>
      <c r="L25" s="635"/>
      <c r="M25" s="635"/>
      <c r="N25" s="631"/>
      <c r="O25" s="631"/>
      <c r="P25" s="631" t="s">
        <v>372</v>
      </c>
      <c r="Q25" s="631"/>
      <c r="R25" s="631"/>
      <c r="S25" s="631"/>
      <c r="T25" s="631"/>
      <c r="U25" s="631" t="s">
        <v>372</v>
      </c>
      <c r="V25" s="631"/>
      <c r="W25" s="631"/>
      <c r="X25" s="631"/>
      <c r="Y25" s="631"/>
      <c r="Z25" s="631" t="s">
        <v>372</v>
      </c>
      <c r="AA25" s="631"/>
      <c r="AB25" s="631"/>
      <c r="AC25" s="631"/>
      <c r="AD25" s="631"/>
      <c r="AE25" s="631" t="s">
        <v>372</v>
      </c>
      <c r="AF25" s="631"/>
      <c r="AG25" s="631"/>
      <c r="AH25" s="631"/>
      <c r="AI25" s="631"/>
      <c r="AJ25" s="631" t="s">
        <v>372</v>
      </c>
      <c r="AK25" s="631"/>
      <c r="AL25" s="631"/>
      <c r="AM25" s="631"/>
      <c r="AN25" s="631"/>
      <c r="AO25" s="631" t="s">
        <v>372</v>
      </c>
      <c r="AP25" s="631"/>
      <c r="AQ25" s="631"/>
      <c r="AR25" s="631"/>
      <c r="AS25" s="631"/>
      <c r="AT25" s="631" t="s">
        <v>372</v>
      </c>
      <c r="AU25" s="631"/>
      <c r="AV25" s="631"/>
      <c r="AW25" s="631"/>
      <c r="AX25" s="631"/>
    </row>
    <row r="26" spans="2:50" ht="14.25" customHeight="1">
      <c r="B26" s="631"/>
      <c r="C26" s="631"/>
      <c r="D26" s="631"/>
      <c r="E26" s="180" t="s">
        <v>159</v>
      </c>
      <c r="F26" s="180" t="s">
        <v>373</v>
      </c>
      <c r="G26" s="180" t="s">
        <v>161</v>
      </c>
      <c r="H26" s="631"/>
      <c r="I26" s="181" t="s">
        <v>159</v>
      </c>
      <c r="J26" s="181" t="s">
        <v>373</v>
      </c>
      <c r="K26" s="181" t="s">
        <v>161</v>
      </c>
      <c r="L26" s="635"/>
      <c r="M26" s="635"/>
      <c r="N26" s="631"/>
      <c r="O26" s="631"/>
      <c r="P26" s="180" t="s">
        <v>159</v>
      </c>
      <c r="Q26" s="180" t="s">
        <v>373</v>
      </c>
      <c r="R26" s="180" t="s">
        <v>161</v>
      </c>
      <c r="S26" s="182" t="s">
        <v>165</v>
      </c>
      <c r="T26" s="631"/>
      <c r="U26" s="180" t="s">
        <v>159</v>
      </c>
      <c r="V26" s="180" t="s">
        <v>373</v>
      </c>
      <c r="W26" s="180" t="s">
        <v>161</v>
      </c>
      <c r="X26" s="182" t="s">
        <v>165</v>
      </c>
      <c r="Y26" s="631"/>
      <c r="Z26" s="180" t="s">
        <v>159</v>
      </c>
      <c r="AA26" s="180" t="s">
        <v>373</v>
      </c>
      <c r="AB26" s="180" t="s">
        <v>161</v>
      </c>
      <c r="AC26" s="182" t="s">
        <v>165</v>
      </c>
      <c r="AD26" s="631"/>
      <c r="AE26" s="180" t="s">
        <v>159</v>
      </c>
      <c r="AF26" s="180" t="s">
        <v>373</v>
      </c>
      <c r="AG26" s="180" t="s">
        <v>161</v>
      </c>
      <c r="AH26" s="182" t="s">
        <v>165</v>
      </c>
      <c r="AI26" s="631"/>
      <c r="AJ26" s="180" t="s">
        <v>159</v>
      </c>
      <c r="AK26" s="180" t="s">
        <v>373</v>
      </c>
      <c r="AL26" s="180" t="s">
        <v>161</v>
      </c>
      <c r="AM26" s="182" t="s">
        <v>165</v>
      </c>
      <c r="AN26" s="631"/>
      <c r="AO26" s="180" t="s">
        <v>159</v>
      </c>
      <c r="AP26" s="180" t="s">
        <v>373</v>
      </c>
      <c r="AQ26" s="180" t="s">
        <v>161</v>
      </c>
      <c r="AR26" s="182" t="s">
        <v>165</v>
      </c>
      <c r="AS26" s="631"/>
      <c r="AT26" s="180" t="s">
        <v>159</v>
      </c>
      <c r="AU26" s="180" t="s">
        <v>373</v>
      </c>
      <c r="AV26" s="180" t="s">
        <v>161</v>
      </c>
      <c r="AW26" s="182" t="s">
        <v>165</v>
      </c>
      <c r="AX26" s="631"/>
    </row>
    <row r="27" spans="2:50" ht="14.25" customHeight="1">
      <c r="B27" s="631" t="s">
        <v>377</v>
      </c>
      <c r="C27" s="180">
        <v>1</v>
      </c>
      <c r="D27" s="183" t="s">
        <v>586</v>
      </c>
      <c r="E27" s="180">
        <v>20</v>
      </c>
      <c r="F27" s="180">
        <v>3600</v>
      </c>
      <c r="G27" s="185">
        <f t="shared" ref="G27:G31" si="16">F27/E27</f>
        <v>180</v>
      </c>
      <c r="H27" s="632">
        <f>AVERAGE(G27:G41)</f>
        <v>183.96992481203011</v>
      </c>
      <c r="I27" s="186">
        <f>AVERAGE(P27,U27,Z27,AE27,AJ27,AO27,AT27)</f>
        <v>20</v>
      </c>
      <c r="J27" s="186">
        <f>AVERAGE(Q27,V27,AA27,AF27,AK27,AP27,AU27)</f>
        <v>3256.0551865659909</v>
      </c>
      <c r="K27" s="187">
        <f>AVERAGE(R27,W27,AB27,AG27,AL27,AQ27,AV27)</f>
        <v>162.80275932829954</v>
      </c>
      <c r="L27" s="633">
        <f>IFERROR(AVERAGE(K27:K41),"-")</f>
        <v>163.76049586239057</v>
      </c>
      <c r="M27" s="186">
        <f>RANK(K27, K$27:$K$41)</f>
        <v>4</v>
      </c>
      <c r="N27" s="631"/>
      <c r="O27" s="631"/>
      <c r="P27" s="188">
        <v>20</v>
      </c>
      <c r="Q27" s="188">
        <v>3258.0094722802764</v>
      </c>
      <c r="R27" s="185">
        <f>IFERROR(Q27/P27,"")</f>
        <v>162.90047361401383</v>
      </c>
      <c r="S27" s="182">
        <f>RANK(R27, R$27:R$41)</f>
        <v>4</v>
      </c>
      <c r="T27" s="632">
        <f>AVERAGE(R27:R41)</f>
        <v>163.76590203874377</v>
      </c>
      <c r="U27" s="188">
        <v>20</v>
      </c>
      <c r="V27" s="188">
        <v>3257.6494722802768</v>
      </c>
      <c r="W27" s="185">
        <f t="shared" ref="W27:W31" si="17">IFERROR(V27/U27,"")</f>
        <v>162.88247361401383</v>
      </c>
      <c r="X27" s="182">
        <f>RANK(W27, W$27:W$41)</f>
        <v>4</v>
      </c>
      <c r="Y27" s="632">
        <f>AVERAGE(W27:W41)</f>
        <v>163.77132459513476</v>
      </c>
      <c r="Z27" s="188">
        <v>20</v>
      </c>
      <c r="AA27" s="188">
        <v>3256.5694722802764</v>
      </c>
      <c r="AB27" s="185">
        <f t="shared" ref="AB27:AB31" si="18">IFERROR(AA27/Z27,"")</f>
        <v>162.82847361401383</v>
      </c>
      <c r="AC27" s="182">
        <f>RANK(AB27, AB$27:AB$41)</f>
        <v>4</v>
      </c>
      <c r="AD27" s="632">
        <f>AVERAGE(AB27:AB41)</f>
        <v>163.73420156559331</v>
      </c>
      <c r="AE27" s="188">
        <v>20</v>
      </c>
      <c r="AF27" s="188">
        <v>3256.929472280277</v>
      </c>
      <c r="AG27" s="185">
        <f>IFERROR(AF27/AE27,"")</f>
        <v>162.84647361401386</v>
      </c>
      <c r="AH27" s="182">
        <f>RANK(AG27, AG$27:AG$41)</f>
        <v>4</v>
      </c>
      <c r="AI27" s="632">
        <f>AVERAGE(AG27:AG41)</f>
        <v>163.75280863874767</v>
      </c>
      <c r="AJ27" s="188">
        <v>20</v>
      </c>
      <c r="AK27" s="188">
        <v>3255.1294722802768</v>
      </c>
      <c r="AL27" s="185">
        <f t="shared" ref="AL27:AL31" si="19">IFERROR(AK27/AJ27,"")</f>
        <v>162.75647361401383</v>
      </c>
      <c r="AM27" s="182">
        <f>RANK(AL27, AL$27:AL$41)</f>
        <v>4</v>
      </c>
      <c r="AN27" s="632">
        <f>AVERAGE(AL27:AL41)</f>
        <v>163.72532281586544</v>
      </c>
      <c r="AO27" s="188">
        <v>20</v>
      </c>
      <c r="AP27" s="188">
        <v>3254.4094722802761</v>
      </c>
      <c r="AQ27" s="185">
        <f t="shared" ref="AQ27:AQ31" si="20">IFERROR(AP27/AO27,"")</f>
        <v>162.7204736140138</v>
      </c>
      <c r="AR27" s="182">
        <f>RANK(AQ27, AQ$27:AQ$41)</f>
        <v>4</v>
      </c>
      <c r="AS27" s="632">
        <f>AVERAGE(AQ27:AQ41)</f>
        <v>163.77665140958595</v>
      </c>
      <c r="AT27" s="188">
        <v>20</v>
      </c>
      <c r="AU27" s="188">
        <v>3253.6894722802758</v>
      </c>
      <c r="AV27" s="185">
        <f t="shared" ref="AV27:AV31" si="21">IFERROR(AU27/AT27,"")</f>
        <v>162.6844736140138</v>
      </c>
      <c r="AW27" s="182">
        <f>RANK(AV27, AV$27:AV$41)</f>
        <v>4</v>
      </c>
      <c r="AX27" s="632">
        <f>AVERAGE(AV27:AV41)</f>
        <v>163.79725997306318</v>
      </c>
    </row>
    <row r="28" spans="2:50" ht="14.25" customHeight="1">
      <c r="B28" s="631"/>
      <c r="C28" s="180">
        <v>2</v>
      </c>
      <c r="D28" s="183" t="s">
        <v>587</v>
      </c>
      <c r="E28" s="180">
        <v>21</v>
      </c>
      <c r="F28" s="180">
        <v>3600</v>
      </c>
      <c r="G28" s="185">
        <f t="shared" si="16"/>
        <v>171.42857142857142</v>
      </c>
      <c r="H28" s="632"/>
      <c r="I28" s="186">
        <f t="shared" ref="I28:K31" si="22">AVERAGE(P28,U28,Z28,AE28,AJ28,AO28,AT28)</f>
        <v>21</v>
      </c>
      <c r="J28" s="186">
        <f t="shared" si="22"/>
        <v>3256.6404036683962</v>
      </c>
      <c r="K28" s="187">
        <f t="shared" si="22"/>
        <v>155.07811446039983</v>
      </c>
      <c r="L28" s="633"/>
      <c r="M28" s="186">
        <f>RANK(K28, K$27:$K$41)</f>
        <v>5</v>
      </c>
      <c r="N28" s="631"/>
      <c r="O28" s="631"/>
      <c r="P28" s="188">
        <v>21</v>
      </c>
      <c r="Q28" s="188">
        <v>3258.5639597775184</v>
      </c>
      <c r="R28" s="185">
        <f t="shared" ref="R28:R31" si="23">IFERROR(Q28/P28,"")</f>
        <v>155.16971237035801</v>
      </c>
      <c r="S28" s="182">
        <f t="shared" ref="S28:S31" si="24">RANK(R28, R$27:R$41)</f>
        <v>5</v>
      </c>
      <c r="T28" s="632"/>
      <c r="U28" s="188">
        <v>21</v>
      </c>
      <c r="V28" s="188">
        <v>3257.1239597775184</v>
      </c>
      <c r="W28" s="185">
        <f t="shared" si="17"/>
        <v>155.10114094178658</v>
      </c>
      <c r="X28" s="182">
        <f t="shared" ref="X28:X31" si="25">RANK(W28, W$27:W$41)</f>
        <v>5</v>
      </c>
      <c r="Y28" s="632"/>
      <c r="Z28" s="188">
        <v>21</v>
      </c>
      <c r="AA28" s="188">
        <v>3257.4839597775185</v>
      </c>
      <c r="AB28" s="185">
        <f t="shared" si="18"/>
        <v>155.11828379892944</v>
      </c>
      <c r="AC28" s="182">
        <f t="shared" ref="AC28:AC31" si="26">RANK(AB28, AB$27:AB$41)</f>
        <v>5</v>
      </c>
      <c r="AD28" s="632"/>
      <c r="AE28" s="188">
        <v>21</v>
      </c>
      <c r="AF28" s="188">
        <v>3257.468123511353</v>
      </c>
      <c r="AG28" s="185">
        <f t="shared" ref="AG28:AG31" si="27">IFERROR(AF28/AE28,"")</f>
        <v>155.11752969101681</v>
      </c>
      <c r="AH28" s="182">
        <f t="shared" ref="AH28:AH31" si="28">RANK(AG28, AG$27:AG$41)</f>
        <v>5</v>
      </c>
      <c r="AI28" s="632"/>
      <c r="AJ28" s="188">
        <v>21</v>
      </c>
      <c r="AK28" s="188">
        <v>3256.0281235113539</v>
      </c>
      <c r="AL28" s="185">
        <f t="shared" si="19"/>
        <v>155.04895826244541</v>
      </c>
      <c r="AM28" s="182">
        <f t="shared" ref="AM28:AM31" si="29">RANK(AL28, AL$27:AL$41)</f>
        <v>5</v>
      </c>
      <c r="AN28" s="632"/>
      <c r="AO28" s="188">
        <v>21</v>
      </c>
      <c r="AP28" s="188">
        <v>3255.4473496617552</v>
      </c>
      <c r="AQ28" s="185">
        <f t="shared" si="20"/>
        <v>155.0213023648455</v>
      </c>
      <c r="AR28" s="182">
        <f t="shared" ref="AR28:AR31" si="30">RANK(AQ28, AQ$27:AQ$41)</f>
        <v>5</v>
      </c>
      <c r="AS28" s="632"/>
      <c r="AT28" s="188">
        <v>21</v>
      </c>
      <c r="AU28" s="188">
        <v>3254.3673496617557</v>
      </c>
      <c r="AV28" s="185">
        <f t="shared" si="21"/>
        <v>154.96987379341695</v>
      </c>
      <c r="AW28" s="182">
        <f t="shared" ref="AW28:AW31" si="31">RANK(AV28, AV$27:AV$41)</f>
        <v>5</v>
      </c>
      <c r="AX28" s="632"/>
    </row>
    <row r="29" spans="2:50" ht="14.25" customHeight="1">
      <c r="B29" s="631"/>
      <c r="C29" s="180">
        <v>3</v>
      </c>
      <c r="D29" s="183" t="s">
        <v>606</v>
      </c>
      <c r="E29" s="180">
        <v>19</v>
      </c>
      <c r="F29" s="180">
        <v>3600</v>
      </c>
      <c r="G29" s="185">
        <f t="shared" si="16"/>
        <v>189.47368421052633</v>
      </c>
      <c r="H29" s="632"/>
      <c r="I29" s="186">
        <f t="shared" si="22"/>
        <v>19</v>
      </c>
      <c r="J29" s="186">
        <f t="shared" si="22"/>
        <v>3172.1023845136951</v>
      </c>
      <c r="K29" s="187">
        <f t="shared" si="22"/>
        <v>166.95275707966817</v>
      </c>
      <c r="L29" s="633"/>
      <c r="M29" s="186">
        <f>RANK(K29, K$27:$K$41)</f>
        <v>3</v>
      </c>
      <c r="N29" s="631"/>
      <c r="O29" s="631"/>
      <c r="P29" s="188">
        <v>19</v>
      </c>
      <c r="Q29" s="188">
        <v>3170.9755260564834</v>
      </c>
      <c r="R29" s="185">
        <f t="shared" si="23"/>
        <v>166.89344873981491</v>
      </c>
      <c r="S29" s="182">
        <f t="shared" si="24"/>
        <v>3</v>
      </c>
      <c r="T29" s="632"/>
      <c r="U29" s="188">
        <v>19</v>
      </c>
      <c r="V29" s="188">
        <v>3172.0555260564829</v>
      </c>
      <c r="W29" s="185">
        <f t="shared" si="17"/>
        <v>166.95029084507806</v>
      </c>
      <c r="X29" s="182">
        <f t="shared" si="25"/>
        <v>2</v>
      </c>
      <c r="Y29" s="632"/>
      <c r="Z29" s="188">
        <v>19</v>
      </c>
      <c r="AA29" s="188">
        <v>3171.3891239643322</v>
      </c>
      <c r="AB29" s="185">
        <f t="shared" si="18"/>
        <v>166.91521705075434</v>
      </c>
      <c r="AC29" s="182">
        <f t="shared" si="26"/>
        <v>1</v>
      </c>
      <c r="AD29" s="632"/>
      <c r="AE29" s="188">
        <v>19</v>
      </c>
      <c r="AF29" s="188">
        <v>3170.6691239643324</v>
      </c>
      <c r="AG29" s="185">
        <f t="shared" si="27"/>
        <v>166.87732231391223</v>
      </c>
      <c r="AH29" s="182">
        <f t="shared" si="28"/>
        <v>3</v>
      </c>
      <c r="AI29" s="632"/>
      <c r="AJ29" s="188">
        <v>19</v>
      </c>
      <c r="AK29" s="188">
        <v>3170.2320115461803</v>
      </c>
      <c r="AL29" s="185">
        <f t="shared" si="19"/>
        <v>166.85431639716739</v>
      </c>
      <c r="AM29" s="182">
        <f t="shared" si="29"/>
        <v>3</v>
      </c>
      <c r="AN29" s="632"/>
      <c r="AO29" s="188">
        <v>19</v>
      </c>
      <c r="AP29" s="188">
        <v>3173.7976900040285</v>
      </c>
      <c r="AQ29" s="185">
        <f t="shared" si="20"/>
        <v>167.04198368442255</v>
      </c>
      <c r="AR29" s="182">
        <f t="shared" si="30"/>
        <v>2</v>
      </c>
      <c r="AS29" s="632"/>
      <c r="AT29" s="188">
        <v>19</v>
      </c>
      <c r="AU29" s="188">
        <v>3175.5976900040278</v>
      </c>
      <c r="AV29" s="185">
        <f t="shared" si="21"/>
        <v>167.13672052652777</v>
      </c>
      <c r="AW29" s="182">
        <f t="shared" si="31"/>
        <v>2</v>
      </c>
      <c r="AX29" s="632"/>
    </row>
    <row r="30" spans="2:50" ht="14.25" customHeight="1">
      <c r="B30" s="631"/>
      <c r="C30" s="180">
        <v>4</v>
      </c>
      <c r="D30" s="183" t="s">
        <v>620</v>
      </c>
      <c r="E30" s="180">
        <v>19</v>
      </c>
      <c r="F30" s="180">
        <v>3600</v>
      </c>
      <c r="G30" s="185">
        <f t="shared" si="16"/>
        <v>189.47368421052633</v>
      </c>
      <c r="H30" s="632"/>
      <c r="I30" s="186">
        <f t="shared" si="22"/>
        <v>19</v>
      </c>
      <c r="J30" s="186">
        <f t="shared" si="22"/>
        <v>3172.5987712216661</v>
      </c>
      <c r="K30" s="187">
        <f t="shared" si="22"/>
        <v>166.97888269587719</v>
      </c>
      <c r="L30" s="633"/>
      <c r="M30" s="186">
        <f>RANK(K30, K$27:$K$41)</f>
        <v>2</v>
      </c>
      <c r="N30" s="631"/>
      <c r="O30" s="631"/>
      <c r="P30" s="188">
        <v>19</v>
      </c>
      <c r="Q30" s="188">
        <v>3170.9956086280649</v>
      </c>
      <c r="R30" s="185">
        <f t="shared" si="23"/>
        <v>166.89450571726658</v>
      </c>
      <c r="S30" s="182">
        <f t="shared" si="24"/>
        <v>2</v>
      </c>
      <c r="T30" s="632"/>
      <c r="U30" s="188">
        <v>19</v>
      </c>
      <c r="V30" s="188">
        <v>3171.3556086280646</v>
      </c>
      <c r="W30" s="185">
        <f t="shared" si="17"/>
        <v>166.91345308568762</v>
      </c>
      <c r="X30" s="182">
        <f t="shared" si="25"/>
        <v>3</v>
      </c>
      <c r="Y30" s="632"/>
      <c r="Z30" s="188">
        <v>19</v>
      </c>
      <c r="AA30" s="188">
        <v>3170.9956086280649</v>
      </c>
      <c r="AB30" s="185">
        <f t="shared" si="18"/>
        <v>166.89450571726658</v>
      </c>
      <c r="AC30" s="182">
        <f t="shared" si="26"/>
        <v>3</v>
      </c>
      <c r="AD30" s="632"/>
      <c r="AE30" s="188">
        <v>19</v>
      </c>
      <c r="AF30" s="188">
        <v>3171.7156086280647</v>
      </c>
      <c r="AG30" s="185">
        <f t="shared" si="27"/>
        <v>166.93240045410866</v>
      </c>
      <c r="AH30" s="182">
        <f t="shared" si="28"/>
        <v>2</v>
      </c>
      <c r="AI30" s="632"/>
      <c r="AJ30" s="188">
        <v>19</v>
      </c>
      <c r="AK30" s="188">
        <v>3173.1556086280643</v>
      </c>
      <c r="AL30" s="185">
        <f t="shared" si="19"/>
        <v>167.00818992779287</v>
      </c>
      <c r="AM30" s="182">
        <f t="shared" si="29"/>
        <v>1</v>
      </c>
      <c r="AN30" s="632"/>
      <c r="AO30" s="188">
        <v>19</v>
      </c>
      <c r="AP30" s="188">
        <v>3174.2356086280638</v>
      </c>
      <c r="AQ30" s="185">
        <f t="shared" si="20"/>
        <v>167.06503203305599</v>
      </c>
      <c r="AR30" s="182">
        <f t="shared" si="30"/>
        <v>1</v>
      </c>
      <c r="AS30" s="632"/>
      <c r="AT30" s="188">
        <v>19</v>
      </c>
      <c r="AU30" s="188">
        <v>3175.7377467832753</v>
      </c>
      <c r="AV30" s="185">
        <f t="shared" si="21"/>
        <v>167.14409193596185</v>
      </c>
      <c r="AW30" s="182">
        <f t="shared" si="31"/>
        <v>1</v>
      </c>
      <c r="AX30" s="632"/>
    </row>
    <row r="31" spans="2:50" ht="14.25" customHeight="1">
      <c r="B31" s="631"/>
      <c r="C31" s="180">
        <v>5</v>
      </c>
      <c r="D31" s="183" t="s">
        <v>588</v>
      </c>
      <c r="E31" s="180">
        <v>19</v>
      </c>
      <c r="F31" s="180">
        <v>3600</v>
      </c>
      <c r="G31" s="185">
        <f t="shared" si="16"/>
        <v>189.47368421052633</v>
      </c>
      <c r="H31" s="632"/>
      <c r="I31" s="186">
        <f t="shared" si="22"/>
        <v>19</v>
      </c>
      <c r="J31" s="186">
        <f t="shared" si="22"/>
        <v>3172.8093492064554</v>
      </c>
      <c r="K31" s="187">
        <f t="shared" si="22"/>
        <v>166.98996574770823</v>
      </c>
      <c r="L31" s="633"/>
      <c r="M31" s="186">
        <f>RANK(K31, K$27:$K$41)</f>
        <v>1</v>
      </c>
      <c r="N31" s="631"/>
      <c r="O31" s="631"/>
      <c r="P31" s="188">
        <v>19</v>
      </c>
      <c r="Q31" s="188">
        <v>3172.4560252930464</v>
      </c>
      <c r="R31" s="185">
        <f t="shared" si="23"/>
        <v>166.97136975226559</v>
      </c>
      <c r="S31" s="182">
        <f t="shared" si="24"/>
        <v>1</v>
      </c>
      <c r="T31" s="632"/>
      <c r="U31" s="188">
        <v>19</v>
      </c>
      <c r="V31" s="188">
        <v>3173.1760252930467</v>
      </c>
      <c r="W31" s="185">
        <f t="shared" si="17"/>
        <v>167.00926448910772</v>
      </c>
      <c r="X31" s="182">
        <f t="shared" si="25"/>
        <v>1</v>
      </c>
      <c r="Y31" s="632"/>
      <c r="Z31" s="188">
        <v>19</v>
      </c>
      <c r="AA31" s="188">
        <v>3171.3760252930465</v>
      </c>
      <c r="AB31" s="185">
        <f t="shared" si="18"/>
        <v>166.91452764700244</v>
      </c>
      <c r="AC31" s="182">
        <f t="shared" si="26"/>
        <v>2</v>
      </c>
      <c r="AD31" s="632"/>
      <c r="AE31" s="188">
        <v>19</v>
      </c>
      <c r="AF31" s="188">
        <v>3172.8160252930466</v>
      </c>
      <c r="AG31" s="185">
        <f t="shared" si="27"/>
        <v>166.99031712068665</v>
      </c>
      <c r="AH31" s="182">
        <f t="shared" si="28"/>
        <v>1</v>
      </c>
      <c r="AI31" s="632"/>
      <c r="AJ31" s="188">
        <v>19</v>
      </c>
      <c r="AK31" s="188">
        <v>3172.2148416802461</v>
      </c>
      <c r="AL31" s="185">
        <f t="shared" si="19"/>
        <v>166.95867587790769</v>
      </c>
      <c r="AM31" s="182">
        <f t="shared" si="29"/>
        <v>2</v>
      </c>
      <c r="AN31" s="632"/>
      <c r="AO31" s="188">
        <v>19</v>
      </c>
      <c r="AP31" s="188">
        <v>3173.6548416802452</v>
      </c>
      <c r="AQ31" s="185">
        <f t="shared" si="20"/>
        <v>167.03446535159185</v>
      </c>
      <c r="AR31" s="182">
        <f t="shared" si="30"/>
        <v>3</v>
      </c>
      <c r="AS31" s="632"/>
      <c r="AT31" s="188">
        <v>19</v>
      </c>
      <c r="AU31" s="188">
        <v>3173.9716599125145</v>
      </c>
      <c r="AV31" s="185">
        <f t="shared" si="21"/>
        <v>167.05113999539549</v>
      </c>
      <c r="AW31" s="182">
        <f t="shared" si="31"/>
        <v>3</v>
      </c>
      <c r="AX31" s="632"/>
    </row>
    <row r="32" spans="2:50" ht="14.25" customHeight="1">
      <c r="B32" s="631"/>
      <c r="C32" s="180">
        <v>6</v>
      </c>
      <c r="D32" s="183"/>
      <c r="E32" s="180"/>
      <c r="F32" s="180"/>
      <c r="G32" s="185"/>
      <c r="H32" s="632"/>
      <c r="I32" s="186"/>
      <c r="J32" s="186"/>
      <c r="K32" s="187"/>
      <c r="L32" s="633"/>
      <c r="M32" s="186"/>
      <c r="N32" s="631"/>
      <c r="O32" s="631"/>
      <c r="P32" s="188"/>
      <c r="Q32" s="188"/>
      <c r="R32" s="185"/>
      <c r="S32" s="182"/>
      <c r="T32" s="632"/>
      <c r="U32" s="188"/>
      <c r="V32" s="188"/>
      <c r="W32" s="185"/>
      <c r="X32" s="182"/>
      <c r="Y32" s="632"/>
      <c r="Z32" s="188"/>
      <c r="AA32" s="188"/>
      <c r="AB32" s="185"/>
      <c r="AC32" s="182"/>
      <c r="AD32" s="632"/>
      <c r="AE32" s="188"/>
      <c r="AF32" s="188"/>
      <c r="AG32" s="185"/>
      <c r="AH32" s="182"/>
      <c r="AI32" s="632"/>
      <c r="AJ32" s="188"/>
      <c r="AK32" s="188"/>
      <c r="AL32" s="185"/>
      <c r="AM32" s="182"/>
      <c r="AN32" s="632"/>
      <c r="AO32" s="188"/>
      <c r="AP32" s="188"/>
      <c r="AQ32" s="185"/>
      <c r="AR32" s="182"/>
      <c r="AS32" s="632"/>
      <c r="AT32" s="188"/>
      <c r="AU32" s="188"/>
      <c r="AV32" s="185"/>
      <c r="AW32" s="182"/>
      <c r="AX32" s="632"/>
    </row>
    <row r="33" spans="2:50" ht="14.25" customHeight="1">
      <c r="B33" s="631"/>
      <c r="C33" s="180">
        <v>7</v>
      </c>
      <c r="D33" s="183"/>
      <c r="E33" s="180"/>
      <c r="F33" s="180"/>
      <c r="G33" s="185"/>
      <c r="H33" s="632"/>
      <c r="I33" s="186"/>
      <c r="J33" s="186"/>
      <c r="K33" s="187"/>
      <c r="L33" s="633"/>
      <c r="M33" s="186"/>
      <c r="N33" s="631"/>
      <c r="O33" s="631"/>
      <c r="P33" s="188"/>
      <c r="Q33" s="188"/>
      <c r="R33" s="185"/>
      <c r="S33" s="182"/>
      <c r="T33" s="632"/>
      <c r="U33" s="188"/>
      <c r="V33" s="188"/>
      <c r="W33" s="185"/>
      <c r="X33" s="182"/>
      <c r="Y33" s="632"/>
      <c r="Z33" s="188"/>
      <c r="AA33" s="188"/>
      <c r="AB33" s="185"/>
      <c r="AC33" s="182"/>
      <c r="AD33" s="632"/>
      <c r="AE33" s="188"/>
      <c r="AF33" s="188"/>
      <c r="AG33" s="185"/>
      <c r="AH33" s="182"/>
      <c r="AI33" s="632"/>
      <c r="AJ33" s="188"/>
      <c r="AK33" s="188"/>
      <c r="AL33" s="185"/>
      <c r="AM33" s="182"/>
      <c r="AN33" s="632"/>
      <c r="AO33" s="188"/>
      <c r="AP33" s="188"/>
      <c r="AQ33" s="185"/>
      <c r="AR33" s="182"/>
      <c r="AS33" s="632"/>
      <c r="AT33" s="188"/>
      <c r="AU33" s="188"/>
      <c r="AV33" s="185"/>
      <c r="AW33" s="182"/>
      <c r="AX33" s="632"/>
    </row>
    <row r="34" spans="2:50" ht="14.25" customHeight="1">
      <c r="B34" s="631"/>
      <c r="C34" s="180">
        <v>8</v>
      </c>
      <c r="D34" s="183"/>
      <c r="E34" s="180"/>
      <c r="F34" s="180"/>
      <c r="G34" s="185"/>
      <c r="H34" s="632"/>
      <c r="I34" s="186"/>
      <c r="J34" s="186"/>
      <c r="K34" s="187"/>
      <c r="L34" s="633"/>
      <c r="M34" s="186"/>
      <c r="N34" s="631"/>
      <c r="O34" s="631"/>
      <c r="P34" s="188"/>
      <c r="Q34" s="188"/>
      <c r="R34" s="185"/>
      <c r="S34" s="182"/>
      <c r="T34" s="632"/>
      <c r="U34" s="188"/>
      <c r="V34" s="188"/>
      <c r="W34" s="185"/>
      <c r="X34" s="182"/>
      <c r="Y34" s="632"/>
      <c r="Z34" s="188"/>
      <c r="AA34" s="188"/>
      <c r="AB34" s="185"/>
      <c r="AC34" s="182"/>
      <c r="AD34" s="632"/>
      <c r="AE34" s="188"/>
      <c r="AF34" s="188"/>
      <c r="AG34" s="185"/>
      <c r="AH34" s="182"/>
      <c r="AI34" s="632"/>
      <c r="AJ34" s="188"/>
      <c r="AK34" s="188"/>
      <c r="AL34" s="185"/>
      <c r="AM34" s="182"/>
      <c r="AN34" s="632"/>
      <c r="AO34" s="188"/>
      <c r="AP34" s="188"/>
      <c r="AQ34" s="185"/>
      <c r="AR34" s="182"/>
      <c r="AS34" s="632"/>
      <c r="AT34" s="188"/>
      <c r="AU34" s="188"/>
      <c r="AV34" s="185"/>
      <c r="AW34" s="182"/>
      <c r="AX34" s="632"/>
    </row>
    <row r="35" spans="2:50" ht="14.25" customHeight="1">
      <c r="B35" s="631"/>
      <c r="C35" s="180">
        <v>9</v>
      </c>
      <c r="D35" s="183"/>
      <c r="E35" s="180"/>
      <c r="F35" s="180"/>
      <c r="G35" s="185"/>
      <c r="H35" s="632"/>
      <c r="I35" s="186"/>
      <c r="J35" s="186"/>
      <c r="K35" s="187"/>
      <c r="L35" s="633"/>
      <c r="M35" s="186"/>
      <c r="N35" s="631"/>
      <c r="O35" s="631"/>
      <c r="P35" s="188"/>
      <c r="Q35" s="188"/>
      <c r="R35" s="185"/>
      <c r="S35" s="182"/>
      <c r="T35" s="632"/>
      <c r="U35" s="188"/>
      <c r="V35" s="188"/>
      <c r="W35" s="185"/>
      <c r="X35" s="182"/>
      <c r="Y35" s="632"/>
      <c r="Z35" s="188"/>
      <c r="AA35" s="188"/>
      <c r="AB35" s="185"/>
      <c r="AC35" s="182"/>
      <c r="AD35" s="632"/>
      <c r="AE35" s="188"/>
      <c r="AF35" s="188"/>
      <c r="AG35" s="185"/>
      <c r="AH35" s="182"/>
      <c r="AI35" s="632"/>
      <c r="AJ35" s="188"/>
      <c r="AK35" s="188"/>
      <c r="AL35" s="185"/>
      <c r="AM35" s="182"/>
      <c r="AN35" s="632"/>
      <c r="AO35" s="188"/>
      <c r="AP35" s="188"/>
      <c r="AQ35" s="185"/>
      <c r="AR35" s="182"/>
      <c r="AS35" s="632"/>
      <c r="AT35" s="188"/>
      <c r="AU35" s="188"/>
      <c r="AV35" s="185"/>
      <c r="AW35" s="182"/>
      <c r="AX35" s="632"/>
    </row>
    <row r="36" spans="2:50" ht="14.25" customHeight="1">
      <c r="B36" s="631"/>
      <c r="C36" s="180">
        <v>10</v>
      </c>
      <c r="D36" s="183"/>
      <c r="E36" s="180"/>
      <c r="F36" s="180"/>
      <c r="G36" s="185"/>
      <c r="H36" s="632"/>
      <c r="I36" s="186"/>
      <c r="J36" s="186"/>
      <c r="K36" s="187"/>
      <c r="L36" s="633"/>
      <c r="M36" s="186"/>
      <c r="N36" s="631"/>
      <c r="O36" s="631"/>
      <c r="P36" s="188"/>
      <c r="Q36" s="188"/>
      <c r="R36" s="185"/>
      <c r="S36" s="182"/>
      <c r="T36" s="632"/>
      <c r="U36" s="188"/>
      <c r="V36" s="188"/>
      <c r="W36" s="185"/>
      <c r="X36" s="182"/>
      <c r="Y36" s="632"/>
      <c r="Z36" s="188"/>
      <c r="AA36" s="188"/>
      <c r="AB36" s="185"/>
      <c r="AC36" s="182"/>
      <c r="AD36" s="632"/>
      <c r="AE36" s="188"/>
      <c r="AF36" s="188"/>
      <c r="AG36" s="185"/>
      <c r="AH36" s="182"/>
      <c r="AI36" s="632"/>
      <c r="AJ36" s="188"/>
      <c r="AK36" s="188"/>
      <c r="AL36" s="185"/>
      <c r="AM36" s="182"/>
      <c r="AN36" s="632"/>
      <c r="AO36" s="188"/>
      <c r="AP36" s="188"/>
      <c r="AQ36" s="185"/>
      <c r="AR36" s="182"/>
      <c r="AS36" s="632"/>
      <c r="AT36" s="188"/>
      <c r="AU36" s="188"/>
      <c r="AV36" s="185"/>
      <c r="AW36" s="182"/>
      <c r="AX36" s="632"/>
    </row>
    <row r="37" spans="2:50" ht="14.25" customHeight="1">
      <c r="B37" s="631"/>
      <c r="C37" s="180">
        <v>11</v>
      </c>
      <c r="D37" s="183"/>
      <c r="E37" s="180"/>
      <c r="F37" s="180"/>
      <c r="G37" s="185"/>
      <c r="H37" s="632"/>
      <c r="I37" s="186"/>
      <c r="J37" s="186"/>
      <c r="K37" s="187"/>
      <c r="L37" s="633"/>
      <c r="M37" s="186"/>
      <c r="N37" s="631"/>
      <c r="O37" s="631"/>
      <c r="P37" s="188"/>
      <c r="Q37" s="188"/>
      <c r="R37" s="185"/>
      <c r="S37" s="182"/>
      <c r="T37" s="632"/>
      <c r="U37" s="188"/>
      <c r="V37" s="188"/>
      <c r="W37" s="185"/>
      <c r="X37" s="182"/>
      <c r="Y37" s="632"/>
      <c r="Z37" s="188"/>
      <c r="AA37" s="188"/>
      <c r="AB37" s="185"/>
      <c r="AC37" s="182"/>
      <c r="AD37" s="632"/>
      <c r="AE37" s="188"/>
      <c r="AF37" s="188"/>
      <c r="AG37" s="185"/>
      <c r="AH37" s="182"/>
      <c r="AI37" s="632"/>
      <c r="AJ37" s="188"/>
      <c r="AK37" s="188"/>
      <c r="AL37" s="185"/>
      <c r="AM37" s="182"/>
      <c r="AN37" s="632"/>
      <c r="AO37" s="188"/>
      <c r="AP37" s="188"/>
      <c r="AQ37" s="185"/>
      <c r="AR37" s="182"/>
      <c r="AS37" s="632"/>
      <c r="AT37" s="188"/>
      <c r="AU37" s="188"/>
      <c r="AV37" s="185"/>
      <c r="AW37" s="182"/>
      <c r="AX37" s="632"/>
    </row>
    <row r="38" spans="2:50" ht="14.25" customHeight="1">
      <c r="B38" s="631"/>
      <c r="C38" s="180">
        <v>12</v>
      </c>
      <c r="D38" s="183"/>
      <c r="E38" s="180"/>
      <c r="F38" s="180"/>
      <c r="G38" s="185"/>
      <c r="H38" s="632"/>
      <c r="I38" s="186"/>
      <c r="J38" s="186"/>
      <c r="K38" s="187"/>
      <c r="L38" s="633"/>
      <c r="M38" s="186"/>
      <c r="N38" s="631"/>
      <c r="O38" s="631"/>
      <c r="P38" s="188"/>
      <c r="Q38" s="188"/>
      <c r="R38" s="185"/>
      <c r="S38" s="182"/>
      <c r="T38" s="632"/>
      <c r="U38" s="188"/>
      <c r="V38" s="188"/>
      <c r="W38" s="185"/>
      <c r="X38" s="182"/>
      <c r="Y38" s="632"/>
      <c r="Z38" s="188"/>
      <c r="AA38" s="188"/>
      <c r="AB38" s="185"/>
      <c r="AC38" s="182"/>
      <c r="AD38" s="632"/>
      <c r="AE38" s="188"/>
      <c r="AF38" s="188"/>
      <c r="AG38" s="185"/>
      <c r="AH38" s="182"/>
      <c r="AI38" s="632"/>
      <c r="AJ38" s="188"/>
      <c r="AK38" s="188"/>
      <c r="AL38" s="185"/>
      <c r="AM38" s="182"/>
      <c r="AN38" s="632"/>
      <c r="AO38" s="188"/>
      <c r="AP38" s="188"/>
      <c r="AQ38" s="185"/>
      <c r="AR38" s="182"/>
      <c r="AS38" s="632"/>
      <c r="AT38" s="188"/>
      <c r="AU38" s="188"/>
      <c r="AV38" s="185"/>
      <c r="AW38" s="182"/>
      <c r="AX38" s="632"/>
    </row>
    <row r="39" spans="2:50" ht="14.25" customHeight="1">
      <c r="B39" s="631"/>
      <c r="C39" s="180">
        <v>13</v>
      </c>
      <c r="D39" s="183"/>
      <c r="E39" s="180"/>
      <c r="F39" s="180"/>
      <c r="G39" s="185"/>
      <c r="H39" s="632"/>
      <c r="I39" s="186"/>
      <c r="J39" s="186"/>
      <c r="K39" s="187"/>
      <c r="L39" s="633"/>
      <c r="M39" s="186"/>
      <c r="N39" s="631"/>
      <c r="O39" s="631"/>
      <c r="P39" s="188"/>
      <c r="Q39" s="188"/>
      <c r="R39" s="185"/>
      <c r="S39" s="182"/>
      <c r="T39" s="632"/>
      <c r="U39" s="188"/>
      <c r="V39" s="188"/>
      <c r="W39" s="185"/>
      <c r="X39" s="182"/>
      <c r="Y39" s="632"/>
      <c r="Z39" s="188"/>
      <c r="AA39" s="188"/>
      <c r="AB39" s="185"/>
      <c r="AC39" s="182"/>
      <c r="AD39" s="632"/>
      <c r="AE39" s="188"/>
      <c r="AF39" s="188"/>
      <c r="AG39" s="185"/>
      <c r="AH39" s="182"/>
      <c r="AI39" s="632"/>
      <c r="AJ39" s="188"/>
      <c r="AK39" s="188"/>
      <c r="AL39" s="185"/>
      <c r="AM39" s="182"/>
      <c r="AN39" s="632"/>
      <c r="AO39" s="188"/>
      <c r="AP39" s="188"/>
      <c r="AQ39" s="185"/>
      <c r="AR39" s="182"/>
      <c r="AS39" s="632"/>
      <c r="AT39" s="188"/>
      <c r="AU39" s="188"/>
      <c r="AV39" s="185"/>
      <c r="AW39" s="182"/>
      <c r="AX39" s="632"/>
    </row>
    <row r="40" spans="2:50" ht="14.25" customHeight="1">
      <c r="B40" s="631"/>
      <c r="C40" s="180">
        <v>14</v>
      </c>
      <c r="D40" s="183"/>
      <c r="E40" s="180"/>
      <c r="F40" s="180"/>
      <c r="G40" s="185"/>
      <c r="H40" s="632"/>
      <c r="I40" s="186"/>
      <c r="J40" s="186"/>
      <c r="K40" s="187"/>
      <c r="L40" s="633"/>
      <c r="M40" s="186"/>
      <c r="N40" s="631"/>
      <c r="O40" s="631"/>
      <c r="P40" s="188"/>
      <c r="Q40" s="188"/>
      <c r="R40" s="185"/>
      <c r="S40" s="182"/>
      <c r="T40" s="632"/>
      <c r="U40" s="188"/>
      <c r="V40" s="188"/>
      <c r="W40" s="185"/>
      <c r="X40" s="182"/>
      <c r="Y40" s="632"/>
      <c r="Z40" s="188"/>
      <c r="AA40" s="188"/>
      <c r="AB40" s="185"/>
      <c r="AC40" s="182"/>
      <c r="AD40" s="632"/>
      <c r="AE40" s="188"/>
      <c r="AF40" s="188"/>
      <c r="AG40" s="185"/>
      <c r="AH40" s="182"/>
      <c r="AI40" s="632"/>
      <c r="AJ40" s="188"/>
      <c r="AK40" s="188"/>
      <c r="AL40" s="185"/>
      <c r="AM40" s="182"/>
      <c r="AN40" s="632"/>
      <c r="AO40" s="188"/>
      <c r="AP40" s="188"/>
      <c r="AQ40" s="185"/>
      <c r="AR40" s="182"/>
      <c r="AS40" s="632"/>
      <c r="AT40" s="188"/>
      <c r="AU40" s="188"/>
      <c r="AV40" s="185"/>
      <c r="AW40" s="182"/>
      <c r="AX40" s="632"/>
    </row>
    <row r="41" spans="2:50" ht="13.5" customHeight="1">
      <c r="B41" s="631"/>
      <c r="C41" s="180">
        <v>15</v>
      </c>
      <c r="D41" s="183"/>
      <c r="E41" s="180"/>
      <c r="F41" s="180"/>
      <c r="G41" s="185"/>
      <c r="H41" s="632"/>
      <c r="I41" s="186"/>
      <c r="J41" s="186"/>
      <c r="K41" s="187"/>
      <c r="L41" s="633"/>
      <c r="M41" s="186"/>
      <c r="N41" s="631"/>
      <c r="O41" s="631"/>
      <c r="P41" s="188"/>
      <c r="Q41" s="188"/>
      <c r="R41" s="185"/>
      <c r="S41" s="182"/>
      <c r="T41" s="632"/>
      <c r="U41" s="188"/>
      <c r="V41" s="188"/>
      <c r="W41" s="185"/>
      <c r="X41" s="182"/>
      <c r="Y41" s="632"/>
      <c r="Z41" s="188"/>
      <c r="AA41" s="188"/>
      <c r="AB41" s="185"/>
      <c r="AC41" s="182"/>
      <c r="AD41" s="632"/>
      <c r="AE41" s="188"/>
      <c r="AF41" s="188"/>
      <c r="AG41" s="185"/>
      <c r="AH41" s="182"/>
      <c r="AI41" s="632"/>
      <c r="AJ41" s="188"/>
      <c r="AK41" s="188"/>
      <c r="AL41" s="185"/>
      <c r="AM41" s="182"/>
      <c r="AN41" s="632"/>
      <c r="AO41" s="188"/>
      <c r="AP41" s="188"/>
      <c r="AQ41" s="185"/>
      <c r="AR41" s="182"/>
      <c r="AS41" s="632"/>
      <c r="AT41" s="188"/>
      <c r="AU41" s="188"/>
      <c r="AV41" s="185"/>
      <c r="AW41" s="182"/>
      <c r="AX41" s="632"/>
    </row>
    <row r="42" spans="2:50" ht="14.25" customHeight="1">
      <c r="B42" s="645" t="s">
        <v>743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7"/>
      <c r="N42" s="664" t="s">
        <v>369</v>
      </c>
      <c r="O42" s="664" t="s">
        <v>105</v>
      </c>
      <c r="P42" s="666">
        <v>46154</v>
      </c>
      <c r="Q42" s="667"/>
      <c r="R42" s="667"/>
      <c r="S42" s="667"/>
      <c r="T42" s="667"/>
      <c r="U42" s="668">
        <v>46155</v>
      </c>
      <c r="V42" s="669"/>
      <c r="W42" s="669"/>
      <c r="X42" s="669"/>
      <c r="Y42" s="669"/>
      <c r="Z42" s="666">
        <v>46156</v>
      </c>
      <c r="AA42" s="667"/>
      <c r="AB42" s="667"/>
      <c r="AC42" s="667"/>
      <c r="AD42" s="667"/>
      <c r="AE42" s="668">
        <v>46157</v>
      </c>
      <c r="AF42" s="669"/>
      <c r="AG42" s="669"/>
      <c r="AH42" s="669"/>
      <c r="AI42" s="669"/>
      <c r="AJ42" s="656">
        <v>46158</v>
      </c>
      <c r="AK42" s="657"/>
      <c r="AL42" s="657"/>
      <c r="AM42" s="657"/>
      <c r="AN42" s="658"/>
      <c r="AO42" s="668">
        <v>46159</v>
      </c>
      <c r="AP42" s="669"/>
      <c r="AQ42" s="669"/>
      <c r="AR42" s="669"/>
      <c r="AS42" s="669"/>
      <c r="AT42" s="656">
        <v>46160</v>
      </c>
      <c r="AU42" s="657"/>
      <c r="AV42" s="657"/>
      <c r="AW42" s="657"/>
      <c r="AX42" s="658"/>
    </row>
    <row r="43" spans="2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65"/>
      <c r="O43" s="665"/>
      <c r="P43" s="659">
        <v>46154</v>
      </c>
      <c r="Q43" s="659"/>
      <c r="R43" s="659"/>
      <c r="S43" s="659"/>
      <c r="T43" s="659"/>
      <c r="U43" s="660">
        <v>46155</v>
      </c>
      <c r="V43" s="660"/>
      <c r="W43" s="660"/>
      <c r="X43" s="660"/>
      <c r="Y43" s="660"/>
      <c r="Z43" s="659">
        <v>46156</v>
      </c>
      <c r="AA43" s="659"/>
      <c r="AB43" s="659"/>
      <c r="AC43" s="659"/>
      <c r="AD43" s="659"/>
      <c r="AE43" s="660">
        <v>46157</v>
      </c>
      <c r="AF43" s="660"/>
      <c r="AG43" s="660"/>
      <c r="AH43" s="660"/>
      <c r="AI43" s="660"/>
      <c r="AJ43" s="661">
        <v>46158</v>
      </c>
      <c r="AK43" s="662"/>
      <c r="AL43" s="662"/>
      <c r="AM43" s="662"/>
      <c r="AN43" s="663"/>
      <c r="AO43" s="660">
        <v>46159</v>
      </c>
      <c r="AP43" s="660"/>
      <c r="AQ43" s="660"/>
      <c r="AR43" s="660"/>
      <c r="AS43" s="660"/>
      <c r="AT43" s="661">
        <v>46160</v>
      </c>
      <c r="AU43" s="662"/>
      <c r="AV43" s="662"/>
      <c r="AW43" s="662"/>
      <c r="AX43" s="663"/>
    </row>
    <row r="44" spans="2:50" ht="14.25" customHeight="1">
      <c r="B44" s="631" t="s">
        <v>162</v>
      </c>
      <c r="C44" s="631" t="s">
        <v>157</v>
      </c>
      <c r="D44" s="631"/>
      <c r="E44" s="631" t="s">
        <v>158</v>
      </c>
      <c r="F44" s="631"/>
      <c r="G44" s="631"/>
      <c r="H44" s="631" t="s">
        <v>163</v>
      </c>
      <c r="I44" s="635" t="s">
        <v>370</v>
      </c>
      <c r="J44" s="635"/>
      <c r="K44" s="635"/>
      <c r="L44" s="635" t="s">
        <v>163</v>
      </c>
      <c r="M44" s="635" t="s">
        <v>165</v>
      </c>
      <c r="N44" s="631"/>
      <c r="O44" s="631" t="s">
        <v>164</v>
      </c>
      <c r="P44" s="631" t="s">
        <v>160</v>
      </c>
      <c r="Q44" s="631"/>
      <c r="R44" s="631"/>
      <c r="S44" s="631"/>
      <c r="T44" s="631" t="s">
        <v>163</v>
      </c>
      <c r="U44" s="631" t="s">
        <v>160</v>
      </c>
      <c r="V44" s="631"/>
      <c r="W44" s="631"/>
      <c r="X44" s="631"/>
      <c r="Y44" s="631" t="s">
        <v>163</v>
      </c>
      <c r="Z44" s="631" t="s">
        <v>160</v>
      </c>
      <c r="AA44" s="631"/>
      <c r="AB44" s="631"/>
      <c r="AC44" s="631"/>
      <c r="AD44" s="631" t="s">
        <v>163</v>
      </c>
      <c r="AE44" s="631" t="s">
        <v>160</v>
      </c>
      <c r="AF44" s="631"/>
      <c r="AG44" s="631"/>
      <c r="AH44" s="631"/>
      <c r="AI44" s="631" t="s">
        <v>163</v>
      </c>
      <c r="AJ44" s="631" t="s">
        <v>160</v>
      </c>
      <c r="AK44" s="631"/>
      <c r="AL44" s="631"/>
      <c r="AM44" s="631"/>
      <c r="AN44" s="631" t="s">
        <v>163</v>
      </c>
      <c r="AO44" s="631" t="s">
        <v>160</v>
      </c>
      <c r="AP44" s="631"/>
      <c r="AQ44" s="631"/>
      <c r="AR44" s="631"/>
      <c r="AS44" s="631" t="s">
        <v>163</v>
      </c>
      <c r="AT44" s="631" t="s">
        <v>160</v>
      </c>
      <c r="AU44" s="631"/>
      <c r="AV44" s="631"/>
      <c r="AW44" s="631"/>
      <c r="AX44" s="631" t="s">
        <v>163</v>
      </c>
    </row>
    <row r="45" spans="2:50" ht="14.25" customHeight="1">
      <c r="B45" s="631"/>
      <c r="C45" s="631"/>
      <c r="D45" s="631"/>
      <c r="E45" s="631" t="s">
        <v>371</v>
      </c>
      <c r="F45" s="631"/>
      <c r="G45" s="631"/>
      <c r="H45" s="631"/>
      <c r="I45" s="635" t="s">
        <v>371</v>
      </c>
      <c r="J45" s="635"/>
      <c r="K45" s="635"/>
      <c r="L45" s="635"/>
      <c r="M45" s="635"/>
      <c r="N45" s="631"/>
      <c r="O45" s="631"/>
      <c r="P45" s="631" t="s">
        <v>372</v>
      </c>
      <c r="Q45" s="631"/>
      <c r="R45" s="631"/>
      <c r="S45" s="631"/>
      <c r="T45" s="631"/>
      <c r="U45" s="631" t="s">
        <v>372</v>
      </c>
      <c r="V45" s="631"/>
      <c r="W45" s="631"/>
      <c r="X45" s="631"/>
      <c r="Y45" s="631"/>
      <c r="Z45" s="631" t="s">
        <v>372</v>
      </c>
      <c r="AA45" s="631"/>
      <c r="AB45" s="631"/>
      <c r="AC45" s="631"/>
      <c r="AD45" s="631"/>
      <c r="AE45" s="631" t="s">
        <v>372</v>
      </c>
      <c r="AF45" s="631"/>
      <c r="AG45" s="631"/>
      <c r="AH45" s="631"/>
      <c r="AI45" s="631"/>
      <c r="AJ45" s="631" t="s">
        <v>372</v>
      </c>
      <c r="AK45" s="631"/>
      <c r="AL45" s="631"/>
      <c r="AM45" s="631"/>
      <c r="AN45" s="631"/>
      <c r="AO45" s="631" t="s">
        <v>372</v>
      </c>
      <c r="AP45" s="631"/>
      <c r="AQ45" s="631"/>
      <c r="AR45" s="631"/>
      <c r="AS45" s="631"/>
      <c r="AT45" s="631" t="s">
        <v>372</v>
      </c>
      <c r="AU45" s="631"/>
      <c r="AV45" s="631"/>
      <c r="AW45" s="631"/>
      <c r="AX45" s="631"/>
    </row>
    <row r="46" spans="2:50" ht="14.25" customHeight="1">
      <c r="B46" s="631"/>
      <c r="C46" s="631"/>
      <c r="D46" s="631"/>
      <c r="E46" s="180" t="s">
        <v>159</v>
      </c>
      <c r="F46" s="180" t="s">
        <v>373</v>
      </c>
      <c r="G46" s="180" t="s">
        <v>161</v>
      </c>
      <c r="H46" s="631"/>
      <c r="I46" s="181" t="s">
        <v>159</v>
      </c>
      <c r="J46" s="181" t="s">
        <v>373</v>
      </c>
      <c r="K46" s="181" t="s">
        <v>161</v>
      </c>
      <c r="L46" s="635"/>
      <c r="M46" s="635"/>
      <c r="N46" s="631"/>
      <c r="O46" s="631"/>
      <c r="P46" s="180" t="s">
        <v>159</v>
      </c>
      <c r="Q46" s="180" t="s">
        <v>373</v>
      </c>
      <c r="R46" s="180" t="s">
        <v>161</v>
      </c>
      <c r="S46" s="182" t="s">
        <v>165</v>
      </c>
      <c r="T46" s="631"/>
      <c r="U46" s="180" t="s">
        <v>159</v>
      </c>
      <c r="V46" s="180" t="s">
        <v>373</v>
      </c>
      <c r="W46" s="180" t="s">
        <v>161</v>
      </c>
      <c r="X46" s="182" t="s">
        <v>165</v>
      </c>
      <c r="Y46" s="631"/>
      <c r="Z46" s="180" t="s">
        <v>159</v>
      </c>
      <c r="AA46" s="180" t="s">
        <v>373</v>
      </c>
      <c r="AB46" s="180" t="s">
        <v>161</v>
      </c>
      <c r="AC46" s="182" t="s">
        <v>165</v>
      </c>
      <c r="AD46" s="631"/>
      <c r="AE46" s="180" t="s">
        <v>159</v>
      </c>
      <c r="AF46" s="180" t="s">
        <v>373</v>
      </c>
      <c r="AG46" s="180" t="s">
        <v>161</v>
      </c>
      <c r="AH46" s="182" t="s">
        <v>165</v>
      </c>
      <c r="AI46" s="631"/>
      <c r="AJ46" s="180" t="s">
        <v>159</v>
      </c>
      <c r="AK46" s="180" t="s">
        <v>373</v>
      </c>
      <c r="AL46" s="180" t="s">
        <v>161</v>
      </c>
      <c r="AM46" s="182" t="s">
        <v>165</v>
      </c>
      <c r="AN46" s="631"/>
      <c r="AO46" s="180" t="s">
        <v>159</v>
      </c>
      <c r="AP46" s="180" t="s">
        <v>373</v>
      </c>
      <c r="AQ46" s="180" t="s">
        <v>161</v>
      </c>
      <c r="AR46" s="182" t="s">
        <v>165</v>
      </c>
      <c r="AS46" s="631"/>
      <c r="AT46" s="180" t="s">
        <v>159</v>
      </c>
      <c r="AU46" s="180" t="s">
        <v>373</v>
      </c>
      <c r="AV46" s="180" t="s">
        <v>161</v>
      </c>
      <c r="AW46" s="182" t="s">
        <v>165</v>
      </c>
      <c r="AX46" s="631"/>
    </row>
    <row r="47" spans="2:50" ht="14.25" customHeight="1">
      <c r="B47" s="631" t="s">
        <v>377</v>
      </c>
      <c r="C47" s="180">
        <v>1</v>
      </c>
      <c r="D47" s="183" t="s">
        <v>586</v>
      </c>
      <c r="E47" s="180">
        <v>20</v>
      </c>
      <c r="F47" s="180">
        <v>3600</v>
      </c>
      <c r="G47" s="185">
        <f t="shared" ref="G47:G51" si="32">F47/E47</f>
        <v>180</v>
      </c>
      <c r="H47" s="632">
        <f>AVERAGE(G47:G61)</f>
        <v>183.96992481203011</v>
      </c>
      <c r="I47" s="186">
        <f>AVERAGE(P47,U47,Z47,AE47,AJ47,AO47,AT47)</f>
        <v>20</v>
      </c>
      <c r="J47" s="186">
        <f>AVERAGE(Q47,V47,AA47,AF47,AK47,AP47,AU47)</f>
        <v>3252.1980437088473</v>
      </c>
      <c r="K47" s="187">
        <f>AVERAGE(R47,W47,AB47,AG47,AL47,AQ47,AV47)</f>
        <v>162.60990218544239</v>
      </c>
      <c r="L47" s="633">
        <f>IFERROR(AVERAGE(K47:K61),"-")</f>
        <v>163.78593143038194</v>
      </c>
      <c r="M47" s="186">
        <f>RANK(K47, K$47:$K$61)</f>
        <v>4</v>
      </c>
      <c r="N47" s="631"/>
      <c r="O47" s="631"/>
      <c r="P47" s="188">
        <v>20</v>
      </c>
      <c r="Q47" s="188">
        <v>3254.0494722802759</v>
      </c>
      <c r="R47" s="185">
        <f>IFERROR(Q47/P47,"")</f>
        <v>162.7024736140138</v>
      </c>
      <c r="S47" s="182">
        <f>RANK(R47, R$47:R$61)</f>
        <v>4</v>
      </c>
      <c r="T47" s="632">
        <f>AVERAGE(R47:R61)</f>
        <v>163.76368704073235</v>
      </c>
      <c r="U47" s="188">
        <v>20</v>
      </c>
      <c r="V47" s="188">
        <v>3253.6894722802763</v>
      </c>
      <c r="W47" s="185">
        <f t="shared" ref="W47:W51" si="33">IFERROR(V47/U47,"")</f>
        <v>162.68447361401383</v>
      </c>
      <c r="X47" s="182">
        <f>RANK(W47, W$47:W$61)</f>
        <v>4</v>
      </c>
      <c r="Y47" s="632">
        <f>AVERAGE(W47:W61)</f>
        <v>163.78174117607071</v>
      </c>
      <c r="Z47" s="188">
        <v>20</v>
      </c>
      <c r="AA47" s="188">
        <v>3253.6894722802763</v>
      </c>
      <c r="AB47" s="185">
        <f t="shared" ref="AB47:AB51" si="34">IFERROR(AA47/Z47,"")</f>
        <v>162.68447361401383</v>
      </c>
      <c r="AC47" s="182">
        <f>RANK(AB47, AB$47:AB$61)</f>
        <v>4</v>
      </c>
      <c r="AD47" s="632">
        <f>AVERAGE(AB47:AB61)</f>
        <v>163.80433112907818</v>
      </c>
      <c r="AE47" s="188">
        <v>20</v>
      </c>
      <c r="AF47" s="188">
        <v>3252.6094722802759</v>
      </c>
      <c r="AG47" s="185">
        <f>IFERROR(AF47/AE47,"")</f>
        <v>162.63047361401379</v>
      </c>
      <c r="AH47" s="182">
        <f>RANK(AG47, AG$47:AG$61)</f>
        <v>4</v>
      </c>
      <c r="AI47" s="632">
        <f>AVERAGE(AG47:AG61)</f>
        <v>163.80122092366196</v>
      </c>
      <c r="AJ47" s="188">
        <v>20</v>
      </c>
      <c r="AK47" s="188">
        <v>3250.8094722802762</v>
      </c>
      <c r="AL47" s="185">
        <f t="shared" ref="AL47:AL51" si="35">IFERROR(AK47/AJ47,"")</f>
        <v>162.54047361401382</v>
      </c>
      <c r="AM47" s="182">
        <f>RANK(AL47, AL$47:AL$61)</f>
        <v>4</v>
      </c>
      <c r="AN47" s="632">
        <f>AVERAGE(AL47:AL61)</f>
        <v>163.7866494950905</v>
      </c>
      <c r="AO47" s="188">
        <v>20</v>
      </c>
      <c r="AP47" s="188">
        <v>3250.0894722802759</v>
      </c>
      <c r="AQ47" s="185">
        <f t="shared" ref="AQ47:AQ51" si="36">IFERROR(AP47/AO47,"")</f>
        <v>162.50447361401379</v>
      </c>
      <c r="AR47" s="182">
        <f>RANK(AQ47, AQ$47:AQ$61)</f>
        <v>4</v>
      </c>
      <c r="AS47" s="632">
        <f>AVERAGE(AQ47:AQ61)</f>
        <v>163.78811114922584</v>
      </c>
      <c r="AT47" s="188">
        <v>20</v>
      </c>
      <c r="AU47" s="188">
        <v>3250.4494722802756</v>
      </c>
      <c r="AV47" s="185">
        <f t="shared" ref="AV47:AV51" si="37">IFERROR(AU47/AT47,"")</f>
        <v>162.52247361401379</v>
      </c>
      <c r="AW47" s="182">
        <f>RANK(AV47, AV$47:AV$61)</f>
        <v>4</v>
      </c>
      <c r="AX47" s="632">
        <f>AVERAGE(AV47:AV61)</f>
        <v>163.77577909881407</v>
      </c>
    </row>
    <row r="48" spans="2:50" ht="14.25" customHeight="1">
      <c r="B48" s="631"/>
      <c r="C48" s="180">
        <v>2</v>
      </c>
      <c r="D48" s="183" t="s">
        <v>587</v>
      </c>
      <c r="E48" s="180">
        <v>21</v>
      </c>
      <c r="F48" s="180">
        <v>3600</v>
      </c>
      <c r="G48" s="185">
        <f t="shared" si="32"/>
        <v>171.42857142857142</v>
      </c>
      <c r="H48" s="632"/>
      <c r="I48" s="186">
        <f t="shared" ref="I48:K51" si="38">AVERAGE(P48,U48,Z48,AE48,AJ48,AO48,AT48)</f>
        <v>21</v>
      </c>
      <c r="J48" s="186">
        <f t="shared" si="38"/>
        <v>3253.8252110108433</v>
      </c>
      <c r="K48" s="187">
        <f t="shared" si="38"/>
        <v>154.94405766718299</v>
      </c>
      <c r="L48" s="633"/>
      <c r="M48" s="186">
        <f>RANK(K48, K$47:$K$61)</f>
        <v>5</v>
      </c>
      <c r="N48" s="631"/>
      <c r="O48" s="631"/>
      <c r="P48" s="188">
        <v>21</v>
      </c>
      <c r="Q48" s="188">
        <v>3253.6473496617559</v>
      </c>
      <c r="R48" s="185">
        <f t="shared" ref="R48:R51" si="39">IFERROR(Q48/P48,"")</f>
        <v>154.93558807913124</v>
      </c>
      <c r="S48" s="182">
        <f t="shared" ref="S48:S51" si="40">RANK(R48, R$47:R$61)</f>
        <v>5</v>
      </c>
      <c r="T48" s="632"/>
      <c r="U48" s="188">
        <v>21</v>
      </c>
      <c r="V48" s="188">
        <v>3254.7273496617563</v>
      </c>
      <c r="W48" s="185">
        <f t="shared" si="33"/>
        <v>154.98701665055984</v>
      </c>
      <c r="X48" s="182">
        <f t="shared" ref="X48:X51" si="41">RANK(W48, W$47:W$61)</f>
        <v>5</v>
      </c>
      <c r="Y48" s="632"/>
      <c r="Z48" s="188">
        <v>21</v>
      </c>
      <c r="AA48" s="188">
        <v>3253.2873496617567</v>
      </c>
      <c r="AB48" s="185">
        <f t="shared" si="34"/>
        <v>154.91844522198841</v>
      </c>
      <c r="AC48" s="182">
        <f t="shared" ref="AC48:AC51" si="42">RANK(AB48, AB$47:AB$61)</f>
        <v>5</v>
      </c>
      <c r="AD48" s="632"/>
      <c r="AE48" s="188">
        <v>21</v>
      </c>
      <c r="AF48" s="188">
        <v>3254.3673496617566</v>
      </c>
      <c r="AG48" s="185">
        <f t="shared" ref="AG48:AG51" si="43">IFERROR(AF48/AE48,"")</f>
        <v>154.96987379341698</v>
      </c>
      <c r="AH48" s="182">
        <f t="shared" ref="AH48:AH51" si="44">RANK(AG48, AG$47:AG$61)</f>
        <v>5</v>
      </c>
      <c r="AI48" s="632"/>
      <c r="AJ48" s="188">
        <v>21</v>
      </c>
      <c r="AK48" s="188">
        <v>3254.7273496617568</v>
      </c>
      <c r="AL48" s="185">
        <f t="shared" si="35"/>
        <v>154.98701665055984</v>
      </c>
      <c r="AM48" s="182">
        <f t="shared" ref="AM48:AM51" si="45">RANK(AL48, AL$47:AL$61)</f>
        <v>5</v>
      </c>
      <c r="AN48" s="632"/>
      <c r="AO48" s="188">
        <v>21</v>
      </c>
      <c r="AP48" s="188">
        <v>3253.6473496617573</v>
      </c>
      <c r="AQ48" s="185">
        <f t="shared" si="36"/>
        <v>154.93558807913129</v>
      </c>
      <c r="AR48" s="182">
        <f t="shared" ref="AR48:AR51" si="46">RANK(AQ48, AQ$47:AQ$61)</f>
        <v>5</v>
      </c>
      <c r="AS48" s="632"/>
      <c r="AT48" s="188">
        <v>21</v>
      </c>
      <c r="AU48" s="188">
        <v>3252.3723791053621</v>
      </c>
      <c r="AV48" s="185">
        <f t="shared" si="37"/>
        <v>154.87487519549344</v>
      </c>
      <c r="AW48" s="182">
        <f t="shared" ref="AW48:AW51" si="47">RANK(AV48, AV$47:AV$61)</f>
        <v>5</v>
      </c>
      <c r="AX48" s="632"/>
    </row>
    <row r="49" spans="2:50" ht="14.25" customHeight="1">
      <c r="B49" s="631"/>
      <c r="C49" s="180">
        <v>3</v>
      </c>
      <c r="D49" s="183" t="s">
        <v>606</v>
      </c>
      <c r="E49" s="180">
        <v>19</v>
      </c>
      <c r="F49" s="180">
        <v>3600</v>
      </c>
      <c r="G49" s="185">
        <f t="shared" si="32"/>
        <v>189.47368421052633</v>
      </c>
      <c r="H49" s="632"/>
      <c r="I49" s="186">
        <f t="shared" si="38"/>
        <v>19</v>
      </c>
      <c r="J49" s="186">
        <f t="shared" si="38"/>
        <v>3176.5436780862042</v>
      </c>
      <c r="K49" s="187">
        <f t="shared" si="38"/>
        <v>167.18650937295811</v>
      </c>
      <c r="L49" s="633"/>
      <c r="M49" s="186">
        <f>RANK(K49, K$47:$K$61)</f>
        <v>1</v>
      </c>
      <c r="N49" s="631"/>
      <c r="O49" s="631"/>
      <c r="P49" s="188">
        <v>19</v>
      </c>
      <c r="Q49" s="188">
        <v>3173.7976900040276</v>
      </c>
      <c r="R49" s="185">
        <f t="shared" si="39"/>
        <v>167.04198368442249</v>
      </c>
      <c r="S49" s="182">
        <f t="shared" si="40"/>
        <v>3</v>
      </c>
      <c r="T49" s="632"/>
      <c r="U49" s="188">
        <v>19</v>
      </c>
      <c r="V49" s="188">
        <v>3173.7976900040271</v>
      </c>
      <c r="W49" s="185">
        <f t="shared" si="33"/>
        <v>167.04198368442249</v>
      </c>
      <c r="X49" s="182">
        <f t="shared" si="41"/>
        <v>3</v>
      </c>
      <c r="Y49" s="632"/>
      <c r="Z49" s="188">
        <v>19</v>
      </c>
      <c r="AA49" s="188">
        <v>3175.9140733190757</v>
      </c>
      <c r="AB49" s="185">
        <f t="shared" si="34"/>
        <v>167.15337227995136</v>
      </c>
      <c r="AC49" s="182">
        <f t="shared" si="42"/>
        <v>1</v>
      </c>
      <c r="AD49" s="632"/>
      <c r="AE49" s="188">
        <v>19</v>
      </c>
      <c r="AF49" s="188">
        <v>3176.6340733190755</v>
      </c>
      <c r="AG49" s="185">
        <f t="shared" si="43"/>
        <v>167.19126701679343</v>
      </c>
      <c r="AH49" s="182">
        <f t="shared" si="44"/>
        <v>1</v>
      </c>
      <c r="AI49" s="632"/>
      <c r="AJ49" s="188">
        <v>19</v>
      </c>
      <c r="AK49" s="188">
        <v>3177.3540733190748</v>
      </c>
      <c r="AL49" s="185">
        <f t="shared" si="35"/>
        <v>167.22916175363551</v>
      </c>
      <c r="AM49" s="182">
        <f t="shared" si="45"/>
        <v>1</v>
      </c>
      <c r="AN49" s="632"/>
      <c r="AO49" s="188">
        <v>19</v>
      </c>
      <c r="AP49" s="188">
        <v>3178.7940733190744</v>
      </c>
      <c r="AQ49" s="185">
        <f t="shared" si="36"/>
        <v>167.30495122731972</v>
      </c>
      <c r="AR49" s="182">
        <f t="shared" si="46"/>
        <v>1</v>
      </c>
      <c r="AS49" s="632"/>
      <c r="AT49" s="188">
        <v>19</v>
      </c>
      <c r="AU49" s="188">
        <v>3179.5140733190747</v>
      </c>
      <c r="AV49" s="185">
        <f t="shared" si="37"/>
        <v>167.34284596416182</v>
      </c>
      <c r="AW49" s="182">
        <f t="shared" si="47"/>
        <v>1</v>
      </c>
      <c r="AX49" s="632"/>
    </row>
    <row r="50" spans="2:50" ht="14.25" customHeight="1">
      <c r="B50" s="631"/>
      <c r="C50" s="180">
        <v>4</v>
      </c>
      <c r="D50" s="183" t="s">
        <v>620</v>
      </c>
      <c r="E50" s="180">
        <v>19</v>
      </c>
      <c r="F50" s="180">
        <v>3600</v>
      </c>
      <c r="G50" s="185">
        <f t="shared" si="32"/>
        <v>189.47368421052633</v>
      </c>
      <c r="H50" s="632"/>
      <c r="I50" s="186">
        <f t="shared" si="38"/>
        <v>19</v>
      </c>
      <c r="J50" s="186">
        <f t="shared" si="38"/>
        <v>3174.4266891857883</v>
      </c>
      <c r="K50" s="187">
        <f t="shared" si="38"/>
        <v>167.07508890451521</v>
      </c>
      <c r="L50" s="633"/>
      <c r="M50" s="186">
        <f>RANK(K50, K$47:$K$61)</f>
        <v>3</v>
      </c>
      <c r="N50" s="631"/>
      <c r="O50" s="631"/>
      <c r="P50" s="188">
        <v>19</v>
      </c>
      <c r="Q50" s="188">
        <v>3174.2977467832752</v>
      </c>
      <c r="R50" s="185">
        <f t="shared" si="39"/>
        <v>167.06830246227764</v>
      </c>
      <c r="S50" s="182">
        <f t="shared" si="40"/>
        <v>2</v>
      </c>
      <c r="T50" s="632"/>
      <c r="U50" s="188">
        <v>19</v>
      </c>
      <c r="V50" s="188">
        <v>3174.2977467832748</v>
      </c>
      <c r="W50" s="185">
        <f t="shared" si="33"/>
        <v>167.06830246227761</v>
      </c>
      <c r="X50" s="182">
        <f t="shared" si="41"/>
        <v>2</v>
      </c>
      <c r="Y50" s="632"/>
      <c r="Z50" s="188">
        <v>19</v>
      </c>
      <c r="AA50" s="188">
        <v>3175.2702661467938</v>
      </c>
      <c r="AB50" s="185">
        <f t="shared" si="34"/>
        <v>167.11948769193651</v>
      </c>
      <c r="AC50" s="182">
        <f t="shared" si="42"/>
        <v>3</v>
      </c>
      <c r="AD50" s="632"/>
      <c r="AE50" s="188">
        <v>19</v>
      </c>
      <c r="AF50" s="188">
        <v>3174.5502661467935</v>
      </c>
      <c r="AG50" s="185">
        <f t="shared" si="43"/>
        <v>167.08159295509441</v>
      </c>
      <c r="AH50" s="182">
        <f t="shared" si="44"/>
        <v>3</v>
      </c>
      <c r="AI50" s="632"/>
      <c r="AJ50" s="188">
        <v>19</v>
      </c>
      <c r="AK50" s="188">
        <v>3174.1902661467934</v>
      </c>
      <c r="AL50" s="185">
        <f t="shared" si="35"/>
        <v>167.06264558667334</v>
      </c>
      <c r="AM50" s="182">
        <f t="shared" si="45"/>
        <v>3</v>
      </c>
      <c r="AN50" s="632"/>
      <c r="AO50" s="188">
        <v>19</v>
      </c>
      <c r="AP50" s="188">
        <v>3173.8302661467937</v>
      </c>
      <c r="AQ50" s="185">
        <f t="shared" si="36"/>
        <v>167.0436982182523</v>
      </c>
      <c r="AR50" s="182">
        <f t="shared" si="46"/>
        <v>3</v>
      </c>
      <c r="AS50" s="632"/>
      <c r="AT50" s="188">
        <v>19</v>
      </c>
      <c r="AU50" s="188">
        <v>3174.550266146794</v>
      </c>
      <c r="AV50" s="185">
        <f t="shared" si="37"/>
        <v>167.08159295509441</v>
      </c>
      <c r="AW50" s="182">
        <f t="shared" si="47"/>
        <v>2</v>
      </c>
      <c r="AX50" s="632"/>
    </row>
    <row r="51" spans="2:50" ht="14.25" customHeight="1">
      <c r="B51" s="631"/>
      <c r="C51" s="180">
        <v>5</v>
      </c>
      <c r="D51" s="183" t="s">
        <v>588</v>
      </c>
      <c r="E51" s="180">
        <v>19</v>
      </c>
      <c r="F51" s="180">
        <v>3600</v>
      </c>
      <c r="G51" s="185">
        <f t="shared" si="32"/>
        <v>189.47368421052633</v>
      </c>
      <c r="H51" s="632"/>
      <c r="I51" s="186">
        <f t="shared" si="38"/>
        <v>19</v>
      </c>
      <c r="J51" s="186">
        <f t="shared" si="38"/>
        <v>3175.1678814144102</v>
      </c>
      <c r="K51" s="187">
        <f t="shared" si="38"/>
        <v>167.11409902181109</v>
      </c>
      <c r="L51" s="633"/>
      <c r="M51" s="186">
        <f>RANK(K51, K$47:$K$61)</f>
        <v>2</v>
      </c>
      <c r="N51" s="631"/>
      <c r="O51" s="631"/>
      <c r="P51" s="188">
        <v>19</v>
      </c>
      <c r="Q51" s="188">
        <v>3174.3316599125146</v>
      </c>
      <c r="R51" s="185">
        <f t="shared" si="39"/>
        <v>167.07008736381655</v>
      </c>
      <c r="S51" s="182">
        <f t="shared" si="40"/>
        <v>1</v>
      </c>
      <c r="T51" s="632"/>
      <c r="U51" s="188">
        <v>19</v>
      </c>
      <c r="V51" s="188">
        <v>3175.4116599125146</v>
      </c>
      <c r="W51" s="185">
        <f t="shared" si="33"/>
        <v>167.12692946907973</v>
      </c>
      <c r="X51" s="182">
        <f t="shared" si="41"/>
        <v>1</v>
      </c>
      <c r="Y51" s="632"/>
      <c r="Z51" s="188">
        <v>19</v>
      </c>
      <c r="AA51" s="188">
        <v>3175.7716599125147</v>
      </c>
      <c r="AB51" s="185">
        <f t="shared" si="34"/>
        <v>167.14587683750077</v>
      </c>
      <c r="AC51" s="182">
        <f t="shared" si="42"/>
        <v>2</v>
      </c>
      <c r="AD51" s="632"/>
      <c r="AE51" s="188">
        <v>19</v>
      </c>
      <c r="AF51" s="188">
        <v>3175.525047540832</v>
      </c>
      <c r="AG51" s="185">
        <f t="shared" si="43"/>
        <v>167.13289723899115</v>
      </c>
      <c r="AH51" s="182">
        <f t="shared" si="44"/>
        <v>2</v>
      </c>
      <c r="AI51" s="632"/>
      <c r="AJ51" s="188">
        <v>19</v>
      </c>
      <c r="AK51" s="188">
        <v>3175.1650475408314</v>
      </c>
      <c r="AL51" s="185">
        <f t="shared" si="35"/>
        <v>167.11394987057008</v>
      </c>
      <c r="AM51" s="182">
        <f t="shared" si="45"/>
        <v>2</v>
      </c>
      <c r="AN51" s="632"/>
      <c r="AO51" s="188">
        <v>19</v>
      </c>
      <c r="AP51" s="188">
        <v>3175.8850475408317</v>
      </c>
      <c r="AQ51" s="185">
        <f t="shared" si="36"/>
        <v>167.15184460741219</v>
      </c>
      <c r="AR51" s="182">
        <f t="shared" si="46"/>
        <v>2</v>
      </c>
      <c r="AS51" s="632"/>
      <c r="AT51" s="188">
        <v>19</v>
      </c>
      <c r="AU51" s="188">
        <v>3174.085047540832</v>
      </c>
      <c r="AV51" s="185">
        <f t="shared" si="37"/>
        <v>167.05710776530694</v>
      </c>
      <c r="AW51" s="182">
        <f t="shared" si="47"/>
        <v>3</v>
      </c>
      <c r="AX51" s="632"/>
    </row>
    <row r="52" spans="2:50" ht="14.25" customHeight="1">
      <c r="B52" s="631"/>
      <c r="C52" s="180">
        <v>6</v>
      </c>
      <c r="D52" s="183"/>
      <c r="E52" s="180"/>
      <c r="F52" s="180"/>
      <c r="G52" s="185"/>
      <c r="H52" s="632"/>
      <c r="I52" s="186"/>
      <c r="J52" s="186"/>
      <c r="K52" s="187"/>
      <c r="L52" s="633"/>
      <c r="M52" s="186"/>
      <c r="N52" s="631"/>
      <c r="O52" s="631"/>
      <c r="P52" s="188"/>
      <c r="Q52" s="188"/>
      <c r="R52" s="185"/>
      <c r="S52" s="182"/>
      <c r="T52" s="632"/>
      <c r="U52" s="188"/>
      <c r="V52" s="188"/>
      <c r="W52" s="185"/>
      <c r="X52" s="182"/>
      <c r="Y52" s="632"/>
      <c r="Z52" s="188"/>
      <c r="AA52" s="188"/>
      <c r="AB52" s="185"/>
      <c r="AC52" s="182"/>
      <c r="AD52" s="632"/>
      <c r="AE52" s="188"/>
      <c r="AF52" s="188"/>
      <c r="AG52" s="185"/>
      <c r="AH52" s="182"/>
      <c r="AI52" s="632"/>
      <c r="AJ52" s="188"/>
      <c r="AK52" s="188"/>
      <c r="AL52" s="185"/>
      <c r="AM52" s="182"/>
      <c r="AN52" s="632"/>
      <c r="AO52" s="188"/>
      <c r="AP52" s="188"/>
      <c r="AQ52" s="185"/>
      <c r="AR52" s="182"/>
      <c r="AS52" s="632"/>
      <c r="AT52" s="188"/>
      <c r="AU52" s="188"/>
      <c r="AV52" s="185"/>
      <c r="AW52" s="182"/>
      <c r="AX52" s="632"/>
    </row>
    <row r="53" spans="2:50" ht="14.25" customHeight="1">
      <c r="B53" s="631"/>
      <c r="C53" s="180">
        <v>7</v>
      </c>
      <c r="D53" s="183"/>
      <c r="E53" s="180"/>
      <c r="F53" s="180"/>
      <c r="G53" s="185"/>
      <c r="H53" s="632"/>
      <c r="I53" s="186"/>
      <c r="J53" s="186"/>
      <c r="K53" s="187"/>
      <c r="L53" s="633"/>
      <c r="M53" s="186"/>
      <c r="N53" s="631"/>
      <c r="O53" s="631"/>
      <c r="P53" s="188"/>
      <c r="Q53" s="188"/>
      <c r="R53" s="185"/>
      <c r="S53" s="182"/>
      <c r="T53" s="632"/>
      <c r="U53" s="188"/>
      <c r="V53" s="188"/>
      <c r="W53" s="185"/>
      <c r="X53" s="182"/>
      <c r="Y53" s="632"/>
      <c r="Z53" s="188"/>
      <c r="AA53" s="188"/>
      <c r="AB53" s="185"/>
      <c r="AC53" s="182"/>
      <c r="AD53" s="632"/>
      <c r="AE53" s="188"/>
      <c r="AF53" s="188"/>
      <c r="AG53" s="185"/>
      <c r="AH53" s="182"/>
      <c r="AI53" s="632"/>
      <c r="AJ53" s="188"/>
      <c r="AK53" s="188"/>
      <c r="AL53" s="185"/>
      <c r="AM53" s="182"/>
      <c r="AN53" s="632"/>
      <c r="AO53" s="188"/>
      <c r="AP53" s="188"/>
      <c r="AQ53" s="185"/>
      <c r="AR53" s="182"/>
      <c r="AS53" s="632"/>
      <c r="AT53" s="188"/>
      <c r="AU53" s="188"/>
      <c r="AV53" s="185"/>
      <c r="AW53" s="182"/>
      <c r="AX53" s="632"/>
    </row>
    <row r="54" spans="2:50" ht="14.25" customHeight="1">
      <c r="B54" s="631"/>
      <c r="C54" s="180">
        <v>8</v>
      </c>
      <c r="D54" s="183"/>
      <c r="E54" s="180"/>
      <c r="F54" s="180"/>
      <c r="G54" s="185"/>
      <c r="H54" s="632"/>
      <c r="I54" s="186"/>
      <c r="J54" s="186"/>
      <c r="K54" s="187"/>
      <c r="L54" s="633"/>
      <c r="M54" s="186"/>
      <c r="N54" s="631"/>
      <c r="O54" s="631"/>
      <c r="P54" s="188"/>
      <c r="Q54" s="188"/>
      <c r="R54" s="185"/>
      <c r="S54" s="182"/>
      <c r="T54" s="632"/>
      <c r="U54" s="188"/>
      <c r="V54" s="188"/>
      <c r="W54" s="185"/>
      <c r="X54" s="182"/>
      <c r="Y54" s="632"/>
      <c r="Z54" s="188"/>
      <c r="AA54" s="188"/>
      <c r="AB54" s="185"/>
      <c r="AC54" s="182"/>
      <c r="AD54" s="632"/>
      <c r="AE54" s="188"/>
      <c r="AF54" s="188"/>
      <c r="AG54" s="185"/>
      <c r="AH54" s="182"/>
      <c r="AI54" s="632"/>
      <c r="AJ54" s="188"/>
      <c r="AK54" s="188"/>
      <c r="AL54" s="185"/>
      <c r="AM54" s="182"/>
      <c r="AN54" s="632"/>
      <c r="AO54" s="188"/>
      <c r="AP54" s="188"/>
      <c r="AQ54" s="185"/>
      <c r="AR54" s="182"/>
      <c r="AS54" s="632"/>
      <c r="AT54" s="188"/>
      <c r="AU54" s="188"/>
      <c r="AV54" s="185"/>
      <c r="AW54" s="182"/>
      <c r="AX54" s="632"/>
    </row>
    <row r="55" spans="2:50" ht="14.25" customHeight="1">
      <c r="B55" s="631"/>
      <c r="C55" s="180">
        <v>9</v>
      </c>
      <c r="D55" s="183"/>
      <c r="E55" s="180"/>
      <c r="F55" s="180"/>
      <c r="G55" s="185"/>
      <c r="H55" s="632"/>
      <c r="I55" s="186"/>
      <c r="J55" s="186"/>
      <c r="K55" s="187"/>
      <c r="L55" s="633"/>
      <c r="M55" s="186"/>
      <c r="N55" s="631"/>
      <c r="O55" s="631"/>
      <c r="P55" s="188"/>
      <c r="Q55" s="188"/>
      <c r="R55" s="185"/>
      <c r="S55" s="182"/>
      <c r="T55" s="632"/>
      <c r="U55" s="188"/>
      <c r="V55" s="188"/>
      <c r="W55" s="185"/>
      <c r="X55" s="182"/>
      <c r="Y55" s="632"/>
      <c r="Z55" s="188"/>
      <c r="AA55" s="188"/>
      <c r="AB55" s="185"/>
      <c r="AC55" s="182"/>
      <c r="AD55" s="632"/>
      <c r="AE55" s="188"/>
      <c r="AF55" s="188"/>
      <c r="AG55" s="185"/>
      <c r="AH55" s="182"/>
      <c r="AI55" s="632"/>
      <c r="AJ55" s="188"/>
      <c r="AK55" s="188"/>
      <c r="AL55" s="185"/>
      <c r="AM55" s="182"/>
      <c r="AN55" s="632"/>
      <c r="AO55" s="188"/>
      <c r="AP55" s="188"/>
      <c r="AQ55" s="185"/>
      <c r="AR55" s="182"/>
      <c r="AS55" s="632"/>
      <c r="AT55" s="188"/>
      <c r="AU55" s="188"/>
      <c r="AV55" s="185"/>
      <c r="AW55" s="182"/>
      <c r="AX55" s="632"/>
    </row>
    <row r="56" spans="2:50" ht="14.25" customHeight="1">
      <c r="B56" s="631"/>
      <c r="C56" s="180">
        <v>10</v>
      </c>
      <c r="D56" s="183"/>
      <c r="E56" s="180"/>
      <c r="F56" s="180"/>
      <c r="G56" s="185"/>
      <c r="H56" s="632"/>
      <c r="I56" s="186"/>
      <c r="J56" s="186"/>
      <c r="K56" s="187"/>
      <c r="L56" s="633"/>
      <c r="M56" s="186"/>
      <c r="N56" s="631"/>
      <c r="O56" s="631"/>
      <c r="P56" s="188"/>
      <c r="Q56" s="188"/>
      <c r="R56" s="185"/>
      <c r="S56" s="182"/>
      <c r="T56" s="632"/>
      <c r="U56" s="188"/>
      <c r="V56" s="188"/>
      <c r="W56" s="185"/>
      <c r="X56" s="182"/>
      <c r="Y56" s="632"/>
      <c r="Z56" s="188"/>
      <c r="AA56" s="188"/>
      <c r="AB56" s="185"/>
      <c r="AC56" s="182"/>
      <c r="AD56" s="632"/>
      <c r="AE56" s="188"/>
      <c r="AF56" s="188"/>
      <c r="AG56" s="185"/>
      <c r="AH56" s="182"/>
      <c r="AI56" s="632"/>
      <c r="AJ56" s="188"/>
      <c r="AK56" s="188"/>
      <c r="AL56" s="185"/>
      <c r="AM56" s="182"/>
      <c r="AN56" s="632"/>
      <c r="AO56" s="188"/>
      <c r="AP56" s="188"/>
      <c r="AQ56" s="185"/>
      <c r="AR56" s="182"/>
      <c r="AS56" s="632"/>
      <c r="AT56" s="188"/>
      <c r="AU56" s="188"/>
      <c r="AV56" s="185"/>
      <c r="AW56" s="182"/>
      <c r="AX56" s="632"/>
    </row>
    <row r="57" spans="2:50" ht="14.25" customHeight="1">
      <c r="B57" s="631"/>
      <c r="C57" s="180">
        <v>11</v>
      </c>
      <c r="D57" s="183"/>
      <c r="E57" s="180"/>
      <c r="F57" s="180"/>
      <c r="G57" s="185"/>
      <c r="H57" s="632"/>
      <c r="I57" s="186"/>
      <c r="J57" s="186"/>
      <c r="K57" s="187"/>
      <c r="L57" s="633"/>
      <c r="M57" s="186"/>
      <c r="N57" s="631"/>
      <c r="O57" s="631"/>
      <c r="P57" s="188"/>
      <c r="Q57" s="188"/>
      <c r="R57" s="185"/>
      <c r="S57" s="182"/>
      <c r="T57" s="632"/>
      <c r="U57" s="188"/>
      <c r="V57" s="188"/>
      <c r="W57" s="185"/>
      <c r="X57" s="182"/>
      <c r="Y57" s="632"/>
      <c r="Z57" s="188"/>
      <c r="AA57" s="188"/>
      <c r="AB57" s="185"/>
      <c r="AC57" s="182"/>
      <c r="AD57" s="632"/>
      <c r="AE57" s="188"/>
      <c r="AF57" s="188"/>
      <c r="AG57" s="185"/>
      <c r="AH57" s="182"/>
      <c r="AI57" s="632"/>
      <c r="AJ57" s="188"/>
      <c r="AK57" s="188"/>
      <c r="AL57" s="185"/>
      <c r="AM57" s="182"/>
      <c r="AN57" s="632"/>
      <c r="AO57" s="188"/>
      <c r="AP57" s="188"/>
      <c r="AQ57" s="185"/>
      <c r="AR57" s="182"/>
      <c r="AS57" s="632"/>
      <c r="AT57" s="188"/>
      <c r="AU57" s="188"/>
      <c r="AV57" s="185"/>
      <c r="AW57" s="182"/>
      <c r="AX57" s="632"/>
    </row>
    <row r="58" spans="2:50" ht="14.25" customHeight="1">
      <c r="B58" s="631"/>
      <c r="C58" s="180">
        <v>12</v>
      </c>
      <c r="D58" s="183"/>
      <c r="E58" s="180"/>
      <c r="F58" s="180"/>
      <c r="G58" s="185"/>
      <c r="H58" s="632"/>
      <c r="I58" s="186"/>
      <c r="J58" s="186"/>
      <c r="K58" s="187"/>
      <c r="L58" s="633"/>
      <c r="M58" s="186"/>
      <c r="N58" s="631"/>
      <c r="O58" s="631"/>
      <c r="P58" s="188"/>
      <c r="Q58" s="188"/>
      <c r="R58" s="185"/>
      <c r="S58" s="182"/>
      <c r="T58" s="632"/>
      <c r="U58" s="188"/>
      <c r="V58" s="188"/>
      <c r="W58" s="185"/>
      <c r="X58" s="182"/>
      <c r="Y58" s="632"/>
      <c r="Z58" s="188"/>
      <c r="AA58" s="188"/>
      <c r="AB58" s="185"/>
      <c r="AC58" s="182"/>
      <c r="AD58" s="632"/>
      <c r="AE58" s="188"/>
      <c r="AF58" s="188"/>
      <c r="AG58" s="185"/>
      <c r="AH58" s="182"/>
      <c r="AI58" s="632"/>
      <c r="AJ58" s="188"/>
      <c r="AK58" s="188"/>
      <c r="AL58" s="185"/>
      <c r="AM58" s="182"/>
      <c r="AN58" s="632"/>
      <c r="AO58" s="188"/>
      <c r="AP58" s="188"/>
      <c r="AQ58" s="185"/>
      <c r="AR58" s="182"/>
      <c r="AS58" s="632"/>
      <c r="AT58" s="188"/>
      <c r="AU58" s="188"/>
      <c r="AV58" s="185"/>
      <c r="AW58" s="182"/>
      <c r="AX58" s="632"/>
    </row>
    <row r="59" spans="2:50" ht="14.25" customHeight="1">
      <c r="B59" s="631"/>
      <c r="C59" s="180">
        <v>13</v>
      </c>
      <c r="D59" s="183"/>
      <c r="E59" s="180"/>
      <c r="F59" s="180"/>
      <c r="G59" s="185"/>
      <c r="H59" s="632"/>
      <c r="I59" s="186"/>
      <c r="J59" s="186"/>
      <c r="K59" s="187"/>
      <c r="L59" s="633"/>
      <c r="M59" s="186"/>
      <c r="N59" s="631"/>
      <c r="O59" s="631"/>
      <c r="P59" s="188"/>
      <c r="Q59" s="188"/>
      <c r="R59" s="185"/>
      <c r="S59" s="182"/>
      <c r="T59" s="632"/>
      <c r="U59" s="188"/>
      <c r="V59" s="188"/>
      <c r="W59" s="185"/>
      <c r="X59" s="182"/>
      <c r="Y59" s="632"/>
      <c r="Z59" s="188"/>
      <c r="AA59" s="188"/>
      <c r="AB59" s="185"/>
      <c r="AC59" s="182"/>
      <c r="AD59" s="632"/>
      <c r="AE59" s="188"/>
      <c r="AF59" s="188"/>
      <c r="AG59" s="185"/>
      <c r="AH59" s="182"/>
      <c r="AI59" s="632"/>
      <c r="AJ59" s="188"/>
      <c r="AK59" s="188"/>
      <c r="AL59" s="185"/>
      <c r="AM59" s="182"/>
      <c r="AN59" s="632"/>
      <c r="AO59" s="188"/>
      <c r="AP59" s="188"/>
      <c r="AQ59" s="185"/>
      <c r="AR59" s="182"/>
      <c r="AS59" s="632"/>
      <c r="AT59" s="188"/>
      <c r="AU59" s="188"/>
      <c r="AV59" s="185"/>
      <c r="AW59" s="182"/>
      <c r="AX59" s="632"/>
    </row>
    <row r="60" spans="2:50" ht="14.25" customHeight="1">
      <c r="B60" s="631"/>
      <c r="C60" s="180">
        <v>14</v>
      </c>
      <c r="D60" s="183"/>
      <c r="E60" s="180"/>
      <c r="F60" s="180"/>
      <c r="G60" s="185"/>
      <c r="H60" s="632"/>
      <c r="I60" s="186"/>
      <c r="J60" s="186"/>
      <c r="K60" s="187"/>
      <c r="L60" s="633"/>
      <c r="M60" s="186"/>
      <c r="N60" s="631"/>
      <c r="O60" s="631"/>
      <c r="P60" s="188"/>
      <c r="Q60" s="188"/>
      <c r="R60" s="185"/>
      <c r="S60" s="182"/>
      <c r="T60" s="632"/>
      <c r="U60" s="188"/>
      <c r="V60" s="188"/>
      <c r="W60" s="185"/>
      <c r="X60" s="182"/>
      <c r="Y60" s="632"/>
      <c r="Z60" s="188"/>
      <c r="AA60" s="188"/>
      <c r="AB60" s="185"/>
      <c r="AC60" s="182"/>
      <c r="AD60" s="632"/>
      <c r="AE60" s="188"/>
      <c r="AF60" s="188"/>
      <c r="AG60" s="185"/>
      <c r="AH60" s="182"/>
      <c r="AI60" s="632"/>
      <c r="AJ60" s="188"/>
      <c r="AK60" s="188"/>
      <c r="AL60" s="185"/>
      <c r="AM60" s="182"/>
      <c r="AN60" s="632"/>
      <c r="AO60" s="188"/>
      <c r="AP60" s="188"/>
      <c r="AQ60" s="185"/>
      <c r="AR60" s="182"/>
      <c r="AS60" s="632"/>
      <c r="AT60" s="188"/>
      <c r="AU60" s="188"/>
      <c r="AV60" s="185"/>
      <c r="AW60" s="182"/>
      <c r="AX60" s="632"/>
    </row>
    <row r="61" spans="2:50" ht="14.25" customHeight="1">
      <c r="B61" s="631"/>
      <c r="C61" s="180">
        <v>15</v>
      </c>
      <c r="D61" s="183"/>
      <c r="E61" s="180"/>
      <c r="F61" s="180"/>
      <c r="G61" s="185"/>
      <c r="H61" s="632"/>
      <c r="I61" s="186"/>
      <c r="J61" s="186"/>
      <c r="K61" s="187"/>
      <c r="L61" s="633"/>
      <c r="M61" s="186"/>
      <c r="N61" s="631"/>
      <c r="O61" s="631"/>
      <c r="P61" s="188"/>
      <c r="Q61" s="188"/>
      <c r="R61" s="185"/>
      <c r="S61" s="182"/>
      <c r="T61" s="632"/>
      <c r="U61" s="188"/>
      <c r="V61" s="188"/>
      <c r="W61" s="185"/>
      <c r="X61" s="182"/>
      <c r="Y61" s="632"/>
      <c r="Z61" s="188"/>
      <c r="AA61" s="188"/>
      <c r="AB61" s="185"/>
      <c r="AC61" s="182"/>
      <c r="AD61" s="632"/>
      <c r="AE61" s="188"/>
      <c r="AF61" s="188"/>
      <c r="AG61" s="185"/>
      <c r="AH61" s="182"/>
      <c r="AI61" s="632"/>
      <c r="AJ61" s="188"/>
      <c r="AK61" s="188"/>
      <c r="AL61" s="185"/>
      <c r="AM61" s="182"/>
      <c r="AN61" s="632"/>
      <c r="AO61" s="188"/>
      <c r="AP61" s="188"/>
      <c r="AQ61" s="185"/>
      <c r="AR61" s="182"/>
      <c r="AS61" s="632"/>
      <c r="AT61" s="188"/>
      <c r="AU61" s="188"/>
      <c r="AV61" s="185"/>
      <c r="AW61" s="182"/>
      <c r="AX61" s="632"/>
    </row>
    <row r="62" spans="2:50" ht="14.25" customHeight="1">
      <c r="B62" s="646" t="s">
        <v>783</v>
      </c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647"/>
      <c r="N62" s="664" t="s">
        <v>369</v>
      </c>
      <c r="O62" s="664" t="s">
        <v>105</v>
      </c>
      <c r="P62" s="666">
        <v>46161</v>
      </c>
      <c r="Q62" s="667"/>
      <c r="R62" s="667"/>
      <c r="S62" s="667"/>
      <c r="T62" s="667"/>
      <c r="U62" s="668">
        <v>46162</v>
      </c>
      <c r="V62" s="669"/>
      <c r="W62" s="669"/>
      <c r="X62" s="669"/>
      <c r="Y62" s="669"/>
      <c r="Z62" s="666">
        <v>46163</v>
      </c>
      <c r="AA62" s="667"/>
      <c r="AB62" s="667"/>
      <c r="AC62" s="667"/>
      <c r="AD62" s="667"/>
      <c r="AE62" s="668">
        <v>46164</v>
      </c>
      <c r="AF62" s="669"/>
      <c r="AG62" s="669"/>
      <c r="AH62" s="669"/>
      <c r="AI62" s="669"/>
      <c r="AJ62" s="656">
        <v>46165</v>
      </c>
      <c r="AK62" s="657"/>
      <c r="AL62" s="657"/>
      <c r="AM62" s="657"/>
      <c r="AN62" s="658"/>
      <c r="AO62" s="668">
        <v>46166</v>
      </c>
      <c r="AP62" s="669"/>
      <c r="AQ62" s="669"/>
      <c r="AR62" s="669"/>
      <c r="AS62" s="669"/>
      <c r="AT62" s="656">
        <v>46167</v>
      </c>
      <c r="AU62" s="657"/>
      <c r="AV62" s="657"/>
      <c r="AW62" s="657"/>
      <c r="AX62" s="65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65"/>
      <c r="O63" s="665"/>
      <c r="P63" s="659">
        <v>46161</v>
      </c>
      <c r="Q63" s="659"/>
      <c r="R63" s="659"/>
      <c r="S63" s="659"/>
      <c r="T63" s="659"/>
      <c r="U63" s="660">
        <v>46162</v>
      </c>
      <c r="V63" s="660"/>
      <c r="W63" s="660"/>
      <c r="X63" s="660"/>
      <c r="Y63" s="660"/>
      <c r="Z63" s="659">
        <v>46163</v>
      </c>
      <c r="AA63" s="659"/>
      <c r="AB63" s="659"/>
      <c r="AC63" s="659"/>
      <c r="AD63" s="659"/>
      <c r="AE63" s="660">
        <v>46164</v>
      </c>
      <c r="AF63" s="660"/>
      <c r="AG63" s="660"/>
      <c r="AH63" s="660"/>
      <c r="AI63" s="660"/>
      <c r="AJ63" s="661">
        <v>46165</v>
      </c>
      <c r="AK63" s="662"/>
      <c r="AL63" s="662"/>
      <c r="AM63" s="662"/>
      <c r="AN63" s="663"/>
      <c r="AO63" s="660">
        <v>46166</v>
      </c>
      <c r="AP63" s="660"/>
      <c r="AQ63" s="660"/>
      <c r="AR63" s="660"/>
      <c r="AS63" s="660"/>
      <c r="AT63" s="661">
        <v>46167</v>
      </c>
      <c r="AU63" s="662"/>
      <c r="AV63" s="662"/>
      <c r="AW63" s="662"/>
      <c r="AX63" s="663"/>
    </row>
    <row r="64" spans="2:50" ht="14.25" customHeight="1">
      <c r="B64" s="631" t="s">
        <v>162</v>
      </c>
      <c r="C64" s="631" t="s">
        <v>157</v>
      </c>
      <c r="D64" s="631"/>
      <c r="E64" s="631" t="s">
        <v>158</v>
      </c>
      <c r="F64" s="631"/>
      <c r="G64" s="631"/>
      <c r="H64" s="631" t="s">
        <v>163</v>
      </c>
      <c r="I64" s="635" t="s">
        <v>370</v>
      </c>
      <c r="J64" s="635"/>
      <c r="K64" s="635"/>
      <c r="L64" s="635" t="s">
        <v>163</v>
      </c>
      <c r="M64" s="635" t="s">
        <v>165</v>
      </c>
      <c r="N64" s="631"/>
      <c r="O64" s="631" t="s">
        <v>164</v>
      </c>
      <c r="P64" s="631" t="s">
        <v>160</v>
      </c>
      <c r="Q64" s="631"/>
      <c r="R64" s="631"/>
      <c r="S64" s="631"/>
      <c r="T64" s="631" t="s">
        <v>163</v>
      </c>
      <c r="U64" s="631" t="s">
        <v>160</v>
      </c>
      <c r="V64" s="631"/>
      <c r="W64" s="631"/>
      <c r="X64" s="631"/>
      <c r="Y64" s="631" t="s">
        <v>163</v>
      </c>
      <c r="Z64" s="631" t="s">
        <v>160</v>
      </c>
      <c r="AA64" s="631"/>
      <c r="AB64" s="631"/>
      <c r="AC64" s="631"/>
      <c r="AD64" s="631" t="s">
        <v>163</v>
      </c>
      <c r="AE64" s="631" t="s">
        <v>160</v>
      </c>
      <c r="AF64" s="631"/>
      <c r="AG64" s="631"/>
      <c r="AH64" s="631"/>
      <c r="AI64" s="631" t="s">
        <v>163</v>
      </c>
      <c r="AJ64" s="631" t="s">
        <v>160</v>
      </c>
      <c r="AK64" s="631"/>
      <c r="AL64" s="631"/>
      <c r="AM64" s="631"/>
      <c r="AN64" s="631" t="s">
        <v>163</v>
      </c>
      <c r="AO64" s="631" t="s">
        <v>160</v>
      </c>
      <c r="AP64" s="631"/>
      <c r="AQ64" s="631"/>
      <c r="AR64" s="631"/>
      <c r="AS64" s="631" t="s">
        <v>163</v>
      </c>
      <c r="AT64" s="631" t="s">
        <v>160</v>
      </c>
      <c r="AU64" s="631"/>
      <c r="AV64" s="631"/>
      <c r="AW64" s="631"/>
      <c r="AX64" s="631" t="s">
        <v>163</v>
      </c>
    </row>
    <row r="65" spans="2:50" ht="14.25" customHeight="1">
      <c r="B65" s="631"/>
      <c r="C65" s="631"/>
      <c r="D65" s="631"/>
      <c r="E65" s="631" t="s">
        <v>371</v>
      </c>
      <c r="F65" s="631"/>
      <c r="G65" s="631"/>
      <c r="H65" s="631"/>
      <c r="I65" s="635" t="s">
        <v>371</v>
      </c>
      <c r="J65" s="635"/>
      <c r="K65" s="635"/>
      <c r="L65" s="635"/>
      <c r="M65" s="635"/>
      <c r="N65" s="631"/>
      <c r="O65" s="631"/>
      <c r="P65" s="631" t="s">
        <v>372</v>
      </c>
      <c r="Q65" s="631"/>
      <c r="R65" s="631"/>
      <c r="S65" s="631"/>
      <c r="T65" s="631"/>
      <c r="U65" s="631" t="s">
        <v>372</v>
      </c>
      <c r="V65" s="631"/>
      <c r="W65" s="631"/>
      <c r="X65" s="631"/>
      <c r="Y65" s="631"/>
      <c r="Z65" s="631" t="s">
        <v>372</v>
      </c>
      <c r="AA65" s="631"/>
      <c r="AB65" s="631"/>
      <c r="AC65" s="631"/>
      <c r="AD65" s="631"/>
      <c r="AE65" s="631" t="s">
        <v>372</v>
      </c>
      <c r="AF65" s="631"/>
      <c r="AG65" s="631"/>
      <c r="AH65" s="631"/>
      <c r="AI65" s="631"/>
      <c r="AJ65" s="631" t="s">
        <v>372</v>
      </c>
      <c r="AK65" s="631"/>
      <c r="AL65" s="631"/>
      <c r="AM65" s="631"/>
      <c r="AN65" s="631"/>
      <c r="AO65" s="631" t="s">
        <v>372</v>
      </c>
      <c r="AP65" s="631"/>
      <c r="AQ65" s="631"/>
      <c r="AR65" s="631"/>
      <c r="AS65" s="631"/>
      <c r="AT65" s="631" t="s">
        <v>372</v>
      </c>
      <c r="AU65" s="631"/>
      <c r="AV65" s="631"/>
      <c r="AW65" s="631"/>
      <c r="AX65" s="631"/>
    </row>
    <row r="66" spans="2:50" ht="14.25" customHeight="1">
      <c r="B66" s="631"/>
      <c r="C66" s="631"/>
      <c r="D66" s="631"/>
      <c r="E66" s="180" t="s">
        <v>159</v>
      </c>
      <c r="F66" s="180" t="s">
        <v>373</v>
      </c>
      <c r="G66" s="180" t="s">
        <v>161</v>
      </c>
      <c r="H66" s="631"/>
      <c r="I66" s="181" t="s">
        <v>159</v>
      </c>
      <c r="J66" s="181" t="s">
        <v>373</v>
      </c>
      <c r="K66" s="181" t="s">
        <v>161</v>
      </c>
      <c r="L66" s="635"/>
      <c r="M66" s="635"/>
      <c r="N66" s="631"/>
      <c r="O66" s="631"/>
      <c r="P66" s="180" t="s">
        <v>159</v>
      </c>
      <c r="Q66" s="180" t="s">
        <v>373</v>
      </c>
      <c r="R66" s="180" t="s">
        <v>161</v>
      </c>
      <c r="S66" s="182" t="s">
        <v>165</v>
      </c>
      <c r="T66" s="631"/>
      <c r="U66" s="180" t="s">
        <v>159</v>
      </c>
      <c r="V66" s="180" t="s">
        <v>373</v>
      </c>
      <c r="W66" s="180" t="s">
        <v>161</v>
      </c>
      <c r="X66" s="182" t="s">
        <v>165</v>
      </c>
      <c r="Y66" s="631"/>
      <c r="Z66" s="180" t="s">
        <v>159</v>
      </c>
      <c r="AA66" s="180" t="s">
        <v>373</v>
      </c>
      <c r="AB66" s="180" t="s">
        <v>161</v>
      </c>
      <c r="AC66" s="182" t="s">
        <v>165</v>
      </c>
      <c r="AD66" s="631"/>
      <c r="AE66" s="180" t="s">
        <v>159</v>
      </c>
      <c r="AF66" s="180" t="s">
        <v>373</v>
      </c>
      <c r="AG66" s="180" t="s">
        <v>161</v>
      </c>
      <c r="AH66" s="182" t="s">
        <v>165</v>
      </c>
      <c r="AI66" s="631"/>
      <c r="AJ66" s="180" t="s">
        <v>159</v>
      </c>
      <c r="AK66" s="180" t="s">
        <v>373</v>
      </c>
      <c r="AL66" s="180" t="s">
        <v>161</v>
      </c>
      <c r="AM66" s="182" t="s">
        <v>165</v>
      </c>
      <c r="AN66" s="631"/>
      <c r="AO66" s="180" t="s">
        <v>159</v>
      </c>
      <c r="AP66" s="180" t="s">
        <v>373</v>
      </c>
      <c r="AQ66" s="180" t="s">
        <v>161</v>
      </c>
      <c r="AR66" s="182" t="s">
        <v>165</v>
      </c>
      <c r="AS66" s="631"/>
      <c r="AT66" s="180" t="s">
        <v>159</v>
      </c>
      <c r="AU66" s="180" t="s">
        <v>373</v>
      </c>
      <c r="AV66" s="180" t="s">
        <v>161</v>
      </c>
      <c r="AW66" s="182" t="s">
        <v>165</v>
      </c>
      <c r="AX66" s="631"/>
    </row>
    <row r="67" spans="2:50" ht="14.25" customHeight="1">
      <c r="B67" s="631" t="s">
        <v>377</v>
      </c>
      <c r="C67" s="180">
        <v>1</v>
      </c>
      <c r="D67" s="183" t="s">
        <v>586</v>
      </c>
      <c r="E67" s="180">
        <v>20</v>
      </c>
      <c r="F67" s="180">
        <v>3600</v>
      </c>
      <c r="G67" s="185">
        <f t="shared" ref="G67:G72" si="48">F67/E67</f>
        <v>180</v>
      </c>
      <c r="H67" s="632">
        <f>AVERAGE(G67:G81)</f>
        <v>178.30827067669176</v>
      </c>
      <c r="I67" s="186">
        <f>AVERAGE(P67,U67,Z67,AE67,AJ67,AO67,AT67)</f>
        <v>20</v>
      </c>
      <c r="J67" s="186">
        <f>AVERAGE(Q67,V67,AA67,AF67,AK67,AP67,AU67)</f>
        <v>3252.2322815810799</v>
      </c>
      <c r="K67" s="187">
        <f>AVERAGE(R67,W67,AB67,AG67,AL67,AQ67,AV67)</f>
        <v>162.61161407905396</v>
      </c>
      <c r="L67" s="633">
        <f>IFERROR(AVERAGE(K67:K81),"-")</f>
        <v>158.43443359308074</v>
      </c>
      <c r="M67" s="186">
        <f>RANK(K67, K$67:$K$81)</f>
        <v>4</v>
      </c>
      <c r="N67" s="631"/>
      <c r="O67" s="631"/>
      <c r="P67" s="188">
        <v>20</v>
      </c>
      <c r="Q67" s="188">
        <v>3250.449472280276</v>
      </c>
      <c r="R67" s="185">
        <f>IFERROR(Q67/P67,"")</f>
        <v>162.52247361401379</v>
      </c>
      <c r="S67" s="182">
        <f>RANK(R67, R$67:R$81)</f>
        <v>4</v>
      </c>
      <c r="T67" s="632">
        <f>AVERAGE(R67:R81)</f>
        <v>157.14585449746721</v>
      </c>
      <c r="U67" s="188">
        <v>20</v>
      </c>
      <c r="V67" s="188">
        <v>3251.8894722802752</v>
      </c>
      <c r="W67" s="185">
        <f t="shared" ref="W67:W72" si="49">IFERROR(V67/U67,"")</f>
        <v>162.59447361401376</v>
      </c>
      <c r="X67" s="182">
        <f>RANK(W67, W$67:W$81)</f>
        <v>4</v>
      </c>
      <c r="Y67" s="632">
        <f>AVERAGE(W67:W81)</f>
        <v>157.56220224182809</v>
      </c>
      <c r="Z67" s="188">
        <v>20</v>
      </c>
      <c r="AA67" s="188">
        <v>3250.449472280276</v>
      </c>
      <c r="AB67" s="185">
        <f t="shared" ref="AB67:AB72" si="50">IFERROR(AA67/Z67,"")</f>
        <v>162.52247361401379</v>
      </c>
      <c r="AC67" s="182">
        <f>RANK(AB67, AB$67:AB$81)</f>
        <v>4</v>
      </c>
      <c r="AD67" s="632">
        <f>AVERAGE(AB67:AB81)</f>
        <v>158.0630304209258</v>
      </c>
      <c r="AE67" s="188">
        <v>20</v>
      </c>
      <c r="AF67" s="188">
        <v>3249.009472280276</v>
      </c>
      <c r="AG67" s="185">
        <f>IFERROR(AF67/AE67,"")</f>
        <v>162.45047361401379</v>
      </c>
      <c r="AH67" s="182">
        <f>RANK(AG67, AG$67:AG$81)</f>
        <v>4</v>
      </c>
      <c r="AI67" s="632">
        <f>AVERAGE(AG67:AG81)</f>
        <v>158.55068657916021</v>
      </c>
      <c r="AJ67" s="188">
        <v>20</v>
      </c>
      <c r="AK67" s="188">
        <v>3252.8052221050584</v>
      </c>
      <c r="AL67" s="185">
        <f t="shared" ref="AL67:AL72" si="51">IFERROR(AK67/AJ67,"")</f>
        <v>162.64026110525293</v>
      </c>
      <c r="AM67" s="182">
        <f>RANK(AL67, AL$67:AL$81)</f>
        <v>4</v>
      </c>
      <c r="AN67" s="632">
        <f>AVERAGE(AL67:AL81)</f>
        <v>159.01815133451211</v>
      </c>
      <c r="AO67" s="188">
        <v>20</v>
      </c>
      <c r="AP67" s="188">
        <v>3256.4114299206976</v>
      </c>
      <c r="AQ67" s="185">
        <f t="shared" ref="AQ67:AQ72" si="52">IFERROR(AP67/AO67,"")</f>
        <v>162.82057149603489</v>
      </c>
      <c r="AR67" s="182">
        <f>RANK(AQ67, AQ$67:AQ$81)</f>
        <v>4</v>
      </c>
      <c r="AS67" s="632">
        <f>AVERAGE(AQ67:AQ81)</f>
        <v>159.35521669297125</v>
      </c>
      <c r="AT67" s="188">
        <v>20</v>
      </c>
      <c r="AU67" s="188">
        <v>3254.6114299206984</v>
      </c>
      <c r="AV67" s="185">
        <f t="shared" ref="AV67:AV72" si="53">IFERROR(AU67/AT67,"")</f>
        <v>162.73057149603491</v>
      </c>
      <c r="AW67" s="182">
        <f>RANK(AV67, AV$67:AV$81)</f>
        <v>4</v>
      </c>
      <c r="AX67" s="632">
        <f>AVERAGE(AV67:AV81)</f>
        <v>159.34589338470059</v>
      </c>
    </row>
    <row r="68" spans="2:50" ht="14.25" customHeight="1">
      <c r="B68" s="631"/>
      <c r="C68" s="180">
        <v>2</v>
      </c>
      <c r="D68" s="183" t="s">
        <v>587</v>
      </c>
      <c r="E68" s="180">
        <v>21</v>
      </c>
      <c r="F68" s="180">
        <v>3600</v>
      </c>
      <c r="G68" s="185">
        <f t="shared" si="48"/>
        <v>171.42857142857142</v>
      </c>
      <c r="H68" s="632"/>
      <c r="I68" s="186">
        <f t="shared" ref="I68:K72" si="54">AVERAGE(P68,U68,Z68,AE68,AJ68,AO68,AT68)</f>
        <v>21</v>
      </c>
      <c r="J68" s="186">
        <f t="shared" si="54"/>
        <v>3254.9952362482209</v>
      </c>
      <c r="K68" s="187">
        <f t="shared" si="54"/>
        <v>154.99977315467714</v>
      </c>
      <c r="L68" s="633"/>
      <c r="M68" s="186">
        <f>RANK(K68, K$67:$K$81)</f>
        <v>5</v>
      </c>
      <c r="N68" s="631"/>
      <c r="O68" s="631"/>
      <c r="P68" s="188">
        <v>21</v>
      </c>
      <c r="Q68" s="188">
        <v>3253.4523791053625</v>
      </c>
      <c r="R68" s="185">
        <f t="shared" ref="R68:R72" si="55">IFERROR(Q68/P68,"")</f>
        <v>154.92630376692202</v>
      </c>
      <c r="S68" s="182">
        <f t="shared" ref="S68:S72" si="56">RANK(R68, R$67:R$81)</f>
        <v>5</v>
      </c>
      <c r="T68" s="632"/>
      <c r="U68" s="188">
        <v>21</v>
      </c>
      <c r="V68" s="188">
        <v>3252.0123791053629</v>
      </c>
      <c r="W68" s="185">
        <f t="shared" si="49"/>
        <v>154.85773233835062</v>
      </c>
      <c r="X68" s="182">
        <f t="shared" ref="X68:X72" si="57">RANK(W68, W$67:W$81)</f>
        <v>5</v>
      </c>
      <c r="Y68" s="632"/>
      <c r="Z68" s="188">
        <v>21</v>
      </c>
      <c r="AA68" s="188">
        <v>3253.8123791053631</v>
      </c>
      <c r="AB68" s="185">
        <f t="shared" si="50"/>
        <v>154.9434466240649</v>
      </c>
      <c r="AC68" s="182">
        <f t="shared" ref="AC68:AC72" si="58">RANK(AB68, AB$67:AB$81)</f>
        <v>5</v>
      </c>
      <c r="AD68" s="632"/>
      <c r="AE68" s="188">
        <v>21</v>
      </c>
      <c r="AF68" s="188">
        <v>3254.8923791053635</v>
      </c>
      <c r="AG68" s="185">
        <f t="shared" ref="AG68:AG72" si="59">IFERROR(AF68/AE68,"")</f>
        <v>154.99487519549351</v>
      </c>
      <c r="AH68" s="182">
        <f t="shared" ref="AH68:AH72" si="60">RANK(AG68, AG$67:AG$81)</f>
        <v>5</v>
      </c>
      <c r="AI68" s="632"/>
      <c r="AJ68" s="188">
        <v>21</v>
      </c>
      <c r="AK68" s="188">
        <v>3256.6923791053637</v>
      </c>
      <c r="AL68" s="185">
        <f t="shared" si="51"/>
        <v>155.0805894812078</v>
      </c>
      <c r="AM68" s="182">
        <f t="shared" ref="AM68:AM72" si="61">RANK(AL68, AL$67:AL$81)</f>
        <v>5</v>
      </c>
      <c r="AN68" s="632"/>
      <c r="AO68" s="188">
        <v>21</v>
      </c>
      <c r="AP68" s="188">
        <v>3257.7723791053636</v>
      </c>
      <c r="AQ68" s="185">
        <f t="shared" si="52"/>
        <v>155.13201805263637</v>
      </c>
      <c r="AR68" s="182">
        <f t="shared" ref="AR68:AR72" si="62">RANK(AQ68, AQ$67:AQ$81)</f>
        <v>5</v>
      </c>
      <c r="AS68" s="632"/>
      <c r="AT68" s="188">
        <v>21</v>
      </c>
      <c r="AU68" s="188">
        <v>3256.3323791053649</v>
      </c>
      <c r="AV68" s="185">
        <f t="shared" si="53"/>
        <v>155.06344662406499</v>
      </c>
      <c r="AW68" s="182">
        <f t="shared" ref="AW68:AW72" si="63">RANK(AV68, AV$67:AV$81)</f>
        <v>5</v>
      </c>
      <c r="AX68" s="632"/>
    </row>
    <row r="69" spans="2:50" ht="14.25" customHeight="1">
      <c r="B69" s="631"/>
      <c r="C69" s="180">
        <v>3</v>
      </c>
      <c r="D69" s="183" t="s">
        <v>606</v>
      </c>
      <c r="E69" s="180">
        <v>19</v>
      </c>
      <c r="F69" s="180">
        <v>3600</v>
      </c>
      <c r="G69" s="185">
        <f t="shared" si="48"/>
        <v>189.47368421052633</v>
      </c>
      <c r="H69" s="632"/>
      <c r="I69" s="186">
        <f t="shared" si="54"/>
        <v>19</v>
      </c>
      <c r="J69" s="186">
        <f t="shared" si="54"/>
        <v>3181.3399462254201</v>
      </c>
      <c r="K69" s="187">
        <f t="shared" si="54"/>
        <v>167.43894453817998</v>
      </c>
      <c r="L69" s="633"/>
      <c r="M69" s="186">
        <f>RANK(K69, K$67:$K$81)</f>
        <v>1</v>
      </c>
      <c r="N69" s="631"/>
      <c r="O69" s="631"/>
      <c r="P69" s="188">
        <v>19</v>
      </c>
      <c r="Q69" s="188">
        <v>3180.5170890825643</v>
      </c>
      <c r="R69" s="185">
        <f t="shared" si="55"/>
        <v>167.39563626750339</v>
      </c>
      <c r="S69" s="182">
        <f t="shared" si="56"/>
        <v>1</v>
      </c>
      <c r="T69" s="632"/>
      <c r="U69" s="188">
        <v>19</v>
      </c>
      <c r="V69" s="188">
        <v>3179.7970890825636</v>
      </c>
      <c r="W69" s="185">
        <f t="shared" si="49"/>
        <v>167.35774153066123</v>
      </c>
      <c r="X69" s="182">
        <f t="shared" si="57"/>
        <v>1</v>
      </c>
      <c r="Y69" s="632"/>
      <c r="Z69" s="188">
        <v>19</v>
      </c>
      <c r="AA69" s="188">
        <v>3181.2370890825623</v>
      </c>
      <c r="AB69" s="185">
        <f t="shared" si="50"/>
        <v>167.43353100434538</v>
      </c>
      <c r="AC69" s="182">
        <f t="shared" si="58"/>
        <v>1</v>
      </c>
      <c r="AD69" s="632"/>
      <c r="AE69" s="188">
        <v>19</v>
      </c>
      <c r="AF69" s="188">
        <v>3182.3170890825627</v>
      </c>
      <c r="AG69" s="185">
        <f t="shared" si="59"/>
        <v>167.49037310960856</v>
      </c>
      <c r="AH69" s="182">
        <f t="shared" si="60"/>
        <v>2</v>
      </c>
      <c r="AI69" s="632"/>
      <c r="AJ69" s="188">
        <v>19</v>
      </c>
      <c r="AK69" s="188">
        <v>3181.9570890825626</v>
      </c>
      <c r="AL69" s="185">
        <f t="shared" si="51"/>
        <v>167.47142574118752</v>
      </c>
      <c r="AM69" s="182">
        <f t="shared" si="61"/>
        <v>2</v>
      </c>
      <c r="AN69" s="632"/>
      <c r="AO69" s="188">
        <v>19</v>
      </c>
      <c r="AP69" s="188">
        <v>3181.9570890825621</v>
      </c>
      <c r="AQ69" s="185">
        <f t="shared" si="52"/>
        <v>167.47142574118749</v>
      </c>
      <c r="AR69" s="182">
        <f t="shared" si="62"/>
        <v>2</v>
      </c>
      <c r="AS69" s="632"/>
      <c r="AT69" s="188">
        <v>19</v>
      </c>
      <c r="AU69" s="188">
        <v>3181.5970890825615</v>
      </c>
      <c r="AV69" s="185">
        <f t="shared" si="53"/>
        <v>167.45247837276639</v>
      </c>
      <c r="AW69" s="182">
        <f t="shared" si="63"/>
        <v>3</v>
      </c>
      <c r="AX69" s="632"/>
    </row>
    <row r="70" spans="2:50" ht="14.25" customHeight="1">
      <c r="B70" s="631"/>
      <c r="C70" s="180">
        <v>4</v>
      </c>
      <c r="D70" s="183" t="s">
        <v>620</v>
      </c>
      <c r="E70" s="180">
        <v>19</v>
      </c>
      <c r="F70" s="180">
        <v>3600</v>
      </c>
      <c r="G70" s="185">
        <f t="shared" si="48"/>
        <v>189.47368421052633</v>
      </c>
      <c r="H70" s="632"/>
      <c r="I70" s="186">
        <f t="shared" si="54"/>
        <v>19</v>
      </c>
      <c r="J70" s="186">
        <f t="shared" si="54"/>
        <v>3180.7098789606448</v>
      </c>
      <c r="K70" s="187">
        <f t="shared" si="54"/>
        <v>167.40578310319182</v>
      </c>
      <c r="L70" s="633"/>
      <c r="M70" s="186">
        <f>RANK(K70, K$67:$K$81)</f>
        <v>2</v>
      </c>
      <c r="N70" s="631"/>
      <c r="O70" s="631"/>
      <c r="P70" s="188">
        <v>19</v>
      </c>
      <c r="Q70" s="188">
        <v>3175.6302661467935</v>
      </c>
      <c r="R70" s="185">
        <f t="shared" si="55"/>
        <v>167.13843506035755</v>
      </c>
      <c r="S70" s="182">
        <f t="shared" si="56"/>
        <v>3</v>
      </c>
      <c r="T70" s="632"/>
      <c r="U70" s="188">
        <v>19</v>
      </c>
      <c r="V70" s="188">
        <v>3176.7102661467934</v>
      </c>
      <c r="W70" s="185">
        <f t="shared" si="49"/>
        <v>167.19527716562069</v>
      </c>
      <c r="X70" s="182">
        <f t="shared" si="57"/>
        <v>2</v>
      </c>
      <c r="Y70" s="632"/>
      <c r="Z70" s="188">
        <v>19</v>
      </c>
      <c r="AA70" s="188">
        <v>3178.1502661467925</v>
      </c>
      <c r="AB70" s="185">
        <f t="shared" si="50"/>
        <v>167.27106663930488</v>
      </c>
      <c r="AC70" s="182">
        <f t="shared" si="58"/>
        <v>3</v>
      </c>
      <c r="AD70" s="632"/>
      <c r="AE70" s="188">
        <v>19</v>
      </c>
      <c r="AF70" s="188">
        <v>3182.8038779283734</v>
      </c>
      <c r="AG70" s="185">
        <f t="shared" si="59"/>
        <v>167.51599357517753</v>
      </c>
      <c r="AH70" s="182">
        <f t="shared" si="60"/>
        <v>1</v>
      </c>
      <c r="AI70" s="632"/>
      <c r="AJ70" s="188">
        <v>19</v>
      </c>
      <c r="AK70" s="188">
        <v>3183.5238779283727</v>
      </c>
      <c r="AL70" s="185">
        <f t="shared" si="51"/>
        <v>167.55388831201961</v>
      </c>
      <c r="AM70" s="182">
        <f t="shared" si="61"/>
        <v>1</v>
      </c>
      <c r="AN70" s="632"/>
      <c r="AO70" s="188">
        <v>19</v>
      </c>
      <c r="AP70" s="188">
        <v>3183.3552992136929</v>
      </c>
      <c r="AQ70" s="185">
        <f t="shared" si="52"/>
        <v>167.5450157480891</v>
      </c>
      <c r="AR70" s="182">
        <f t="shared" si="62"/>
        <v>1</v>
      </c>
      <c r="AS70" s="632"/>
      <c r="AT70" s="188">
        <v>19</v>
      </c>
      <c r="AU70" s="188">
        <v>3184.7952992136925</v>
      </c>
      <c r="AV70" s="185">
        <f t="shared" si="53"/>
        <v>167.62080522177328</v>
      </c>
      <c r="AW70" s="182">
        <f t="shared" si="63"/>
        <v>1</v>
      </c>
      <c r="AX70" s="632"/>
    </row>
    <row r="71" spans="2:50" ht="14.25" customHeight="1">
      <c r="B71" s="631"/>
      <c r="C71" s="180">
        <v>5</v>
      </c>
      <c r="D71" s="183" t="s">
        <v>785</v>
      </c>
      <c r="E71" s="180">
        <v>24</v>
      </c>
      <c r="F71" s="180">
        <v>3600</v>
      </c>
      <c r="G71" s="185">
        <f t="shared" si="48"/>
        <v>150</v>
      </c>
      <c r="H71" s="632"/>
      <c r="I71" s="186">
        <f t="shared" si="54"/>
        <v>24</v>
      </c>
      <c r="J71" s="186">
        <f t="shared" si="54"/>
        <v>3139.3408511022385</v>
      </c>
      <c r="K71" s="187">
        <f t="shared" si="54"/>
        <v>130.80586879592661</v>
      </c>
      <c r="L71" s="633"/>
      <c r="M71" s="186">
        <f>RANK(K71, K$67:$K$81)</f>
        <v>6</v>
      </c>
      <c r="N71" s="631"/>
      <c r="O71" s="631"/>
      <c r="P71" s="188">
        <v>24</v>
      </c>
      <c r="Q71" s="188">
        <v>2970</v>
      </c>
      <c r="R71" s="185">
        <f t="shared" si="55"/>
        <v>123.75</v>
      </c>
      <c r="S71" s="182">
        <f t="shared" si="56"/>
        <v>6</v>
      </c>
      <c r="T71" s="632"/>
      <c r="U71" s="188">
        <v>24</v>
      </c>
      <c r="V71" s="188">
        <v>3031.2359999999999</v>
      </c>
      <c r="W71" s="185">
        <f t="shared" si="49"/>
        <v>126.30149999999999</v>
      </c>
      <c r="X71" s="182">
        <f t="shared" si="57"/>
        <v>6</v>
      </c>
      <c r="Y71" s="632"/>
      <c r="Z71" s="188">
        <v>24</v>
      </c>
      <c r="AA71" s="188">
        <v>3091.4935199999995</v>
      </c>
      <c r="AB71" s="185">
        <f t="shared" si="50"/>
        <v>128.81222999999997</v>
      </c>
      <c r="AC71" s="182">
        <f t="shared" si="58"/>
        <v>6</v>
      </c>
      <c r="AD71" s="632"/>
      <c r="AE71" s="188">
        <v>24</v>
      </c>
      <c r="AF71" s="188">
        <v>3154.0577903999992</v>
      </c>
      <c r="AG71" s="185">
        <f t="shared" si="59"/>
        <v>131.41907459999996</v>
      </c>
      <c r="AH71" s="182">
        <f t="shared" si="60"/>
        <v>6</v>
      </c>
      <c r="AI71" s="632"/>
      <c r="AJ71" s="188">
        <v>24</v>
      </c>
      <c r="AK71" s="188">
        <v>3215.6701462079991</v>
      </c>
      <c r="AL71" s="185">
        <f t="shared" si="51"/>
        <v>133.98625609199996</v>
      </c>
      <c r="AM71" s="182">
        <f t="shared" si="61"/>
        <v>6</v>
      </c>
      <c r="AN71" s="632"/>
      <c r="AO71" s="188">
        <v>24</v>
      </c>
      <c r="AP71" s="188">
        <v>3256.8242505538369</v>
      </c>
      <c r="AQ71" s="185">
        <f t="shared" si="52"/>
        <v>135.70101043974321</v>
      </c>
      <c r="AR71" s="182">
        <f t="shared" si="62"/>
        <v>6</v>
      </c>
      <c r="AS71" s="632"/>
      <c r="AT71" s="188">
        <v>24</v>
      </c>
      <c r="AU71" s="188">
        <v>3256.1042505538367</v>
      </c>
      <c r="AV71" s="185">
        <f t="shared" si="53"/>
        <v>135.67101043974318</v>
      </c>
      <c r="AW71" s="182">
        <f t="shared" si="63"/>
        <v>6</v>
      </c>
      <c r="AX71" s="632"/>
    </row>
    <row r="72" spans="2:50" ht="14.25" customHeight="1">
      <c r="B72" s="631"/>
      <c r="C72" s="180">
        <v>6</v>
      </c>
      <c r="D72" s="183" t="s">
        <v>588</v>
      </c>
      <c r="E72" s="180">
        <v>19</v>
      </c>
      <c r="F72" s="180">
        <v>3600</v>
      </c>
      <c r="G72" s="185">
        <f t="shared" si="48"/>
        <v>189.47368421052633</v>
      </c>
      <c r="H72" s="632"/>
      <c r="I72" s="186">
        <f t="shared" si="54"/>
        <v>19</v>
      </c>
      <c r="J72" s="186">
        <f t="shared" si="54"/>
        <v>3179.5477398616435</v>
      </c>
      <c r="K72" s="187">
        <f t="shared" si="54"/>
        <v>167.34461788745492</v>
      </c>
      <c r="L72" s="633"/>
      <c r="M72" s="186">
        <f>RANK(K72, K$67:$K$81)</f>
        <v>3</v>
      </c>
      <c r="N72" s="631"/>
      <c r="O72" s="631"/>
      <c r="P72" s="188">
        <v>19</v>
      </c>
      <c r="Q72" s="188">
        <v>3175.7032872441241</v>
      </c>
      <c r="R72" s="185">
        <f t="shared" si="55"/>
        <v>167.14227827600652</v>
      </c>
      <c r="S72" s="182">
        <f t="shared" si="56"/>
        <v>2</v>
      </c>
      <c r="T72" s="632"/>
      <c r="U72" s="188">
        <v>19</v>
      </c>
      <c r="V72" s="188">
        <v>3174.2632872441241</v>
      </c>
      <c r="W72" s="185">
        <f t="shared" si="49"/>
        <v>167.06648880232231</v>
      </c>
      <c r="X72" s="182">
        <f t="shared" si="57"/>
        <v>3</v>
      </c>
      <c r="Y72" s="632"/>
      <c r="Z72" s="188">
        <v>19</v>
      </c>
      <c r="AA72" s="188">
        <v>3180.513258232691</v>
      </c>
      <c r="AB72" s="185">
        <f t="shared" si="50"/>
        <v>167.39543464382584</v>
      </c>
      <c r="AC72" s="182">
        <f t="shared" si="58"/>
        <v>2</v>
      </c>
      <c r="AD72" s="632"/>
      <c r="AE72" s="188">
        <v>19</v>
      </c>
      <c r="AF72" s="188">
        <v>3181.2332582326908</v>
      </c>
      <c r="AG72" s="185">
        <f t="shared" si="59"/>
        <v>167.43332938066794</v>
      </c>
      <c r="AH72" s="182">
        <f t="shared" si="60"/>
        <v>3</v>
      </c>
      <c r="AI72" s="632"/>
      <c r="AJ72" s="188">
        <v>19</v>
      </c>
      <c r="AK72" s="188">
        <v>3180.1532582326909</v>
      </c>
      <c r="AL72" s="185">
        <f t="shared" si="51"/>
        <v>167.37648727540477</v>
      </c>
      <c r="AM72" s="182">
        <f t="shared" si="61"/>
        <v>3</v>
      </c>
      <c r="AN72" s="632"/>
      <c r="AO72" s="188">
        <v>19</v>
      </c>
      <c r="AP72" s="188">
        <v>3181.7639149225929</v>
      </c>
      <c r="AQ72" s="185">
        <f t="shared" si="52"/>
        <v>167.46125868013647</v>
      </c>
      <c r="AR72" s="182">
        <f t="shared" si="62"/>
        <v>3</v>
      </c>
      <c r="AS72" s="632"/>
      <c r="AT72" s="188">
        <v>19</v>
      </c>
      <c r="AU72" s="188">
        <v>3183.203914922593</v>
      </c>
      <c r="AV72" s="185">
        <f t="shared" si="53"/>
        <v>167.53704815382068</v>
      </c>
      <c r="AW72" s="182">
        <f t="shared" si="63"/>
        <v>2</v>
      </c>
      <c r="AX72" s="632"/>
    </row>
    <row r="73" spans="2:50" ht="14.25" customHeight="1">
      <c r="B73" s="631"/>
      <c r="C73" s="180">
        <v>7</v>
      </c>
      <c r="D73" s="183"/>
      <c r="E73" s="180"/>
      <c r="F73" s="180"/>
      <c r="G73" s="185"/>
      <c r="H73" s="632"/>
      <c r="I73" s="186"/>
      <c r="J73" s="186"/>
      <c r="K73" s="187"/>
      <c r="L73" s="633"/>
      <c r="M73" s="186"/>
      <c r="N73" s="631"/>
      <c r="O73" s="631"/>
      <c r="P73" s="188"/>
      <c r="Q73" s="188"/>
      <c r="R73" s="185"/>
      <c r="S73" s="182"/>
      <c r="T73" s="632"/>
      <c r="U73" s="188"/>
      <c r="V73" s="188"/>
      <c r="W73" s="185"/>
      <c r="X73" s="182"/>
      <c r="Y73" s="632"/>
      <c r="Z73" s="188"/>
      <c r="AA73" s="188"/>
      <c r="AB73" s="185"/>
      <c r="AC73" s="182"/>
      <c r="AD73" s="632"/>
      <c r="AE73" s="188"/>
      <c r="AF73" s="188"/>
      <c r="AG73" s="185"/>
      <c r="AH73" s="182"/>
      <c r="AI73" s="632"/>
      <c r="AJ73" s="188"/>
      <c r="AK73" s="188"/>
      <c r="AL73" s="185"/>
      <c r="AM73" s="182"/>
      <c r="AN73" s="632"/>
      <c r="AO73" s="188"/>
      <c r="AP73" s="188"/>
      <c r="AQ73" s="185"/>
      <c r="AR73" s="182"/>
      <c r="AS73" s="632"/>
      <c r="AT73" s="188"/>
      <c r="AU73" s="188"/>
      <c r="AV73" s="185"/>
      <c r="AW73" s="182"/>
      <c r="AX73" s="632"/>
    </row>
    <row r="74" spans="2:50" ht="14.25" customHeight="1">
      <c r="B74" s="631"/>
      <c r="C74" s="180">
        <v>8</v>
      </c>
      <c r="D74" s="183"/>
      <c r="E74" s="180"/>
      <c r="F74" s="180"/>
      <c r="G74" s="185"/>
      <c r="H74" s="632"/>
      <c r="I74" s="186"/>
      <c r="J74" s="186"/>
      <c r="K74" s="187"/>
      <c r="L74" s="633"/>
      <c r="M74" s="186"/>
      <c r="N74" s="631"/>
      <c r="O74" s="631"/>
      <c r="P74" s="188"/>
      <c r="Q74" s="188"/>
      <c r="R74" s="185"/>
      <c r="S74" s="182"/>
      <c r="T74" s="632"/>
      <c r="U74" s="188"/>
      <c r="V74" s="188"/>
      <c r="W74" s="185"/>
      <c r="X74" s="182"/>
      <c r="Y74" s="632"/>
      <c r="Z74" s="188"/>
      <c r="AA74" s="188"/>
      <c r="AB74" s="185"/>
      <c r="AC74" s="182"/>
      <c r="AD74" s="632"/>
      <c r="AE74" s="188"/>
      <c r="AF74" s="188"/>
      <c r="AG74" s="185"/>
      <c r="AH74" s="182"/>
      <c r="AI74" s="632"/>
      <c r="AJ74" s="188"/>
      <c r="AK74" s="188"/>
      <c r="AL74" s="185"/>
      <c r="AM74" s="182"/>
      <c r="AN74" s="632"/>
      <c r="AO74" s="188"/>
      <c r="AP74" s="188"/>
      <c r="AQ74" s="185"/>
      <c r="AR74" s="182"/>
      <c r="AS74" s="632"/>
      <c r="AT74" s="188"/>
      <c r="AU74" s="188"/>
      <c r="AV74" s="185"/>
      <c r="AW74" s="182"/>
      <c r="AX74" s="632"/>
    </row>
    <row r="75" spans="2:50" ht="14.25" customHeight="1">
      <c r="B75" s="631"/>
      <c r="C75" s="180">
        <v>9</v>
      </c>
      <c r="D75" s="183"/>
      <c r="E75" s="180"/>
      <c r="F75" s="180"/>
      <c r="G75" s="185"/>
      <c r="H75" s="632"/>
      <c r="I75" s="186"/>
      <c r="J75" s="186"/>
      <c r="K75" s="187"/>
      <c r="L75" s="633"/>
      <c r="M75" s="186"/>
      <c r="N75" s="631"/>
      <c r="O75" s="631"/>
      <c r="P75" s="188"/>
      <c r="Q75" s="188"/>
      <c r="R75" s="185"/>
      <c r="S75" s="182"/>
      <c r="T75" s="632"/>
      <c r="U75" s="188"/>
      <c r="V75" s="188"/>
      <c r="W75" s="185"/>
      <c r="X75" s="182"/>
      <c r="Y75" s="632"/>
      <c r="Z75" s="188"/>
      <c r="AA75" s="188"/>
      <c r="AB75" s="185"/>
      <c r="AC75" s="182"/>
      <c r="AD75" s="632"/>
      <c r="AE75" s="188"/>
      <c r="AF75" s="188"/>
      <c r="AG75" s="185"/>
      <c r="AH75" s="182"/>
      <c r="AI75" s="632"/>
      <c r="AJ75" s="188"/>
      <c r="AK75" s="188"/>
      <c r="AL75" s="185"/>
      <c r="AM75" s="182"/>
      <c r="AN75" s="632"/>
      <c r="AO75" s="188"/>
      <c r="AP75" s="188"/>
      <c r="AQ75" s="185"/>
      <c r="AR75" s="182"/>
      <c r="AS75" s="632"/>
      <c r="AT75" s="188"/>
      <c r="AU75" s="188"/>
      <c r="AV75" s="185"/>
      <c r="AW75" s="182"/>
      <c r="AX75" s="632"/>
    </row>
    <row r="76" spans="2:50" ht="14.25" customHeight="1">
      <c r="B76" s="631"/>
      <c r="C76" s="180">
        <v>10</v>
      </c>
      <c r="D76" s="183"/>
      <c r="E76" s="180"/>
      <c r="F76" s="180"/>
      <c r="G76" s="185"/>
      <c r="H76" s="632"/>
      <c r="I76" s="186"/>
      <c r="J76" s="186"/>
      <c r="K76" s="187"/>
      <c r="L76" s="633"/>
      <c r="M76" s="186"/>
      <c r="N76" s="631"/>
      <c r="O76" s="631"/>
      <c r="P76" s="188"/>
      <c r="Q76" s="188"/>
      <c r="R76" s="185"/>
      <c r="S76" s="182"/>
      <c r="T76" s="632"/>
      <c r="U76" s="188"/>
      <c r="V76" s="188"/>
      <c r="W76" s="185"/>
      <c r="X76" s="182"/>
      <c r="Y76" s="632"/>
      <c r="Z76" s="188"/>
      <c r="AA76" s="188"/>
      <c r="AB76" s="185"/>
      <c r="AC76" s="182"/>
      <c r="AD76" s="632"/>
      <c r="AE76" s="188"/>
      <c r="AF76" s="188"/>
      <c r="AG76" s="185"/>
      <c r="AH76" s="182"/>
      <c r="AI76" s="632"/>
      <c r="AJ76" s="188"/>
      <c r="AK76" s="188"/>
      <c r="AL76" s="185"/>
      <c r="AM76" s="182"/>
      <c r="AN76" s="632"/>
      <c r="AO76" s="188"/>
      <c r="AP76" s="188"/>
      <c r="AQ76" s="185"/>
      <c r="AR76" s="182"/>
      <c r="AS76" s="632"/>
      <c r="AT76" s="188"/>
      <c r="AU76" s="188"/>
      <c r="AV76" s="185"/>
      <c r="AW76" s="182"/>
      <c r="AX76" s="632"/>
    </row>
    <row r="77" spans="2:50" ht="14.25" customHeight="1">
      <c r="B77" s="631"/>
      <c r="C77" s="180">
        <v>11</v>
      </c>
      <c r="D77" s="183"/>
      <c r="E77" s="180"/>
      <c r="F77" s="180"/>
      <c r="G77" s="185"/>
      <c r="H77" s="632"/>
      <c r="I77" s="186"/>
      <c r="J77" s="186"/>
      <c r="K77" s="187"/>
      <c r="L77" s="633"/>
      <c r="M77" s="186"/>
      <c r="N77" s="631"/>
      <c r="O77" s="631"/>
      <c r="P77" s="188"/>
      <c r="Q77" s="188"/>
      <c r="R77" s="185"/>
      <c r="S77" s="182"/>
      <c r="T77" s="632"/>
      <c r="U77" s="188"/>
      <c r="V77" s="188"/>
      <c r="W77" s="185"/>
      <c r="X77" s="182"/>
      <c r="Y77" s="632"/>
      <c r="Z77" s="188"/>
      <c r="AA77" s="188"/>
      <c r="AB77" s="185"/>
      <c r="AC77" s="182"/>
      <c r="AD77" s="632"/>
      <c r="AE77" s="188"/>
      <c r="AF77" s="188"/>
      <c r="AG77" s="185"/>
      <c r="AH77" s="182"/>
      <c r="AI77" s="632"/>
      <c r="AJ77" s="188"/>
      <c r="AK77" s="188"/>
      <c r="AL77" s="185"/>
      <c r="AM77" s="182"/>
      <c r="AN77" s="632"/>
      <c r="AO77" s="188"/>
      <c r="AP77" s="188"/>
      <c r="AQ77" s="185"/>
      <c r="AR77" s="182"/>
      <c r="AS77" s="632"/>
      <c r="AT77" s="188"/>
      <c r="AU77" s="188"/>
      <c r="AV77" s="185"/>
      <c r="AW77" s="182"/>
      <c r="AX77" s="632"/>
    </row>
    <row r="78" spans="2:50" ht="14.25" customHeight="1">
      <c r="B78" s="631"/>
      <c r="C78" s="180">
        <v>12</v>
      </c>
      <c r="D78" s="183"/>
      <c r="E78" s="180"/>
      <c r="F78" s="180"/>
      <c r="G78" s="185"/>
      <c r="H78" s="632"/>
      <c r="I78" s="186"/>
      <c r="J78" s="186"/>
      <c r="K78" s="187"/>
      <c r="L78" s="633"/>
      <c r="M78" s="186"/>
      <c r="N78" s="631"/>
      <c r="O78" s="631"/>
      <c r="P78" s="188"/>
      <c r="Q78" s="188"/>
      <c r="R78" s="185"/>
      <c r="S78" s="182"/>
      <c r="T78" s="632"/>
      <c r="U78" s="188"/>
      <c r="V78" s="188"/>
      <c r="W78" s="185"/>
      <c r="X78" s="182"/>
      <c r="Y78" s="632"/>
      <c r="Z78" s="188"/>
      <c r="AA78" s="188"/>
      <c r="AB78" s="185"/>
      <c r="AC78" s="182"/>
      <c r="AD78" s="632"/>
      <c r="AE78" s="188"/>
      <c r="AF78" s="188"/>
      <c r="AG78" s="185"/>
      <c r="AH78" s="182"/>
      <c r="AI78" s="632"/>
      <c r="AJ78" s="188"/>
      <c r="AK78" s="188"/>
      <c r="AL78" s="185"/>
      <c r="AM78" s="182"/>
      <c r="AN78" s="632"/>
      <c r="AO78" s="188"/>
      <c r="AP78" s="188"/>
      <c r="AQ78" s="185"/>
      <c r="AR78" s="182"/>
      <c r="AS78" s="632"/>
      <c r="AT78" s="188"/>
      <c r="AU78" s="188"/>
      <c r="AV78" s="185"/>
      <c r="AW78" s="182"/>
      <c r="AX78" s="632"/>
    </row>
    <row r="79" spans="2:50" ht="14.25" customHeight="1">
      <c r="B79" s="631"/>
      <c r="C79" s="180">
        <v>13</v>
      </c>
      <c r="D79" s="183"/>
      <c r="E79" s="180"/>
      <c r="F79" s="180"/>
      <c r="G79" s="185"/>
      <c r="H79" s="632"/>
      <c r="I79" s="186"/>
      <c r="J79" s="186"/>
      <c r="K79" s="187"/>
      <c r="L79" s="633"/>
      <c r="M79" s="186"/>
      <c r="N79" s="631"/>
      <c r="O79" s="631"/>
      <c r="P79" s="188"/>
      <c r="Q79" s="188"/>
      <c r="R79" s="185"/>
      <c r="S79" s="182"/>
      <c r="T79" s="632"/>
      <c r="U79" s="188"/>
      <c r="V79" s="188"/>
      <c r="W79" s="185"/>
      <c r="X79" s="182"/>
      <c r="Y79" s="632"/>
      <c r="Z79" s="188"/>
      <c r="AA79" s="188"/>
      <c r="AB79" s="185"/>
      <c r="AC79" s="182"/>
      <c r="AD79" s="632"/>
      <c r="AE79" s="188"/>
      <c r="AF79" s="188"/>
      <c r="AG79" s="185"/>
      <c r="AH79" s="182"/>
      <c r="AI79" s="632"/>
      <c r="AJ79" s="188"/>
      <c r="AK79" s="188"/>
      <c r="AL79" s="185"/>
      <c r="AM79" s="182"/>
      <c r="AN79" s="632"/>
      <c r="AO79" s="188"/>
      <c r="AP79" s="188"/>
      <c r="AQ79" s="185"/>
      <c r="AR79" s="182"/>
      <c r="AS79" s="632"/>
      <c r="AT79" s="188"/>
      <c r="AU79" s="188"/>
      <c r="AV79" s="185"/>
      <c r="AW79" s="182"/>
      <c r="AX79" s="632"/>
    </row>
    <row r="80" spans="2:50" ht="14.25" customHeight="1">
      <c r="B80" s="631"/>
      <c r="C80" s="180">
        <v>14</v>
      </c>
      <c r="D80" s="183"/>
      <c r="E80" s="180"/>
      <c r="F80" s="180"/>
      <c r="G80" s="185"/>
      <c r="H80" s="632"/>
      <c r="I80" s="186"/>
      <c r="J80" s="186"/>
      <c r="K80" s="187"/>
      <c r="L80" s="633"/>
      <c r="M80" s="186"/>
      <c r="N80" s="631"/>
      <c r="O80" s="631"/>
      <c r="P80" s="188"/>
      <c r="Q80" s="188"/>
      <c r="R80" s="185"/>
      <c r="S80" s="182"/>
      <c r="T80" s="632"/>
      <c r="U80" s="188"/>
      <c r="V80" s="188"/>
      <c r="W80" s="185"/>
      <c r="X80" s="182"/>
      <c r="Y80" s="632"/>
      <c r="Z80" s="188"/>
      <c r="AA80" s="188"/>
      <c r="AB80" s="185"/>
      <c r="AC80" s="182"/>
      <c r="AD80" s="632"/>
      <c r="AE80" s="188"/>
      <c r="AF80" s="188"/>
      <c r="AG80" s="185"/>
      <c r="AH80" s="182"/>
      <c r="AI80" s="632"/>
      <c r="AJ80" s="188"/>
      <c r="AK80" s="188"/>
      <c r="AL80" s="185"/>
      <c r="AM80" s="182"/>
      <c r="AN80" s="632"/>
      <c r="AO80" s="188"/>
      <c r="AP80" s="188"/>
      <c r="AQ80" s="185"/>
      <c r="AR80" s="182"/>
      <c r="AS80" s="632"/>
      <c r="AT80" s="188"/>
      <c r="AU80" s="188"/>
      <c r="AV80" s="185"/>
      <c r="AW80" s="182"/>
      <c r="AX80" s="632"/>
    </row>
    <row r="81" spans="2:50" ht="14.25" customHeight="1">
      <c r="B81" s="631"/>
      <c r="C81" s="180">
        <v>15</v>
      </c>
      <c r="D81" s="183"/>
      <c r="E81" s="180"/>
      <c r="F81" s="180"/>
      <c r="G81" s="185"/>
      <c r="H81" s="632"/>
      <c r="I81" s="186"/>
      <c r="J81" s="186"/>
      <c r="K81" s="187"/>
      <c r="L81" s="633"/>
      <c r="M81" s="186"/>
      <c r="N81" s="631"/>
      <c r="O81" s="631"/>
      <c r="P81" s="188"/>
      <c r="Q81" s="188"/>
      <c r="R81" s="185"/>
      <c r="S81" s="182"/>
      <c r="T81" s="632"/>
      <c r="U81" s="188"/>
      <c r="V81" s="188"/>
      <c r="W81" s="185"/>
      <c r="X81" s="182"/>
      <c r="Y81" s="632"/>
      <c r="Z81" s="188"/>
      <c r="AA81" s="188"/>
      <c r="AB81" s="185"/>
      <c r="AC81" s="182"/>
      <c r="AD81" s="632"/>
      <c r="AE81" s="188"/>
      <c r="AF81" s="188"/>
      <c r="AG81" s="185"/>
      <c r="AH81" s="182"/>
      <c r="AI81" s="632"/>
      <c r="AJ81" s="188"/>
      <c r="AK81" s="188"/>
      <c r="AL81" s="185"/>
      <c r="AM81" s="182"/>
      <c r="AN81" s="632"/>
      <c r="AO81" s="188"/>
      <c r="AP81" s="188"/>
      <c r="AQ81" s="185"/>
      <c r="AR81" s="182"/>
      <c r="AS81" s="632"/>
      <c r="AT81" s="188"/>
      <c r="AU81" s="188"/>
      <c r="AV81" s="185"/>
      <c r="AW81" s="182"/>
      <c r="AX81" s="632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81"/>
  <sheetViews>
    <sheetView zoomScaleNormal="100" workbookViewId="0">
      <pane xSplit="13" ySplit="1" topLeftCell="AJ56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94" t="s">
        <v>696</v>
      </c>
      <c r="C1" s="175">
        <f>AVERAGE(L7,L27,L47,L67)</f>
        <v>83.049054798069449</v>
      </c>
    </row>
    <row r="2" spans="1:50" ht="14.25" customHeight="1">
      <c r="B2" s="646" t="s">
        <v>619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7"/>
      <c r="N2" s="664" t="s">
        <v>369</v>
      </c>
      <c r="O2" s="664" t="s">
        <v>105</v>
      </c>
      <c r="P2" s="666">
        <v>46140</v>
      </c>
      <c r="Q2" s="667"/>
      <c r="R2" s="667"/>
      <c r="S2" s="667"/>
      <c r="T2" s="667"/>
      <c r="U2" s="668">
        <v>46141</v>
      </c>
      <c r="V2" s="669"/>
      <c r="W2" s="669"/>
      <c r="X2" s="669"/>
      <c r="Y2" s="669"/>
      <c r="Z2" s="666">
        <v>46142</v>
      </c>
      <c r="AA2" s="667"/>
      <c r="AB2" s="667"/>
      <c r="AC2" s="667"/>
      <c r="AD2" s="667"/>
      <c r="AE2" s="668">
        <v>46143</v>
      </c>
      <c r="AF2" s="669"/>
      <c r="AG2" s="669"/>
      <c r="AH2" s="669"/>
      <c r="AI2" s="669"/>
      <c r="AJ2" s="656">
        <v>46144</v>
      </c>
      <c r="AK2" s="657"/>
      <c r="AL2" s="657"/>
      <c r="AM2" s="657"/>
      <c r="AN2" s="658"/>
      <c r="AO2" s="668">
        <v>46145</v>
      </c>
      <c r="AP2" s="669"/>
      <c r="AQ2" s="669"/>
      <c r="AR2" s="669"/>
      <c r="AS2" s="669"/>
      <c r="AT2" s="656">
        <v>46146</v>
      </c>
      <c r="AU2" s="657"/>
      <c r="AV2" s="657"/>
      <c r="AW2" s="657"/>
      <c r="AX2" s="658"/>
    </row>
    <row r="3" spans="1:50" ht="14.25" customHeight="1"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9"/>
      <c r="N3" s="665"/>
      <c r="O3" s="665"/>
      <c r="P3" s="659">
        <v>46140</v>
      </c>
      <c r="Q3" s="659"/>
      <c r="R3" s="659"/>
      <c r="S3" s="659"/>
      <c r="T3" s="659"/>
      <c r="U3" s="660">
        <v>46141</v>
      </c>
      <c r="V3" s="660"/>
      <c r="W3" s="660"/>
      <c r="X3" s="660"/>
      <c r="Y3" s="660"/>
      <c r="Z3" s="659">
        <v>46142</v>
      </c>
      <c r="AA3" s="659"/>
      <c r="AB3" s="659"/>
      <c r="AC3" s="659"/>
      <c r="AD3" s="659"/>
      <c r="AE3" s="660">
        <v>46143</v>
      </c>
      <c r="AF3" s="660"/>
      <c r="AG3" s="660"/>
      <c r="AH3" s="660"/>
      <c r="AI3" s="660"/>
      <c r="AJ3" s="661">
        <v>46144</v>
      </c>
      <c r="AK3" s="662"/>
      <c r="AL3" s="662"/>
      <c r="AM3" s="662"/>
      <c r="AN3" s="663"/>
      <c r="AO3" s="660">
        <v>46145</v>
      </c>
      <c r="AP3" s="660"/>
      <c r="AQ3" s="660"/>
      <c r="AR3" s="660"/>
      <c r="AS3" s="660"/>
      <c r="AT3" s="661">
        <v>46146</v>
      </c>
      <c r="AU3" s="662"/>
      <c r="AV3" s="662"/>
      <c r="AW3" s="662"/>
      <c r="AX3" s="663"/>
    </row>
    <row r="4" spans="1:50" ht="14.25" customHeight="1">
      <c r="B4" s="631" t="s">
        <v>162</v>
      </c>
      <c r="C4" s="631" t="s">
        <v>157</v>
      </c>
      <c r="D4" s="631"/>
      <c r="E4" s="631" t="s">
        <v>158</v>
      </c>
      <c r="F4" s="631"/>
      <c r="G4" s="631"/>
      <c r="H4" s="631" t="s">
        <v>163</v>
      </c>
      <c r="I4" s="635" t="s">
        <v>370</v>
      </c>
      <c r="J4" s="635"/>
      <c r="K4" s="635"/>
      <c r="L4" s="635" t="s">
        <v>163</v>
      </c>
      <c r="M4" s="635" t="s">
        <v>165</v>
      </c>
      <c r="N4" s="631"/>
      <c r="O4" s="631" t="s">
        <v>164</v>
      </c>
      <c r="P4" s="631" t="s">
        <v>160</v>
      </c>
      <c r="Q4" s="631"/>
      <c r="R4" s="631"/>
      <c r="S4" s="631"/>
      <c r="T4" s="631" t="s">
        <v>163</v>
      </c>
      <c r="U4" s="631" t="s">
        <v>160</v>
      </c>
      <c r="V4" s="631"/>
      <c r="W4" s="631"/>
      <c r="X4" s="631"/>
      <c r="Y4" s="631" t="s">
        <v>163</v>
      </c>
      <c r="Z4" s="631" t="s">
        <v>160</v>
      </c>
      <c r="AA4" s="631"/>
      <c r="AB4" s="631"/>
      <c r="AC4" s="631"/>
      <c r="AD4" s="631" t="s">
        <v>163</v>
      </c>
      <c r="AE4" s="631" t="s">
        <v>160</v>
      </c>
      <c r="AF4" s="631"/>
      <c r="AG4" s="631"/>
      <c r="AH4" s="631"/>
      <c r="AI4" s="631" t="s">
        <v>163</v>
      </c>
      <c r="AJ4" s="631" t="s">
        <v>160</v>
      </c>
      <c r="AK4" s="631"/>
      <c r="AL4" s="631"/>
      <c r="AM4" s="631"/>
      <c r="AN4" s="631" t="s">
        <v>163</v>
      </c>
      <c r="AO4" s="631" t="s">
        <v>160</v>
      </c>
      <c r="AP4" s="631"/>
      <c r="AQ4" s="631"/>
      <c r="AR4" s="631"/>
      <c r="AS4" s="631" t="s">
        <v>163</v>
      </c>
      <c r="AT4" s="631" t="s">
        <v>160</v>
      </c>
      <c r="AU4" s="631"/>
      <c r="AV4" s="631"/>
      <c r="AW4" s="631"/>
      <c r="AX4" s="631" t="s">
        <v>163</v>
      </c>
    </row>
    <row r="5" spans="1:50" ht="14.25" customHeight="1">
      <c r="B5" s="631"/>
      <c r="C5" s="631"/>
      <c r="D5" s="631"/>
      <c r="E5" s="631" t="s">
        <v>371</v>
      </c>
      <c r="F5" s="631"/>
      <c r="G5" s="631"/>
      <c r="H5" s="631"/>
      <c r="I5" s="635" t="s">
        <v>371</v>
      </c>
      <c r="J5" s="635"/>
      <c r="K5" s="635"/>
      <c r="L5" s="635"/>
      <c r="M5" s="635"/>
      <c r="N5" s="631"/>
      <c r="O5" s="631"/>
      <c r="P5" s="631" t="s">
        <v>372</v>
      </c>
      <c r="Q5" s="631"/>
      <c r="R5" s="631"/>
      <c r="S5" s="631"/>
      <c r="T5" s="631"/>
      <c r="U5" s="631" t="s">
        <v>372</v>
      </c>
      <c r="V5" s="631"/>
      <c r="W5" s="631"/>
      <c r="X5" s="631"/>
      <c r="Y5" s="631"/>
      <c r="Z5" s="631" t="s">
        <v>372</v>
      </c>
      <c r="AA5" s="631"/>
      <c r="AB5" s="631"/>
      <c r="AC5" s="631"/>
      <c r="AD5" s="631"/>
      <c r="AE5" s="631" t="s">
        <v>372</v>
      </c>
      <c r="AF5" s="631"/>
      <c r="AG5" s="631"/>
      <c r="AH5" s="631"/>
      <c r="AI5" s="631"/>
      <c r="AJ5" s="631" t="s">
        <v>372</v>
      </c>
      <c r="AK5" s="631"/>
      <c r="AL5" s="631"/>
      <c r="AM5" s="631"/>
      <c r="AN5" s="631"/>
      <c r="AO5" s="631" t="s">
        <v>372</v>
      </c>
      <c r="AP5" s="631"/>
      <c r="AQ5" s="631"/>
      <c r="AR5" s="631"/>
      <c r="AS5" s="631"/>
      <c r="AT5" s="631" t="s">
        <v>372</v>
      </c>
      <c r="AU5" s="631"/>
      <c r="AV5" s="631"/>
      <c r="AW5" s="631"/>
      <c r="AX5" s="631"/>
    </row>
    <row r="6" spans="1:50" ht="14.25" customHeight="1">
      <c r="B6" s="631"/>
      <c r="C6" s="631"/>
      <c r="D6" s="631"/>
      <c r="E6" s="180" t="s">
        <v>159</v>
      </c>
      <c r="F6" s="180" t="s">
        <v>373</v>
      </c>
      <c r="G6" s="180" t="s">
        <v>161</v>
      </c>
      <c r="H6" s="631"/>
      <c r="I6" s="181" t="s">
        <v>159</v>
      </c>
      <c r="J6" s="181" t="s">
        <v>373</v>
      </c>
      <c r="K6" s="181" t="s">
        <v>161</v>
      </c>
      <c r="L6" s="635"/>
      <c r="M6" s="635"/>
      <c r="N6" s="631"/>
      <c r="O6" s="631"/>
      <c r="P6" s="180" t="s">
        <v>159</v>
      </c>
      <c r="Q6" s="180" t="s">
        <v>373</v>
      </c>
      <c r="R6" s="180" t="s">
        <v>161</v>
      </c>
      <c r="S6" s="182" t="s">
        <v>165</v>
      </c>
      <c r="T6" s="631"/>
      <c r="U6" s="180" t="s">
        <v>159</v>
      </c>
      <c r="V6" s="180" t="s">
        <v>373</v>
      </c>
      <c r="W6" s="180" t="s">
        <v>161</v>
      </c>
      <c r="X6" s="182" t="s">
        <v>165</v>
      </c>
      <c r="Y6" s="631"/>
      <c r="Z6" s="180" t="s">
        <v>159</v>
      </c>
      <c r="AA6" s="180" t="s">
        <v>373</v>
      </c>
      <c r="AB6" s="180" t="s">
        <v>161</v>
      </c>
      <c r="AC6" s="182" t="s">
        <v>165</v>
      </c>
      <c r="AD6" s="631"/>
      <c r="AE6" s="180" t="s">
        <v>159</v>
      </c>
      <c r="AF6" s="180" t="s">
        <v>373</v>
      </c>
      <c r="AG6" s="180" t="s">
        <v>161</v>
      </c>
      <c r="AH6" s="182" t="s">
        <v>165</v>
      </c>
      <c r="AI6" s="631"/>
      <c r="AJ6" s="180" t="s">
        <v>159</v>
      </c>
      <c r="AK6" s="180" t="s">
        <v>373</v>
      </c>
      <c r="AL6" s="180" t="s">
        <v>161</v>
      </c>
      <c r="AM6" s="182" t="s">
        <v>165</v>
      </c>
      <c r="AN6" s="631"/>
      <c r="AO6" s="180" t="s">
        <v>159</v>
      </c>
      <c r="AP6" s="180" t="s">
        <v>373</v>
      </c>
      <c r="AQ6" s="180" t="s">
        <v>161</v>
      </c>
      <c r="AR6" s="182" t="s">
        <v>165</v>
      </c>
      <c r="AS6" s="631"/>
      <c r="AT6" s="180" t="s">
        <v>159</v>
      </c>
      <c r="AU6" s="180" t="s">
        <v>373</v>
      </c>
      <c r="AV6" s="180" t="s">
        <v>161</v>
      </c>
      <c r="AW6" s="182" t="s">
        <v>165</v>
      </c>
      <c r="AX6" s="631"/>
    </row>
    <row r="7" spans="1:50" ht="14.25" customHeight="1">
      <c r="B7" s="631" t="s">
        <v>143</v>
      </c>
      <c r="C7" s="180">
        <v>1</v>
      </c>
      <c r="D7" s="183" t="s">
        <v>357</v>
      </c>
      <c r="E7" s="180">
        <v>13</v>
      </c>
      <c r="F7" s="180">
        <v>1200</v>
      </c>
      <c r="G7" s="185">
        <f t="shared" ref="G7" si="0">F7/E7</f>
        <v>92.307692307692307</v>
      </c>
      <c r="H7" s="632">
        <f>AVERAGE(G7:G21)</f>
        <v>92.307692307692307</v>
      </c>
      <c r="I7" s="186">
        <f>AVERAGE(P7,U7,Z7,AE7,AJ7,AO7,AT7)</f>
        <v>13</v>
      </c>
      <c r="J7" s="186">
        <f>AVERAGE(Q7,V7,AA7,AF7,AK7,AP7,AU7)</f>
        <v>1080.3104812428951</v>
      </c>
      <c r="K7" s="187">
        <f>AVERAGE(R7,W7,AB7,AG7,AL7,AQ7,AV7)</f>
        <v>83.100806249453484</v>
      </c>
      <c r="L7" s="633">
        <f>IFERROR(AVERAGE(K7:K21),"-")</f>
        <v>83.100806249453484</v>
      </c>
      <c r="M7" s="186">
        <f>RANK(K7, K$7:$K$21)</f>
        <v>1</v>
      </c>
      <c r="N7" s="631"/>
      <c r="O7" s="631"/>
      <c r="P7" s="188">
        <v>13</v>
      </c>
      <c r="Q7" s="188">
        <v>1080.3619098143238</v>
      </c>
      <c r="R7" s="185">
        <f>IFERROR(Q7/P7,"")</f>
        <v>83.104762293409522</v>
      </c>
      <c r="S7" s="182">
        <f>RANK(R7, R$7:R$21)</f>
        <v>1</v>
      </c>
      <c r="T7" s="632">
        <f>AVERAGE(R7:R21)</f>
        <v>83.104762293409522</v>
      </c>
      <c r="U7" s="188">
        <v>13</v>
      </c>
      <c r="V7" s="188">
        <v>1080.2419098143237</v>
      </c>
      <c r="W7" s="185">
        <f t="shared" ref="W7" si="1">IFERROR(V7/U7,"")</f>
        <v>83.095531524178739</v>
      </c>
      <c r="X7" s="182">
        <f>RANK(W7, W$7:W$21)</f>
        <v>1</v>
      </c>
      <c r="Y7" s="632">
        <f>AVERAGE(W7:W21)</f>
        <v>83.095531524178739</v>
      </c>
      <c r="Z7" s="188">
        <v>13</v>
      </c>
      <c r="AA7" s="188">
        <v>1080.3619098143236</v>
      </c>
      <c r="AB7" s="185">
        <f t="shared" ref="AB7" si="2">IFERROR(AA7/Z7,"")</f>
        <v>83.104762293409507</v>
      </c>
      <c r="AC7" s="182">
        <f>RANK(AB7, AB$7:AB$21)</f>
        <v>1</v>
      </c>
      <c r="AD7" s="632">
        <f>AVERAGE(AB7:AB21)</f>
        <v>83.104762293409507</v>
      </c>
      <c r="AE7" s="188">
        <v>13</v>
      </c>
      <c r="AF7" s="188">
        <v>1080.3619098143236</v>
      </c>
      <c r="AG7" s="185">
        <f>IFERROR(AF7/AE7,"")</f>
        <v>83.104762293409507</v>
      </c>
      <c r="AH7" s="182">
        <f>RANK(AG7, AG$7:AG$21)</f>
        <v>1</v>
      </c>
      <c r="AI7" s="632">
        <f>AVERAGE(AG7:AG21)</f>
        <v>83.104762293409507</v>
      </c>
      <c r="AJ7" s="188">
        <v>13</v>
      </c>
      <c r="AK7" s="188">
        <v>1080.4819098143237</v>
      </c>
      <c r="AL7" s="185">
        <f t="shared" ref="AL7" si="3">IFERROR(AK7/AJ7,"")</f>
        <v>83.113993062640276</v>
      </c>
      <c r="AM7" s="182">
        <f>RANK(AL7, AL$7:AL$21)</f>
        <v>1</v>
      </c>
      <c r="AN7" s="632">
        <f>AVERAGE(AL7:AL21)</f>
        <v>83.113993062640276</v>
      </c>
      <c r="AO7" s="188">
        <v>13</v>
      </c>
      <c r="AP7" s="188">
        <v>1080.3619098143236</v>
      </c>
      <c r="AQ7" s="185">
        <f t="shared" ref="AQ7" si="4">IFERROR(AP7/AO7,"")</f>
        <v>83.104762293409507</v>
      </c>
      <c r="AR7" s="182">
        <f>RANK(AQ7, AQ$7:AQ$21)</f>
        <v>1</v>
      </c>
      <c r="AS7" s="632">
        <f>AVERAGE(AQ7:AQ21)</f>
        <v>83.104762293409507</v>
      </c>
      <c r="AT7" s="188">
        <v>13</v>
      </c>
      <c r="AU7" s="188">
        <v>1080.0019098143237</v>
      </c>
      <c r="AV7" s="185">
        <f t="shared" ref="AV7" si="5">IFERROR(AU7/AT7,"")</f>
        <v>83.077069985717202</v>
      </c>
      <c r="AW7" s="182">
        <f>RANK(AV7, AV$7:AV$21)</f>
        <v>1</v>
      </c>
      <c r="AX7" s="632">
        <f>AVERAGE(AV7:AV21)</f>
        <v>83.077069985717202</v>
      </c>
    </row>
    <row r="8" spans="1:50" ht="14.25" customHeight="1">
      <c r="B8" s="631"/>
      <c r="C8" s="180">
        <v>2</v>
      </c>
      <c r="D8" s="183"/>
      <c r="E8" s="180"/>
      <c r="F8" s="180"/>
      <c r="G8" s="185"/>
      <c r="H8" s="632"/>
      <c r="I8" s="186"/>
      <c r="J8" s="186"/>
      <c r="K8" s="187"/>
      <c r="L8" s="633"/>
      <c r="M8" s="186"/>
      <c r="N8" s="631"/>
      <c r="O8" s="631"/>
      <c r="P8" s="188"/>
      <c r="Q8" s="188"/>
      <c r="R8" s="185"/>
      <c r="S8" s="182"/>
      <c r="T8" s="632"/>
      <c r="U8" s="188"/>
      <c r="V8" s="188"/>
      <c r="W8" s="185"/>
      <c r="X8" s="182"/>
      <c r="Y8" s="632"/>
      <c r="Z8" s="188"/>
      <c r="AA8" s="188"/>
      <c r="AB8" s="185"/>
      <c r="AC8" s="182"/>
      <c r="AD8" s="632"/>
      <c r="AE8" s="188"/>
      <c r="AF8" s="188"/>
      <c r="AG8" s="185"/>
      <c r="AH8" s="182"/>
      <c r="AI8" s="632"/>
      <c r="AJ8" s="188"/>
      <c r="AK8" s="188"/>
      <c r="AL8" s="185"/>
      <c r="AM8" s="182"/>
      <c r="AN8" s="632"/>
      <c r="AO8" s="188"/>
      <c r="AP8" s="188"/>
      <c r="AQ8" s="185"/>
      <c r="AR8" s="182"/>
      <c r="AS8" s="632"/>
      <c r="AT8" s="188"/>
      <c r="AU8" s="188"/>
      <c r="AV8" s="185"/>
      <c r="AW8" s="182"/>
      <c r="AX8" s="632"/>
    </row>
    <row r="9" spans="1:50" ht="14.25" customHeight="1">
      <c r="B9" s="631"/>
      <c r="C9" s="180">
        <v>3</v>
      </c>
      <c r="D9" s="183"/>
      <c r="E9" s="180"/>
      <c r="F9" s="180"/>
      <c r="G9" s="185"/>
      <c r="H9" s="632"/>
      <c r="I9" s="186"/>
      <c r="J9" s="186"/>
      <c r="K9" s="187"/>
      <c r="L9" s="633"/>
      <c r="M9" s="186"/>
      <c r="N9" s="631"/>
      <c r="O9" s="631"/>
      <c r="P9" s="188"/>
      <c r="Q9" s="188"/>
      <c r="R9" s="185"/>
      <c r="S9" s="182"/>
      <c r="T9" s="632"/>
      <c r="U9" s="188"/>
      <c r="V9" s="188"/>
      <c r="W9" s="185"/>
      <c r="X9" s="182"/>
      <c r="Y9" s="632"/>
      <c r="Z9" s="188"/>
      <c r="AA9" s="188"/>
      <c r="AB9" s="185"/>
      <c r="AC9" s="182"/>
      <c r="AD9" s="632"/>
      <c r="AE9" s="188"/>
      <c r="AF9" s="188"/>
      <c r="AG9" s="185"/>
      <c r="AH9" s="182"/>
      <c r="AI9" s="632"/>
      <c r="AJ9" s="188"/>
      <c r="AK9" s="188"/>
      <c r="AL9" s="185"/>
      <c r="AM9" s="182"/>
      <c r="AN9" s="632"/>
      <c r="AO9" s="188"/>
      <c r="AP9" s="188"/>
      <c r="AQ9" s="185"/>
      <c r="AR9" s="182"/>
      <c r="AS9" s="632"/>
      <c r="AT9" s="188"/>
      <c r="AU9" s="188"/>
      <c r="AV9" s="185"/>
      <c r="AW9" s="182"/>
      <c r="AX9" s="632"/>
    </row>
    <row r="10" spans="1:50" ht="14.25" customHeight="1">
      <c r="B10" s="631"/>
      <c r="C10" s="180">
        <v>4</v>
      </c>
      <c r="D10" s="183"/>
      <c r="E10" s="180"/>
      <c r="F10" s="180"/>
      <c r="G10" s="185"/>
      <c r="H10" s="632"/>
      <c r="I10" s="186"/>
      <c r="J10" s="186"/>
      <c r="K10" s="187"/>
      <c r="L10" s="633"/>
      <c r="M10" s="186"/>
      <c r="N10" s="631"/>
      <c r="O10" s="631"/>
      <c r="P10" s="188"/>
      <c r="Q10" s="188"/>
      <c r="R10" s="185"/>
      <c r="S10" s="182"/>
      <c r="T10" s="632"/>
      <c r="U10" s="188"/>
      <c r="V10" s="188"/>
      <c r="W10" s="185"/>
      <c r="X10" s="182"/>
      <c r="Y10" s="632"/>
      <c r="Z10" s="188"/>
      <c r="AA10" s="188"/>
      <c r="AB10" s="185"/>
      <c r="AC10" s="182"/>
      <c r="AD10" s="632"/>
      <c r="AE10" s="188"/>
      <c r="AF10" s="188"/>
      <c r="AG10" s="185"/>
      <c r="AH10" s="182"/>
      <c r="AI10" s="632"/>
      <c r="AJ10" s="188"/>
      <c r="AK10" s="188"/>
      <c r="AL10" s="185"/>
      <c r="AM10" s="182"/>
      <c r="AN10" s="632"/>
      <c r="AO10" s="188"/>
      <c r="AP10" s="188"/>
      <c r="AQ10" s="185"/>
      <c r="AR10" s="182"/>
      <c r="AS10" s="632"/>
      <c r="AT10" s="188"/>
      <c r="AU10" s="188"/>
      <c r="AV10" s="185"/>
      <c r="AW10" s="182"/>
      <c r="AX10" s="632"/>
    </row>
    <row r="11" spans="1:50" ht="14.25" customHeight="1">
      <c r="B11" s="631"/>
      <c r="C11" s="180">
        <v>5</v>
      </c>
      <c r="D11" s="183"/>
      <c r="E11" s="180"/>
      <c r="F11" s="180"/>
      <c r="G11" s="185"/>
      <c r="H11" s="632"/>
      <c r="I11" s="186"/>
      <c r="J11" s="186"/>
      <c r="K11" s="187"/>
      <c r="L11" s="633"/>
      <c r="M11" s="186"/>
      <c r="N11" s="631"/>
      <c r="O11" s="631"/>
      <c r="P11" s="188"/>
      <c r="Q11" s="188"/>
      <c r="R11" s="185"/>
      <c r="S11" s="182"/>
      <c r="T11" s="632"/>
      <c r="U11" s="188"/>
      <c r="V11" s="188"/>
      <c r="W11" s="185"/>
      <c r="X11" s="182"/>
      <c r="Y11" s="632"/>
      <c r="Z11" s="188"/>
      <c r="AA11" s="188"/>
      <c r="AB11" s="185"/>
      <c r="AC11" s="182"/>
      <c r="AD11" s="632"/>
      <c r="AE11" s="188"/>
      <c r="AF11" s="188"/>
      <c r="AG11" s="185"/>
      <c r="AH11" s="182"/>
      <c r="AI11" s="632"/>
      <c r="AJ11" s="188"/>
      <c r="AK11" s="188"/>
      <c r="AL11" s="185"/>
      <c r="AM11" s="182"/>
      <c r="AN11" s="632"/>
      <c r="AO11" s="188"/>
      <c r="AP11" s="188"/>
      <c r="AQ11" s="185"/>
      <c r="AR11" s="182"/>
      <c r="AS11" s="632"/>
      <c r="AT11" s="188"/>
      <c r="AU11" s="188"/>
      <c r="AV11" s="185"/>
      <c r="AW11" s="182"/>
      <c r="AX11" s="632"/>
    </row>
    <row r="12" spans="1:50" ht="14.25" customHeight="1">
      <c r="B12" s="631"/>
      <c r="C12" s="180">
        <v>6</v>
      </c>
      <c r="D12" s="183"/>
      <c r="E12" s="180"/>
      <c r="F12" s="180"/>
      <c r="G12" s="185"/>
      <c r="H12" s="632"/>
      <c r="I12" s="186"/>
      <c r="J12" s="186"/>
      <c r="K12" s="187"/>
      <c r="L12" s="633"/>
      <c r="M12" s="186"/>
      <c r="N12" s="631"/>
      <c r="O12" s="631"/>
      <c r="P12" s="188"/>
      <c r="Q12" s="188"/>
      <c r="R12" s="185"/>
      <c r="S12" s="182"/>
      <c r="T12" s="632"/>
      <c r="U12" s="188"/>
      <c r="V12" s="188"/>
      <c r="W12" s="185"/>
      <c r="X12" s="182"/>
      <c r="Y12" s="632"/>
      <c r="Z12" s="188"/>
      <c r="AA12" s="188"/>
      <c r="AB12" s="185"/>
      <c r="AC12" s="182"/>
      <c r="AD12" s="632"/>
      <c r="AE12" s="188"/>
      <c r="AF12" s="188"/>
      <c r="AG12" s="185"/>
      <c r="AH12" s="182"/>
      <c r="AI12" s="632"/>
      <c r="AJ12" s="188"/>
      <c r="AK12" s="188"/>
      <c r="AL12" s="185"/>
      <c r="AM12" s="182"/>
      <c r="AN12" s="632"/>
      <c r="AO12" s="188"/>
      <c r="AP12" s="188"/>
      <c r="AQ12" s="185"/>
      <c r="AR12" s="182"/>
      <c r="AS12" s="632"/>
      <c r="AT12" s="188"/>
      <c r="AU12" s="188"/>
      <c r="AV12" s="185"/>
      <c r="AW12" s="182"/>
      <c r="AX12" s="632"/>
    </row>
    <row r="13" spans="1:50" ht="14.25" customHeight="1">
      <c r="B13" s="631"/>
      <c r="C13" s="180">
        <v>7</v>
      </c>
      <c r="D13" s="183"/>
      <c r="E13" s="180"/>
      <c r="F13" s="180"/>
      <c r="G13" s="185"/>
      <c r="H13" s="632"/>
      <c r="I13" s="186"/>
      <c r="J13" s="186"/>
      <c r="K13" s="187"/>
      <c r="L13" s="633"/>
      <c r="M13" s="186"/>
      <c r="N13" s="631"/>
      <c r="O13" s="631"/>
      <c r="P13" s="188"/>
      <c r="Q13" s="188"/>
      <c r="R13" s="185"/>
      <c r="S13" s="182"/>
      <c r="T13" s="632"/>
      <c r="U13" s="188"/>
      <c r="V13" s="188"/>
      <c r="W13" s="185"/>
      <c r="X13" s="182"/>
      <c r="Y13" s="632"/>
      <c r="Z13" s="188"/>
      <c r="AA13" s="188"/>
      <c r="AB13" s="185"/>
      <c r="AC13" s="182"/>
      <c r="AD13" s="632"/>
      <c r="AE13" s="188"/>
      <c r="AF13" s="188"/>
      <c r="AG13" s="185"/>
      <c r="AH13" s="182"/>
      <c r="AI13" s="632"/>
      <c r="AJ13" s="188"/>
      <c r="AK13" s="188"/>
      <c r="AL13" s="185"/>
      <c r="AM13" s="182"/>
      <c r="AN13" s="632"/>
      <c r="AO13" s="188"/>
      <c r="AP13" s="188"/>
      <c r="AQ13" s="185"/>
      <c r="AR13" s="182"/>
      <c r="AS13" s="632"/>
      <c r="AT13" s="188"/>
      <c r="AU13" s="188"/>
      <c r="AV13" s="185"/>
      <c r="AW13" s="182"/>
      <c r="AX13" s="632"/>
    </row>
    <row r="14" spans="1:50" ht="14.25" customHeight="1">
      <c r="B14" s="631"/>
      <c r="C14" s="180">
        <v>8</v>
      </c>
      <c r="D14" s="183"/>
      <c r="E14" s="180"/>
      <c r="F14" s="180"/>
      <c r="G14" s="185"/>
      <c r="H14" s="632"/>
      <c r="I14" s="186"/>
      <c r="J14" s="186"/>
      <c r="K14" s="187"/>
      <c r="L14" s="633"/>
      <c r="M14" s="186"/>
      <c r="N14" s="631"/>
      <c r="O14" s="631"/>
      <c r="P14" s="188"/>
      <c r="Q14" s="188"/>
      <c r="R14" s="185"/>
      <c r="S14" s="182"/>
      <c r="T14" s="632"/>
      <c r="U14" s="188"/>
      <c r="V14" s="188"/>
      <c r="W14" s="185"/>
      <c r="X14" s="182"/>
      <c r="Y14" s="632"/>
      <c r="Z14" s="188"/>
      <c r="AA14" s="188"/>
      <c r="AB14" s="185"/>
      <c r="AC14" s="182"/>
      <c r="AD14" s="632"/>
      <c r="AE14" s="188"/>
      <c r="AF14" s="188"/>
      <c r="AG14" s="185"/>
      <c r="AH14" s="182"/>
      <c r="AI14" s="632"/>
      <c r="AJ14" s="188"/>
      <c r="AK14" s="188"/>
      <c r="AL14" s="185"/>
      <c r="AM14" s="182"/>
      <c r="AN14" s="632"/>
      <c r="AO14" s="188"/>
      <c r="AP14" s="188"/>
      <c r="AQ14" s="185"/>
      <c r="AR14" s="182"/>
      <c r="AS14" s="632"/>
      <c r="AT14" s="188"/>
      <c r="AU14" s="188"/>
      <c r="AV14" s="185"/>
      <c r="AW14" s="182"/>
      <c r="AX14" s="632"/>
    </row>
    <row r="15" spans="1:50" ht="14.25" customHeight="1">
      <c r="B15" s="631"/>
      <c r="C15" s="180">
        <v>9</v>
      </c>
      <c r="D15" s="183"/>
      <c r="E15" s="180"/>
      <c r="F15" s="180"/>
      <c r="G15" s="185"/>
      <c r="H15" s="632"/>
      <c r="I15" s="186"/>
      <c r="J15" s="186"/>
      <c r="K15" s="187"/>
      <c r="L15" s="633"/>
      <c r="M15" s="186"/>
      <c r="N15" s="631"/>
      <c r="O15" s="631"/>
      <c r="P15" s="188"/>
      <c r="Q15" s="188"/>
      <c r="R15" s="185"/>
      <c r="S15" s="182"/>
      <c r="T15" s="632"/>
      <c r="U15" s="188"/>
      <c r="V15" s="188"/>
      <c r="W15" s="185"/>
      <c r="X15" s="182"/>
      <c r="Y15" s="632"/>
      <c r="Z15" s="188"/>
      <c r="AA15" s="188"/>
      <c r="AB15" s="185"/>
      <c r="AC15" s="182"/>
      <c r="AD15" s="632"/>
      <c r="AE15" s="188"/>
      <c r="AF15" s="188"/>
      <c r="AG15" s="185"/>
      <c r="AH15" s="182"/>
      <c r="AI15" s="632"/>
      <c r="AJ15" s="188"/>
      <c r="AK15" s="188"/>
      <c r="AL15" s="185"/>
      <c r="AM15" s="182"/>
      <c r="AN15" s="632"/>
      <c r="AO15" s="188"/>
      <c r="AP15" s="188"/>
      <c r="AQ15" s="185"/>
      <c r="AR15" s="182"/>
      <c r="AS15" s="632"/>
      <c r="AT15" s="188"/>
      <c r="AU15" s="188"/>
      <c r="AV15" s="185"/>
      <c r="AW15" s="182"/>
      <c r="AX15" s="632"/>
    </row>
    <row r="16" spans="1:50" ht="14.25" customHeight="1">
      <c r="B16" s="631"/>
      <c r="C16" s="180">
        <v>10</v>
      </c>
      <c r="D16" s="183"/>
      <c r="E16" s="180"/>
      <c r="F16" s="180"/>
      <c r="G16" s="185"/>
      <c r="H16" s="632"/>
      <c r="I16" s="186"/>
      <c r="J16" s="186"/>
      <c r="K16" s="187"/>
      <c r="L16" s="633"/>
      <c r="M16" s="186"/>
      <c r="N16" s="631"/>
      <c r="O16" s="631"/>
      <c r="P16" s="188"/>
      <c r="Q16" s="188"/>
      <c r="R16" s="185"/>
      <c r="S16" s="182"/>
      <c r="T16" s="632"/>
      <c r="U16" s="188"/>
      <c r="V16" s="188"/>
      <c r="W16" s="185"/>
      <c r="X16" s="182"/>
      <c r="Y16" s="632"/>
      <c r="Z16" s="188"/>
      <c r="AA16" s="188"/>
      <c r="AB16" s="185"/>
      <c r="AC16" s="182"/>
      <c r="AD16" s="632"/>
      <c r="AE16" s="188"/>
      <c r="AF16" s="188"/>
      <c r="AG16" s="185"/>
      <c r="AH16" s="182"/>
      <c r="AI16" s="632"/>
      <c r="AJ16" s="188"/>
      <c r="AK16" s="188"/>
      <c r="AL16" s="185"/>
      <c r="AM16" s="182"/>
      <c r="AN16" s="632"/>
      <c r="AO16" s="188"/>
      <c r="AP16" s="188"/>
      <c r="AQ16" s="185"/>
      <c r="AR16" s="182"/>
      <c r="AS16" s="632"/>
      <c r="AT16" s="188"/>
      <c r="AU16" s="188"/>
      <c r="AV16" s="185"/>
      <c r="AW16" s="182"/>
      <c r="AX16" s="632"/>
    </row>
    <row r="17" spans="2:50" ht="14.25" customHeight="1">
      <c r="B17" s="631"/>
      <c r="C17" s="180">
        <v>11</v>
      </c>
      <c r="D17" s="183"/>
      <c r="E17" s="180"/>
      <c r="F17" s="180"/>
      <c r="G17" s="185"/>
      <c r="H17" s="632"/>
      <c r="I17" s="186"/>
      <c r="J17" s="186"/>
      <c r="K17" s="187"/>
      <c r="L17" s="633"/>
      <c r="M17" s="186"/>
      <c r="N17" s="631"/>
      <c r="O17" s="631"/>
      <c r="P17" s="188"/>
      <c r="Q17" s="188"/>
      <c r="R17" s="185"/>
      <c r="S17" s="182"/>
      <c r="T17" s="632"/>
      <c r="U17" s="188"/>
      <c r="V17" s="188"/>
      <c r="W17" s="185"/>
      <c r="X17" s="182"/>
      <c r="Y17" s="632"/>
      <c r="Z17" s="188"/>
      <c r="AA17" s="188"/>
      <c r="AB17" s="185"/>
      <c r="AC17" s="182"/>
      <c r="AD17" s="632"/>
      <c r="AE17" s="188"/>
      <c r="AF17" s="188"/>
      <c r="AG17" s="185"/>
      <c r="AH17" s="182"/>
      <c r="AI17" s="632"/>
      <c r="AJ17" s="188"/>
      <c r="AK17" s="188"/>
      <c r="AL17" s="185"/>
      <c r="AM17" s="182"/>
      <c r="AN17" s="632"/>
      <c r="AO17" s="188"/>
      <c r="AP17" s="188"/>
      <c r="AQ17" s="185"/>
      <c r="AR17" s="182"/>
      <c r="AS17" s="632"/>
      <c r="AT17" s="188"/>
      <c r="AU17" s="188"/>
      <c r="AV17" s="185"/>
      <c r="AW17" s="182"/>
      <c r="AX17" s="632"/>
    </row>
    <row r="18" spans="2:50" ht="14.25" customHeight="1">
      <c r="B18" s="631"/>
      <c r="C18" s="180">
        <v>12</v>
      </c>
      <c r="D18" s="183"/>
      <c r="E18" s="180"/>
      <c r="F18" s="180"/>
      <c r="G18" s="185"/>
      <c r="H18" s="632"/>
      <c r="I18" s="186"/>
      <c r="J18" s="186"/>
      <c r="K18" s="187"/>
      <c r="L18" s="633"/>
      <c r="M18" s="186"/>
      <c r="N18" s="631"/>
      <c r="O18" s="631"/>
      <c r="P18" s="188"/>
      <c r="Q18" s="188"/>
      <c r="R18" s="185"/>
      <c r="S18" s="182"/>
      <c r="T18" s="632"/>
      <c r="U18" s="188"/>
      <c r="V18" s="188"/>
      <c r="W18" s="185"/>
      <c r="X18" s="182"/>
      <c r="Y18" s="632"/>
      <c r="Z18" s="188"/>
      <c r="AA18" s="188"/>
      <c r="AB18" s="185"/>
      <c r="AC18" s="182"/>
      <c r="AD18" s="632"/>
      <c r="AE18" s="188"/>
      <c r="AF18" s="188"/>
      <c r="AG18" s="185"/>
      <c r="AH18" s="182"/>
      <c r="AI18" s="632"/>
      <c r="AJ18" s="188"/>
      <c r="AK18" s="188"/>
      <c r="AL18" s="185"/>
      <c r="AM18" s="182"/>
      <c r="AN18" s="632"/>
      <c r="AO18" s="188"/>
      <c r="AP18" s="188"/>
      <c r="AQ18" s="185"/>
      <c r="AR18" s="182"/>
      <c r="AS18" s="632"/>
      <c r="AT18" s="188"/>
      <c r="AU18" s="188"/>
      <c r="AV18" s="185"/>
      <c r="AW18" s="182"/>
      <c r="AX18" s="632"/>
    </row>
    <row r="19" spans="2:50" ht="14.25" customHeight="1">
      <c r="B19" s="631"/>
      <c r="C19" s="180">
        <v>13</v>
      </c>
      <c r="D19" s="183"/>
      <c r="E19" s="180"/>
      <c r="F19" s="180"/>
      <c r="G19" s="185"/>
      <c r="H19" s="632"/>
      <c r="I19" s="186"/>
      <c r="J19" s="186"/>
      <c r="K19" s="187"/>
      <c r="L19" s="633"/>
      <c r="M19" s="186"/>
      <c r="N19" s="631"/>
      <c r="O19" s="631"/>
      <c r="P19" s="188"/>
      <c r="Q19" s="188"/>
      <c r="R19" s="185"/>
      <c r="S19" s="182"/>
      <c r="T19" s="632"/>
      <c r="U19" s="188"/>
      <c r="V19" s="188"/>
      <c r="W19" s="185"/>
      <c r="X19" s="182"/>
      <c r="Y19" s="632"/>
      <c r="Z19" s="188"/>
      <c r="AA19" s="188"/>
      <c r="AB19" s="185"/>
      <c r="AC19" s="182"/>
      <c r="AD19" s="632"/>
      <c r="AE19" s="188"/>
      <c r="AF19" s="188"/>
      <c r="AG19" s="185"/>
      <c r="AH19" s="182"/>
      <c r="AI19" s="632"/>
      <c r="AJ19" s="188"/>
      <c r="AK19" s="188"/>
      <c r="AL19" s="185"/>
      <c r="AM19" s="182"/>
      <c r="AN19" s="632"/>
      <c r="AO19" s="188"/>
      <c r="AP19" s="188"/>
      <c r="AQ19" s="185"/>
      <c r="AR19" s="182"/>
      <c r="AS19" s="632"/>
      <c r="AT19" s="188"/>
      <c r="AU19" s="188"/>
      <c r="AV19" s="185"/>
      <c r="AW19" s="182"/>
      <c r="AX19" s="632"/>
    </row>
    <row r="20" spans="2:50" ht="14.25" customHeight="1">
      <c r="B20" s="631"/>
      <c r="C20" s="180">
        <v>14</v>
      </c>
      <c r="D20" s="183"/>
      <c r="E20" s="180"/>
      <c r="F20" s="180"/>
      <c r="G20" s="185"/>
      <c r="H20" s="632"/>
      <c r="I20" s="186"/>
      <c r="J20" s="186"/>
      <c r="K20" s="187"/>
      <c r="L20" s="633"/>
      <c r="M20" s="186"/>
      <c r="N20" s="631"/>
      <c r="O20" s="631"/>
      <c r="P20" s="188"/>
      <c r="Q20" s="188"/>
      <c r="R20" s="185"/>
      <c r="S20" s="182"/>
      <c r="T20" s="632"/>
      <c r="U20" s="188"/>
      <c r="V20" s="188"/>
      <c r="W20" s="185"/>
      <c r="X20" s="182"/>
      <c r="Y20" s="632"/>
      <c r="Z20" s="188"/>
      <c r="AA20" s="188"/>
      <c r="AB20" s="185"/>
      <c r="AC20" s="182"/>
      <c r="AD20" s="632"/>
      <c r="AE20" s="188"/>
      <c r="AF20" s="188"/>
      <c r="AG20" s="185"/>
      <c r="AH20" s="182"/>
      <c r="AI20" s="632"/>
      <c r="AJ20" s="188"/>
      <c r="AK20" s="188"/>
      <c r="AL20" s="185"/>
      <c r="AM20" s="182"/>
      <c r="AN20" s="632"/>
      <c r="AO20" s="188"/>
      <c r="AP20" s="188"/>
      <c r="AQ20" s="185"/>
      <c r="AR20" s="182"/>
      <c r="AS20" s="632"/>
      <c r="AT20" s="188"/>
      <c r="AU20" s="188"/>
      <c r="AV20" s="185"/>
      <c r="AW20" s="182"/>
      <c r="AX20" s="632"/>
    </row>
    <row r="21" spans="2:50" ht="14.25" customHeight="1">
      <c r="B21" s="631"/>
      <c r="C21" s="180">
        <v>15</v>
      </c>
      <c r="D21" s="183"/>
      <c r="E21" s="180"/>
      <c r="F21" s="180"/>
      <c r="G21" s="185"/>
      <c r="H21" s="632"/>
      <c r="I21" s="186"/>
      <c r="J21" s="186"/>
      <c r="K21" s="187"/>
      <c r="L21" s="633"/>
      <c r="M21" s="186"/>
      <c r="N21" s="631"/>
      <c r="O21" s="631"/>
      <c r="P21" s="188"/>
      <c r="Q21" s="188"/>
      <c r="R21" s="185"/>
      <c r="S21" s="182"/>
      <c r="T21" s="632"/>
      <c r="U21" s="188"/>
      <c r="V21" s="188"/>
      <c r="W21" s="185"/>
      <c r="X21" s="182"/>
      <c r="Y21" s="632"/>
      <c r="Z21" s="188"/>
      <c r="AA21" s="188"/>
      <c r="AB21" s="185"/>
      <c r="AC21" s="182"/>
      <c r="AD21" s="632"/>
      <c r="AE21" s="188"/>
      <c r="AF21" s="188"/>
      <c r="AG21" s="185"/>
      <c r="AH21" s="182"/>
      <c r="AI21" s="632"/>
      <c r="AJ21" s="188"/>
      <c r="AK21" s="188"/>
      <c r="AL21" s="185"/>
      <c r="AM21" s="182"/>
      <c r="AN21" s="632"/>
      <c r="AO21" s="188"/>
      <c r="AP21" s="188"/>
      <c r="AQ21" s="185"/>
      <c r="AR21" s="182"/>
      <c r="AS21" s="632"/>
      <c r="AT21" s="188"/>
      <c r="AU21" s="188"/>
      <c r="AV21" s="185"/>
      <c r="AW21" s="182"/>
      <c r="AX21" s="632"/>
    </row>
    <row r="22" spans="2:50" ht="14.25" customHeight="1">
      <c r="B22" s="646" t="s">
        <v>695</v>
      </c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47"/>
      <c r="N22" s="664" t="s">
        <v>369</v>
      </c>
      <c r="O22" s="664" t="s">
        <v>105</v>
      </c>
      <c r="P22" s="666">
        <v>46147</v>
      </c>
      <c r="Q22" s="667"/>
      <c r="R22" s="667"/>
      <c r="S22" s="667"/>
      <c r="T22" s="667"/>
      <c r="U22" s="668">
        <v>46148</v>
      </c>
      <c r="V22" s="669"/>
      <c r="W22" s="669"/>
      <c r="X22" s="669"/>
      <c r="Y22" s="669"/>
      <c r="Z22" s="666">
        <v>46149</v>
      </c>
      <c r="AA22" s="667"/>
      <c r="AB22" s="667"/>
      <c r="AC22" s="667"/>
      <c r="AD22" s="667"/>
      <c r="AE22" s="668">
        <v>46150</v>
      </c>
      <c r="AF22" s="669"/>
      <c r="AG22" s="669"/>
      <c r="AH22" s="669"/>
      <c r="AI22" s="669"/>
      <c r="AJ22" s="656">
        <v>46151</v>
      </c>
      <c r="AK22" s="657"/>
      <c r="AL22" s="657"/>
      <c r="AM22" s="657"/>
      <c r="AN22" s="658"/>
      <c r="AO22" s="668">
        <v>46152</v>
      </c>
      <c r="AP22" s="669"/>
      <c r="AQ22" s="669"/>
      <c r="AR22" s="669"/>
      <c r="AS22" s="669"/>
      <c r="AT22" s="656">
        <v>46153</v>
      </c>
      <c r="AU22" s="657"/>
      <c r="AV22" s="657"/>
      <c r="AW22" s="657"/>
      <c r="AX22" s="658"/>
    </row>
    <row r="23" spans="2:50" ht="14.25" customHeight="1"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9"/>
      <c r="N23" s="665"/>
      <c r="O23" s="665"/>
      <c r="P23" s="659">
        <v>46147</v>
      </c>
      <c r="Q23" s="659"/>
      <c r="R23" s="659"/>
      <c r="S23" s="659"/>
      <c r="T23" s="659"/>
      <c r="U23" s="660">
        <v>46148</v>
      </c>
      <c r="V23" s="660"/>
      <c r="W23" s="660"/>
      <c r="X23" s="660"/>
      <c r="Y23" s="660"/>
      <c r="Z23" s="659">
        <v>46149</v>
      </c>
      <c r="AA23" s="659"/>
      <c r="AB23" s="659"/>
      <c r="AC23" s="659"/>
      <c r="AD23" s="659"/>
      <c r="AE23" s="660">
        <v>46150</v>
      </c>
      <c r="AF23" s="660"/>
      <c r="AG23" s="660"/>
      <c r="AH23" s="660"/>
      <c r="AI23" s="660"/>
      <c r="AJ23" s="661">
        <v>46151</v>
      </c>
      <c r="AK23" s="662"/>
      <c r="AL23" s="662"/>
      <c r="AM23" s="662"/>
      <c r="AN23" s="663"/>
      <c r="AO23" s="660">
        <v>46152</v>
      </c>
      <c r="AP23" s="660"/>
      <c r="AQ23" s="660"/>
      <c r="AR23" s="660"/>
      <c r="AS23" s="660"/>
      <c r="AT23" s="661">
        <v>46153</v>
      </c>
      <c r="AU23" s="662"/>
      <c r="AV23" s="662"/>
      <c r="AW23" s="662"/>
      <c r="AX23" s="663"/>
    </row>
    <row r="24" spans="2:50" ht="14.25" customHeight="1">
      <c r="B24" s="631" t="s">
        <v>162</v>
      </c>
      <c r="C24" s="631" t="s">
        <v>157</v>
      </c>
      <c r="D24" s="631"/>
      <c r="E24" s="631" t="s">
        <v>158</v>
      </c>
      <c r="F24" s="631"/>
      <c r="G24" s="631"/>
      <c r="H24" s="631" t="s">
        <v>163</v>
      </c>
      <c r="I24" s="635" t="s">
        <v>370</v>
      </c>
      <c r="J24" s="635"/>
      <c r="K24" s="635"/>
      <c r="L24" s="635" t="s">
        <v>163</v>
      </c>
      <c r="M24" s="635" t="s">
        <v>165</v>
      </c>
      <c r="N24" s="631"/>
      <c r="O24" s="631" t="s">
        <v>164</v>
      </c>
      <c r="P24" s="631" t="s">
        <v>160</v>
      </c>
      <c r="Q24" s="631"/>
      <c r="R24" s="631"/>
      <c r="S24" s="631"/>
      <c r="T24" s="631" t="s">
        <v>163</v>
      </c>
      <c r="U24" s="631" t="s">
        <v>160</v>
      </c>
      <c r="V24" s="631"/>
      <c r="W24" s="631"/>
      <c r="X24" s="631"/>
      <c r="Y24" s="631" t="s">
        <v>163</v>
      </c>
      <c r="Z24" s="631" t="s">
        <v>160</v>
      </c>
      <c r="AA24" s="631"/>
      <c r="AB24" s="631"/>
      <c r="AC24" s="631"/>
      <c r="AD24" s="631" t="s">
        <v>163</v>
      </c>
      <c r="AE24" s="631" t="s">
        <v>160</v>
      </c>
      <c r="AF24" s="631"/>
      <c r="AG24" s="631"/>
      <c r="AH24" s="631"/>
      <c r="AI24" s="631" t="s">
        <v>163</v>
      </c>
      <c r="AJ24" s="631" t="s">
        <v>160</v>
      </c>
      <c r="AK24" s="631"/>
      <c r="AL24" s="631"/>
      <c r="AM24" s="631"/>
      <c r="AN24" s="631" t="s">
        <v>163</v>
      </c>
      <c r="AO24" s="631" t="s">
        <v>160</v>
      </c>
      <c r="AP24" s="631"/>
      <c r="AQ24" s="631"/>
      <c r="AR24" s="631"/>
      <c r="AS24" s="631" t="s">
        <v>163</v>
      </c>
      <c r="AT24" s="631" t="s">
        <v>160</v>
      </c>
      <c r="AU24" s="631"/>
      <c r="AV24" s="631"/>
      <c r="AW24" s="631"/>
      <c r="AX24" s="631" t="s">
        <v>163</v>
      </c>
    </row>
    <row r="25" spans="2:50" ht="14.25" customHeight="1">
      <c r="B25" s="631"/>
      <c r="C25" s="631"/>
      <c r="D25" s="631"/>
      <c r="E25" s="631" t="s">
        <v>371</v>
      </c>
      <c r="F25" s="631"/>
      <c r="G25" s="631"/>
      <c r="H25" s="631"/>
      <c r="I25" s="635" t="s">
        <v>371</v>
      </c>
      <c r="J25" s="635"/>
      <c r="K25" s="635"/>
      <c r="L25" s="635"/>
      <c r="M25" s="635"/>
      <c r="N25" s="631"/>
      <c r="O25" s="631"/>
      <c r="P25" s="631" t="s">
        <v>372</v>
      </c>
      <c r="Q25" s="631"/>
      <c r="R25" s="631"/>
      <c r="S25" s="631"/>
      <c r="T25" s="631"/>
      <c r="U25" s="631" t="s">
        <v>372</v>
      </c>
      <c r="V25" s="631"/>
      <c r="W25" s="631"/>
      <c r="X25" s="631"/>
      <c r="Y25" s="631"/>
      <c r="Z25" s="631" t="s">
        <v>372</v>
      </c>
      <c r="AA25" s="631"/>
      <c r="AB25" s="631"/>
      <c r="AC25" s="631"/>
      <c r="AD25" s="631"/>
      <c r="AE25" s="631" t="s">
        <v>372</v>
      </c>
      <c r="AF25" s="631"/>
      <c r="AG25" s="631"/>
      <c r="AH25" s="631"/>
      <c r="AI25" s="631"/>
      <c r="AJ25" s="631" t="s">
        <v>372</v>
      </c>
      <c r="AK25" s="631"/>
      <c r="AL25" s="631"/>
      <c r="AM25" s="631"/>
      <c r="AN25" s="631"/>
      <c r="AO25" s="631" t="s">
        <v>372</v>
      </c>
      <c r="AP25" s="631"/>
      <c r="AQ25" s="631"/>
      <c r="AR25" s="631"/>
      <c r="AS25" s="631"/>
      <c r="AT25" s="631" t="s">
        <v>372</v>
      </c>
      <c r="AU25" s="631"/>
      <c r="AV25" s="631"/>
      <c r="AW25" s="631"/>
      <c r="AX25" s="631"/>
    </row>
    <row r="26" spans="2:50" ht="14.25" customHeight="1">
      <c r="B26" s="631"/>
      <c r="C26" s="631"/>
      <c r="D26" s="631"/>
      <c r="E26" s="180" t="s">
        <v>159</v>
      </c>
      <c r="F26" s="180" t="s">
        <v>373</v>
      </c>
      <c r="G26" s="180" t="s">
        <v>161</v>
      </c>
      <c r="H26" s="631"/>
      <c r="I26" s="181" t="s">
        <v>159</v>
      </c>
      <c r="J26" s="181" t="s">
        <v>373</v>
      </c>
      <c r="K26" s="181" t="s">
        <v>161</v>
      </c>
      <c r="L26" s="635"/>
      <c r="M26" s="635"/>
      <c r="N26" s="631"/>
      <c r="O26" s="631"/>
      <c r="P26" s="180" t="s">
        <v>159</v>
      </c>
      <c r="Q26" s="180" t="s">
        <v>373</v>
      </c>
      <c r="R26" s="180" t="s">
        <v>161</v>
      </c>
      <c r="S26" s="182" t="s">
        <v>165</v>
      </c>
      <c r="T26" s="631"/>
      <c r="U26" s="180" t="s">
        <v>159</v>
      </c>
      <c r="V26" s="180" t="s">
        <v>373</v>
      </c>
      <c r="W26" s="180" t="s">
        <v>161</v>
      </c>
      <c r="X26" s="182" t="s">
        <v>165</v>
      </c>
      <c r="Y26" s="631"/>
      <c r="Z26" s="180" t="s">
        <v>159</v>
      </c>
      <c r="AA26" s="180" t="s">
        <v>373</v>
      </c>
      <c r="AB26" s="180" t="s">
        <v>161</v>
      </c>
      <c r="AC26" s="182" t="s">
        <v>165</v>
      </c>
      <c r="AD26" s="631"/>
      <c r="AE26" s="180" t="s">
        <v>159</v>
      </c>
      <c r="AF26" s="180" t="s">
        <v>373</v>
      </c>
      <c r="AG26" s="180" t="s">
        <v>161</v>
      </c>
      <c r="AH26" s="182" t="s">
        <v>165</v>
      </c>
      <c r="AI26" s="631"/>
      <c r="AJ26" s="180" t="s">
        <v>159</v>
      </c>
      <c r="AK26" s="180" t="s">
        <v>373</v>
      </c>
      <c r="AL26" s="180" t="s">
        <v>161</v>
      </c>
      <c r="AM26" s="182" t="s">
        <v>165</v>
      </c>
      <c r="AN26" s="631"/>
      <c r="AO26" s="180" t="s">
        <v>159</v>
      </c>
      <c r="AP26" s="180" t="s">
        <v>373</v>
      </c>
      <c r="AQ26" s="180" t="s">
        <v>161</v>
      </c>
      <c r="AR26" s="182" t="s">
        <v>165</v>
      </c>
      <c r="AS26" s="631"/>
      <c r="AT26" s="180" t="s">
        <v>159</v>
      </c>
      <c r="AU26" s="180" t="s">
        <v>373</v>
      </c>
      <c r="AV26" s="180" t="s">
        <v>161</v>
      </c>
      <c r="AW26" s="182" t="s">
        <v>165</v>
      </c>
      <c r="AX26" s="631"/>
    </row>
    <row r="27" spans="2:50" ht="14.25" customHeight="1">
      <c r="B27" s="631" t="s">
        <v>143</v>
      </c>
      <c r="C27" s="180">
        <v>1</v>
      </c>
      <c r="D27" s="183" t="s">
        <v>357</v>
      </c>
      <c r="E27" s="180">
        <v>13</v>
      </c>
      <c r="F27" s="180">
        <v>1200</v>
      </c>
      <c r="G27" s="185">
        <f t="shared" ref="G27" si="6">F27/E27</f>
        <v>92.307692307692307</v>
      </c>
      <c r="H27" s="632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1079.9056882246364</v>
      </c>
      <c r="K27" s="187">
        <f>AVERAGE(R27,W27,AB27,AG27,AL27,AQ27,AV27)</f>
        <v>83.069668324972028</v>
      </c>
      <c r="L27" s="633">
        <f>IFERROR(AVERAGE(K27:K41),"-")</f>
        <v>83.069668324972028</v>
      </c>
      <c r="M27" s="186">
        <f>RANK(K27, K$27:$K$41)</f>
        <v>1</v>
      </c>
      <c r="N27" s="631"/>
      <c r="O27" s="631"/>
      <c r="P27" s="188">
        <v>13</v>
      </c>
      <c r="Q27" s="188">
        <v>1080.3619098143236</v>
      </c>
      <c r="R27" s="185">
        <f>IFERROR(Q27/P27,"")</f>
        <v>83.104762293409507</v>
      </c>
      <c r="S27" s="182">
        <f>RANK(R27, R$27:R$41)</f>
        <v>1</v>
      </c>
      <c r="T27" s="632">
        <f>AVERAGE(R27:R41)</f>
        <v>83.104762293409507</v>
      </c>
      <c r="U27" s="188">
        <v>13</v>
      </c>
      <c r="V27" s="188">
        <v>1079.8819098143238</v>
      </c>
      <c r="W27" s="185">
        <f t="shared" ref="W27" si="7">IFERROR(V27/U27,"")</f>
        <v>83.067839216486448</v>
      </c>
      <c r="X27" s="182">
        <f>RANK(W27, W$27:W$41)</f>
        <v>1</v>
      </c>
      <c r="Y27" s="632">
        <f>AVERAGE(W27:W41)</f>
        <v>83.067839216486448</v>
      </c>
      <c r="Z27" s="188">
        <v>13</v>
      </c>
      <c r="AA27" s="188">
        <v>1079.6419098143238</v>
      </c>
      <c r="AB27" s="185">
        <f t="shared" ref="AB27" si="8">IFERROR(AA27/Z27,"")</f>
        <v>83.049377678024911</v>
      </c>
      <c r="AC27" s="182">
        <f>RANK(AB27, AB$27:AB$41)</f>
        <v>1</v>
      </c>
      <c r="AD27" s="632">
        <f>AVERAGE(AB27:AB41)</f>
        <v>83.049377678024911</v>
      </c>
      <c r="AE27" s="188">
        <v>13</v>
      </c>
      <c r="AF27" s="188">
        <v>1079.6535220323708</v>
      </c>
      <c r="AG27" s="185">
        <f>IFERROR(AF27/AE27,"")</f>
        <v>83.050270925566991</v>
      </c>
      <c r="AH27" s="182">
        <f>RANK(AG27, AG$27:AG$41)</f>
        <v>1</v>
      </c>
      <c r="AI27" s="632">
        <f>AVERAGE(AG27:AG41)</f>
        <v>83.050270925566991</v>
      </c>
      <c r="AJ27" s="188">
        <v>13</v>
      </c>
      <c r="AK27" s="188">
        <v>1080.1335220323708</v>
      </c>
      <c r="AL27" s="185">
        <f t="shared" ref="AL27" si="9">IFERROR(AK27/AJ27,"")</f>
        <v>83.087194002490065</v>
      </c>
      <c r="AM27" s="182">
        <f>RANK(AL27, AL$27:AL$41)</f>
        <v>1</v>
      </c>
      <c r="AN27" s="632">
        <f>AVERAGE(AL27:AL41)</f>
        <v>83.087194002490065</v>
      </c>
      <c r="AO27" s="188">
        <v>13</v>
      </c>
      <c r="AP27" s="188">
        <v>1080.0135220323709</v>
      </c>
      <c r="AQ27" s="185">
        <f t="shared" ref="AQ27" si="10">IFERROR(AP27/AO27,"")</f>
        <v>83.077963233259297</v>
      </c>
      <c r="AR27" s="182">
        <f>RANK(AQ27, AQ$27:AQ$41)</f>
        <v>1</v>
      </c>
      <c r="AS27" s="632">
        <f>AVERAGE(AQ27:AQ41)</f>
        <v>83.077963233259297</v>
      </c>
      <c r="AT27" s="188">
        <v>13</v>
      </c>
      <c r="AU27" s="188">
        <v>1079.653522032371</v>
      </c>
      <c r="AV27" s="185">
        <f t="shared" ref="AV27" si="11">IFERROR(AU27/AT27,"")</f>
        <v>83.050270925567006</v>
      </c>
      <c r="AW27" s="182">
        <f>RANK(AV27, AV$27:AV$41)</f>
        <v>1</v>
      </c>
      <c r="AX27" s="632">
        <f>AVERAGE(AV27:AV41)</f>
        <v>83.050270925567006</v>
      </c>
    </row>
    <row r="28" spans="2:50" ht="14.25" customHeight="1">
      <c r="B28" s="631"/>
      <c r="C28" s="180">
        <v>2</v>
      </c>
      <c r="D28" s="183"/>
      <c r="E28" s="180"/>
      <c r="F28" s="180"/>
      <c r="G28" s="185"/>
      <c r="H28" s="632"/>
      <c r="I28" s="186"/>
      <c r="J28" s="186"/>
      <c r="K28" s="187"/>
      <c r="L28" s="633"/>
      <c r="M28" s="186"/>
      <c r="N28" s="631"/>
      <c r="O28" s="631"/>
      <c r="P28" s="188"/>
      <c r="Q28" s="188"/>
      <c r="R28" s="185"/>
      <c r="S28" s="182"/>
      <c r="T28" s="632"/>
      <c r="U28" s="188"/>
      <c r="V28" s="188"/>
      <c r="W28" s="185"/>
      <c r="X28" s="182"/>
      <c r="Y28" s="632"/>
      <c r="Z28" s="188"/>
      <c r="AA28" s="188"/>
      <c r="AB28" s="185"/>
      <c r="AC28" s="182"/>
      <c r="AD28" s="632"/>
      <c r="AE28" s="188"/>
      <c r="AF28" s="188"/>
      <c r="AG28" s="185"/>
      <c r="AH28" s="182"/>
      <c r="AI28" s="632"/>
      <c r="AJ28" s="188"/>
      <c r="AK28" s="188"/>
      <c r="AL28" s="185"/>
      <c r="AM28" s="182"/>
      <c r="AN28" s="632"/>
      <c r="AO28" s="188"/>
      <c r="AP28" s="188"/>
      <c r="AQ28" s="185"/>
      <c r="AR28" s="182"/>
      <c r="AS28" s="632"/>
      <c r="AT28" s="188"/>
      <c r="AU28" s="188"/>
      <c r="AV28" s="185"/>
      <c r="AW28" s="182"/>
      <c r="AX28" s="632"/>
    </row>
    <row r="29" spans="2:50" ht="14.25" customHeight="1">
      <c r="B29" s="631"/>
      <c r="C29" s="180">
        <v>3</v>
      </c>
      <c r="D29" s="183"/>
      <c r="E29" s="180"/>
      <c r="F29" s="180"/>
      <c r="G29" s="185"/>
      <c r="H29" s="632"/>
      <c r="I29" s="186"/>
      <c r="J29" s="186"/>
      <c r="K29" s="187"/>
      <c r="L29" s="633"/>
      <c r="M29" s="186"/>
      <c r="N29" s="631"/>
      <c r="O29" s="631"/>
      <c r="P29" s="188"/>
      <c r="Q29" s="188"/>
      <c r="R29" s="185"/>
      <c r="S29" s="182"/>
      <c r="T29" s="632"/>
      <c r="U29" s="188"/>
      <c r="V29" s="188"/>
      <c r="W29" s="185"/>
      <c r="X29" s="182"/>
      <c r="Y29" s="632"/>
      <c r="Z29" s="188"/>
      <c r="AA29" s="188"/>
      <c r="AB29" s="185"/>
      <c r="AC29" s="182"/>
      <c r="AD29" s="632"/>
      <c r="AE29" s="188"/>
      <c r="AF29" s="188"/>
      <c r="AG29" s="185"/>
      <c r="AH29" s="182"/>
      <c r="AI29" s="632"/>
      <c r="AJ29" s="188"/>
      <c r="AK29" s="188"/>
      <c r="AL29" s="185"/>
      <c r="AM29" s="182"/>
      <c r="AN29" s="632"/>
      <c r="AO29" s="188"/>
      <c r="AP29" s="188"/>
      <c r="AQ29" s="185"/>
      <c r="AR29" s="182"/>
      <c r="AS29" s="632"/>
      <c r="AT29" s="188"/>
      <c r="AU29" s="188"/>
      <c r="AV29" s="185"/>
      <c r="AW29" s="182"/>
      <c r="AX29" s="632"/>
    </row>
    <row r="30" spans="2:50" ht="14.25" customHeight="1">
      <c r="B30" s="631"/>
      <c r="C30" s="180">
        <v>4</v>
      </c>
      <c r="D30" s="183"/>
      <c r="E30" s="180"/>
      <c r="F30" s="180"/>
      <c r="G30" s="185"/>
      <c r="H30" s="632"/>
      <c r="I30" s="186"/>
      <c r="J30" s="186"/>
      <c r="K30" s="187"/>
      <c r="L30" s="633"/>
      <c r="M30" s="186"/>
      <c r="N30" s="631"/>
      <c r="O30" s="631"/>
      <c r="P30" s="188"/>
      <c r="Q30" s="188"/>
      <c r="R30" s="185"/>
      <c r="S30" s="182"/>
      <c r="T30" s="632"/>
      <c r="U30" s="188"/>
      <c r="V30" s="188"/>
      <c r="W30" s="185"/>
      <c r="X30" s="182"/>
      <c r="Y30" s="632"/>
      <c r="Z30" s="188"/>
      <c r="AA30" s="188"/>
      <c r="AB30" s="185"/>
      <c r="AC30" s="182"/>
      <c r="AD30" s="632"/>
      <c r="AE30" s="188"/>
      <c r="AF30" s="188"/>
      <c r="AG30" s="185"/>
      <c r="AH30" s="182"/>
      <c r="AI30" s="632"/>
      <c r="AJ30" s="188"/>
      <c r="AK30" s="188"/>
      <c r="AL30" s="185"/>
      <c r="AM30" s="182"/>
      <c r="AN30" s="632"/>
      <c r="AO30" s="188"/>
      <c r="AP30" s="188"/>
      <c r="AQ30" s="185"/>
      <c r="AR30" s="182"/>
      <c r="AS30" s="632"/>
      <c r="AT30" s="188"/>
      <c r="AU30" s="188"/>
      <c r="AV30" s="185"/>
      <c r="AW30" s="182"/>
      <c r="AX30" s="632"/>
    </row>
    <row r="31" spans="2:50" ht="14.25" customHeight="1">
      <c r="B31" s="631"/>
      <c r="C31" s="180">
        <v>5</v>
      </c>
      <c r="D31" s="183"/>
      <c r="E31" s="180"/>
      <c r="F31" s="180"/>
      <c r="G31" s="185"/>
      <c r="H31" s="632"/>
      <c r="I31" s="186"/>
      <c r="J31" s="186"/>
      <c r="K31" s="187"/>
      <c r="L31" s="633"/>
      <c r="M31" s="186"/>
      <c r="N31" s="631"/>
      <c r="O31" s="631"/>
      <c r="P31" s="188"/>
      <c r="Q31" s="188"/>
      <c r="R31" s="185"/>
      <c r="S31" s="182"/>
      <c r="T31" s="632"/>
      <c r="U31" s="188"/>
      <c r="V31" s="188"/>
      <c r="W31" s="185"/>
      <c r="X31" s="182"/>
      <c r="Y31" s="632"/>
      <c r="Z31" s="188"/>
      <c r="AA31" s="188"/>
      <c r="AB31" s="185"/>
      <c r="AC31" s="182"/>
      <c r="AD31" s="632"/>
      <c r="AE31" s="188"/>
      <c r="AF31" s="188"/>
      <c r="AG31" s="185"/>
      <c r="AH31" s="182"/>
      <c r="AI31" s="632"/>
      <c r="AJ31" s="188"/>
      <c r="AK31" s="188"/>
      <c r="AL31" s="185"/>
      <c r="AM31" s="182"/>
      <c r="AN31" s="632"/>
      <c r="AO31" s="188"/>
      <c r="AP31" s="188"/>
      <c r="AQ31" s="185"/>
      <c r="AR31" s="182"/>
      <c r="AS31" s="632"/>
      <c r="AT31" s="188"/>
      <c r="AU31" s="188"/>
      <c r="AV31" s="185"/>
      <c r="AW31" s="182"/>
      <c r="AX31" s="632"/>
    </row>
    <row r="32" spans="2:50" ht="14.25" customHeight="1">
      <c r="B32" s="631"/>
      <c r="C32" s="180">
        <v>6</v>
      </c>
      <c r="D32" s="183"/>
      <c r="E32" s="180"/>
      <c r="F32" s="180"/>
      <c r="G32" s="185"/>
      <c r="H32" s="632"/>
      <c r="I32" s="186"/>
      <c r="J32" s="186"/>
      <c r="K32" s="187"/>
      <c r="L32" s="633"/>
      <c r="M32" s="186"/>
      <c r="N32" s="631"/>
      <c r="O32" s="631"/>
      <c r="P32" s="188"/>
      <c r="Q32" s="188"/>
      <c r="R32" s="185"/>
      <c r="S32" s="182"/>
      <c r="T32" s="632"/>
      <c r="U32" s="188"/>
      <c r="V32" s="188"/>
      <c r="W32" s="185"/>
      <c r="X32" s="182"/>
      <c r="Y32" s="632"/>
      <c r="Z32" s="188"/>
      <c r="AA32" s="188"/>
      <c r="AB32" s="185"/>
      <c r="AC32" s="182"/>
      <c r="AD32" s="632"/>
      <c r="AE32" s="188"/>
      <c r="AF32" s="188"/>
      <c r="AG32" s="185"/>
      <c r="AH32" s="182"/>
      <c r="AI32" s="632"/>
      <c r="AJ32" s="188"/>
      <c r="AK32" s="188"/>
      <c r="AL32" s="185"/>
      <c r="AM32" s="182"/>
      <c r="AN32" s="632"/>
      <c r="AO32" s="188"/>
      <c r="AP32" s="188"/>
      <c r="AQ32" s="185"/>
      <c r="AR32" s="182"/>
      <c r="AS32" s="632"/>
      <c r="AT32" s="188"/>
      <c r="AU32" s="188"/>
      <c r="AV32" s="185"/>
      <c r="AW32" s="182"/>
      <c r="AX32" s="632"/>
    </row>
    <row r="33" spans="2:50" ht="14.25" customHeight="1">
      <c r="B33" s="631"/>
      <c r="C33" s="180">
        <v>7</v>
      </c>
      <c r="D33" s="183"/>
      <c r="E33" s="180"/>
      <c r="F33" s="180"/>
      <c r="G33" s="185"/>
      <c r="H33" s="632"/>
      <c r="I33" s="186"/>
      <c r="J33" s="186"/>
      <c r="K33" s="187"/>
      <c r="L33" s="633"/>
      <c r="M33" s="186"/>
      <c r="N33" s="631"/>
      <c r="O33" s="631"/>
      <c r="P33" s="188"/>
      <c r="Q33" s="188"/>
      <c r="R33" s="185"/>
      <c r="S33" s="182"/>
      <c r="T33" s="632"/>
      <c r="U33" s="188"/>
      <c r="V33" s="188"/>
      <c r="W33" s="185"/>
      <c r="X33" s="182"/>
      <c r="Y33" s="632"/>
      <c r="Z33" s="188"/>
      <c r="AA33" s="188"/>
      <c r="AB33" s="185"/>
      <c r="AC33" s="182"/>
      <c r="AD33" s="632"/>
      <c r="AE33" s="188"/>
      <c r="AF33" s="188"/>
      <c r="AG33" s="185"/>
      <c r="AH33" s="182"/>
      <c r="AI33" s="632"/>
      <c r="AJ33" s="188"/>
      <c r="AK33" s="188"/>
      <c r="AL33" s="185"/>
      <c r="AM33" s="182"/>
      <c r="AN33" s="632"/>
      <c r="AO33" s="188"/>
      <c r="AP33" s="188"/>
      <c r="AQ33" s="185"/>
      <c r="AR33" s="182"/>
      <c r="AS33" s="632"/>
      <c r="AT33" s="188"/>
      <c r="AU33" s="188"/>
      <c r="AV33" s="185"/>
      <c r="AW33" s="182"/>
      <c r="AX33" s="632"/>
    </row>
    <row r="34" spans="2:50" ht="14.25" customHeight="1">
      <c r="B34" s="631"/>
      <c r="C34" s="180">
        <v>8</v>
      </c>
      <c r="D34" s="183"/>
      <c r="E34" s="180"/>
      <c r="F34" s="180"/>
      <c r="G34" s="185"/>
      <c r="H34" s="632"/>
      <c r="I34" s="186"/>
      <c r="J34" s="186"/>
      <c r="K34" s="187"/>
      <c r="L34" s="633"/>
      <c r="M34" s="186"/>
      <c r="N34" s="631"/>
      <c r="O34" s="631"/>
      <c r="P34" s="188"/>
      <c r="Q34" s="188"/>
      <c r="R34" s="185"/>
      <c r="S34" s="182"/>
      <c r="T34" s="632"/>
      <c r="U34" s="188"/>
      <c r="V34" s="188"/>
      <c r="W34" s="185"/>
      <c r="X34" s="182"/>
      <c r="Y34" s="632"/>
      <c r="Z34" s="188"/>
      <c r="AA34" s="188"/>
      <c r="AB34" s="185"/>
      <c r="AC34" s="182"/>
      <c r="AD34" s="632"/>
      <c r="AE34" s="188"/>
      <c r="AF34" s="188"/>
      <c r="AG34" s="185"/>
      <c r="AH34" s="182"/>
      <c r="AI34" s="632"/>
      <c r="AJ34" s="188"/>
      <c r="AK34" s="188"/>
      <c r="AL34" s="185"/>
      <c r="AM34" s="182"/>
      <c r="AN34" s="632"/>
      <c r="AO34" s="188"/>
      <c r="AP34" s="188"/>
      <c r="AQ34" s="185"/>
      <c r="AR34" s="182"/>
      <c r="AS34" s="632"/>
      <c r="AT34" s="188"/>
      <c r="AU34" s="188"/>
      <c r="AV34" s="185"/>
      <c r="AW34" s="182"/>
      <c r="AX34" s="632"/>
    </row>
    <row r="35" spans="2:50" ht="14.25" customHeight="1">
      <c r="B35" s="631"/>
      <c r="C35" s="180">
        <v>9</v>
      </c>
      <c r="D35" s="183"/>
      <c r="E35" s="180"/>
      <c r="F35" s="180"/>
      <c r="G35" s="185"/>
      <c r="H35" s="632"/>
      <c r="I35" s="186"/>
      <c r="J35" s="186"/>
      <c r="K35" s="187"/>
      <c r="L35" s="633"/>
      <c r="M35" s="186"/>
      <c r="N35" s="631"/>
      <c r="O35" s="631"/>
      <c r="P35" s="188"/>
      <c r="Q35" s="188"/>
      <c r="R35" s="185"/>
      <c r="S35" s="182"/>
      <c r="T35" s="632"/>
      <c r="U35" s="188"/>
      <c r="V35" s="188"/>
      <c r="W35" s="185"/>
      <c r="X35" s="182"/>
      <c r="Y35" s="632"/>
      <c r="Z35" s="188"/>
      <c r="AA35" s="188"/>
      <c r="AB35" s="185"/>
      <c r="AC35" s="182"/>
      <c r="AD35" s="632"/>
      <c r="AE35" s="188"/>
      <c r="AF35" s="188"/>
      <c r="AG35" s="185"/>
      <c r="AH35" s="182"/>
      <c r="AI35" s="632"/>
      <c r="AJ35" s="188"/>
      <c r="AK35" s="188"/>
      <c r="AL35" s="185"/>
      <c r="AM35" s="182"/>
      <c r="AN35" s="632"/>
      <c r="AO35" s="188"/>
      <c r="AP35" s="188"/>
      <c r="AQ35" s="185"/>
      <c r="AR35" s="182"/>
      <c r="AS35" s="632"/>
      <c r="AT35" s="188"/>
      <c r="AU35" s="188"/>
      <c r="AV35" s="185"/>
      <c r="AW35" s="182"/>
      <c r="AX35" s="632"/>
    </row>
    <row r="36" spans="2:50" ht="14.25" customHeight="1">
      <c r="B36" s="631"/>
      <c r="C36" s="180">
        <v>10</v>
      </c>
      <c r="D36" s="183"/>
      <c r="E36" s="180"/>
      <c r="F36" s="180"/>
      <c r="G36" s="185"/>
      <c r="H36" s="632"/>
      <c r="I36" s="186"/>
      <c r="J36" s="186"/>
      <c r="K36" s="187"/>
      <c r="L36" s="633"/>
      <c r="M36" s="186"/>
      <c r="N36" s="631"/>
      <c r="O36" s="631"/>
      <c r="P36" s="188"/>
      <c r="Q36" s="188"/>
      <c r="R36" s="185"/>
      <c r="S36" s="182"/>
      <c r="T36" s="632"/>
      <c r="U36" s="188"/>
      <c r="V36" s="188"/>
      <c r="W36" s="185"/>
      <c r="X36" s="182"/>
      <c r="Y36" s="632"/>
      <c r="Z36" s="188"/>
      <c r="AA36" s="188"/>
      <c r="AB36" s="185"/>
      <c r="AC36" s="182"/>
      <c r="AD36" s="632"/>
      <c r="AE36" s="188"/>
      <c r="AF36" s="188"/>
      <c r="AG36" s="185"/>
      <c r="AH36" s="182"/>
      <c r="AI36" s="632"/>
      <c r="AJ36" s="188"/>
      <c r="AK36" s="188"/>
      <c r="AL36" s="185"/>
      <c r="AM36" s="182"/>
      <c r="AN36" s="632"/>
      <c r="AO36" s="188"/>
      <c r="AP36" s="188"/>
      <c r="AQ36" s="185"/>
      <c r="AR36" s="182"/>
      <c r="AS36" s="632"/>
      <c r="AT36" s="188"/>
      <c r="AU36" s="188"/>
      <c r="AV36" s="185"/>
      <c r="AW36" s="182"/>
      <c r="AX36" s="632"/>
    </row>
    <row r="37" spans="2:50" ht="14.25" customHeight="1">
      <c r="B37" s="631"/>
      <c r="C37" s="180">
        <v>11</v>
      </c>
      <c r="D37" s="183"/>
      <c r="E37" s="180"/>
      <c r="F37" s="180"/>
      <c r="G37" s="185"/>
      <c r="H37" s="632"/>
      <c r="I37" s="186"/>
      <c r="J37" s="186"/>
      <c r="K37" s="187"/>
      <c r="L37" s="633"/>
      <c r="M37" s="186"/>
      <c r="N37" s="631"/>
      <c r="O37" s="631"/>
      <c r="P37" s="188"/>
      <c r="Q37" s="188"/>
      <c r="R37" s="185"/>
      <c r="S37" s="182"/>
      <c r="T37" s="632"/>
      <c r="U37" s="188"/>
      <c r="V37" s="188"/>
      <c r="W37" s="185"/>
      <c r="X37" s="182"/>
      <c r="Y37" s="632"/>
      <c r="Z37" s="188"/>
      <c r="AA37" s="188"/>
      <c r="AB37" s="185"/>
      <c r="AC37" s="182"/>
      <c r="AD37" s="632"/>
      <c r="AE37" s="188"/>
      <c r="AF37" s="188"/>
      <c r="AG37" s="185"/>
      <c r="AH37" s="182"/>
      <c r="AI37" s="632"/>
      <c r="AJ37" s="188"/>
      <c r="AK37" s="188"/>
      <c r="AL37" s="185"/>
      <c r="AM37" s="182"/>
      <c r="AN37" s="632"/>
      <c r="AO37" s="188"/>
      <c r="AP37" s="188"/>
      <c r="AQ37" s="185"/>
      <c r="AR37" s="182"/>
      <c r="AS37" s="632"/>
      <c r="AT37" s="188"/>
      <c r="AU37" s="188"/>
      <c r="AV37" s="185"/>
      <c r="AW37" s="182"/>
      <c r="AX37" s="632"/>
    </row>
    <row r="38" spans="2:50" ht="14.25" customHeight="1">
      <c r="B38" s="631"/>
      <c r="C38" s="180">
        <v>12</v>
      </c>
      <c r="D38" s="183"/>
      <c r="E38" s="180"/>
      <c r="F38" s="180"/>
      <c r="G38" s="185"/>
      <c r="H38" s="632"/>
      <c r="I38" s="186"/>
      <c r="J38" s="186"/>
      <c r="K38" s="187"/>
      <c r="L38" s="633"/>
      <c r="M38" s="186"/>
      <c r="N38" s="631"/>
      <c r="O38" s="631"/>
      <c r="P38" s="188"/>
      <c r="Q38" s="188"/>
      <c r="R38" s="185"/>
      <c r="S38" s="182"/>
      <c r="T38" s="632"/>
      <c r="U38" s="188"/>
      <c r="V38" s="188"/>
      <c r="W38" s="185"/>
      <c r="X38" s="182"/>
      <c r="Y38" s="632"/>
      <c r="Z38" s="188"/>
      <c r="AA38" s="188"/>
      <c r="AB38" s="185"/>
      <c r="AC38" s="182"/>
      <c r="AD38" s="632"/>
      <c r="AE38" s="188"/>
      <c r="AF38" s="188"/>
      <c r="AG38" s="185"/>
      <c r="AH38" s="182"/>
      <c r="AI38" s="632"/>
      <c r="AJ38" s="188"/>
      <c r="AK38" s="188"/>
      <c r="AL38" s="185"/>
      <c r="AM38" s="182"/>
      <c r="AN38" s="632"/>
      <c r="AO38" s="188"/>
      <c r="AP38" s="188"/>
      <c r="AQ38" s="185"/>
      <c r="AR38" s="182"/>
      <c r="AS38" s="632"/>
      <c r="AT38" s="188"/>
      <c r="AU38" s="188"/>
      <c r="AV38" s="185"/>
      <c r="AW38" s="182"/>
      <c r="AX38" s="632"/>
    </row>
    <row r="39" spans="2:50" ht="14.25" customHeight="1">
      <c r="B39" s="631"/>
      <c r="C39" s="180">
        <v>13</v>
      </c>
      <c r="D39" s="183"/>
      <c r="E39" s="180"/>
      <c r="F39" s="180"/>
      <c r="G39" s="185"/>
      <c r="H39" s="632"/>
      <c r="I39" s="186"/>
      <c r="J39" s="186"/>
      <c r="K39" s="187"/>
      <c r="L39" s="633"/>
      <c r="M39" s="186"/>
      <c r="N39" s="631"/>
      <c r="O39" s="631"/>
      <c r="P39" s="188"/>
      <c r="Q39" s="188"/>
      <c r="R39" s="185"/>
      <c r="S39" s="182"/>
      <c r="T39" s="632"/>
      <c r="U39" s="188"/>
      <c r="V39" s="188"/>
      <c r="W39" s="185"/>
      <c r="X39" s="182"/>
      <c r="Y39" s="632"/>
      <c r="Z39" s="188"/>
      <c r="AA39" s="188"/>
      <c r="AB39" s="185"/>
      <c r="AC39" s="182"/>
      <c r="AD39" s="632"/>
      <c r="AE39" s="188"/>
      <c r="AF39" s="188"/>
      <c r="AG39" s="185"/>
      <c r="AH39" s="182"/>
      <c r="AI39" s="632"/>
      <c r="AJ39" s="188"/>
      <c r="AK39" s="188"/>
      <c r="AL39" s="185"/>
      <c r="AM39" s="182"/>
      <c r="AN39" s="632"/>
      <c r="AO39" s="188"/>
      <c r="AP39" s="188"/>
      <c r="AQ39" s="185"/>
      <c r="AR39" s="182"/>
      <c r="AS39" s="632"/>
      <c r="AT39" s="188"/>
      <c r="AU39" s="188"/>
      <c r="AV39" s="185"/>
      <c r="AW39" s="182"/>
      <c r="AX39" s="632"/>
    </row>
    <row r="40" spans="2:50" ht="14.25" customHeight="1">
      <c r="B40" s="631"/>
      <c r="C40" s="180">
        <v>14</v>
      </c>
      <c r="D40" s="183"/>
      <c r="E40" s="180"/>
      <c r="F40" s="180"/>
      <c r="G40" s="185"/>
      <c r="H40" s="632"/>
      <c r="I40" s="186"/>
      <c r="J40" s="186"/>
      <c r="K40" s="187"/>
      <c r="L40" s="633"/>
      <c r="M40" s="186"/>
      <c r="N40" s="631"/>
      <c r="O40" s="631"/>
      <c r="P40" s="188"/>
      <c r="Q40" s="188"/>
      <c r="R40" s="185"/>
      <c r="S40" s="182"/>
      <c r="T40" s="632"/>
      <c r="U40" s="188"/>
      <c r="V40" s="188"/>
      <c r="W40" s="185"/>
      <c r="X40" s="182"/>
      <c r="Y40" s="632"/>
      <c r="Z40" s="188"/>
      <c r="AA40" s="188"/>
      <c r="AB40" s="185"/>
      <c r="AC40" s="182"/>
      <c r="AD40" s="632"/>
      <c r="AE40" s="188"/>
      <c r="AF40" s="188"/>
      <c r="AG40" s="185"/>
      <c r="AH40" s="182"/>
      <c r="AI40" s="632"/>
      <c r="AJ40" s="188"/>
      <c r="AK40" s="188"/>
      <c r="AL40" s="185"/>
      <c r="AM40" s="182"/>
      <c r="AN40" s="632"/>
      <c r="AO40" s="188"/>
      <c r="AP40" s="188"/>
      <c r="AQ40" s="185"/>
      <c r="AR40" s="182"/>
      <c r="AS40" s="632"/>
      <c r="AT40" s="188"/>
      <c r="AU40" s="188"/>
      <c r="AV40" s="185"/>
      <c r="AW40" s="182"/>
      <c r="AX40" s="632"/>
    </row>
    <row r="41" spans="2:50" ht="14.25" customHeight="1">
      <c r="B41" s="631"/>
      <c r="C41" s="180">
        <v>15</v>
      </c>
      <c r="D41" s="183"/>
      <c r="E41" s="180"/>
      <c r="F41" s="180"/>
      <c r="G41" s="185"/>
      <c r="H41" s="632"/>
      <c r="I41" s="186"/>
      <c r="J41" s="186"/>
      <c r="K41" s="187"/>
      <c r="L41" s="633"/>
      <c r="M41" s="186"/>
      <c r="N41" s="631"/>
      <c r="O41" s="631"/>
      <c r="P41" s="188"/>
      <c r="Q41" s="188"/>
      <c r="R41" s="185"/>
      <c r="S41" s="182"/>
      <c r="T41" s="632"/>
      <c r="U41" s="188"/>
      <c r="V41" s="188"/>
      <c r="W41" s="185"/>
      <c r="X41" s="182"/>
      <c r="Y41" s="632"/>
      <c r="Z41" s="188"/>
      <c r="AA41" s="188"/>
      <c r="AB41" s="185"/>
      <c r="AC41" s="182"/>
      <c r="AD41" s="632"/>
      <c r="AE41" s="188"/>
      <c r="AF41" s="188"/>
      <c r="AG41" s="185"/>
      <c r="AH41" s="182"/>
      <c r="AI41" s="632"/>
      <c r="AJ41" s="188"/>
      <c r="AK41" s="188"/>
      <c r="AL41" s="185"/>
      <c r="AM41" s="182"/>
      <c r="AN41" s="632"/>
      <c r="AO41" s="188"/>
      <c r="AP41" s="188"/>
      <c r="AQ41" s="185"/>
      <c r="AR41" s="182"/>
      <c r="AS41" s="632"/>
      <c r="AT41" s="188"/>
      <c r="AU41" s="188"/>
      <c r="AV41" s="185"/>
      <c r="AW41" s="182"/>
      <c r="AX41" s="632"/>
    </row>
    <row r="42" spans="2:50" ht="14.25" customHeight="1">
      <c r="B42" s="645" t="s">
        <v>743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7"/>
      <c r="N42" s="664" t="s">
        <v>369</v>
      </c>
      <c r="O42" s="664" t="s">
        <v>105</v>
      </c>
      <c r="P42" s="666">
        <v>46154</v>
      </c>
      <c r="Q42" s="667"/>
      <c r="R42" s="667"/>
      <c r="S42" s="667"/>
      <c r="T42" s="667"/>
      <c r="U42" s="668">
        <v>46155</v>
      </c>
      <c r="V42" s="669"/>
      <c r="W42" s="669"/>
      <c r="X42" s="669"/>
      <c r="Y42" s="669"/>
      <c r="Z42" s="666">
        <v>46156</v>
      </c>
      <c r="AA42" s="667"/>
      <c r="AB42" s="667"/>
      <c r="AC42" s="667"/>
      <c r="AD42" s="667"/>
      <c r="AE42" s="668">
        <v>46157</v>
      </c>
      <c r="AF42" s="669"/>
      <c r="AG42" s="669"/>
      <c r="AH42" s="669"/>
      <c r="AI42" s="669"/>
      <c r="AJ42" s="656">
        <v>46158</v>
      </c>
      <c r="AK42" s="657"/>
      <c r="AL42" s="657"/>
      <c r="AM42" s="657"/>
      <c r="AN42" s="658"/>
      <c r="AO42" s="668">
        <v>46159</v>
      </c>
      <c r="AP42" s="669"/>
      <c r="AQ42" s="669"/>
      <c r="AR42" s="669"/>
      <c r="AS42" s="669"/>
      <c r="AT42" s="656">
        <v>46160</v>
      </c>
      <c r="AU42" s="657"/>
      <c r="AV42" s="657"/>
      <c r="AW42" s="657"/>
      <c r="AX42" s="658"/>
    </row>
    <row r="43" spans="2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65"/>
      <c r="O43" s="665"/>
      <c r="P43" s="659">
        <v>46154</v>
      </c>
      <c r="Q43" s="659"/>
      <c r="R43" s="659"/>
      <c r="S43" s="659"/>
      <c r="T43" s="659"/>
      <c r="U43" s="660">
        <v>46155</v>
      </c>
      <c r="V43" s="660"/>
      <c r="W43" s="660"/>
      <c r="X43" s="660"/>
      <c r="Y43" s="660"/>
      <c r="Z43" s="659">
        <v>46156</v>
      </c>
      <c r="AA43" s="659"/>
      <c r="AB43" s="659"/>
      <c r="AC43" s="659"/>
      <c r="AD43" s="659"/>
      <c r="AE43" s="660">
        <v>46157</v>
      </c>
      <c r="AF43" s="660"/>
      <c r="AG43" s="660"/>
      <c r="AH43" s="660"/>
      <c r="AI43" s="660"/>
      <c r="AJ43" s="661">
        <v>46158</v>
      </c>
      <c r="AK43" s="662"/>
      <c r="AL43" s="662"/>
      <c r="AM43" s="662"/>
      <c r="AN43" s="663"/>
      <c r="AO43" s="660">
        <v>46159</v>
      </c>
      <c r="AP43" s="660"/>
      <c r="AQ43" s="660"/>
      <c r="AR43" s="660"/>
      <c r="AS43" s="660"/>
      <c r="AT43" s="661">
        <v>46160</v>
      </c>
      <c r="AU43" s="662"/>
      <c r="AV43" s="662"/>
      <c r="AW43" s="662"/>
      <c r="AX43" s="663"/>
    </row>
    <row r="44" spans="2:50" ht="14.25" customHeight="1">
      <c r="B44" s="631" t="s">
        <v>162</v>
      </c>
      <c r="C44" s="631" t="s">
        <v>157</v>
      </c>
      <c r="D44" s="631"/>
      <c r="E44" s="631" t="s">
        <v>158</v>
      </c>
      <c r="F44" s="631"/>
      <c r="G44" s="631"/>
      <c r="H44" s="631" t="s">
        <v>163</v>
      </c>
      <c r="I44" s="635" t="s">
        <v>370</v>
      </c>
      <c r="J44" s="635"/>
      <c r="K44" s="635"/>
      <c r="L44" s="635" t="s">
        <v>163</v>
      </c>
      <c r="M44" s="635" t="s">
        <v>165</v>
      </c>
      <c r="N44" s="631"/>
      <c r="O44" s="631" t="s">
        <v>164</v>
      </c>
      <c r="P44" s="631" t="s">
        <v>160</v>
      </c>
      <c r="Q44" s="631"/>
      <c r="R44" s="631"/>
      <c r="S44" s="631"/>
      <c r="T44" s="631" t="s">
        <v>163</v>
      </c>
      <c r="U44" s="631" t="s">
        <v>160</v>
      </c>
      <c r="V44" s="631"/>
      <c r="W44" s="631"/>
      <c r="X44" s="631"/>
      <c r="Y44" s="631" t="s">
        <v>163</v>
      </c>
      <c r="Z44" s="631" t="s">
        <v>160</v>
      </c>
      <c r="AA44" s="631"/>
      <c r="AB44" s="631"/>
      <c r="AC44" s="631"/>
      <c r="AD44" s="631" t="s">
        <v>163</v>
      </c>
      <c r="AE44" s="631" t="s">
        <v>160</v>
      </c>
      <c r="AF44" s="631"/>
      <c r="AG44" s="631"/>
      <c r="AH44" s="631"/>
      <c r="AI44" s="631" t="s">
        <v>163</v>
      </c>
      <c r="AJ44" s="631" t="s">
        <v>160</v>
      </c>
      <c r="AK44" s="631"/>
      <c r="AL44" s="631"/>
      <c r="AM44" s="631"/>
      <c r="AN44" s="631" t="s">
        <v>163</v>
      </c>
      <c r="AO44" s="631" t="s">
        <v>160</v>
      </c>
      <c r="AP44" s="631"/>
      <c r="AQ44" s="631"/>
      <c r="AR44" s="631"/>
      <c r="AS44" s="631" t="s">
        <v>163</v>
      </c>
      <c r="AT44" s="631" t="s">
        <v>160</v>
      </c>
      <c r="AU44" s="631"/>
      <c r="AV44" s="631"/>
      <c r="AW44" s="631"/>
      <c r="AX44" s="631" t="s">
        <v>163</v>
      </c>
    </row>
    <row r="45" spans="2:50" ht="14.25" customHeight="1">
      <c r="B45" s="631"/>
      <c r="C45" s="631"/>
      <c r="D45" s="631"/>
      <c r="E45" s="631" t="s">
        <v>371</v>
      </c>
      <c r="F45" s="631"/>
      <c r="G45" s="631"/>
      <c r="H45" s="631"/>
      <c r="I45" s="635" t="s">
        <v>371</v>
      </c>
      <c r="J45" s="635"/>
      <c r="K45" s="635"/>
      <c r="L45" s="635"/>
      <c r="M45" s="635"/>
      <c r="N45" s="631"/>
      <c r="O45" s="631"/>
      <c r="P45" s="631" t="s">
        <v>372</v>
      </c>
      <c r="Q45" s="631"/>
      <c r="R45" s="631"/>
      <c r="S45" s="631"/>
      <c r="T45" s="631"/>
      <c r="U45" s="631" t="s">
        <v>372</v>
      </c>
      <c r="V45" s="631"/>
      <c r="W45" s="631"/>
      <c r="X45" s="631"/>
      <c r="Y45" s="631"/>
      <c r="Z45" s="631" t="s">
        <v>372</v>
      </c>
      <c r="AA45" s="631"/>
      <c r="AB45" s="631"/>
      <c r="AC45" s="631"/>
      <c r="AD45" s="631"/>
      <c r="AE45" s="631" t="s">
        <v>372</v>
      </c>
      <c r="AF45" s="631"/>
      <c r="AG45" s="631"/>
      <c r="AH45" s="631"/>
      <c r="AI45" s="631"/>
      <c r="AJ45" s="631" t="s">
        <v>372</v>
      </c>
      <c r="AK45" s="631"/>
      <c r="AL45" s="631"/>
      <c r="AM45" s="631"/>
      <c r="AN45" s="631"/>
      <c r="AO45" s="631" t="s">
        <v>372</v>
      </c>
      <c r="AP45" s="631"/>
      <c r="AQ45" s="631"/>
      <c r="AR45" s="631"/>
      <c r="AS45" s="631"/>
      <c r="AT45" s="631" t="s">
        <v>372</v>
      </c>
      <c r="AU45" s="631"/>
      <c r="AV45" s="631"/>
      <c r="AW45" s="631"/>
      <c r="AX45" s="631"/>
    </row>
    <row r="46" spans="2:50" ht="14.25" customHeight="1">
      <c r="B46" s="631"/>
      <c r="C46" s="631"/>
      <c r="D46" s="631"/>
      <c r="E46" s="180" t="s">
        <v>159</v>
      </c>
      <c r="F46" s="180" t="s">
        <v>373</v>
      </c>
      <c r="G46" s="180" t="s">
        <v>161</v>
      </c>
      <c r="H46" s="631"/>
      <c r="I46" s="181" t="s">
        <v>159</v>
      </c>
      <c r="J46" s="181" t="s">
        <v>373</v>
      </c>
      <c r="K46" s="181" t="s">
        <v>161</v>
      </c>
      <c r="L46" s="635"/>
      <c r="M46" s="635"/>
      <c r="N46" s="631"/>
      <c r="O46" s="631"/>
      <c r="P46" s="180" t="s">
        <v>159</v>
      </c>
      <c r="Q46" s="180" t="s">
        <v>373</v>
      </c>
      <c r="R46" s="180" t="s">
        <v>161</v>
      </c>
      <c r="S46" s="182" t="s">
        <v>165</v>
      </c>
      <c r="T46" s="631"/>
      <c r="U46" s="180" t="s">
        <v>159</v>
      </c>
      <c r="V46" s="180" t="s">
        <v>373</v>
      </c>
      <c r="W46" s="180" t="s">
        <v>161</v>
      </c>
      <c r="X46" s="182" t="s">
        <v>165</v>
      </c>
      <c r="Y46" s="631"/>
      <c r="Z46" s="180" t="s">
        <v>159</v>
      </c>
      <c r="AA46" s="180" t="s">
        <v>373</v>
      </c>
      <c r="AB46" s="180" t="s">
        <v>161</v>
      </c>
      <c r="AC46" s="182" t="s">
        <v>165</v>
      </c>
      <c r="AD46" s="631"/>
      <c r="AE46" s="180" t="s">
        <v>159</v>
      </c>
      <c r="AF46" s="180" t="s">
        <v>373</v>
      </c>
      <c r="AG46" s="180" t="s">
        <v>161</v>
      </c>
      <c r="AH46" s="182" t="s">
        <v>165</v>
      </c>
      <c r="AI46" s="631"/>
      <c r="AJ46" s="180" t="s">
        <v>159</v>
      </c>
      <c r="AK46" s="180" t="s">
        <v>373</v>
      </c>
      <c r="AL46" s="180" t="s">
        <v>161</v>
      </c>
      <c r="AM46" s="182" t="s">
        <v>165</v>
      </c>
      <c r="AN46" s="631"/>
      <c r="AO46" s="180" t="s">
        <v>159</v>
      </c>
      <c r="AP46" s="180" t="s">
        <v>373</v>
      </c>
      <c r="AQ46" s="180" t="s">
        <v>161</v>
      </c>
      <c r="AR46" s="182" t="s">
        <v>165</v>
      </c>
      <c r="AS46" s="631"/>
      <c r="AT46" s="180" t="s">
        <v>159</v>
      </c>
      <c r="AU46" s="180" t="s">
        <v>373</v>
      </c>
      <c r="AV46" s="180" t="s">
        <v>161</v>
      </c>
      <c r="AW46" s="182" t="s">
        <v>165</v>
      </c>
      <c r="AX46" s="631"/>
    </row>
    <row r="47" spans="2:50" ht="14.25" customHeight="1">
      <c r="B47" s="631" t="s">
        <v>143</v>
      </c>
      <c r="C47" s="180">
        <v>1</v>
      </c>
      <c r="D47" s="183" t="s">
        <v>357</v>
      </c>
      <c r="E47" s="180">
        <v>13</v>
      </c>
      <c r="F47" s="180">
        <v>1200</v>
      </c>
      <c r="G47" s="185">
        <f t="shared" ref="G47" si="12">F47/E47</f>
        <v>92.307692307692307</v>
      </c>
      <c r="H47" s="632">
        <f>AVERAGE(G47:G61)</f>
        <v>92.307692307692307</v>
      </c>
      <c r="I47" s="186">
        <f>AVERAGE(P47,U47,Z47,AE47,AJ47,AO47,AT47)</f>
        <v>13</v>
      </c>
      <c r="J47" s="186">
        <f>AVERAGE(Q47,V47,AA47,AF47,AK47,AP47,AU47)</f>
        <v>1078.7498336711456</v>
      </c>
      <c r="K47" s="187">
        <f>AVERAGE(R47,W47,AB47,AG47,AL47,AQ47,AV47)</f>
        <v>82.98075643624199</v>
      </c>
      <c r="L47" s="633">
        <f>IFERROR(AVERAGE(K47:K61),"-")</f>
        <v>82.98075643624199</v>
      </c>
      <c r="M47" s="186">
        <f>RANK(K47, K$47:$K$61)</f>
        <v>1</v>
      </c>
      <c r="N47" s="631"/>
      <c r="O47" s="631"/>
      <c r="P47" s="188">
        <v>13</v>
      </c>
      <c r="Q47" s="188">
        <v>1079.2935220323711</v>
      </c>
      <c r="R47" s="185">
        <f>IFERROR(Q47/P47,"")</f>
        <v>83.0225786178747</v>
      </c>
      <c r="S47" s="182">
        <f>RANK(R47, R$47:R$61)</f>
        <v>1</v>
      </c>
      <c r="T47" s="632">
        <f>AVERAGE(R47:R61)</f>
        <v>83.0225786178747</v>
      </c>
      <c r="U47" s="188">
        <v>13</v>
      </c>
      <c r="V47" s="188">
        <v>1078.9335220323712</v>
      </c>
      <c r="W47" s="185">
        <f t="shared" ref="W47" si="13">IFERROR(V47/U47,"")</f>
        <v>82.994886310182409</v>
      </c>
      <c r="X47" s="182">
        <f>RANK(W47, W$47:W$61)</f>
        <v>1</v>
      </c>
      <c r="Y47" s="632">
        <f>AVERAGE(W47:W61)</f>
        <v>82.994886310182409</v>
      </c>
      <c r="Z47" s="188">
        <v>13</v>
      </c>
      <c r="AA47" s="188">
        <v>1078.9335220323712</v>
      </c>
      <c r="AB47" s="185">
        <f t="shared" ref="AB47" si="14">IFERROR(AA47/Z47,"")</f>
        <v>82.994886310182409</v>
      </c>
      <c r="AC47" s="182">
        <f>RANK(AB47, AB$47:AB$61)</f>
        <v>1</v>
      </c>
      <c r="AD47" s="632">
        <f>AVERAGE(AB47:AB61)</f>
        <v>82.994886310182409</v>
      </c>
      <c r="AE47" s="188">
        <v>13</v>
      </c>
      <c r="AF47" s="188">
        <v>1078.5735220323711</v>
      </c>
      <c r="AG47" s="185">
        <f>IFERROR(AF47/AE47,"")</f>
        <v>82.967194002490089</v>
      </c>
      <c r="AH47" s="182">
        <f>RANK(AG47, AG$47:AG$61)</f>
        <v>1</v>
      </c>
      <c r="AI47" s="632">
        <f>AVERAGE(AG47:AG61)</f>
        <v>82.967194002490089</v>
      </c>
      <c r="AJ47" s="188">
        <v>13</v>
      </c>
      <c r="AK47" s="188">
        <v>1078.0935220323713</v>
      </c>
      <c r="AL47" s="185">
        <f t="shared" ref="AL47" si="15">IFERROR(AK47/AJ47,"")</f>
        <v>82.930270925567029</v>
      </c>
      <c r="AM47" s="182">
        <f>RANK(AL47, AL$47:AL$61)</f>
        <v>1</v>
      </c>
      <c r="AN47" s="632">
        <f>AVERAGE(AL47:AL61)</f>
        <v>82.930270925567029</v>
      </c>
      <c r="AO47" s="188">
        <v>13</v>
      </c>
      <c r="AP47" s="188">
        <v>1077.9735220323714</v>
      </c>
      <c r="AQ47" s="185">
        <f t="shared" ref="AQ47" si="16">IFERROR(AP47/AO47,"")</f>
        <v>82.921040156336261</v>
      </c>
      <c r="AR47" s="182">
        <f>RANK(AQ47, AQ$47:AQ$61)</f>
        <v>1</v>
      </c>
      <c r="AS47" s="632">
        <f>AVERAGE(AQ47:AQ61)</f>
        <v>82.921040156336261</v>
      </c>
      <c r="AT47" s="188">
        <v>13</v>
      </c>
      <c r="AU47" s="188">
        <v>1079.4477035037917</v>
      </c>
      <c r="AV47" s="185">
        <f t="shared" ref="AV47" si="17">IFERROR(AU47/AT47,"")</f>
        <v>83.034438731060902</v>
      </c>
      <c r="AW47" s="182">
        <f>RANK(AV47, AV$47:AV$61)</f>
        <v>1</v>
      </c>
      <c r="AX47" s="632">
        <f>AVERAGE(AV47:AV61)</f>
        <v>83.034438731060902</v>
      </c>
    </row>
    <row r="48" spans="2:50" ht="14.25" customHeight="1">
      <c r="B48" s="631"/>
      <c r="C48" s="180">
        <v>2</v>
      </c>
      <c r="D48" s="183"/>
      <c r="E48" s="180"/>
      <c r="F48" s="180"/>
      <c r="G48" s="185"/>
      <c r="H48" s="632"/>
      <c r="I48" s="186"/>
      <c r="J48" s="186"/>
      <c r="K48" s="187"/>
      <c r="L48" s="633"/>
      <c r="M48" s="186"/>
      <c r="N48" s="631"/>
      <c r="O48" s="631"/>
      <c r="P48" s="188"/>
      <c r="Q48" s="188"/>
      <c r="R48" s="185"/>
      <c r="S48" s="182"/>
      <c r="T48" s="632"/>
      <c r="U48" s="188"/>
      <c r="V48" s="188"/>
      <c r="W48" s="185"/>
      <c r="X48" s="182"/>
      <c r="Y48" s="632"/>
      <c r="Z48" s="188"/>
      <c r="AA48" s="188"/>
      <c r="AB48" s="185"/>
      <c r="AC48" s="182"/>
      <c r="AD48" s="632"/>
      <c r="AE48" s="188"/>
      <c r="AF48" s="188"/>
      <c r="AG48" s="185"/>
      <c r="AH48" s="182"/>
      <c r="AI48" s="632"/>
      <c r="AJ48" s="188"/>
      <c r="AK48" s="188"/>
      <c r="AL48" s="185"/>
      <c r="AM48" s="182"/>
      <c r="AN48" s="632"/>
      <c r="AO48" s="188"/>
      <c r="AP48" s="188"/>
      <c r="AQ48" s="185"/>
      <c r="AR48" s="182"/>
      <c r="AS48" s="632"/>
      <c r="AT48" s="188"/>
      <c r="AU48" s="188"/>
      <c r="AV48" s="185"/>
      <c r="AW48" s="182"/>
      <c r="AX48" s="632"/>
    </row>
    <row r="49" spans="2:50" ht="14.25" customHeight="1">
      <c r="B49" s="631"/>
      <c r="C49" s="180">
        <v>3</v>
      </c>
      <c r="D49" s="183"/>
      <c r="E49" s="180"/>
      <c r="F49" s="180"/>
      <c r="G49" s="185"/>
      <c r="H49" s="632"/>
      <c r="I49" s="186"/>
      <c r="J49" s="186"/>
      <c r="K49" s="187"/>
      <c r="L49" s="633"/>
      <c r="M49" s="186"/>
      <c r="N49" s="631"/>
      <c r="O49" s="631"/>
      <c r="P49" s="188"/>
      <c r="Q49" s="188"/>
      <c r="R49" s="185"/>
      <c r="S49" s="182"/>
      <c r="T49" s="632"/>
      <c r="U49" s="188"/>
      <c r="V49" s="188"/>
      <c r="W49" s="185"/>
      <c r="X49" s="182"/>
      <c r="Y49" s="632"/>
      <c r="Z49" s="188"/>
      <c r="AA49" s="188"/>
      <c r="AB49" s="185"/>
      <c r="AC49" s="182"/>
      <c r="AD49" s="632"/>
      <c r="AE49" s="188"/>
      <c r="AF49" s="188"/>
      <c r="AG49" s="185"/>
      <c r="AH49" s="182"/>
      <c r="AI49" s="632"/>
      <c r="AJ49" s="188"/>
      <c r="AK49" s="188"/>
      <c r="AL49" s="185"/>
      <c r="AM49" s="182"/>
      <c r="AN49" s="632"/>
      <c r="AO49" s="188"/>
      <c r="AP49" s="188"/>
      <c r="AQ49" s="185"/>
      <c r="AR49" s="182"/>
      <c r="AS49" s="632"/>
      <c r="AT49" s="188"/>
      <c r="AU49" s="188"/>
      <c r="AV49" s="185"/>
      <c r="AW49" s="182"/>
      <c r="AX49" s="632"/>
    </row>
    <row r="50" spans="2:50" ht="14.25" customHeight="1">
      <c r="B50" s="631"/>
      <c r="C50" s="180">
        <v>4</v>
      </c>
      <c r="D50" s="183"/>
      <c r="E50" s="180"/>
      <c r="F50" s="180"/>
      <c r="G50" s="185"/>
      <c r="H50" s="632"/>
      <c r="I50" s="186"/>
      <c r="J50" s="186"/>
      <c r="K50" s="187"/>
      <c r="L50" s="633"/>
      <c r="M50" s="186"/>
      <c r="N50" s="631"/>
      <c r="O50" s="631"/>
      <c r="P50" s="188"/>
      <c r="Q50" s="188"/>
      <c r="R50" s="185"/>
      <c r="S50" s="182"/>
      <c r="T50" s="632"/>
      <c r="U50" s="188"/>
      <c r="V50" s="188"/>
      <c r="W50" s="185"/>
      <c r="X50" s="182"/>
      <c r="Y50" s="632"/>
      <c r="Z50" s="188"/>
      <c r="AA50" s="188"/>
      <c r="AB50" s="185"/>
      <c r="AC50" s="182"/>
      <c r="AD50" s="632"/>
      <c r="AE50" s="188"/>
      <c r="AF50" s="188"/>
      <c r="AG50" s="185"/>
      <c r="AH50" s="182"/>
      <c r="AI50" s="632"/>
      <c r="AJ50" s="188"/>
      <c r="AK50" s="188"/>
      <c r="AL50" s="185"/>
      <c r="AM50" s="182"/>
      <c r="AN50" s="632"/>
      <c r="AO50" s="188"/>
      <c r="AP50" s="188"/>
      <c r="AQ50" s="185"/>
      <c r="AR50" s="182"/>
      <c r="AS50" s="632"/>
      <c r="AT50" s="188"/>
      <c r="AU50" s="188"/>
      <c r="AV50" s="185"/>
      <c r="AW50" s="182"/>
      <c r="AX50" s="632"/>
    </row>
    <row r="51" spans="2:50" ht="14.25" customHeight="1">
      <c r="B51" s="631"/>
      <c r="C51" s="180">
        <v>5</v>
      </c>
      <c r="D51" s="183"/>
      <c r="E51" s="180"/>
      <c r="F51" s="180"/>
      <c r="G51" s="185"/>
      <c r="H51" s="632"/>
      <c r="I51" s="186"/>
      <c r="J51" s="186"/>
      <c r="K51" s="187"/>
      <c r="L51" s="633"/>
      <c r="M51" s="186"/>
      <c r="N51" s="631"/>
      <c r="O51" s="631"/>
      <c r="P51" s="188"/>
      <c r="Q51" s="188"/>
      <c r="R51" s="185"/>
      <c r="S51" s="182"/>
      <c r="T51" s="632"/>
      <c r="U51" s="188"/>
      <c r="V51" s="188"/>
      <c r="W51" s="185"/>
      <c r="X51" s="182"/>
      <c r="Y51" s="632"/>
      <c r="Z51" s="188"/>
      <c r="AA51" s="188"/>
      <c r="AB51" s="185"/>
      <c r="AC51" s="182"/>
      <c r="AD51" s="632"/>
      <c r="AE51" s="188"/>
      <c r="AF51" s="188"/>
      <c r="AG51" s="185"/>
      <c r="AH51" s="182"/>
      <c r="AI51" s="632"/>
      <c r="AJ51" s="188"/>
      <c r="AK51" s="188"/>
      <c r="AL51" s="185"/>
      <c r="AM51" s="182"/>
      <c r="AN51" s="632"/>
      <c r="AO51" s="188"/>
      <c r="AP51" s="188"/>
      <c r="AQ51" s="185"/>
      <c r="AR51" s="182"/>
      <c r="AS51" s="632"/>
      <c r="AT51" s="188"/>
      <c r="AU51" s="188"/>
      <c r="AV51" s="185"/>
      <c r="AW51" s="182"/>
      <c r="AX51" s="632"/>
    </row>
    <row r="52" spans="2:50" ht="14.25" customHeight="1">
      <c r="B52" s="631"/>
      <c r="C52" s="180">
        <v>6</v>
      </c>
      <c r="D52" s="183"/>
      <c r="E52" s="180"/>
      <c r="F52" s="180"/>
      <c r="G52" s="185"/>
      <c r="H52" s="632"/>
      <c r="I52" s="186"/>
      <c r="J52" s="186"/>
      <c r="K52" s="187"/>
      <c r="L52" s="633"/>
      <c r="M52" s="186"/>
      <c r="N52" s="631"/>
      <c r="O52" s="631"/>
      <c r="P52" s="188"/>
      <c r="Q52" s="188"/>
      <c r="R52" s="185"/>
      <c r="S52" s="182"/>
      <c r="T52" s="632"/>
      <c r="U52" s="188"/>
      <c r="V52" s="188"/>
      <c r="W52" s="185"/>
      <c r="X52" s="182"/>
      <c r="Y52" s="632"/>
      <c r="Z52" s="188"/>
      <c r="AA52" s="188"/>
      <c r="AB52" s="185"/>
      <c r="AC52" s="182"/>
      <c r="AD52" s="632"/>
      <c r="AE52" s="188"/>
      <c r="AF52" s="188"/>
      <c r="AG52" s="185"/>
      <c r="AH52" s="182"/>
      <c r="AI52" s="632"/>
      <c r="AJ52" s="188"/>
      <c r="AK52" s="188"/>
      <c r="AL52" s="185"/>
      <c r="AM52" s="182"/>
      <c r="AN52" s="632"/>
      <c r="AO52" s="188"/>
      <c r="AP52" s="188"/>
      <c r="AQ52" s="185"/>
      <c r="AR52" s="182"/>
      <c r="AS52" s="632"/>
      <c r="AT52" s="188"/>
      <c r="AU52" s="188"/>
      <c r="AV52" s="185"/>
      <c r="AW52" s="182"/>
      <c r="AX52" s="632"/>
    </row>
    <row r="53" spans="2:50" ht="14.25" customHeight="1">
      <c r="B53" s="631"/>
      <c r="C53" s="180">
        <v>7</v>
      </c>
      <c r="D53" s="183"/>
      <c r="E53" s="180"/>
      <c r="F53" s="180"/>
      <c r="G53" s="185"/>
      <c r="H53" s="632"/>
      <c r="I53" s="186"/>
      <c r="J53" s="186"/>
      <c r="K53" s="187"/>
      <c r="L53" s="633"/>
      <c r="M53" s="186"/>
      <c r="N53" s="631"/>
      <c r="O53" s="631"/>
      <c r="P53" s="188"/>
      <c r="Q53" s="188"/>
      <c r="R53" s="185"/>
      <c r="S53" s="182"/>
      <c r="T53" s="632"/>
      <c r="U53" s="188"/>
      <c r="V53" s="188"/>
      <c r="W53" s="185"/>
      <c r="X53" s="182"/>
      <c r="Y53" s="632"/>
      <c r="Z53" s="188"/>
      <c r="AA53" s="188"/>
      <c r="AB53" s="185"/>
      <c r="AC53" s="182"/>
      <c r="AD53" s="632"/>
      <c r="AE53" s="188"/>
      <c r="AF53" s="188"/>
      <c r="AG53" s="185"/>
      <c r="AH53" s="182"/>
      <c r="AI53" s="632"/>
      <c r="AJ53" s="188"/>
      <c r="AK53" s="188"/>
      <c r="AL53" s="185"/>
      <c r="AM53" s="182"/>
      <c r="AN53" s="632"/>
      <c r="AO53" s="188"/>
      <c r="AP53" s="188"/>
      <c r="AQ53" s="185"/>
      <c r="AR53" s="182"/>
      <c r="AS53" s="632"/>
      <c r="AT53" s="188"/>
      <c r="AU53" s="188"/>
      <c r="AV53" s="185"/>
      <c r="AW53" s="182"/>
      <c r="AX53" s="632"/>
    </row>
    <row r="54" spans="2:50" ht="14.25" customHeight="1">
      <c r="B54" s="631"/>
      <c r="C54" s="180">
        <v>8</v>
      </c>
      <c r="D54" s="183"/>
      <c r="E54" s="180"/>
      <c r="F54" s="180"/>
      <c r="G54" s="185"/>
      <c r="H54" s="632"/>
      <c r="I54" s="186"/>
      <c r="J54" s="186"/>
      <c r="K54" s="187"/>
      <c r="L54" s="633"/>
      <c r="M54" s="186"/>
      <c r="N54" s="631"/>
      <c r="O54" s="631"/>
      <c r="P54" s="188"/>
      <c r="Q54" s="188"/>
      <c r="R54" s="185"/>
      <c r="S54" s="182"/>
      <c r="T54" s="632"/>
      <c r="U54" s="188"/>
      <c r="V54" s="188"/>
      <c r="W54" s="185"/>
      <c r="X54" s="182"/>
      <c r="Y54" s="632"/>
      <c r="Z54" s="188"/>
      <c r="AA54" s="188"/>
      <c r="AB54" s="185"/>
      <c r="AC54" s="182"/>
      <c r="AD54" s="632"/>
      <c r="AE54" s="188"/>
      <c r="AF54" s="188"/>
      <c r="AG54" s="185"/>
      <c r="AH54" s="182"/>
      <c r="AI54" s="632"/>
      <c r="AJ54" s="188"/>
      <c r="AK54" s="188"/>
      <c r="AL54" s="185"/>
      <c r="AM54" s="182"/>
      <c r="AN54" s="632"/>
      <c r="AO54" s="188"/>
      <c r="AP54" s="188"/>
      <c r="AQ54" s="185"/>
      <c r="AR54" s="182"/>
      <c r="AS54" s="632"/>
      <c r="AT54" s="188"/>
      <c r="AU54" s="188"/>
      <c r="AV54" s="185"/>
      <c r="AW54" s="182"/>
      <c r="AX54" s="632"/>
    </row>
    <row r="55" spans="2:50" ht="14.25" customHeight="1">
      <c r="B55" s="631"/>
      <c r="C55" s="180">
        <v>9</v>
      </c>
      <c r="D55" s="183"/>
      <c r="E55" s="180"/>
      <c r="F55" s="180"/>
      <c r="G55" s="185"/>
      <c r="H55" s="632"/>
      <c r="I55" s="186"/>
      <c r="J55" s="186"/>
      <c r="K55" s="187"/>
      <c r="L55" s="633"/>
      <c r="M55" s="186"/>
      <c r="N55" s="631"/>
      <c r="O55" s="631"/>
      <c r="P55" s="188"/>
      <c r="Q55" s="188"/>
      <c r="R55" s="185"/>
      <c r="S55" s="182"/>
      <c r="T55" s="632"/>
      <c r="U55" s="188"/>
      <c r="V55" s="188"/>
      <c r="W55" s="185"/>
      <c r="X55" s="182"/>
      <c r="Y55" s="632"/>
      <c r="Z55" s="188"/>
      <c r="AA55" s="188"/>
      <c r="AB55" s="185"/>
      <c r="AC55" s="182"/>
      <c r="AD55" s="632"/>
      <c r="AE55" s="188"/>
      <c r="AF55" s="188"/>
      <c r="AG55" s="185"/>
      <c r="AH55" s="182"/>
      <c r="AI55" s="632"/>
      <c r="AJ55" s="188"/>
      <c r="AK55" s="188"/>
      <c r="AL55" s="185"/>
      <c r="AM55" s="182"/>
      <c r="AN55" s="632"/>
      <c r="AO55" s="188"/>
      <c r="AP55" s="188"/>
      <c r="AQ55" s="185"/>
      <c r="AR55" s="182"/>
      <c r="AS55" s="632"/>
      <c r="AT55" s="188"/>
      <c r="AU55" s="188"/>
      <c r="AV55" s="185"/>
      <c r="AW55" s="182"/>
      <c r="AX55" s="632"/>
    </row>
    <row r="56" spans="2:50" ht="14.25" customHeight="1">
      <c r="B56" s="631"/>
      <c r="C56" s="180">
        <v>10</v>
      </c>
      <c r="D56" s="183"/>
      <c r="E56" s="180"/>
      <c r="F56" s="180"/>
      <c r="G56" s="185"/>
      <c r="H56" s="632"/>
      <c r="I56" s="186"/>
      <c r="J56" s="186"/>
      <c r="K56" s="187"/>
      <c r="L56" s="633"/>
      <c r="M56" s="186"/>
      <c r="N56" s="631"/>
      <c r="O56" s="631"/>
      <c r="P56" s="188"/>
      <c r="Q56" s="188"/>
      <c r="R56" s="185"/>
      <c r="S56" s="182"/>
      <c r="T56" s="632"/>
      <c r="U56" s="188"/>
      <c r="V56" s="188"/>
      <c r="W56" s="185"/>
      <c r="X56" s="182"/>
      <c r="Y56" s="632"/>
      <c r="Z56" s="188"/>
      <c r="AA56" s="188"/>
      <c r="AB56" s="185"/>
      <c r="AC56" s="182"/>
      <c r="AD56" s="632"/>
      <c r="AE56" s="188"/>
      <c r="AF56" s="188"/>
      <c r="AG56" s="185"/>
      <c r="AH56" s="182"/>
      <c r="AI56" s="632"/>
      <c r="AJ56" s="188"/>
      <c r="AK56" s="188"/>
      <c r="AL56" s="185"/>
      <c r="AM56" s="182"/>
      <c r="AN56" s="632"/>
      <c r="AO56" s="188"/>
      <c r="AP56" s="188"/>
      <c r="AQ56" s="185"/>
      <c r="AR56" s="182"/>
      <c r="AS56" s="632"/>
      <c r="AT56" s="188"/>
      <c r="AU56" s="188"/>
      <c r="AV56" s="185"/>
      <c r="AW56" s="182"/>
      <c r="AX56" s="632"/>
    </row>
    <row r="57" spans="2:50" ht="14.25" customHeight="1">
      <c r="B57" s="631"/>
      <c r="C57" s="180">
        <v>11</v>
      </c>
      <c r="D57" s="183"/>
      <c r="E57" s="180"/>
      <c r="F57" s="180"/>
      <c r="G57" s="185"/>
      <c r="H57" s="632"/>
      <c r="I57" s="186"/>
      <c r="J57" s="186"/>
      <c r="K57" s="187"/>
      <c r="L57" s="633"/>
      <c r="M57" s="186"/>
      <c r="N57" s="631"/>
      <c r="O57" s="631"/>
      <c r="P57" s="188"/>
      <c r="Q57" s="188"/>
      <c r="R57" s="185"/>
      <c r="S57" s="182"/>
      <c r="T57" s="632"/>
      <c r="U57" s="188"/>
      <c r="V57" s="188"/>
      <c r="W57" s="185"/>
      <c r="X57" s="182"/>
      <c r="Y57" s="632"/>
      <c r="Z57" s="188"/>
      <c r="AA57" s="188"/>
      <c r="AB57" s="185"/>
      <c r="AC57" s="182"/>
      <c r="AD57" s="632"/>
      <c r="AE57" s="188"/>
      <c r="AF57" s="188"/>
      <c r="AG57" s="185"/>
      <c r="AH57" s="182"/>
      <c r="AI57" s="632"/>
      <c r="AJ57" s="188"/>
      <c r="AK57" s="188"/>
      <c r="AL57" s="185"/>
      <c r="AM57" s="182"/>
      <c r="AN57" s="632"/>
      <c r="AO57" s="188"/>
      <c r="AP57" s="188"/>
      <c r="AQ57" s="185"/>
      <c r="AR57" s="182"/>
      <c r="AS57" s="632"/>
      <c r="AT57" s="188"/>
      <c r="AU57" s="188"/>
      <c r="AV57" s="185"/>
      <c r="AW57" s="182"/>
      <c r="AX57" s="632"/>
    </row>
    <row r="58" spans="2:50" ht="14.25" customHeight="1">
      <c r="B58" s="631"/>
      <c r="C58" s="180">
        <v>12</v>
      </c>
      <c r="D58" s="183"/>
      <c r="E58" s="180"/>
      <c r="F58" s="180"/>
      <c r="G58" s="185"/>
      <c r="H58" s="632"/>
      <c r="I58" s="186"/>
      <c r="J58" s="186"/>
      <c r="K58" s="187"/>
      <c r="L58" s="633"/>
      <c r="M58" s="186"/>
      <c r="N58" s="631"/>
      <c r="O58" s="631"/>
      <c r="P58" s="188"/>
      <c r="Q58" s="188"/>
      <c r="R58" s="185"/>
      <c r="S58" s="182"/>
      <c r="T58" s="632"/>
      <c r="U58" s="188"/>
      <c r="V58" s="188"/>
      <c r="W58" s="185"/>
      <c r="X58" s="182"/>
      <c r="Y58" s="632"/>
      <c r="Z58" s="188"/>
      <c r="AA58" s="188"/>
      <c r="AB58" s="185"/>
      <c r="AC58" s="182"/>
      <c r="AD58" s="632"/>
      <c r="AE58" s="188"/>
      <c r="AF58" s="188"/>
      <c r="AG58" s="185"/>
      <c r="AH58" s="182"/>
      <c r="AI58" s="632"/>
      <c r="AJ58" s="188"/>
      <c r="AK58" s="188"/>
      <c r="AL58" s="185"/>
      <c r="AM58" s="182"/>
      <c r="AN58" s="632"/>
      <c r="AO58" s="188"/>
      <c r="AP58" s="188"/>
      <c r="AQ58" s="185"/>
      <c r="AR58" s="182"/>
      <c r="AS58" s="632"/>
      <c r="AT58" s="188"/>
      <c r="AU58" s="188"/>
      <c r="AV58" s="185"/>
      <c r="AW58" s="182"/>
      <c r="AX58" s="632"/>
    </row>
    <row r="59" spans="2:50" ht="14.25" customHeight="1">
      <c r="B59" s="631"/>
      <c r="C59" s="180">
        <v>13</v>
      </c>
      <c r="D59" s="183"/>
      <c r="E59" s="180"/>
      <c r="F59" s="180"/>
      <c r="G59" s="185"/>
      <c r="H59" s="632"/>
      <c r="I59" s="186"/>
      <c r="J59" s="186"/>
      <c r="K59" s="187"/>
      <c r="L59" s="633"/>
      <c r="M59" s="186"/>
      <c r="N59" s="631"/>
      <c r="O59" s="631"/>
      <c r="P59" s="188"/>
      <c r="Q59" s="188"/>
      <c r="R59" s="185"/>
      <c r="S59" s="182"/>
      <c r="T59" s="632"/>
      <c r="U59" s="188"/>
      <c r="V59" s="188"/>
      <c r="W59" s="185"/>
      <c r="X59" s="182"/>
      <c r="Y59" s="632"/>
      <c r="Z59" s="188"/>
      <c r="AA59" s="188"/>
      <c r="AB59" s="185"/>
      <c r="AC59" s="182"/>
      <c r="AD59" s="632"/>
      <c r="AE59" s="188"/>
      <c r="AF59" s="188"/>
      <c r="AG59" s="185"/>
      <c r="AH59" s="182"/>
      <c r="AI59" s="632"/>
      <c r="AJ59" s="188"/>
      <c r="AK59" s="188"/>
      <c r="AL59" s="185"/>
      <c r="AM59" s="182"/>
      <c r="AN59" s="632"/>
      <c r="AO59" s="188"/>
      <c r="AP59" s="188"/>
      <c r="AQ59" s="185"/>
      <c r="AR59" s="182"/>
      <c r="AS59" s="632"/>
      <c r="AT59" s="188"/>
      <c r="AU59" s="188"/>
      <c r="AV59" s="185"/>
      <c r="AW59" s="182"/>
      <c r="AX59" s="632"/>
    </row>
    <row r="60" spans="2:50" ht="14.25" customHeight="1">
      <c r="B60" s="631"/>
      <c r="C60" s="180">
        <v>14</v>
      </c>
      <c r="D60" s="183"/>
      <c r="E60" s="180"/>
      <c r="F60" s="180"/>
      <c r="G60" s="185"/>
      <c r="H60" s="632"/>
      <c r="I60" s="186"/>
      <c r="J60" s="186"/>
      <c r="K60" s="187"/>
      <c r="L60" s="633"/>
      <c r="M60" s="186"/>
      <c r="N60" s="631"/>
      <c r="O60" s="631"/>
      <c r="P60" s="188"/>
      <c r="Q60" s="188"/>
      <c r="R60" s="185"/>
      <c r="S60" s="182"/>
      <c r="T60" s="632"/>
      <c r="U60" s="188"/>
      <c r="V60" s="188"/>
      <c r="W60" s="185"/>
      <c r="X60" s="182"/>
      <c r="Y60" s="632"/>
      <c r="Z60" s="188"/>
      <c r="AA60" s="188"/>
      <c r="AB60" s="185"/>
      <c r="AC60" s="182"/>
      <c r="AD60" s="632"/>
      <c r="AE60" s="188"/>
      <c r="AF60" s="188"/>
      <c r="AG60" s="185"/>
      <c r="AH60" s="182"/>
      <c r="AI60" s="632"/>
      <c r="AJ60" s="188"/>
      <c r="AK60" s="188"/>
      <c r="AL60" s="185"/>
      <c r="AM60" s="182"/>
      <c r="AN60" s="632"/>
      <c r="AO60" s="188"/>
      <c r="AP60" s="188"/>
      <c r="AQ60" s="185"/>
      <c r="AR60" s="182"/>
      <c r="AS60" s="632"/>
      <c r="AT60" s="188"/>
      <c r="AU60" s="188"/>
      <c r="AV60" s="185"/>
      <c r="AW60" s="182"/>
      <c r="AX60" s="632"/>
    </row>
    <row r="61" spans="2:50" ht="14.25" customHeight="1">
      <c r="B61" s="631"/>
      <c r="C61" s="180">
        <v>15</v>
      </c>
      <c r="D61" s="183"/>
      <c r="E61" s="180"/>
      <c r="F61" s="180"/>
      <c r="G61" s="185"/>
      <c r="H61" s="632"/>
      <c r="I61" s="186"/>
      <c r="J61" s="186"/>
      <c r="K61" s="187"/>
      <c r="L61" s="633"/>
      <c r="M61" s="186"/>
      <c r="N61" s="631"/>
      <c r="O61" s="631"/>
      <c r="P61" s="188"/>
      <c r="Q61" s="188"/>
      <c r="R61" s="185"/>
      <c r="S61" s="182"/>
      <c r="T61" s="632"/>
      <c r="U61" s="188"/>
      <c r="V61" s="188"/>
      <c r="W61" s="185"/>
      <c r="X61" s="182"/>
      <c r="Y61" s="632"/>
      <c r="Z61" s="188"/>
      <c r="AA61" s="188"/>
      <c r="AB61" s="185"/>
      <c r="AC61" s="182"/>
      <c r="AD61" s="632"/>
      <c r="AE61" s="188"/>
      <c r="AF61" s="188"/>
      <c r="AG61" s="185"/>
      <c r="AH61" s="182"/>
      <c r="AI61" s="632"/>
      <c r="AJ61" s="188"/>
      <c r="AK61" s="188"/>
      <c r="AL61" s="185"/>
      <c r="AM61" s="182"/>
      <c r="AN61" s="632"/>
      <c r="AO61" s="188"/>
      <c r="AP61" s="188"/>
      <c r="AQ61" s="185"/>
      <c r="AR61" s="182"/>
      <c r="AS61" s="632"/>
      <c r="AT61" s="188"/>
      <c r="AU61" s="188"/>
      <c r="AV61" s="185"/>
      <c r="AW61" s="182"/>
      <c r="AX61" s="632"/>
    </row>
    <row r="62" spans="2:50" ht="14.25" customHeight="1">
      <c r="B62" s="646" t="s">
        <v>783</v>
      </c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647"/>
      <c r="N62" s="664" t="s">
        <v>369</v>
      </c>
      <c r="O62" s="664" t="s">
        <v>105</v>
      </c>
      <c r="P62" s="666">
        <v>46161</v>
      </c>
      <c r="Q62" s="667"/>
      <c r="R62" s="667"/>
      <c r="S62" s="667"/>
      <c r="T62" s="667"/>
      <c r="U62" s="668">
        <v>46162</v>
      </c>
      <c r="V62" s="669"/>
      <c r="W62" s="669"/>
      <c r="X62" s="669"/>
      <c r="Y62" s="669"/>
      <c r="Z62" s="666">
        <v>46163</v>
      </c>
      <c r="AA62" s="667"/>
      <c r="AB62" s="667"/>
      <c r="AC62" s="667"/>
      <c r="AD62" s="667"/>
      <c r="AE62" s="668">
        <v>46164</v>
      </c>
      <c r="AF62" s="669"/>
      <c r="AG62" s="669"/>
      <c r="AH62" s="669"/>
      <c r="AI62" s="669"/>
      <c r="AJ62" s="656">
        <v>46165</v>
      </c>
      <c r="AK62" s="657"/>
      <c r="AL62" s="657"/>
      <c r="AM62" s="657"/>
      <c r="AN62" s="658"/>
      <c r="AO62" s="668">
        <v>46166</v>
      </c>
      <c r="AP62" s="669"/>
      <c r="AQ62" s="669"/>
      <c r="AR62" s="669"/>
      <c r="AS62" s="669"/>
      <c r="AT62" s="656">
        <v>46167</v>
      </c>
      <c r="AU62" s="657"/>
      <c r="AV62" s="657"/>
      <c r="AW62" s="657"/>
      <c r="AX62" s="65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65"/>
      <c r="O63" s="665"/>
      <c r="P63" s="659">
        <v>46161</v>
      </c>
      <c r="Q63" s="659"/>
      <c r="R63" s="659"/>
      <c r="S63" s="659"/>
      <c r="T63" s="659"/>
      <c r="U63" s="660">
        <v>46162</v>
      </c>
      <c r="V63" s="660"/>
      <c r="W63" s="660"/>
      <c r="X63" s="660"/>
      <c r="Y63" s="660"/>
      <c r="Z63" s="659">
        <v>46163</v>
      </c>
      <c r="AA63" s="659"/>
      <c r="AB63" s="659"/>
      <c r="AC63" s="659"/>
      <c r="AD63" s="659"/>
      <c r="AE63" s="660">
        <v>46164</v>
      </c>
      <c r="AF63" s="660"/>
      <c r="AG63" s="660"/>
      <c r="AH63" s="660"/>
      <c r="AI63" s="660"/>
      <c r="AJ63" s="661">
        <v>46165</v>
      </c>
      <c r="AK63" s="662"/>
      <c r="AL63" s="662"/>
      <c r="AM63" s="662"/>
      <c r="AN63" s="663"/>
      <c r="AO63" s="660">
        <v>46166</v>
      </c>
      <c r="AP63" s="660"/>
      <c r="AQ63" s="660"/>
      <c r="AR63" s="660"/>
      <c r="AS63" s="660"/>
      <c r="AT63" s="661">
        <v>46167</v>
      </c>
      <c r="AU63" s="662"/>
      <c r="AV63" s="662"/>
      <c r="AW63" s="662"/>
      <c r="AX63" s="663"/>
    </row>
    <row r="64" spans="2:50" ht="14.25" customHeight="1">
      <c r="B64" s="631" t="s">
        <v>162</v>
      </c>
      <c r="C64" s="631" t="s">
        <v>157</v>
      </c>
      <c r="D64" s="631"/>
      <c r="E64" s="631" t="s">
        <v>158</v>
      </c>
      <c r="F64" s="631"/>
      <c r="G64" s="631"/>
      <c r="H64" s="631" t="s">
        <v>163</v>
      </c>
      <c r="I64" s="635" t="s">
        <v>370</v>
      </c>
      <c r="J64" s="635"/>
      <c r="K64" s="635"/>
      <c r="L64" s="635" t="s">
        <v>163</v>
      </c>
      <c r="M64" s="635" t="s">
        <v>165</v>
      </c>
      <c r="N64" s="631"/>
      <c r="O64" s="631" t="s">
        <v>164</v>
      </c>
      <c r="P64" s="631" t="s">
        <v>160</v>
      </c>
      <c r="Q64" s="631"/>
      <c r="R64" s="631"/>
      <c r="S64" s="631"/>
      <c r="T64" s="631" t="s">
        <v>163</v>
      </c>
      <c r="U64" s="631" t="s">
        <v>160</v>
      </c>
      <c r="V64" s="631"/>
      <c r="W64" s="631"/>
      <c r="X64" s="631"/>
      <c r="Y64" s="631" t="s">
        <v>163</v>
      </c>
      <c r="Z64" s="631" t="s">
        <v>160</v>
      </c>
      <c r="AA64" s="631"/>
      <c r="AB64" s="631"/>
      <c r="AC64" s="631"/>
      <c r="AD64" s="631" t="s">
        <v>163</v>
      </c>
      <c r="AE64" s="631" t="s">
        <v>160</v>
      </c>
      <c r="AF64" s="631"/>
      <c r="AG64" s="631"/>
      <c r="AH64" s="631"/>
      <c r="AI64" s="631" t="s">
        <v>163</v>
      </c>
      <c r="AJ64" s="631" t="s">
        <v>160</v>
      </c>
      <c r="AK64" s="631"/>
      <c r="AL64" s="631"/>
      <c r="AM64" s="631"/>
      <c r="AN64" s="631" t="s">
        <v>163</v>
      </c>
      <c r="AO64" s="631" t="s">
        <v>160</v>
      </c>
      <c r="AP64" s="631"/>
      <c r="AQ64" s="631"/>
      <c r="AR64" s="631"/>
      <c r="AS64" s="631" t="s">
        <v>163</v>
      </c>
      <c r="AT64" s="631" t="s">
        <v>160</v>
      </c>
      <c r="AU64" s="631"/>
      <c r="AV64" s="631"/>
      <c r="AW64" s="631"/>
      <c r="AX64" s="631" t="s">
        <v>163</v>
      </c>
    </row>
    <row r="65" spans="2:50" ht="14.25" customHeight="1">
      <c r="B65" s="631"/>
      <c r="C65" s="631"/>
      <c r="D65" s="631"/>
      <c r="E65" s="631" t="s">
        <v>371</v>
      </c>
      <c r="F65" s="631"/>
      <c r="G65" s="631"/>
      <c r="H65" s="631"/>
      <c r="I65" s="635" t="s">
        <v>371</v>
      </c>
      <c r="J65" s="635"/>
      <c r="K65" s="635"/>
      <c r="L65" s="635"/>
      <c r="M65" s="635"/>
      <c r="N65" s="631"/>
      <c r="O65" s="631"/>
      <c r="P65" s="631" t="s">
        <v>372</v>
      </c>
      <c r="Q65" s="631"/>
      <c r="R65" s="631"/>
      <c r="S65" s="631"/>
      <c r="T65" s="631"/>
      <c r="U65" s="631" t="s">
        <v>372</v>
      </c>
      <c r="V65" s="631"/>
      <c r="W65" s="631"/>
      <c r="X65" s="631"/>
      <c r="Y65" s="631"/>
      <c r="Z65" s="631" t="s">
        <v>372</v>
      </c>
      <c r="AA65" s="631"/>
      <c r="AB65" s="631"/>
      <c r="AC65" s="631"/>
      <c r="AD65" s="631"/>
      <c r="AE65" s="631" t="s">
        <v>372</v>
      </c>
      <c r="AF65" s="631"/>
      <c r="AG65" s="631"/>
      <c r="AH65" s="631"/>
      <c r="AI65" s="631"/>
      <c r="AJ65" s="631" t="s">
        <v>372</v>
      </c>
      <c r="AK65" s="631"/>
      <c r="AL65" s="631"/>
      <c r="AM65" s="631"/>
      <c r="AN65" s="631"/>
      <c r="AO65" s="631" t="s">
        <v>372</v>
      </c>
      <c r="AP65" s="631"/>
      <c r="AQ65" s="631"/>
      <c r="AR65" s="631"/>
      <c r="AS65" s="631"/>
      <c r="AT65" s="631" t="s">
        <v>372</v>
      </c>
      <c r="AU65" s="631"/>
      <c r="AV65" s="631"/>
      <c r="AW65" s="631"/>
      <c r="AX65" s="631"/>
    </row>
    <row r="66" spans="2:50" ht="14.25" customHeight="1">
      <c r="B66" s="631"/>
      <c r="C66" s="631"/>
      <c r="D66" s="631"/>
      <c r="E66" s="180" t="s">
        <v>159</v>
      </c>
      <c r="F66" s="180" t="s">
        <v>373</v>
      </c>
      <c r="G66" s="180" t="s">
        <v>161</v>
      </c>
      <c r="H66" s="631"/>
      <c r="I66" s="181" t="s">
        <v>159</v>
      </c>
      <c r="J66" s="181" t="s">
        <v>373</v>
      </c>
      <c r="K66" s="181" t="s">
        <v>161</v>
      </c>
      <c r="L66" s="635"/>
      <c r="M66" s="635"/>
      <c r="N66" s="631"/>
      <c r="O66" s="631"/>
      <c r="P66" s="180" t="s">
        <v>159</v>
      </c>
      <c r="Q66" s="180" t="s">
        <v>373</v>
      </c>
      <c r="R66" s="180" t="s">
        <v>161</v>
      </c>
      <c r="S66" s="182" t="s">
        <v>165</v>
      </c>
      <c r="T66" s="631"/>
      <c r="U66" s="180" t="s">
        <v>159</v>
      </c>
      <c r="V66" s="180" t="s">
        <v>373</v>
      </c>
      <c r="W66" s="180" t="s">
        <v>161</v>
      </c>
      <c r="X66" s="182" t="s">
        <v>165</v>
      </c>
      <c r="Y66" s="631"/>
      <c r="Z66" s="180" t="s">
        <v>159</v>
      </c>
      <c r="AA66" s="180" t="s">
        <v>373</v>
      </c>
      <c r="AB66" s="180" t="s">
        <v>161</v>
      </c>
      <c r="AC66" s="182" t="s">
        <v>165</v>
      </c>
      <c r="AD66" s="631"/>
      <c r="AE66" s="180" t="s">
        <v>159</v>
      </c>
      <c r="AF66" s="180" t="s">
        <v>373</v>
      </c>
      <c r="AG66" s="180" t="s">
        <v>161</v>
      </c>
      <c r="AH66" s="182" t="s">
        <v>165</v>
      </c>
      <c r="AI66" s="631"/>
      <c r="AJ66" s="180" t="s">
        <v>159</v>
      </c>
      <c r="AK66" s="180" t="s">
        <v>373</v>
      </c>
      <c r="AL66" s="180" t="s">
        <v>161</v>
      </c>
      <c r="AM66" s="182" t="s">
        <v>165</v>
      </c>
      <c r="AN66" s="631"/>
      <c r="AO66" s="180" t="s">
        <v>159</v>
      </c>
      <c r="AP66" s="180" t="s">
        <v>373</v>
      </c>
      <c r="AQ66" s="180" t="s">
        <v>161</v>
      </c>
      <c r="AR66" s="182" t="s">
        <v>165</v>
      </c>
      <c r="AS66" s="631"/>
      <c r="AT66" s="180" t="s">
        <v>159</v>
      </c>
      <c r="AU66" s="180" t="s">
        <v>373</v>
      </c>
      <c r="AV66" s="180" t="s">
        <v>161</v>
      </c>
      <c r="AW66" s="182" t="s">
        <v>165</v>
      </c>
      <c r="AX66" s="631"/>
    </row>
    <row r="67" spans="2:50" ht="14.25" customHeight="1">
      <c r="B67" s="631" t="s">
        <v>143</v>
      </c>
      <c r="C67" s="180">
        <v>1</v>
      </c>
      <c r="D67" s="183" t="s">
        <v>357</v>
      </c>
      <c r="E67" s="180">
        <v>13</v>
      </c>
      <c r="F67" s="180">
        <v>1200</v>
      </c>
      <c r="G67" s="185">
        <f t="shared" ref="G67" si="18">F67/E67</f>
        <v>92.307692307692307</v>
      </c>
      <c r="H67" s="632">
        <f>AVERAGE(G67:G81)</f>
        <v>92.307692307692307</v>
      </c>
      <c r="I67" s="186">
        <f>AVERAGE(P67,U67,Z67,AE67,AJ67,AO67,AT67)</f>
        <v>13</v>
      </c>
      <c r="J67" s="186">
        <f>AVERAGE(Q67,V67,AA67,AF67,AK67,AP67,AU67)</f>
        <v>1079.5848463609343</v>
      </c>
      <c r="K67" s="187">
        <f>AVERAGE(R67,W67,AB67,AG67,AL67,AQ67,AV67)</f>
        <v>83.044988181610321</v>
      </c>
      <c r="L67" s="633">
        <f>IFERROR(AVERAGE(K67:K81),"-")</f>
        <v>83.044988181610321</v>
      </c>
      <c r="M67" s="186">
        <f>RANK(K67, K$67:$K$81)</f>
        <v>1</v>
      </c>
      <c r="N67" s="631"/>
      <c r="O67" s="631"/>
      <c r="P67" s="188">
        <v>13</v>
      </c>
      <c r="Q67" s="188">
        <v>1079.3277035037918</v>
      </c>
      <c r="R67" s="185">
        <f>IFERROR(Q67/P67,"")</f>
        <v>83.025207961830134</v>
      </c>
      <c r="S67" s="182">
        <f>RANK(R67, R$67:R$81)</f>
        <v>1</v>
      </c>
      <c r="T67" s="632">
        <f>AVERAGE(R67:R81)</f>
        <v>83.025207961830134</v>
      </c>
      <c r="U67" s="188">
        <v>13</v>
      </c>
      <c r="V67" s="188">
        <v>1078.7277035037916</v>
      </c>
      <c r="W67" s="185">
        <f t="shared" ref="W67" si="19">IFERROR(V67/U67,"")</f>
        <v>82.979054115676277</v>
      </c>
      <c r="X67" s="182">
        <f>RANK(W67, W$67:W$81)</f>
        <v>1</v>
      </c>
      <c r="Y67" s="632">
        <f>AVERAGE(W67:W81)</f>
        <v>82.979054115676277</v>
      </c>
      <c r="Z67" s="188">
        <v>13</v>
      </c>
      <c r="AA67" s="188">
        <v>1079.2077035037914</v>
      </c>
      <c r="AB67" s="185">
        <f t="shared" ref="AB67" si="20">IFERROR(AA67/Z67,"")</f>
        <v>83.015977192599337</v>
      </c>
      <c r="AC67" s="182">
        <f>RANK(AB67, AB$67:AB$81)</f>
        <v>1</v>
      </c>
      <c r="AD67" s="632">
        <f>AVERAGE(AB67:AB81)</f>
        <v>83.015977192599337</v>
      </c>
      <c r="AE67" s="188">
        <v>13</v>
      </c>
      <c r="AF67" s="188">
        <v>1079.3277035037913</v>
      </c>
      <c r="AG67" s="185">
        <f>IFERROR(AF67/AE67,"")</f>
        <v>83.025207961830105</v>
      </c>
      <c r="AH67" s="182">
        <f>RANK(AG67, AG$67:AG$81)</f>
        <v>1</v>
      </c>
      <c r="AI67" s="632">
        <f>AVERAGE(AG67:AG81)</f>
        <v>83.025207961830105</v>
      </c>
      <c r="AJ67" s="188">
        <v>13</v>
      </c>
      <c r="AK67" s="188">
        <v>1079.9277035037912</v>
      </c>
      <c r="AL67" s="185">
        <f t="shared" ref="AL67" si="21">IFERROR(AK67/AJ67,"")</f>
        <v>83.071361807983948</v>
      </c>
      <c r="AM67" s="182">
        <f>RANK(AL67, AL$67:AL$81)</f>
        <v>1</v>
      </c>
      <c r="AN67" s="632">
        <f>AVERAGE(AL67:AL81)</f>
        <v>83.071361807983948</v>
      </c>
      <c r="AO67" s="188">
        <v>13</v>
      </c>
      <c r="AP67" s="188">
        <v>1080.2877035037914</v>
      </c>
      <c r="AQ67" s="185">
        <f t="shared" ref="AQ67" si="22">IFERROR(AP67/AO67,"")</f>
        <v>83.099054115676253</v>
      </c>
      <c r="AR67" s="182">
        <f>RANK(AQ67, AQ$67:AQ$81)</f>
        <v>1</v>
      </c>
      <c r="AS67" s="632">
        <f>AVERAGE(AQ67:AQ81)</f>
        <v>83.099054115676253</v>
      </c>
      <c r="AT67" s="188">
        <v>13</v>
      </c>
      <c r="AU67" s="188">
        <v>1080.2877035037914</v>
      </c>
      <c r="AV67" s="185">
        <f t="shared" ref="AV67" si="23">IFERROR(AU67/AT67,"")</f>
        <v>83.099054115676253</v>
      </c>
      <c r="AW67" s="182">
        <f>RANK(AV67, AV$67:AV$81)</f>
        <v>1</v>
      </c>
      <c r="AX67" s="632">
        <f>AVERAGE(AV67:AV81)</f>
        <v>83.099054115676253</v>
      </c>
    </row>
    <row r="68" spans="2:50" ht="14.25" customHeight="1">
      <c r="B68" s="631"/>
      <c r="C68" s="180">
        <v>2</v>
      </c>
      <c r="D68" s="183"/>
      <c r="E68" s="180"/>
      <c r="F68" s="180"/>
      <c r="G68" s="185"/>
      <c r="H68" s="632"/>
      <c r="I68" s="186"/>
      <c r="J68" s="186"/>
      <c r="K68" s="187"/>
      <c r="L68" s="633"/>
      <c r="M68" s="186"/>
      <c r="N68" s="631"/>
      <c r="O68" s="631"/>
      <c r="P68" s="188"/>
      <c r="Q68" s="188"/>
      <c r="R68" s="185"/>
      <c r="S68" s="182"/>
      <c r="T68" s="632"/>
      <c r="U68" s="188"/>
      <c r="V68" s="188"/>
      <c r="W68" s="185"/>
      <c r="X68" s="182"/>
      <c r="Y68" s="632"/>
      <c r="Z68" s="188"/>
      <c r="AA68" s="188"/>
      <c r="AB68" s="185"/>
      <c r="AC68" s="182"/>
      <c r="AD68" s="632"/>
      <c r="AE68" s="188"/>
      <c r="AF68" s="188"/>
      <c r="AG68" s="185"/>
      <c r="AH68" s="182"/>
      <c r="AI68" s="632"/>
      <c r="AJ68" s="188"/>
      <c r="AK68" s="188"/>
      <c r="AL68" s="185"/>
      <c r="AM68" s="182"/>
      <c r="AN68" s="632"/>
      <c r="AO68" s="188"/>
      <c r="AP68" s="188"/>
      <c r="AQ68" s="185"/>
      <c r="AR68" s="182"/>
      <c r="AS68" s="632"/>
      <c r="AT68" s="188"/>
      <c r="AU68" s="188"/>
      <c r="AV68" s="185"/>
      <c r="AW68" s="182"/>
      <c r="AX68" s="632"/>
    </row>
    <row r="69" spans="2:50" ht="14.25" customHeight="1">
      <c r="B69" s="631"/>
      <c r="C69" s="180">
        <v>3</v>
      </c>
      <c r="D69" s="183"/>
      <c r="E69" s="180"/>
      <c r="F69" s="180"/>
      <c r="G69" s="185"/>
      <c r="H69" s="632"/>
      <c r="I69" s="186"/>
      <c r="J69" s="186"/>
      <c r="K69" s="187"/>
      <c r="L69" s="633"/>
      <c r="M69" s="186"/>
      <c r="N69" s="631"/>
      <c r="O69" s="631"/>
      <c r="P69" s="188"/>
      <c r="Q69" s="188"/>
      <c r="R69" s="185"/>
      <c r="S69" s="182"/>
      <c r="T69" s="632"/>
      <c r="U69" s="188"/>
      <c r="V69" s="188"/>
      <c r="W69" s="185"/>
      <c r="X69" s="182"/>
      <c r="Y69" s="632"/>
      <c r="Z69" s="188"/>
      <c r="AA69" s="188"/>
      <c r="AB69" s="185"/>
      <c r="AC69" s="182"/>
      <c r="AD69" s="632"/>
      <c r="AE69" s="188"/>
      <c r="AF69" s="188"/>
      <c r="AG69" s="185"/>
      <c r="AH69" s="182"/>
      <c r="AI69" s="632"/>
      <c r="AJ69" s="188"/>
      <c r="AK69" s="188"/>
      <c r="AL69" s="185"/>
      <c r="AM69" s="182"/>
      <c r="AN69" s="632"/>
      <c r="AO69" s="188"/>
      <c r="AP69" s="188"/>
      <c r="AQ69" s="185"/>
      <c r="AR69" s="182"/>
      <c r="AS69" s="632"/>
      <c r="AT69" s="188"/>
      <c r="AU69" s="188"/>
      <c r="AV69" s="185"/>
      <c r="AW69" s="182"/>
      <c r="AX69" s="632"/>
    </row>
    <row r="70" spans="2:50" ht="14.25" customHeight="1">
      <c r="B70" s="631"/>
      <c r="C70" s="180">
        <v>4</v>
      </c>
      <c r="D70" s="183"/>
      <c r="E70" s="180"/>
      <c r="F70" s="180"/>
      <c r="G70" s="185"/>
      <c r="H70" s="632"/>
      <c r="I70" s="186"/>
      <c r="J70" s="186"/>
      <c r="K70" s="187"/>
      <c r="L70" s="633"/>
      <c r="M70" s="186"/>
      <c r="N70" s="631"/>
      <c r="O70" s="631"/>
      <c r="P70" s="188"/>
      <c r="Q70" s="188"/>
      <c r="R70" s="185"/>
      <c r="S70" s="182"/>
      <c r="T70" s="632"/>
      <c r="U70" s="188"/>
      <c r="V70" s="188"/>
      <c r="W70" s="185"/>
      <c r="X70" s="182"/>
      <c r="Y70" s="632"/>
      <c r="Z70" s="188"/>
      <c r="AA70" s="188"/>
      <c r="AB70" s="185"/>
      <c r="AC70" s="182"/>
      <c r="AD70" s="632"/>
      <c r="AE70" s="188"/>
      <c r="AF70" s="188"/>
      <c r="AG70" s="185"/>
      <c r="AH70" s="182"/>
      <c r="AI70" s="632"/>
      <c r="AJ70" s="188"/>
      <c r="AK70" s="188"/>
      <c r="AL70" s="185"/>
      <c r="AM70" s="182"/>
      <c r="AN70" s="632"/>
      <c r="AO70" s="188"/>
      <c r="AP70" s="188"/>
      <c r="AQ70" s="185"/>
      <c r="AR70" s="182"/>
      <c r="AS70" s="632"/>
      <c r="AT70" s="188"/>
      <c r="AU70" s="188"/>
      <c r="AV70" s="185"/>
      <c r="AW70" s="182"/>
      <c r="AX70" s="632"/>
    </row>
    <row r="71" spans="2:50" ht="14.25" customHeight="1">
      <c r="B71" s="631"/>
      <c r="C71" s="180">
        <v>5</v>
      </c>
      <c r="D71" s="183"/>
      <c r="E71" s="180"/>
      <c r="F71" s="180"/>
      <c r="G71" s="185"/>
      <c r="H71" s="632"/>
      <c r="I71" s="186"/>
      <c r="J71" s="186"/>
      <c r="K71" s="187"/>
      <c r="L71" s="633"/>
      <c r="M71" s="186"/>
      <c r="N71" s="631"/>
      <c r="O71" s="631"/>
      <c r="P71" s="188"/>
      <c r="Q71" s="188"/>
      <c r="R71" s="185"/>
      <c r="S71" s="182"/>
      <c r="T71" s="632"/>
      <c r="U71" s="188"/>
      <c r="V71" s="188"/>
      <c r="W71" s="185"/>
      <c r="X71" s="182"/>
      <c r="Y71" s="632"/>
      <c r="Z71" s="188"/>
      <c r="AA71" s="188"/>
      <c r="AB71" s="185"/>
      <c r="AC71" s="182"/>
      <c r="AD71" s="632"/>
      <c r="AE71" s="188"/>
      <c r="AF71" s="188"/>
      <c r="AG71" s="185"/>
      <c r="AH71" s="182"/>
      <c r="AI71" s="632"/>
      <c r="AJ71" s="188"/>
      <c r="AK71" s="188"/>
      <c r="AL71" s="185"/>
      <c r="AM71" s="182"/>
      <c r="AN71" s="632"/>
      <c r="AO71" s="188"/>
      <c r="AP71" s="188"/>
      <c r="AQ71" s="185"/>
      <c r="AR71" s="182"/>
      <c r="AS71" s="632"/>
      <c r="AT71" s="188"/>
      <c r="AU71" s="188"/>
      <c r="AV71" s="185"/>
      <c r="AW71" s="182"/>
      <c r="AX71" s="632"/>
    </row>
    <row r="72" spans="2:50" ht="14.25" customHeight="1">
      <c r="B72" s="631"/>
      <c r="C72" s="180">
        <v>6</v>
      </c>
      <c r="D72" s="183"/>
      <c r="E72" s="180"/>
      <c r="F72" s="180"/>
      <c r="G72" s="185"/>
      <c r="H72" s="632"/>
      <c r="I72" s="186"/>
      <c r="J72" s="186"/>
      <c r="K72" s="187"/>
      <c r="L72" s="633"/>
      <c r="M72" s="186"/>
      <c r="N72" s="631"/>
      <c r="O72" s="631"/>
      <c r="P72" s="188"/>
      <c r="Q72" s="188"/>
      <c r="R72" s="185"/>
      <c r="S72" s="182"/>
      <c r="T72" s="632"/>
      <c r="U72" s="188"/>
      <c r="V72" s="188"/>
      <c r="W72" s="185"/>
      <c r="X72" s="182"/>
      <c r="Y72" s="632"/>
      <c r="Z72" s="188"/>
      <c r="AA72" s="188"/>
      <c r="AB72" s="185"/>
      <c r="AC72" s="182"/>
      <c r="AD72" s="632"/>
      <c r="AE72" s="188"/>
      <c r="AF72" s="188"/>
      <c r="AG72" s="185"/>
      <c r="AH72" s="182"/>
      <c r="AI72" s="632"/>
      <c r="AJ72" s="188"/>
      <c r="AK72" s="188"/>
      <c r="AL72" s="185"/>
      <c r="AM72" s="182"/>
      <c r="AN72" s="632"/>
      <c r="AO72" s="188"/>
      <c r="AP72" s="188"/>
      <c r="AQ72" s="185"/>
      <c r="AR72" s="182"/>
      <c r="AS72" s="632"/>
      <c r="AT72" s="188"/>
      <c r="AU72" s="188"/>
      <c r="AV72" s="185"/>
      <c r="AW72" s="182"/>
      <c r="AX72" s="632"/>
    </row>
    <row r="73" spans="2:50" ht="14.25" customHeight="1">
      <c r="B73" s="631"/>
      <c r="C73" s="180">
        <v>7</v>
      </c>
      <c r="D73" s="183"/>
      <c r="E73" s="180"/>
      <c r="F73" s="180"/>
      <c r="G73" s="185"/>
      <c r="H73" s="632"/>
      <c r="I73" s="186"/>
      <c r="J73" s="186"/>
      <c r="K73" s="187"/>
      <c r="L73" s="633"/>
      <c r="M73" s="186"/>
      <c r="N73" s="631"/>
      <c r="O73" s="631"/>
      <c r="P73" s="188"/>
      <c r="Q73" s="188"/>
      <c r="R73" s="185"/>
      <c r="S73" s="182"/>
      <c r="T73" s="632"/>
      <c r="U73" s="188"/>
      <c r="V73" s="188"/>
      <c r="W73" s="185"/>
      <c r="X73" s="182"/>
      <c r="Y73" s="632"/>
      <c r="Z73" s="188"/>
      <c r="AA73" s="188"/>
      <c r="AB73" s="185"/>
      <c r="AC73" s="182"/>
      <c r="AD73" s="632"/>
      <c r="AE73" s="188"/>
      <c r="AF73" s="188"/>
      <c r="AG73" s="185"/>
      <c r="AH73" s="182"/>
      <c r="AI73" s="632"/>
      <c r="AJ73" s="188"/>
      <c r="AK73" s="188"/>
      <c r="AL73" s="185"/>
      <c r="AM73" s="182"/>
      <c r="AN73" s="632"/>
      <c r="AO73" s="188"/>
      <c r="AP73" s="188"/>
      <c r="AQ73" s="185"/>
      <c r="AR73" s="182"/>
      <c r="AS73" s="632"/>
      <c r="AT73" s="188"/>
      <c r="AU73" s="188"/>
      <c r="AV73" s="185"/>
      <c r="AW73" s="182"/>
      <c r="AX73" s="632"/>
    </row>
    <row r="74" spans="2:50" ht="14.25" customHeight="1">
      <c r="B74" s="631"/>
      <c r="C74" s="180">
        <v>8</v>
      </c>
      <c r="D74" s="183"/>
      <c r="E74" s="180"/>
      <c r="F74" s="180"/>
      <c r="G74" s="185"/>
      <c r="H74" s="632"/>
      <c r="I74" s="186"/>
      <c r="J74" s="186"/>
      <c r="K74" s="187"/>
      <c r="L74" s="633"/>
      <c r="M74" s="186"/>
      <c r="N74" s="631"/>
      <c r="O74" s="631"/>
      <c r="P74" s="188"/>
      <c r="Q74" s="188"/>
      <c r="R74" s="185"/>
      <c r="S74" s="182"/>
      <c r="T74" s="632"/>
      <c r="U74" s="188"/>
      <c r="V74" s="188"/>
      <c r="W74" s="185"/>
      <c r="X74" s="182"/>
      <c r="Y74" s="632"/>
      <c r="Z74" s="188"/>
      <c r="AA74" s="188"/>
      <c r="AB74" s="185"/>
      <c r="AC74" s="182"/>
      <c r="AD74" s="632"/>
      <c r="AE74" s="188"/>
      <c r="AF74" s="188"/>
      <c r="AG74" s="185"/>
      <c r="AH74" s="182"/>
      <c r="AI74" s="632"/>
      <c r="AJ74" s="188"/>
      <c r="AK74" s="188"/>
      <c r="AL74" s="185"/>
      <c r="AM74" s="182"/>
      <c r="AN74" s="632"/>
      <c r="AO74" s="188"/>
      <c r="AP74" s="188"/>
      <c r="AQ74" s="185"/>
      <c r="AR74" s="182"/>
      <c r="AS74" s="632"/>
      <c r="AT74" s="188"/>
      <c r="AU74" s="188"/>
      <c r="AV74" s="185"/>
      <c r="AW74" s="182"/>
      <c r="AX74" s="632"/>
    </row>
    <row r="75" spans="2:50" ht="14.25" customHeight="1">
      <c r="B75" s="631"/>
      <c r="C75" s="180">
        <v>9</v>
      </c>
      <c r="D75" s="183"/>
      <c r="E75" s="180"/>
      <c r="F75" s="180"/>
      <c r="G75" s="185"/>
      <c r="H75" s="632"/>
      <c r="I75" s="186"/>
      <c r="J75" s="186"/>
      <c r="K75" s="187"/>
      <c r="L75" s="633"/>
      <c r="M75" s="186"/>
      <c r="N75" s="631"/>
      <c r="O75" s="631"/>
      <c r="P75" s="188"/>
      <c r="Q75" s="188"/>
      <c r="R75" s="185"/>
      <c r="S75" s="182"/>
      <c r="T75" s="632"/>
      <c r="U75" s="188"/>
      <c r="V75" s="188"/>
      <c r="W75" s="185"/>
      <c r="X75" s="182"/>
      <c r="Y75" s="632"/>
      <c r="Z75" s="188"/>
      <c r="AA75" s="188"/>
      <c r="AB75" s="185"/>
      <c r="AC75" s="182"/>
      <c r="AD75" s="632"/>
      <c r="AE75" s="188"/>
      <c r="AF75" s="188"/>
      <c r="AG75" s="185"/>
      <c r="AH75" s="182"/>
      <c r="AI75" s="632"/>
      <c r="AJ75" s="188"/>
      <c r="AK75" s="188"/>
      <c r="AL75" s="185"/>
      <c r="AM75" s="182"/>
      <c r="AN75" s="632"/>
      <c r="AO75" s="188"/>
      <c r="AP75" s="188"/>
      <c r="AQ75" s="185"/>
      <c r="AR75" s="182"/>
      <c r="AS75" s="632"/>
      <c r="AT75" s="188"/>
      <c r="AU75" s="188"/>
      <c r="AV75" s="185"/>
      <c r="AW75" s="182"/>
      <c r="AX75" s="632"/>
    </row>
    <row r="76" spans="2:50" ht="14.25" customHeight="1">
      <c r="B76" s="631"/>
      <c r="C76" s="180">
        <v>10</v>
      </c>
      <c r="D76" s="183"/>
      <c r="E76" s="180"/>
      <c r="F76" s="180"/>
      <c r="G76" s="185"/>
      <c r="H76" s="632"/>
      <c r="I76" s="186"/>
      <c r="J76" s="186"/>
      <c r="K76" s="187"/>
      <c r="L76" s="633"/>
      <c r="M76" s="186"/>
      <c r="N76" s="631"/>
      <c r="O76" s="631"/>
      <c r="P76" s="188"/>
      <c r="Q76" s="188"/>
      <c r="R76" s="185"/>
      <c r="S76" s="182"/>
      <c r="T76" s="632"/>
      <c r="U76" s="188"/>
      <c r="V76" s="188"/>
      <c r="W76" s="185"/>
      <c r="X76" s="182"/>
      <c r="Y76" s="632"/>
      <c r="Z76" s="188"/>
      <c r="AA76" s="188"/>
      <c r="AB76" s="185"/>
      <c r="AC76" s="182"/>
      <c r="AD76" s="632"/>
      <c r="AE76" s="188"/>
      <c r="AF76" s="188"/>
      <c r="AG76" s="185"/>
      <c r="AH76" s="182"/>
      <c r="AI76" s="632"/>
      <c r="AJ76" s="188"/>
      <c r="AK76" s="188"/>
      <c r="AL76" s="185"/>
      <c r="AM76" s="182"/>
      <c r="AN76" s="632"/>
      <c r="AO76" s="188"/>
      <c r="AP76" s="188"/>
      <c r="AQ76" s="185"/>
      <c r="AR76" s="182"/>
      <c r="AS76" s="632"/>
      <c r="AT76" s="188"/>
      <c r="AU76" s="188"/>
      <c r="AV76" s="185"/>
      <c r="AW76" s="182"/>
      <c r="AX76" s="632"/>
    </row>
    <row r="77" spans="2:50" ht="14.25" customHeight="1">
      <c r="B77" s="631"/>
      <c r="C77" s="180">
        <v>11</v>
      </c>
      <c r="D77" s="183"/>
      <c r="E77" s="180"/>
      <c r="F77" s="180"/>
      <c r="G77" s="185"/>
      <c r="H77" s="632"/>
      <c r="I77" s="186"/>
      <c r="J77" s="186"/>
      <c r="K77" s="187"/>
      <c r="L77" s="633"/>
      <c r="M77" s="186"/>
      <c r="N77" s="631"/>
      <c r="O77" s="631"/>
      <c r="P77" s="188"/>
      <c r="Q77" s="188"/>
      <c r="R77" s="185"/>
      <c r="S77" s="182"/>
      <c r="T77" s="632"/>
      <c r="U77" s="188"/>
      <c r="V77" s="188"/>
      <c r="W77" s="185"/>
      <c r="X77" s="182"/>
      <c r="Y77" s="632"/>
      <c r="Z77" s="188"/>
      <c r="AA77" s="188"/>
      <c r="AB77" s="185"/>
      <c r="AC77" s="182"/>
      <c r="AD77" s="632"/>
      <c r="AE77" s="188"/>
      <c r="AF77" s="188"/>
      <c r="AG77" s="185"/>
      <c r="AH77" s="182"/>
      <c r="AI77" s="632"/>
      <c r="AJ77" s="188"/>
      <c r="AK77" s="188"/>
      <c r="AL77" s="185"/>
      <c r="AM77" s="182"/>
      <c r="AN77" s="632"/>
      <c r="AO77" s="188"/>
      <c r="AP77" s="188"/>
      <c r="AQ77" s="185"/>
      <c r="AR77" s="182"/>
      <c r="AS77" s="632"/>
      <c r="AT77" s="188"/>
      <c r="AU77" s="188"/>
      <c r="AV77" s="185"/>
      <c r="AW77" s="182"/>
      <c r="AX77" s="632"/>
    </row>
    <row r="78" spans="2:50" ht="14.25" customHeight="1">
      <c r="B78" s="631"/>
      <c r="C78" s="180">
        <v>12</v>
      </c>
      <c r="D78" s="183"/>
      <c r="E78" s="180"/>
      <c r="F78" s="180"/>
      <c r="G78" s="185"/>
      <c r="H78" s="632"/>
      <c r="I78" s="186"/>
      <c r="J78" s="186"/>
      <c r="K78" s="187"/>
      <c r="L78" s="633"/>
      <c r="M78" s="186"/>
      <c r="N78" s="631"/>
      <c r="O78" s="631"/>
      <c r="P78" s="188"/>
      <c r="Q78" s="188"/>
      <c r="R78" s="185"/>
      <c r="S78" s="182"/>
      <c r="T78" s="632"/>
      <c r="U78" s="188"/>
      <c r="V78" s="188"/>
      <c r="W78" s="185"/>
      <c r="X78" s="182"/>
      <c r="Y78" s="632"/>
      <c r="Z78" s="188"/>
      <c r="AA78" s="188"/>
      <c r="AB78" s="185"/>
      <c r="AC78" s="182"/>
      <c r="AD78" s="632"/>
      <c r="AE78" s="188"/>
      <c r="AF78" s="188"/>
      <c r="AG78" s="185"/>
      <c r="AH78" s="182"/>
      <c r="AI78" s="632"/>
      <c r="AJ78" s="188"/>
      <c r="AK78" s="188"/>
      <c r="AL78" s="185"/>
      <c r="AM78" s="182"/>
      <c r="AN78" s="632"/>
      <c r="AO78" s="188"/>
      <c r="AP78" s="188"/>
      <c r="AQ78" s="185"/>
      <c r="AR78" s="182"/>
      <c r="AS78" s="632"/>
      <c r="AT78" s="188"/>
      <c r="AU78" s="188"/>
      <c r="AV78" s="185"/>
      <c r="AW78" s="182"/>
      <c r="AX78" s="632"/>
    </row>
    <row r="79" spans="2:50" ht="14.25" customHeight="1">
      <c r="B79" s="631"/>
      <c r="C79" s="180">
        <v>13</v>
      </c>
      <c r="D79" s="183"/>
      <c r="E79" s="180"/>
      <c r="F79" s="180"/>
      <c r="G79" s="185"/>
      <c r="H79" s="632"/>
      <c r="I79" s="186"/>
      <c r="J79" s="186"/>
      <c r="K79" s="187"/>
      <c r="L79" s="633"/>
      <c r="M79" s="186"/>
      <c r="N79" s="631"/>
      <c r="O79" s="631"/>
      <c r="P79" s="188"/>
      <c r="Q79" s="188"/>
      <c r="R79" s="185"/>
      <c r="S79" s="182"/>
      <c r="T79" s="632"/>
      <c r="U79" s="188"/>
      <c r="V79" s="188"/>
      <c r="W79" s="185"/>
      <c r="X79" s="182"/>
      <c r="Y79" s="632"/>
      <c r="Z79" s="188"/>
      <c r="AA79" s="188"/>
      <c r="AB79" s="185"/>
      <c r="AC79" s="182"/>
      <c r="AD79" s="632"/>
      <c r="AE79" s="188"/>
      <c r="AF79" s="188"/>
      <c r="AG79" s="185"/>
      <c r="AH79" s="182"/>
      <c r="AI79" s="632"/>
      <c r="AJ79" s="188"/>
      <c r="AK79" s="188"/>
      <c r="AL79" s="185"/>
      <c r="AM79" s="182"/>
      <c r="AN79" s="632"/>
      <c r="AO79" s="188"/>
      <c r="AP79" s="188"/>
      <c r="AQ79" s="185"/>
      <c r="AR79" s="182"/>
      <c r="AS79" s="632"/>
      <c r="AT79" s="188"/>
      <c r="AU79" s="188"/>
      <c r="AV79" s="185"/>
      <c r="AW79" s="182"/>
      <c r="AX79" s="632"/>
    </row>
    <row r="80" spans="2:50" ht="14.25" customHeight="1">
      <c r="B80" s="631"/>
      <c r="C80" s="180">
        <v>14</v>
      </c>
      <c r="D80" s="183"/>
      <c r="E80" s="180"/>
      <c r="F80" s="180"/>
      <c r="G80" s="185"/>
      <c r="H80" s="632"/>
      <c r="I80" s="186"/>
      <c r="J80" s="186"/>
      <c r="K80" s="187"/>
      <c r="L80" s="633"/>
      <c r="M80" s="186"/>
      <c r="N80" s="631"/>
      <c r="O80" s="631"/>
      <c r="P80" s="188"/>
      <c r="Q80" s="188"/>
      <c r="R80" s="185"/>
      <c r="S80" s="182"/>
      <c r="T80" s="632"/>
      <c r="U80" s="188"/>
      <c r="V80" s="188"/>
      <c r="W80" s="185"/>
      <c r="X80" s="182"/>
      <c r="Y80" s="632"/>
      <c r="Z80" s="188"/>
      <c r="AA80" s="188"/>
      <c r="AB80" s="185"/>
      <c r="AC80" s="182"/>
      <c r="AD80" s="632"/>
      <c r="AE80" s="188"/>
      <c r="AF80" s="188"/>
      <c r="AG80" s="185"/>
      <c r="AH80" s="182"/>
      <c r="AI80" s="632"/>
      <c r="AJ80" s="188"/>
      <c r="AK80" s="188"/>
      <c r="AL80" s="185"/>
      <c r="AM80" s="182"/>
      <c r="AN80" s="632"/>
      <c r="AO80" s="188"/>
      <c r="AP80" s="188"/>
      <c r="AQ80" s="185"/>
      <c r="AR80" s="182"/>
      <c r="AS80" s="632"/>
      <c r="AT80" s="188"/>
      <c r="AU80" s="188"/>
      <c r="AV80" s="185"/>
      <c r="AW80" s="182"/>
      <c r="AX80" s="632"/>
    </row>
    <row r="81" spans="2:50" ht="14.25" customHeight="1">
      <c r="B81" s="631"/>
      <c r="C81" s="180">
        <v>15</v>
      </c>
      <c r="D81" s="183"/>
      <c r="E81" s="180"/>
      <c r="F81" s="180"/>
      <c r="G81" s="185"/>
      <c r="H81" s="632"/>
      <c r="I81" s="186"/>
      <c r="J81" s="186"/>
      <c r="K81" s="187"/>
      <c r="L81" s="633"/>
      <c r="M81" s="186"/>
      <c r="N81" s="631"/>
      <c r="O81" s="631"/>
      <c r="P81" s="188"/>
      <c r="Q81" s="188"/>
      <c r="R81" s="185"/>
      <c r="S81" s="182"/>
      <c r="T81" s="632"/>
      <c r="U81" s="188"/>
      <c r="V81" s="188"/>
      <c r="W81" s="185"/>
      <c r="X81" s="182"/>
      <c r="Y81" s="632"/>
      <c r="Z81" s="188"/>
      <c r="AA81" s="188"/>
      <c r="AB81" s="185"/>
      <c r="AC81" s="182"/>
      <c r="AD81" s="632"/>
      <c r="AE81" s="188"/>
      <c r="AF81" s="188"/>
      <c r="AG81" s="185"/>
      <c r="AH81" s="182"/>
      <c r="AI81" s="632"/>
      <c r="AJ81" s="188"/>
      <c r="AK81" s="188"/>
      <c r="AL81" s="185"/>
      <c r="AM81" s="182"/>
      <c r="AN81" s="632"/>
      <c r="AO81" s="188"/>
      <c r="AP81" s="188"/>
      <c r="AQ81" s="185"/>
      <c r="AR81" s="182"/>
      <c r="AS81" s="632"/>
      <c r="AT81" s="188"/>
      <c r="AU81" s="188"/>
      <c r="AV81" s="185"/>
      <c r="AW81" s="182"/>
      <c r="AX81" s="632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106"/>
  <sheetViews>
    <sheetView view="pageBreakPreview" topLeftCell="A77" zoomScale="115" zoomScaleNormal="60" zoomScaleSheetLayoutView="115" workbookViewId="0">
      <selection activeCell="J100" sqref="J100"/>
    </sheetView>
  </sheetViews>
  <sheetFormatPr defaultColWidth="12.5703125" defaultRowHeight="15.75" customHeight="1"/>
  <cols>
    <col min="1" max="1" width="6.42578125" style="189" customWidth="1"/>
    <col min="2" max="10" width="11.5703125" style="189" customWidth="1"/>
    <col min="11" max="11" width="12.85546875" style="189" customWidth="1"/>
    <col min="12" max="12" width="41.85546875" style="189" customWidth="1"/>
    <col min="13" max="13" width="12.5703125" style="190"/>
    <col min="14" max="16384" width="12.5703125" style="189"/>
  </cols>
  <sheetData>
    <row r="1" spans="1:18" ht="15.75" customHeight="1">
      <c r="A1" s="557" t="s">
        <v>378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189"/>
    </row>
    <row r="2" spans="1:18" s="19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</row>
    <row r="3" spans="1:18" ht="15.75" customHeight="1">
      <c r="A3" s="683" t="s">
        <v>615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189"/>
    </row>
    <row r="4" spans="1:18" s="190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</row>
    <row r="5" spans="1:18" s="178" customFormat="1" ht="15.75" customHeight="1">
      <c r="A5" s="681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50000000000001" customHeight="1">
      <c r="A6" s="681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350</v>
      </c>
      <c r="G6" s="196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82" t="s">
        <v>188</v>
      </c>
      <c r="B7" s="682"/>
      <c r="C7" s="160" t="s">
        <v>47</v>
      </c>
      <c r="D7" s="682" t="s">
        <v>12</v>
      </c>
      <c r="E7" s="684"/>
      <c r="F7" s="684"/>
      <c r="G7" s="160" t="s">
        <v>46</v>
      </c>
      <c r="H7" s="160" t="s">
        <v>380</v>
      </c>
      <c r="I7" s="160" t="s">
        <v>381</v>
      </c>
      <c r="J7" s="160" t="s">
        <v>332</v>
      </c>
      <c r="K7" s="682" t="s">
        <v>51</v>
      </c>
      <c r="L7" s="684"/>
      <c r="M7" s="193"/>
      <c r="N7" s="189"/>
      <c r="P7" s="400"/>
      <c r="Q7" s="400"/>
    </row>
    <row r="8" spans="1:18" ht="15.75" customHeight="1">
      <c r="A8" s="681">
        <v>1</v>
      </c>
      <c r="B8" s="682" t="s">
        <v>382</v>
      </c>
      <c r="C8" s="200">
        <v>1</v>
      </c>
      <c r="D8" s="677" t="s">
        <v>442</v>
      </c>
      <c r="E8" s="678"/>
      <c r="F8" s="678"/>
      <c r="G8" s="200">
        <v>3</v>
      </c>
      <c r="H8" s="202">
        <v>3197.8218985103836</v>
      </c>
      <c r="I8" s="203">
        <v>1065.9406328367945</v>
      </c>
      <c r="J8" s="221">
        <v>4.5467731117230414</v>
      </c>
      <c r="K8" s="677" t="s">
        <v>435</v>
      </c>
      <c r="L8" s="678"/>
      <c r="O8" s="178"/>
      <c r="P8" s="400"/>
      <c r="Q8" s="400"/>
      <c r="R8" s="178"/>
    </row>
    <row r="9" spans="1:18" ht="15.75" customHeight="1">
      <c r="A9" s="681"/>
      <c r="B9" s="682"/>
      <c r="C9" s="200">
        <v>2</v>
      </c>
      <c r="D9" s="677" t="s">
        <v>405</v>
      </c>
      <c r="E9" s="678"/>
      <c r="F9" s="678"/>
      <c r="G9" s="200">
        <v>3</v>
      </c>
      <c r="H9" s="202">
        <v>3185.6387703594528</v>
      </c>
      <c r="I9" s="203">
        <v>1061.8795901198175</v>
      </c>
      <c r="J9" s="221">
        <v>1.4437639744035096</v>
      </c>
      <c r="K9" s="677" t="s">
        <v>435</v>
      </c>
      <c r="L9" s="678"/>
      <c r="N9" s="178"/>
      <c r="O9" s="178"/>
      <c r="P9" s="400"/>
      <c r="Q9" s="400"/>
      <c r="R9" s="178"/>
    </row>
    <row r="10" spans="1:18" ht="15.75" customHeight="1">
      <c r="A10" s="681"/>
      <c r="B10" s="682"/>
      <c r="C10" s="200">
        <v>3</v>
      </c>
      <c r="D10" s="677" t="s">
        <v>604</v>
      </c>
      <c r="E10" s="678"/>
      <c r="F10" s="678"/>
      <c r="G10" s="200">
        <v>3</v>
      </c>
      <c r="H10" s="202">
        <v>3185.0187331314569</v>
      </c>
      <c r="I10" s="203">
        <v>1061.6729110438189</v>
      </c>
      <c r="J10" s="221"/>
      <c r="K10" s="677" t="s">
        <v>435</v>
      </c>
      <c r="L10" s="678"/>
      <c r="N10" s="178"/>
      <c r="O10" s="178"/>
      <c r="P10" s="400"/>
      <c r="Q10" s="400"/>
      <c r="R10" s="178"/>
    </row>
    <row r="11" spans="1:18" ht="15.75" customHeight="1">
      <c r="A11" s="681"/>
      <c r="B11" s="682"/>
      <c r="C11" s="200">
        <v>4</v>
      </c>
      <c r="D11" s="677" t="s">
        <v>396</v>
      </c>
      <c r="E11" s="678"/>
      <c r="F11" s="678"/>
      <c r="G11" s="200">
        <v>3</v>
      </c>
      <c r="H11" s="202">
        <v>3183.4373359286051</v>
      </c>
      <c r="I11" s="203">
        <v>1061.1457786428687</v>
      </c>
      <c r="J11" s="221"/>
      <c r="K11" s="677" t="s">
        <v>435</v>
      </c>
      <c r="L11" s="678"/>
      <c r="N11" s="178"/>
      <c r="O11" s="178"/>
      <c r="P11" s="400"/>
      <c r="Q11" s="400"/>
      <c r="R11" s="178"/>
    </row>
    <row r="12" spans="1:18" ht="15.75" customHeight="1">
      <c r="A12" s="681"/>
      <c r="B12" s="682"/>
      <c r="C12" s="200">
        <v>5</v>
      </c>
      <c r="D12" s="677" t="s">
        <v>394</v>
      </c>
      <c r="E12" s="678"/>
      <c r="F12" s="678"/>
      <c r="G12" s="200">
        <v>3</v>
      </c>
      <c r="H12" s="202">
        <v>3183.2040007317141</v>
      </c>
      <c r="I12" s="203">
        <v>1061.0680002439046</v>
      </c>
      <c r="J12" s="221">
        <v>1.7374658165542769</v>
      </c>
      <c r="K12" s="677" t="s">
        <v>435</v>
      </c>
      <c r="L12" s="678"/>
      <c r="N12" s="178"/>
      <c r="O12" s="178"/>
      <c r="P12" s="400"/>
      <c r="Q12" s="400"/>
      <c r="R12" s="178"/>
    </row>
    <row r="13" spans="1:18" ht="15.75" customHeight="1">
      <c r="A13" s="681"/>
      <c r="B13" s="682"/>
      <c r="C13" s="204" t="s">
        <v>204</v>
      </c>
      <c r="D13" s="678" t="s">
        <v>515</v>
      </c>
      <c r="E13" s="678"/>
      <c r="F13" s="678"/>
      <c r="G13" s="201">
        <v>13</v>
      </c>
      <c r="H13" s="205">
        <v>3262.7767640778516</v>
      </c>
      <c r="I13" s="206">
        <v>250.98282800598855</v>
      </c>
      <c r="J13" s="221">
        <v>0.2340354234094093</v>
      </c>
      <c r="K13" s="677" t="s">
        <v>435</v>
      </c>
      <c r="L13" s="678"/>
      <c r="N13" s="178"/>
      <c r="O13" s="178"/>
      <c r="P13" s="400"/>
      <c r="Q13" s="400"/>
      <c r="R13" s="178"/>
    </row>
    <row r="14" spans="1:18" ht="15.75" customHeight="1">
      <c r="A14" s="681"/>
      <c r="B14" s="682"/>
      <c r="C14" s="204" t="s">
        <v>209</v>
      </c>
      <c r="D14" s="678" t="s">
        <v>449</v>
      </c>
      <c r="E14" s="678"/>
      <c r="F14" s="678"/>
      <c r="G14" s="201">
        <v>12</v>
      </c>
      <c r="H14" s="205">
        <v>3124.1633170877212</v>
      </c>
      <c r="I14" s="206">
        <v>260.34694309064344</v>
      </c>
      <c r="J14" s="221">
        <v>-3.8571428571344768E-2</v>
      </c>
      <c r="K14" s="677" t="s">
        <v>435</v>
      </c>
      <c r="L14" s="678"/>
      <c r="N14" s="178"/>
      <c r="O14" s="178"/>
      <c r="P14" s="400"/>
      <c r="Q14" s="400"/>
      <c r="R14" s="178"/>
    </row>
    <row r="15" spans="1:18" ht="15.75" customHeight="1">
      <c r="A15" s="681"/>
      <c r="B15" s="682"/>
      <c r="C15" s="204" t="s">
        <v>205</v>
      </c>
      <c r="D15" s="678" t="s">
        <v>446</v>
      </c>
      <c r="E15" s="678"/>
      <c r="F15" s="678"/>
      <c r="G15" s="201">
        <v>12</v>
      </c>
      <c r="H15" s="205">
        <v>3126.0726869816181</v>
      </c>
      <c r="I15" s="206">
        <v>260.50605724846821</v>
      </c>
      <c r="J15" s="221">
        <v>7.1335827243615313E-2</v>
      </c>
      <c r="K15" s="677" t="s">
        <v>435</v>
      </c>
      <c r="L15" s="678"/>
      <c r="N15" s="178"/>
      <c r="O15" s="178"/>
      <c r="P15" s="400"/>
      <c r="Q15" s="400"/>
      <c r="R15" s="178"/>
    </row>
    <row r="16" spans="1:18" ht="15.75" customHeight="1">
      <c r="A16" s="681"/>
      <c r="B16" s="682"/>
      <c r="C16" s="204" t="s">
        <v>210</v>
      </c>
      <c r="D16" s="678" t="s">
        <v>500</v>
      </c>
      <c r="E16" s="678"/>
      <c r="F16" s="678"/>
      <c r="G16" s="201">
        <v>12</v>
      </c>
      <c r="H16" s="205">
        <v>3262.7936581121253</v>
      </c>
      <c r="I16" s="206">
        <v>271.89947150934375</v>
      </c>
      <c r="J16" s="221">
        <v>0.39891083389272808</v>
      </c>
      <c r="K16" s="677" t="s">
        <v>435</v>
      </c>
      <c r="L16" s="678"/>
      <c r="M16" s="189"/>
      <c r="N16" s="178"/>
      <c r="O16" s="178"/>
      <c r="P16" s="400"/>
      <c r="Q16" s="400"/>
      <c r="R16" s="178"/>
    </row>
    <row r="17" spans="1:18" ht="15.75" customHeight="1">
      <c r="A17" s="681"/>
      <c r="B17" s="682"/>
      <c r="C17" s="204" t="s">
        <v>211</v>
      </c>
      <c r="D17" s="678" t="s">
        <v>541</v>
      </c>
      <c r="E17" s="678"/>
      <c r="F17" s="678"/>
      <c r="G17" s="201">
        <v>5</v>
      </c>
      <c r="H17" s="205">
        <v>2688.3235860555101</v>
      </c>
      <c r="I17" s="206">
        <v>537.6647172111019</v>
      </c>
      <c r="J17" s="221">
        <v>0.66471721110212911</v>
      </c>
      <c r="K17" s="677" t="s">
        <v>435</v>
      </c>
      <c r="L17" s="678"/>
      <c r="M17" s="189"/>
      <c r="N17" s="178"/>
      <c r="O17" s="178"/>
      <c r="P17" s="400"/>
      <c r="Q17" s="400"/>
      <c r="R17" s="178"/>
    </row>
    <row r="18" spans="1:18" s="199" customFormat="1" ht="15.75" customHeight="1">
      <c r="A18" s="679" t="s">
        <v>188</v>
      </c>
      <c r="B18" s="679"/>
      <c r="C18" s="207" t="s">
        <v>47</v>
      </c>
      <c r="D18" s="679" t="s">
        <v>12</v>
      </c>
      <c r="E18" s="680"/>
      <c r="F18" s="680"/>
      <c r="G18" s="207" t="s">
        <v>46</v>
      </c>
      <c r="H18" s="207" t="s">
        <v>380</v>
      </c>
      <c r="I18" s="207" t="s">
        <v>381</v>
      </c>
      <c r="J18" s="160" t="s">
        <v>332</v>
      </c>
      <c r="K18" s="679" t="s">
        <v>51</v>
      </c>
      <c r="L18" s="680"/>
      <c r="M18" s="208"/>
      <c r="N18" s="178"/>
      <c r="O18" s="178"/>
      <c r="P18" s="400"/>
      <c r="Q18" s="400"/>
      <c r="R18" s="178"/>
    </row>
    <row r="19" spans="1:18" ht="15.75" customHeight="1">
      <c r="A19" s="681">
        <v>2</v>
      </c>
      <c r="B19" s="682" t="s">
        <v>155</v>
      </c>
      <c r="C19" s="200">
        <v>1</v>
      </c>
      <c r="D19" s="677" t="s">
        <v>445</v>
      </c>
      <c r="E19" s="678"/>
      <c r="F19" s="678"/>
      <c r="G19" s="200">
        <v>6</v>
      </c>
      <c r="H19" s="202">
        <v>2343.5017458695552</v>
      </c>
      <c r="I19" s="203">
        <v>390.58362431159247</v>
      </c>
      <c r="J19" s="221">
        <v>0.62739593647944503</v>
      </c>
      <c r="K19" s="677" t="s">
        <v>435</v>
      </c>
      <c r="L19" s="678"/>
      <c r="M19" s="189"/>
      <c r="N19" s="178"/>
      <c r="O19" s="178"/>
      <c r="P19" s="400"/>
      <c r="Q19" s="400"/>
      <c r="R19" s="178"/>
    </row>
    <row r="20" spans="1:18" ht="15.75" customHeight="1">
      <c r="A20" s="681"/>
      <c r="B20" s="682"/>
      <c r="C20" s="200">
        <v>2</v>
      </c>
      <c r="D20" s="677" t="s">
        <v>443</v>
      </c>
      <c r="E20" s="678"/>
      <c r="F20" s="678"/>
      <c r="G20" s="200">
        <v>6</v>
      </c>
      <c r="H20" s="202">
        <v>2343.4885080000886</v>
      </c>
      <c r="I20" s="203">
        <v>390.58141800001471</v>
      </c>
      <c r="J20" s="221">
        <v>0.52296698769237082</v>
      </c>
      <c r="K20" s="677" t="s">
        <v>435</v>
      </c>
      <c r="L20" s="678"/>
      <c r="M20" s="189"/>
      <c r="N20" s="178"/>
      <c r="O20" s="178"/>
      <c r="P20" s="400"/>
      <c r="Q20" s="400"/>
      <c r="R20" s="178"/>
    </row>
    <row r="21" spans="1:18" ht="15.75" customHeight="1">
      <c r="A21" s="681"/>
      <c r="B21" s="682"/>
      <c r="C21" s="200">
        <v>3</v>
      </c>
      <c r="D21" s="677" t="s">
        <v>348</v>
      </c>
      <c r="E21" s="678"/>
      <c r="F21" s="678"/>
      <c r="G21" s="200">
        <v>11</v>
      </c>
      <c r="H21" s="202">
        <v>3182.9214592888088</v>
      </c>
      <c r="I21" s="203">
        <v>289.35649629898256</v>
      </c>
      <c r="J21" s="221">
        <v>8.0616443214353239E-2</v>
      </c>
      <c r="K21" s="677" t="s">
        <v>435</v>
      </c>
      <c r="L21" s="678"/>
      <c r="M21" s="189"/>
      <c r="N21" s="178"/>
      <c r="O21" s="178"/>
      <c r="P21" s="400"/>
      <c r="Q21" s="400"/>
      <c r="R21" s="178"/>
    </row>
    <row r="22" spans="1:18" ht="15.75" customHeight="1">
      <c r="A22" s="681"/>
      <c r="B22" s="682"/>
      <c r="C22" s="200">
        <v>4</v>
      </c>
      <c r="D22" s="677" t="s">
        <v>561</v>
      </c>
      <c r="E22" s="678"/>
      <c r="F22" s="678"/>
      <c r="G22" s="200">
        <v>12</v>
      </c>
      <c r="H22" s="202">
        <v>3158.0217309505797</v>
      </c>
      <c r="I22" s="203">
        <v>263.16847757921494</v>
      </c>
      <c r="J22" s="221">
        <v>0.29302929817760059</v>
      </c>
      <c r="K22" s="677" t="s">
        <v>435</v>
      </c>
      <c r="L22" s="678"/>
      <c r="M22" s="189"/>
      <c r="N22" s="178"/>
      <c r="O22" s="178"/>
      <c r="P22" s="400"/>
      <c r="Q22" s="400"/>
      <c r="R22" s="178"/>
    </row>
    <row r="23" spans="1:18" ht="15.75" customHeight="1">
      <c r="A23" s="681"/>
      <c r="B23" s="682"/>
      <c r="C23" s="200">
        <v>5</v>
      </c>
      <c r="D23" s="677" t="s">
        <v>562</v>
      </c>
      <c r="E23" s="678"/>
      <c r="F23" s="678"/>
      <c r="G23" s="200">
        <v>12</v>
      </c>
      <c r="H23" s="202">
        <v>3156.8754796761132</v>
      </c>
      <c r="I23" s="203">
        <v>263.07295663967614</v>
      </c>
      <c r="J23" s="221">
        <v>0.11021884012740202</v>
      </c>
      <c r="K23" s="677" t="s">
        <v>435</v>
      </c>
      <c r="L23" s="678"/>
      <c r="M23" s="189"/>
      <c r="N23" s="178"/>
      <c r="O23" s="178"/>
      <c r="P23" s="400"/>
      <c r="Q23" s="400"/>
      <c r="R23" s="178"/>
    </row>
    <row r="24" spans="1:18" ht="15.75" customHeight="1">
      <c r="A24" s="681"/>
      <c r="B24" s="682"/>
      <c r="C24" s="204" t="s">
        <v>204</v>
      </c>
      <c r="D24" s="677"/>
      <c r="E24" s="678"/>
      <c r="F24" s="678"/>
      <c r="G24" s="200"/>
      <c r="H24" s="202"/>
      <c r="I24" s="203"/>
      <c r="J24" s="221"/>
      <c r="K24" s="677"/>
      <c r="L24" s="678"/>
      <c r="M24" s="189"/>
      <c r="N24" s="178"/>
      <c r="O24" s="178"/>
      <c r="P24" s="400"/>
      <c r="Q24" s="400"/>
      <c r="R24" s="178"/>
    </row>
    <row r="25" spans="1:18" ht="15.75" customHeight="1">
      <c r="A25" s="681"/>
      <c r="B25" s="682"/>
      <c r="C25" s="204" t="s">
        <v>209</v>
      </c>
      <c r="D25" s="677"/>
      <c r="E25" s="678"/>
      <c r="F25" s="678"/>
      <c r="G25" s="200"/>
      <c r="H25" s="202"/>
      <c r="I25" s="203"/>
      <c r="J25" s="221"/>
      <c r="K25" s="677"/>
      <c r="L25" s="678"/>
      <c r="M25" s="189"/>
      <c r="N25" s="178"/>
      <c r="O25" s="178"/>
      <c r="P25" s="400"/>
      <c r="Q25" s="400"/>
      <c r="R25" s="178"/>
    </row>
    <row r="26" spans="1:18" ht="15.75" customHeight="1">
      <c r="A26" s="681"/>
      <c r="B26" s="682"/>
      <c r="C26" s="204" t="s">
        <v>205</v>
      </c>
      <c r="D26" s="677"/>
      <c r="E26" s="678"/>
      <c r="F26" s="678"/>
      <c r="G26" s="200"/>
      <c r="H26" s="202"/>
      <c r="I26" s="203"/>
      <c r="J26" s="221"/>
      <c r="K26" s="677"/>
      <c r="L26" s="678"/>
      <c r="M26" s="189"/>
      <c r="N26" s="178"/>
      <c r="O26" s="178"/>
      <c r="P26" s="400"/>
      <c r="Q26" s="400"/>
      <c r="R26" s="178"/>
    </row>
    <row r="27" spans="1:18" ht="15.75" customHeight="1">
      <c r="A27" s="681"/>
      <c r="B27" s="682"/>
      <c r="C27" s="204" t="s">
        <v>210</v>
      </c>
      <c r="D27" s="677"/>
      <c r="E27" s="678"/>
      <c r="F27" s="678"/>
      <c r="G27" s="200"/>
      <c r="H27" s="202"/>
      <c r="I27" s="203"/>
      <c r="J27" s="200"/>
      <c r="K27" s="677"/>
      <c r="L27" s="678"/>
      <c r="M27" s="189"/>
      <c r="N27" s="178"/>
      <c r="O27" s="178"/>
      <c r="P27" s="400"/>
      <c r="Q27" s="400"/>
      <c r="R27" s="178"/>
    </row>
    <row r="28" spans="1:18" ht="15.75" customHeight="1">
      <c r="A28" s="681"/>
      <c r="B28" s="682"/>
      <c r="C28" s="204" t="s">
        <v>211</v>
      </c>
      <c r="D28" s="677"/>
      <c r="E28" s="678"/>
      <c r="F28" s="678"/>
      <c r="G28" s="200"/>
      <c r="H28" s="202"/>
      <c r="I28" s="203"/>
      <c r="J28" s="200"/>
      <c r="K28" s="677"/>
      <c r="L28" s="678"/>
      <c r="M28" s="189"/>
      <c r="N28" s="178"/>
      <c r="O28" s="178"/>
      <c r="P28" s="400"/>
      <c r="Q28" s="400"/>
      <c r="R28" s="178"/>
    </row>
    <row r="29" spans="1:18" ht="15.75" customHeight="1">
      <c r="A29" s="683" t="s">
        <v>698</v>
      </c>
      <c r="B29" s="683"/>
      <c r="C29" s="683"/>
      <c r="D29" s="683"/>
      <c r="E29" s="683"/>
      <c r="F29" s="683"/>
      <c r="G29" s="683"/>
      <c r="H29" s="683"/>
      <c r="I29" s="683"/>
      <c r="J29" s="683"/>
      <c r="K29" s="683"/>
      <c r="L29" s="683"/>
      <c r="M29" s="189"/>
    </row>
    <row r="30" spans="1:18" s="190" customFormat="1" ht="15.75" customHeight="1">
      <c r="A30" s="683"/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</row>
    <row r="31" spans="1:18" s="178" customFormat="1" ht="15.75" customHeight="1">
      <c r="A31" s="681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50000000000001" customHeight="1">
      <c r="A32" s="681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350</v>
      </c>
      <c r="G32" s="196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82" t="s">
        <v>188</v>
      </c>
      <c r="B33" s="682"/>
      <c r="C33" s="160" t="s">
        <v>47</v>
      </c>
      <c r="D33" s="682" t="s">
        <v>12</v>
      </c>
      <c r="E33" s="684"/>
      <c r="F33" s="684"/>
      <c r="G33" s="160" t="s">
        <v>46</v>
      </c>
      <c r="H33" s="160" t="s">
        <v>380</v>
      </c>
      <c r="I33" s="160" t="s">
        <v>381</v>
      </c>
      <c r="J33" s="160" t="s">
        <v>332</v>
      </c>
      <c r="K33" s="682" t="s">
        <v>51</v>
      </c>
      <c r="L33" s="684"/>
      <c r="M33" s="193"/>
      <c r="N33" s="189"/>
      <c r="P33" s="400"/>
      <c r="Q33" s="400"/>
    </row>
    <row r="34" spans="1:18" ht="15.75" customHeight="1">
      <c r="A34" s="681">
        <v>1</v>
      </c>
      <c r="B34" s="682" t="s">
        <v>382</v>
      </c>
      <c r="C34" s="200">
        <v>1</v>
      </c>
      <c r="D34" s="677" t="s">
        <v>442</v>
      </c>
      <c r="E34" s="678"/>
      <c r="F34" s="678"/>
      <c r="G34" s="200">
        <v>3</v>
      </c>
      <c r="H34" s="202">
        <v>3195.1266541956898</v>
      </c>
      <c r="I34" s="203">
        <v>1065.0422180652299</v>
      </c>
      <c r="J34" s="221">
        <f>I34-I8</f>
        <v>-0.89841477156460314</v>
      </c>
      <c r="K34" s="677" t="s">
        <v>435</v>
      </c>
      <c r="L34" s="678"/>
      <c r="N34" s="178"/>
      <c r="O34" s="178"/>
      <c r="P34" s="400"/>
      <c r="Q34" s="400"/>
      <c r="R34" s="178"/>
    </row>
    <row r="35" spans="1:18" ht="15.75" customHeight="1">
      <c r="A35" s="681"/>
      <c r="B35" s="682"/>
      <c r="C35" s="200">
        <v>2</v>
      </c>
      <c r="D35" s="677" t="s">
        <v>396</v>
      </c>
      <c r="E35" s="678"/>
      <c r="F35" s="678"/>
      <c r="G35" s="200">
        <v>3</v>
      </c>
      <c r="H35" s="202">
        <v>3185.0316216428901</v>
      </c>
      <c r="I35" s="203">
        <v>1061.6772072142969</v>
      </c>
      <c r="J35" s="221">
        <f>I35-I11</f>
        <v>0.53142857142825051</v>
      </c>
      <c r="K35" s="677" t="s">
        <v>435</v>
      </c>
      <c r="L35" s="678"/>
      <c r="N35" s="178"/>
      <c r="O35" s="178"/>
      <c r="P35" s="400"/>
      <c r="Q35" s="400"/>
      <c r="R35" s="178"/>
    </row>
    <row r="36" spans="1:18" ht="15.75" customHeight="1">
      <c r="A36" s="681"/>
      <c r="B36" s="682"/>
      <c r="C36" s="200">
        <v>3</v>
      </c>
      <c r="D36" s="677" t="s">
        <v>405</v>
      </c>
      <c r="E36" s="678"/>
      <c r="F36" s="678"/>
      <c r="G36" s="200">
        <v>3</v>
      </c>
      <c r="H36" s="202">
        <v>3184.0959132165954</v>
      </c>
      <c r="I36" s="203">
        <v>1061.365304405532</v>
      </c>
      <c r="J36" s="221">
        <f>I36-I9</f>
        <v>-0.5142857142855064</v>
      </c>
      <c r="K36" s="677" t="s">
        <v>435</v>
      </c>
      <c r="L36" s="678"/>
      <c r="N36" s="178"/>
      <c r="O36" s="178"/>
      <c r="P36" s="400"/>
      <c r="Q36" s="400"/>
      <c r="R36" s="178"/>
    </row>
    <row r="37" spans="1:18" ht="15.75" customHeight="1">
      <c r="A37" s="681"/>
      <c r="B37" s="682"/>
      <c r="C37" s="200">
        <v>4</v>
      </c>
      <c r="D37" s="677" t="s">
        <v>394</v>
      </c>
      <c r="E37" s="678"/>
      <c r="F37" s="678"/>
      <c r="G37" s="200">
        <v>3</v>
      </c>
      <c r="H37" s="202">
        <v>3182.2268578745707</v>
      </c>
      <c r="I37" s="203">
        <v>1060.7422859581902</v>
      </c>
      <c r="J37" s="221"/>
      <c r="K37" s="677" t="s">
        <v>435</v>
      </c>
      <c r="L37" s="678"/>
      <c r="N37" s="178"/>
      <c r="O37" s="178"/>
      <c r="P37" s="400"/>
      <c r="Q37" s="400"/>
      <c r="R37" s="178"/>
    </row>
    <row r="38" spans="1:18" ht="15.75" customHeight="1">
      <c r="A38" s="681"/>
      <c r="B38" s="682"/>
      <c r="C38" s="200">
        <v>5</v>
      </c>
      <c r="D38" s="677" t="s">
        <v>397</v>
      </c>
      <c r="E38" s="678"/>
      <c r="F38" s="678"/>
      <c r="G38" s="200">
        <v>3</v>
      </c>
      <c r="H38" s="202">
        <v>3181.7196190746367</v>
      </c>
      <c r="I38" s="203">
        <v>1060.5732063582122</v>
      </c>
      <c r="J38" s="221">
        <f t="shared" ref="J38:J43" si="0">I38-I12</f>
        <v>-0.49479388569238836</v>
      </c>
      <c r="K38" s="677" t="s">
        <v>435</v>
      </c>
      <c r="L38" s="678"/>
      <c r="O38" s="178"/>
      <c r="P38" s="400"/>
      <c r="Q38" s="400"/>
      <c r="R38" s="178"/>
    </row>
    <row r="39" spans="1:18" ht="15.75" customHeight="1">
      <c r="A39" s="681"/>
      <c r="B39" s="682"/>
      <c r="C39" s="204" t="s">
        <v>204</v>
      </c>
      <c r="D39" s="678" t="s">
        <v>515</v>
      </c>
      <c r="E39" s="678"/>
      <c r="F39" s="678"/>
      <c r="G39" s="201">
        <v>13</v>
      </c>
      <c r="H39" s="205">
        <v>3265.2302464763443</v>
      </c>
      <c r="I39" s="206">
        <v>251.17155742125721</v>
      </c>
      <c r="J39" s="221">
        <f t="shared" si="0"/>
        <v>0.18872941526865361</v>
      </c>
      <c r="K39" s="677" t="s">
        <v>435</v>
      </c>
      <c r="L39" s="678"/>
      <c r="N39" s="178"/>
      <c r="O39" s="178"/>
      <c r="P39" s="400"/>
      <c r="Q39" s="400"/>
      <c r="R39" s="178"/>
    </row>
    <row r="40" spans="1:18" ht="15.75" customHeight="1">
      <c r="A40" s="681"/>
      <c r="B40" s="682"/>
      <c r="C40" s="204" t="s">
        <v>209</v>
      </c>
      <c r="D40" s="678" t="s">
        <v>449</v>
      </c>
      <c r="E40" s="678"/>
      <c r="F40" s="678"/>
      <c r="G40" s="201">
        <v>12</v>
      </c>
      <c r="H40" s="205">
        <v>3119.7434433320341</v>
      </c>
      <c r="I40" s="206">
        <v>259.97862027766951</v>
      </c>
      <c r="J40" s="221">
        <f t="shared" si="0"/>
        <v>-0.3683228129739291</v>
      </c>
      <c r="K40" s="677" t="s">
        <v>435</v>
      </c>
      <c r="L40" s="678"/>
      <c r="N40" s="178"/>
      <c r="O40" s="178"/>
      <c r="P40" s="400"/>
      <c r="Q40" s="400"/>
      <c r="R40" s="178"/>
    </row>
    <row r="41" spans="1:18" ht="15.75" customHeight="1">
      <c r="A41" s="681"/>
      <c r="B41" s="682"/>
      <c r="C41" s="204" t="s">
        <v>205</v>
      </c>
      <c r="D41" s="678" t="s">
        <v>446</v>
      </c>
      <c r="E41" s="678"/>
      <c r="F41" s="678"/>
      <c r="G41" s="201">
        <v>12</v>
      </c>
      <c r="H41" s="205">
        <v>3121.3921984572107</v>
      </c>
      <c r="I41" s="206">
        <v>260.11601653810089</v>
      </c>
      <c r="J41" s="221">
        <f t="shared" si="0"/>
        <v>-0.39004071036731602</v>
      </c>
      <c r="K41" s="677" t="s">
        <v>435</v>
      </c>
      <c r="L41" s="678"/>
      <c r="N41" s="178"/>
      <c r="O41" s="178"/>
      <c r="P41" s="400"/>
      <c r="Q41" s="400"/>
      <c r="R41" s="178"/>
    </row>
    <row r="42" spans="1:18" ht="15.75" customHeight="1">
      <c r="A42" s="681"/>
      <c r="B42" s="682"/>
      <c r="C42" s="204" t="s">
        <v>210</v>
      </c>
      <c r="D42" s="678" t="s">
        <v>500</v>
      </c>
      <c r="E42" s="678"/>
      <c r="F42" s="678"/>
      <c r="G42" s="201">
        <v>12</v>
      </c>
      <c r="H42" s="205">
        <v>3265.3700018344566</v>
      </c>
      <c r="I42" s="206">
        <v>272.11416681953807</v>
      </c>
      <c r="J42" s="221">
        <f t="shared" si="0"/>
        <v>0.21469531019431543</v>
      </c>
      <c r="K42" s="677" t="s">
        <v>435</v>
      </c>
      <c r="L42" s="678"/>
      <c r="M42" s="189"/>
      <c r="N42" s="178"/>
      <c r="O42" s="178"/>
      <c r="P42" s="400"/>
      <c r="Q42" s="400"/>
      <c r="R42" s="178"/>
    </row>
    <row r="43" spans="1:18" ht="15.75" customHeight="1">
      <c r="A43" s="681"/>
      <c r="B43" s="682"/>
      <c r="C43" s="204" t="s">
        <v>211</v>
      </c>
      <c r="D43" s="678" t="s">
        <v>541</v>
      </c>
      <c r="E43" s="678"/>
      <c r="F43" s="678"/>
      <c r="G43" s="201">
        <v>5</v>
      </c>
      <c r="H43" s="205">
        <v>2689.2965354013172</v>
      </c>
      <c r="I43" s="206">
        <v>537.85930708026342</v>
      </c>
      <c r="J43" s="221">
        <f t="shared" si="0"/>
        <v>0.19458986916151844</v>
      </c>
      <c r="K43" s="677" t="s">
        <v>435</v>
      </c>
      <c r="L43" s="678"/>
      <c r="M43" s="189"/>
      <c r="N43" s="178"/>
      <c r="O43" s="178"/>
      <c r="P43" s="400"/>
      <c r="Q43" s="400"/>
      <c r="R43" s="178"/>
    </row>
    <row r="44" spans="1:18" s="199" customFormat="1" ht="15.75" customHeight="1">
      <c r="A44" s="679" t="s">
        <v>188</v>
      </c>
      <c r="B44" s="679"/>
      <c r="C44" s="207" t="s">
        <v>47</v>
      </c>
      <c r="D44" s="679" t="s">
        <v>12</v>
      </c>
      <c r="E44" s="680"/>
      <c r="F44" s="680"/>
      <c r="G44" s="207" t="s">
        <v>46</v>
      </c>
      <c r="H44" s="207" t="s">
        <v>380</v>
      </c>
      <c r="I44" s="207" t="s">
        <v>381</v>
      </c>
      <c r="J44" s="160" t="s">
        <v>332</v>
      </c>
      <c r="K44" s="679" t="s">
        <v>50</v>
      </c>
      <c r="L44" s="680"/>
      <c r="M44" s="208"/>
      <c r="N44" s="178"/>
      <c r="O44" s="178"/>
      <c r="P44" s="400"/>
      <c r="Q44" s="400"/>
      <c r="R44" s="178"/>
    </row>
    <row r="45" spans="1:18" ht="15.75" customHeight="1">
      <c r="A45" s="681">
        <v>2</v>
      </c>
      <c r="B45" s="682" t="s">
        <v>155</v>
      </c>
      <c r="C45" s="200">
        <v>1</v>
      </c>
      <c r="D45" s="677" t="s">
        <v>443</v>
      </c>
      <c r="E45" s="678"/>
      <c r="F45" s="678"/>
      <c r="G45" s="200">
        <v>6</v>
      </c>
      <c r="H45" s="202">
        <v>2345.2773065179695</v>
      </c>
      <c r="I45" s="203">
        <v>390.87955108632832</v>
      </c>
      <c r="J45" s="221">
        <f>I45-I20</f>
        <v>0.29813308631361224</v>
      </c>
      <c r="K45" s="677" t="s">
        <v>435</v>
      </c>
      <c r="L45" s="678"/>
      <c r="M45" s="189"/>
      <c r="N45" s="178"/>
      <c r="O45" s="178"/>
      <c r="P45" s="400"/>
      <c r="Q45" s="400"/>
      <c r="R45" s="178"/>
    </row>
    <row r="46" spans="1:18" ht="15.75" customHeight="1">
      <c r="A46" s="681"/>
      <c r="B46" s="682"/>
      <c r="C46" s="200">
        <v>2</v>
      </c>
      <c r="D46" s="677" t="s">
        <v>445</v>
      </c>
      <c r="E46" s="678"/>
      <c r="F46" s="678"/>
      <c r="G46" s="200">
        <v>6</v>
      </c>
      <c r="H46" s="202">
        <v>2345.1680905354974</v>
      </c>
      <c r="I46" s="203">
        <v>390.86134842258281</v>
      </c>
      <c r="J46" s="221">
        <f>I46-I19</f>
        <v>0.27772411099033434</v>
      </c>
      <c r="K46" s="677" t="s">
        <v>435</v>
      </c>
      <c r="L46" s="678"/>
      <c r="M46" s="189"/>
      <c r="N46" s="178"/>
      <c r="O46" s="178"/>
      <c r="P46" s="400"/>
      <c r="Q46" s="400"/>
      <c r="R46" s="178"/>
    </row>
    <row r="47" spans="1:18" ht="15.75" customHeight="1">
      <c r="A47" s="681"/>
      <c r="B47" s="682"/>
      <c r="C47" s="200">
        <v>3</v>
      </c>
      <c r="D47" s="677" t="s">
        <v>348</v>
      </c>
      <c r="E47" s="678"/>
      <c r="F47" s="678"/>
      <c r="G47" s="200">
        <v>10.428571428571429</v>
      </c>
      <c r="H47" s="202">
        <v>3185.544316431668</v>
      </c>
      <c r="I47" s="203">
        <v>306.14909757172609</v>
      </c>
      <c r="J47" s="221">
        <f>I47-I21</f>
        <v>16.792601272743525</v>
      </c>
      <c r="K47" s="677" t="s">
        <v>714</v>
      </c>
      <c r="L47" s="678"/>
      <c r="M47" s="189"/>
      <c r="N47" s="178"/>
      <c r="O47" s="178"/>
      <c r="P47" s="400"/>
      <c r="Q47" s="400"/>
      <c r="R47" s="178"/>
    </row>
    <row r="48" spans="1:18" ht="15.75" customHeight="1">
      <c r="A48" s="681"/>
      <c r="B48" s="682"/>
      <c r="C48" s="200">
        <v>4</v>
      </c>
      <c r="D48" s="677" t="s">
        <v>561</v>
      </c>
      <c r="E48" s="678"/>
      <c r="F48" s="678"/>
      <c r="G48" s="200">
        <v>11.428571428571429</v>
      </c>
      <c r="H48" s="202">
        <v>3157.6103023791502</v>
      </c>
      <c r="I48" s="203">
        <v>276.80099589501827</v>
      </c>
      <c r="J48" s="221">
        <f>I48-I23</f>
        <v>13.728039255342139</v>
      </c>
      <c r="K48" s="677" t="s">
        <v>714</v>
      </c>
      <c r="L48" s="678"/>
      <c r="M48" s="189"/>
      <c r="N48" s="178"/>
      <c r="O48" s="178"/>
      <c r="P48" s="400"/>
      <c r="Q48" s="400"/>
      <c r="R48" s="178"/>
    </row>
    <row r="49" spans="1:18" ht="15.75" customHeight="1">
      <c r="A49" s="681"/>
      <c r="B49" s="682"/>
      <c r="C49" s="200">
        <v>5</v>
      </c>
      <c r="D49" s="677" t="s">
        <v>562</v>
      </c>
      <c r="E49" s="678"/>
      <c r="F49" s="678"/>
      <c r="G49" s="200">
        <v>11.428571428571429</v>
      </c>
      <c r="H49" s="202">
        <v>3156.8292227639386</v>
      </c>
      <c r="I49" s="203">
        <v>276.73869524465175</v>
      </c>
      <c r="J49" s="221">
        <f>I49-I22</f>
        <v>13.570217665436815</v>
      </c>
      <c r="K49" s="677" t="s">
        <v>714</v>
      </c>
      <c r="L49" s="678"/>
      <c r="M49" s="189"/>
      <c r="N49" s="178"/>
      <c r="O49" s="178"/>
      <c r="P49" s="400"/>
      <c r="Q49" s="400"/>
      <c r="R49" s="178"/>
    </row>
    <row r="50" spans="1:18" ht="15.75" customHeight="1">
      <c r="A50" s="681"/>
      <c r="B50" s="682"/>
      <c r="C50" s="204" t="s">
        <v>204</v>
      </c>
      <c r="D50" s="677"/>
      <c r="E50" s="678"/>
      <c r="F50" s="678"/>
      <c r="G50" s="200"/>
      <c r="H50" s="202"/>
      <c r="I50" s="203"/>
      <c r="J50" s="200"/>
      <c r="K50" s="677"/>
      <c r="L50" s="678"/>
      <c r="M50" s="189"/>
      <c r="N50" s="178"/>
      <c r="O50" s="178"/>
      <c r="P50" s="400"/>
      <c r="Q50" s="400"/>
      <c r="R50" s="178"/>
    </row>
    <row r="51" spans="1:18" ht="15.75" customHeight="1">
      <c r="A51" s="681"/>
      <c r="B51" s="682"/>
      <c r="C51" s="204" t="s">
        <v>209</v>
      </c>
      <c r="D51" s="677"/>
      <c r="E51" s="678"/>
      <c r="F51" s="678"/>
      <c r="G51" s="200"/>
      <c r="H51" s="202"/>
      <c r="I51" s="203"/>
      <c r="J51" s="200"/>
      <c r="K51" s="677"/>
      <c r="L51" s="678"/>
      <c r="M51" s="189"/>
      <c r="N51" s="178"/>
      <c r="O51" s="178"/>
      <c r="P51" s="400"/>
      <c r="Q51" s="400"/>
      <c r="R51" s="178"/>
    </row>
    <row r="52" spans="1:18" ht="15.75" customHeight="1">
      <c r="A52" s="681"/>
      <c r="B52" s="682"/>
      <c r="C52" s="204" t="s">
        <v>205</v>
      </c>
      <c r="D52" s="677"/>
      <c r="E52" s="678"/>
      <c r="F52" s="678"/>
      <c r="G52" s="200"/>
      <c r="H52" s="202"/>
      <c r="I52" s="203"/>
      <c r="J52" s="200"/>
      <c r="K52" s="677"/>
      <c r="L52" s="678"/>
      <c r="M52" s="189"/>
      <c r="N52" s="178"/>
      <c r="O52" s="178"/>
      <c r="P52" s="400"/>
      <c r="Q52" s="400"/>
      <c r="R52" s="178"/>
    </row>
    <row r="53" spans="1:18" ht="15.75" customHeight="1">
      <c r="A53" s="681"/>
      <c r="B53" s="682"/>
      <c r="C53" s="204" t="s">
        <v>210</v>
      </c>
      <c r="D53" s="677"/>
      <c r="E53" s="678"/>
      <c r="F53" s="678"/>
      <c r="G53" s="200"/>
      <c r="H53" s="202"/>
      <c r="I53" s="203"/>
      <c r="J53" s="200"/>
      <c r="K53" s="677"/>
      <c r="L53" s="678"/>
      <c r="M53" s="189"/>
      <c r="N53" s="178"/>
      <c r="O53" s="178"/>
      <c r="P53" s="400"/>
      <c r="Q53" s="400"/>
      <c r="R53" s="178"/>
    </row>
    <row r="54" spans="1:18" ht="15.75" customHeight="1">
      <c r="A54" s="681"/>
      <c r="B54" s="682"/>
      <c r="C54" s="204" t="s">
        <v>211</v>
      </c>
      <c r="D54" s="677"/>
      <c r="E54" s="678"/>
      <c r="F54" s="678"/>
      <c r="G54" s="200"/>
      <c r="H54" s="202"/>
      <c r="I54" s="203"/>
      <c r="J54" s="200"/>
      <c r="K54" s="677"/>
      <c r="L54" s="678"/>
      <c r="M54" s="189"/>
      <c r="N54" s="178"/>
      <c r="O54" s="178"/>
      <c r="P54" s="400"/>
      <c r="Q54" s="400"/>
      <c r="R54" s="178"/>
    </row>
    <row r="55" spans="1:18" ht="15.75" customHeight="1">
      <c r="A55" s="683" t="s">
        <v>715</v>
      </c>
      <c r="B55" s="683"/>
      <c r="C55" s="683"/>
      <c r="D55" s="683"/>
      <c r="E55" s="683"/>
      <c r="F55" s="683"/>
      <c r="G55" s="683"/>
      <c r="H55" s="683"/>
      <c r="I55" s="683"/>
      <c r="J55" s="683"/>
      <c r="K55" s="683"/>
      <c r="L55" s="683"/>
      <c r="M55" s="189"/>
    </row>
    <row r="56" spans="1:18" s="190" customFormat="1" ht="15.75" customHeight="1">
      <c r="A56" s="683"/>
      <c r="B56" s="683"/>
      <c r="C56" s="683"/>
      <c r="D56" s="683"/>
      <c r="E56" s="683"/>
      <c r="F56" s="683"/>
      <c r="G56" s="683"/>
      <c r="H56" s="683"/>
      <c r="I56" s="683"/>
      <c r="J56" s="683"/>
      <c r="K56" s="683"/>
      <c r="L56" s="683"/>
    </row>
    <row r="57" spans="1:18" s="178" customFormat="1" ht="15.75" customHeight="1">
      <c r="A57" s="681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50000000000001" customHeight="1">
      <c r="A58" s="681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350</v>
      </c>
      <c r="G58" s="196" t="s">
        <v>136</v>
      </c>
      <c r="H58" s="197" t="s">
        <v>208</v>
      </c>
      <c r="I58" s="196" t="s">
        <v>379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82" t="s">
        <v>188</v>
      </c>
      <c r="B59" s="682"/>
      <c r="C59" s="160" t="s">
        <v>47</v>
      </c>
      <c r="D59" s="682" t="s">
        <v>12</v>
      </c>
      <c r="E59" s="684"/>
      <c r="F59" s="684"/>
      <c r="G59" s="160" t="s">
        <v>46</v>
      </c>
      <c r="H59" s="160" t="s">
        <v>380</v>
      </c>
      <c r="I59" s="160" t="s">
        <v>381</v>
      </c>
      <c r="J59" s="160" t="s">
        <v>332</v>
      </c>
      <c r="K59" s="682" t="s">
        <v>51</v>
      </c>
      <c r="L59" s="684"/>
      <c r="M59" s="193"/>
      <c r="N59" s="189"/>
      <c r="P59" s="400"/>
      <c r="Q59" s="400"/>
    </row>
    <row r="60" spans="1:18" ht="15.75" customHeight="1">
      <c r="A60" s="681">
        <v>1</v>
      </c>
      <c r="B60" s="682" t="s">
        <v>382</v>
      </c>
      <c r="C60" s="200">
        <v>1</v>
      </c>
      <c r="D60" s="677" t="s">
        <v>442</v>
      </c>
      <c r="E60" s="678"/>
      <c r="F60" s="678"/>
      <c r="G60" s="200">
        <v>3</v>
      </c>
      <c r="H60" s="202">
        <v>3190.5566364364886</v>
      </c>
      <c r="I60" s="203">
        <v>1063.5188788121627</v>
      </c>
      <c r="J60" s="221">
        <f>I60-I34</f>
        <v>-1.5233392530672063</v>
      </c>
      <c r="K60" s="677" t="s">
        <v>435</v>
      </c>
      <c r="L60" s="678"/>
      <c r="N60" s="178"/>
      <c r="O60" s="178"/>
      <c r="P60" s="400"/>
      <c r="Q60" s="400"/>
      <c r="R60" s="178"/>
    </row>
    <row r="61" spans="1:18" ht="15.75" customHeight="1">
      <c r="A61" s="681"/>
      <c r="B61" s="682"/>
      <c r="C61" s="200">
        <v>2</v>
      </c>
      <c r="D61" s="677" t="s">
        <v>404</v>
      </c>
      <c r="E61" s="678"/>
      <c r="F61" s="678"/>
      <c r="G61" s="200">
        <v>3</v>
      </c>
      <c r="H61" s="202">
        <v>3189.9389169443812</v>
      </c>
      <c r="I61" s="203">
        <v>1063.3129723147938</v>
      </c>
      <c r="J61" s="221"/>
      <c r="K61" s="677" t="s">
        <v>435</v>
      </c>
      <c r="L61" s="678"/>
      <c r="N61" s="178"/>
      <c r="O61" s="178"/>
      <c r="P61" s="400"/>
      <c r="Q61" s="400"/>
      <c r="R61" s="178"/>
    </row>
    <row r="62" spans="1:18" ht="15.75" customHeight="1">
      <c r="A62" s="681"/>
      <c r="B62" s="682"/>
      <c r="C62" s="200">
        <v>3</v>
      </c>
      <c r="D62" s="677" t="s">
        <v>396</v>
      </c>
      <c r="E62" s="678"/>
      <c r="F62" s="678"/>
      <c r="G62" s="200">
        <v>3</v>
      </c>
      <c r="H62" s="202">
        <v>3185.597335928604</v>
      </c>
      <c r="I62" s="203">
        <v>1061.865778642868</v>
      </c>
      <c r="J62" s="221">
        <f>I62-I35</f>
        <v>0.18857142857109466</v>
      </c>
      <c r="K62" s="677" t="s">
        <v>435</v>
      </c>
      <c r="L62" s="678"/>
      <c r="N62" s="178"/>
      <c r="O62" s="178"/>
      <c r="P62" s="400"/>
      <c r="Q62" s="400"/>
      <c r="R62" s="178"/>
    </row>
    <row r="63" spans="1:18" ht="15.75" customHeight="1">
      <c r="A63" s="681"/>
      <c r="B63" s="682"/>
      <c r="C63" s="200">
        <v>4</v>
      </c>
      <c r="D63" s="677" t="s">
        <v>394</v>
      </c>
      <c r="E63" s="678"/>
      <c r="F63" s="678"/>
      <c r="G63" s="200">
        <v>3</v>
      </c>
      <c r="H63" s="202">
        <v>3184.1811435888562</v>
      </c>
      <c r="I63" s="203">
        <v>1061.3937145296188</v>
      </c>
      <c r="J63" s="221">
        <f>I63-I37</f>
        <v>0.65142857142859611</v>
      </c>
      <c r="K63" s="677" t="s">
        <v>435</v>
      </c>
      <c r="L63" s="678"/>
      <c r="N63" s="178"/>
      <c r="O63" s="178"/>
      <c r="P63" s="400"/>
      <c r="Q63" s="400"/>
      <c r="R63" s="178"/>
    </row>
    <row r="64" spans="1:18" ht="15.75" customHeight="1">
      <c r="A64" s="681"/>
      <c r="B64" s="682"/>
      <c r="C64" s="200">
        <v>5</v>
      </c>
      <c r="D64" s="677" t="s">
        <v>405</v>
      </c>
      <c r="E64" s="678"/>
      <c r="F64" s="678"/>
      <c r="G64" s="200">
        <v>3</v>
      </c>
      <c r="H64" s="202">
        <v>3182.7073417880247</v>
      </c>
      <c r="I64" s="203">
        <v>1060.902447262675</v>
      </c>
      <c r="J64" s="221">
        <f>I64-I36</f>
        <v>-0.46285714285704671</v>
      </c>
      <c r="K64" s="677" t="s">
        <v>435</v>
      </c>
      <c r="L64" s="678"/>
      <c r="O64" s="178"/>
      <c r="P64" s="400"/>
      <c r="Q64" s="400"/>
      <c r="R64" s="178"/>
    </row>
    <row r="65" spans="1:18" ht="15.75" customHeight="1">
      <c r="A65" s="681"/>
      <c r="B65" s="682"/>
      <c r="C65" s="204" t="s">
        <v>204</v>
      </c>
      <c r="D65" s="678" t="s">
        <v>515</v>
      </c>
      <c r="E65" s="678"/>
      <c r="F65" s="678"/>
      <c r="G65" s="201">
        <v>13</v>
      </c>
      <c r="H65" s="205">
        <v>3263.4059824744231</v>
      </c>
      <c r="I65" s="206">
        <v>251.03122942110949</v>
      </c>
      <c r="J65" s="221">
        <f>I65-I39</f>
        <v>-0.14032800014771851</v>
      </c>
      <c r="K65" s="677" t="s">
        <v>435</v>
      </c>
      <c r="L65" s="678"/>
      <c r="N65" s="178"/>
      <c r="O65" s="178"/>
      <c r="P65" s="400"/>
      <c r="Q65" s="400"/>
      <c r="R65" s="178"/>
    </row>
    <row r="66" spans="1:18" ht="15.75" customHeight="1">
      <c r="A66" s="681"/>
      <c r="B66" s="682"/>
      <c r="C66" s="204" t="s">
        <v>209</v>
      </c>
      <c r="D66" s="678" t="s">
        <v>446</v>
      </c>
      <c r="E66" s="678"/>
      <c r="F66" s="678"/>
      <c r="G66" s="201">
        <v>12</v>
      </c>
      <c r="H66" s="205">
        <v>3117.3009404824916</v>
      </c>
      <c r="I66" s="206">
        <v>259.77507837354096</v>
      </c>
      <c r="J66" s="221">
        <f>I66-I41</f>
        <v>-0.34093816455992965</v>
      </c>
      <c r="K66" s="677" t="s">
        <v>435</v>
      </c>
      <c r="L66" s="678"/>
      <c r="N66" s="178"/>
      <c r="O66" s="178"/>
      <c r="P66" s="400"/>
      <c r="Q66" s="400"/>
      <c r="R66" s="178"/>
    </row>
    <row r="67" spans="1:18" ht="15.75" customHeight="1">
      <c r="A67" s="681"/>
      <c r="B67" s="682"/>
      <c r="C67" s="204" t="s">
        <v>205</v>
      </c>
      <c r="D67" s="678" t="s">
        <v>449</v>
      </c>
      <c r="E67" s="678"/>
      <c r="F67" s="678"/>
      <c r="G67" s="201">
        <v>12</v>
      </c>
      <c r="H67" s="205">
        <v>3117.3463941056543</v>
      </c>
      <c r="I67" s="206">
        <v>259.77886617547125</v>
      </c>
      <c r="J67" s="221">
        <f>I67-I40</f>
        <v>-0.19975410219825562</v>
      </c>
      <c r="K67" s="677" t="s">
        <v>435</v>
      </c>
      <c r="L67" s="678"/>
      <c r="N67" s="178"/>
      <c r="O67" s="178"/>
      <c r="P67" s="400"/>
      <c r="Q67" s="400"/>
      <c r="R67" s="178"/>
    </row>
    <row r="68" spans="1:18" ht="15.75" customHeight="1">
      <c r="A68" s="681"/>
      <c r="B68" s="682"/>
      <c r="C68" s="204" t="s">
        <v>210</v>
      </c>
      <c r="D68" s="678" t="s">
        <v>500</v>
      </c>
      <c r="E68" s="678"/>
      <c r="F68" s="678"/>
      <c r="G68" s="201">
        <v>12</v>
      </c>
      <c r="H68" s="205">
        <v>3263.5130428167058</v>
      </c>
      <c r="I68" s="206">
        <v>271.95942023472543</v>
      </c>
      <c r="J68" s="221">
        <f>I68-I42</f>
        <v>-0.15474658481264214</v>
      </c>
      <c r="K68" s="677" t="s">
        <v>435</v>
      </c>
      <c r="L68" s="678"/>
      <c r="M68" s="189"/>
      <c r="N68" s="178"/>
      <c r="O68" s="178"/>
      <c r="P68" s="400"/>
      <c r="Q68" s="400"/>
      <c r="R68" s="178"/>
    </row>
    <row r="69" spans="1:18" ht="15.75" customHeight="1">
      <c r="A69" s="681"/>
      <c r="B69" s="682"/>
      <c r="C69" s="204" t="s">
        <v>211</v>
      </c>
      <c r="D69" s="678" t="s">
        <v>541</v>
      </c>
      <c r="E69" s="678"/>
      <c r="F69" s="678"/>
      <c r="G69" s="201">
        <v>5</v>
      </c>
      <c r="H69" s="205">
        <v>2703.5917481826264</v>
      </c>
      <c r="I69" s="206">
        <v>540.7183496365252</v>
      </c>
      <c r="J69" s="221">
        <f>I69-I43</f>
        <v>2.8590425562617838</v>
      </c>
      <c r="K69" s="677" t="s">
        <v>435</v>
      </c>
      <c r="L69" s="678"/>
      <c r="M69" s="189"/>
      <c r="N69" s="178"/>
      <c r="O69" s="178"/>
      <c r="P69" s="400"/>
      <c r="Q69" s="400"/>
      <c r="R69" s="178"/>
    </row>
    <row r="70" spans="1:18" s="199" customFormat="1" ht="15.75" customHeight="1">
      <c r="A70" s="679" t="s">
        <v>188</v>
      </c>
      <c r="B70" s="679"/>
      <c r="C70" s="207" t="s">
        <v>47</v>
      </c>
      <c r="D70" s="679" t="s">
        <v>12</v>
      </c>
      <c r="E70" s="680"/>
      <c r="F70" s="680"/>
      <c r="G70" s="207" t="s">
        <v>46</v>
      </c>
      <c r="H70" s="207" t="s">
        <v>380</v>
      </c>
      <c r="I70" s="207" t="s">
        <v>381</v>
      </c>
      <c r="J70" s="160" t="s">
        <v>332</v>
      </c>
      <c r="K70" s="679" t="s">
        <v>50</v>
      </c>
      <c r="L70" s="680"/>
      <c r="M70" s="208"/>
      <c r="N70" s="178"/>
      <c r="O70" s="178"/>
      <c r="P70" s="400"/>
      <c r="Q70" s="400"/>
      <c r="R70" s="178"/>
    </row>
    <row r="71" spans="1:18" ht="15.75" customHeight="1">
      <c r="A71" s="681">
        <v>2</v>
      </c>
      <c r="B71" s="682" t="s">
        <v>155</v>
      </c>
      <c r="C71" s="200">
        <v>1</v>
      </c>
      <c r="D71" s="677" t="s">
        <v>348</v>
      </c>
      <c r="E71" s="678"/>
      <c r="F71" s="678"/>
      <c r="G71" s="200">
        <v>10</v>
      </c>
      <c r="H71" s="202">
        <v>3189.4718563459323</v>
      </c>
      <c r="I71" s="203">
        <v>318.94718563459321</v>
      </c>
      <c r="J71" s="221">
        <f>I71-I47</f>
        <v>12.798088062867123</v>
      </c>
      <c r="K71" s="677" t="s">
        <v>435</v>
      </c>
      <c r="L71" s="678"/>
      <c r="M71" s="189"/>
      <c r="N71" s="178"/>
      <c r="O71" s="178"/>
      <c r="P71" s="400"/>
      <c r="Q71" s="400"/>
      <c r="R71" s="178"/>
    </row>
    <row r="72" spans="1:18" ht="15.75" customHeight="1">
      <c r="A72" s="681"/>
      <c r="B72" s="682"/>
      <c r="C72" s="200">
        <v>2</v>
      </c>
      <c r="D72" s="677" t="s">
        <v>562</v>
      </c>
      <c r="E72" s="678"/>
      <c r="F72" s="678"/>
      <c r="G72" s="200">
        <v>11</v>
      </c>
      <c r="H72" s="202">
        <v>3156.7571392925929</v>
      </c>
      <c r="I72" s="203">
        <v>286.97792175387207</v>
      </c>
      <c r="J72" s="221">
        <f>I72-I49</f>
        <v>10.239226509220316</v>
      </c>
      <c r="K72" s="677" t="s">
        <v>435</v>
      </c>
      <c r="L72" s="678"/>
      <c r="M72" s="189"/>
      <c r="N72" s="178"/>
      <c r="O72" s="178"/>
      <c r="P72" s="400"/>
      <c r="Q72" s="400"/>
      <c r="R72" s="178"/>
    </row>
    <row r="73" spans="1:18" ht="15.75" customHeight="1">
      <c r="A73" s="681"/>
      <c r="B73" s="682"/>
      <c r="C73" s="200">
        <v>3</v>
      </c>
      <c r="D73" s="677" t="s">
        <v>561</v>
      </c>
      <c r="E73" s="678"/>
      <c r="F73" s="678"/>
      <c r="G73" s="200">
        <v>11</v>
      </c>
      <c r="H73" s="202">
        <v>3156.2170075261929</v>
      </c>
      <c r="I73" s="203">
        <v>286.92881886601754</v>
      </c>
      <c r="J73" s="221">
        <f>I73-I48</f>
        <v>10.127822970999262</v>
      </c>
      <c r="K73" s="677" t="s">
        <v>435</v>
      </c>
      <c r="L73" s="678"/>
      <c r="M73" s="189"/>
      <c r="N73" s="178"/>
      <c r="O73" s="178"/>
      <c r="P73" s="400"/>
      <c r="Q73" s="400"/>
      <c r="R73" s="178"/>
    </row>
    <row r="74" spans="1:18" ht="15.75" customHeight="1">
      <c r="A74" s="681"/>
      <c r="B74" s="682"/>
      <c r="C74" s="200">
        <v>4</v>
      </c>
      <c r="D74" s="677"/>
      <c r="E74" s="678"/>
      <c r="F74" s="678"/>
      <c r="G74" s="200"/>
      <c r="H74" s="202"/>
      <c r="I74" s="203"/>
      <c r="J74" s="221"/>
      <c r="K74" s="677"/>
      <c r="L74" s="678"/>
      <c r="M74" s="189"/>
      <c r="N74" s="178"/>
      <c r="O74" s="178"/>
      <c r="P74" s="400"/>
      <c r="Q74" s="400"/>
      <c r="R74" s="178"/>
    </row>
    <row r="75" spans="1:18" ht="15.75" customHeight="1">
      <c r="A75" s="681"/>
      <c r="B75" s="682"/>
      <c r="C75" s="200">
        <v>5</v>
      </c>
      <c r="D75" s="677"/>
      <c r="E75" s="678"/>
      <c r="F75" s="678"/>
      <c r="G75" s="200"/>
      <c r="H75" s="202"/>
      <c r="I75" s="203"/>
      <c r="J75" s="221"/>
      <c r="K75" s="677"/>
      <c r="L75" s="678"/>
      <c r="M75" s="189"/>
      <c r="N75" s="178"/>
      <c r="O75" s="178"/>
      <c r="P75" s="400"/>
      <c r="Q75" s="400"/>
      <c r="R75" s="178"/>
    </row>
    <row r="76" spans="1:18" ht="15.75" customHeight="1">
      <c r="A76" s="681"/>
      <c r="B76" s="682"/>
      <c r="C76" s="204" t="s">
        <v>204</v>
      </c>
      <c r="D76" s="677"/>
      <c r="E76" s="678"/>
      <c r="F76" s="678"/>
      <c r="G76" s="200"/>
      <c r="H76" s="202"/>
      <c r="I76" s="203"/>
      <c r="J76" s="200"/>
      <c r="K76" s="677"/>
      <c r="L76" s="678"/>
      <c r="M76" s="189"/>
      <c r="N76" s="178"/>
      <c r="O76" s="178"/>
      <c r="P76" s="400"/>
      <c r="Q76" s="400"/>
      <c r="R76" s="178"/>
    </row>
    <row r="77" spans="1:18" ht="15.75" customHeight="1">
      <c r="A77" s="681"/>
      <c r="B77" s="682"/>
      <c r="C77" s="204" t="s">
        <v>209</v>
      </c>
      <c r="D77" s="677"/>
      <c r="E77" s="678"/>
      <c r="F77" s="678"/>
      <c r="G77" s="200"/>
      <c r="H77" s="202"/>
      <c r="I77" s="203"/>
      <c r="J77" s="200"/>
      <c r="K77" s="677"/>
      <c r="L77" s="678"/>
      <c r="M77" s="189"/>
      <c r="N77" s="178"/>
      <c r="O77" s="178"/>
      <c r="P77" s="400"/>
      <c r="Q77" s="400"/>
      <c r="R77" s="178"/>
    </row>
    <row r="78" spans="1:18" ht="15.75" customHeight="1">
      <c r="A78" s="681"/>
      <c r="B78" s="682"/>
      <c r="C78" s="204" t="s">
        <v>205</v>
      </c>
      <c r="D78" s="677"/>
      <c r="E78" s="678"/>
      <c r="F78" s="678"/>
      <c r="G78" s="200"/>
      <c r="H78" s="202"/>
      <c r="I78" s="203"/>
      <c r="J78" s="200"/>
      <c r="K78" s="677"/>
      <c r="L78" s="678"/>
      <c r="M78" s="189"/>
      <c r="N78" s="178"/>
      <c r="O78" s="178"/>
      <c r="P78" s="400"/>
      <c r="Q78" s="400"/>
      <c r="R78" s="178"/>
    </row>
    <row r="79" spans="1:18" ht="15.75" customHeight="1">
      <c r="A79" s="681"/>
      <c r="B79" s="682"/>
      <c r="C79" s="204" t="s">
        <v>210</v>
      </c>
      <c r="D79" s="677"/>
      <c r="E79" s="678"/>
      <c r="F79" s="678"/>
      <c r="G79" s="200"/>
      <c r="H79" s="202"/>
      <c r="I79" s="203"/>
      <c r="J79" s="200"/>
      <c r="K79" s="677"/>
      <c r="L79" s="678"/>
      <c r="M79" s="189"/>
      <c r="N79" s="178"/>
      <c r="O79" s="178"/>
      <c r="P79" s="400"/>
      <c r="Q79" s="400"/>
      <c r="R79" s="178"/>
    </row>
    <row r="80" spans="1:18" ht="15.75" customHeight="1">
      <c r="A80" s="681"/>
      <c r="B80" s="682"/>
      <c r="C80" s="204" t="s">
        <v>211</v>
      </c>
      <c r="D80" s="677"/>
      <c r="E80" s="678"/>
      <c r="F80" s="678"/>
      <c r="G80" s="200"/>
      <c r="H80" s="202"/>
      <c r="I80" s="203"/>
      <c r="J80" s="200"/>
      <c r="K80" s="677"/>
      <c r="L80" s="678"/>
      <c r="M80" s="189"/>
      <c r="N80" s="178"/>
      <c r="O80" s="178"/>
      <c r="P80" s="400"/>
      <c r="Q80" s="400"/>
      <c r="R80" s="178"/>
    </row>
    <row r="81" spans="1:18" ht="15.75" customHeight="1">
      <c r="A81" s="683" t="s">
        <v>781</v>
      </c>
      <c r="B81" s="683"/>
      <c r="C81" s="683"/>
      <c r="D81" s="683"/>
      <c r="E81" s="683"/>
      <c r="F81" s="683"/>
      <c r="G81" s="683"/>
      <c r="H81" s="683"/>
      <c r="I81" s="683"/>
      <c r="J81" s="683"/>
      <c r="K81" s="683"/>
      <c r="L81" s="683"/>
      <c r="M81" s="189"/>
    </row>
    <row r="82" spans="1:18" s="190" customFormat="1" ht="15.75" customHeight="1">
      <c r="A82" s="683"/>
      <c r="B82" s="683"/>
      <c r="C82" s="683"/>
      <c r="D82" s="683"/>
      <c r="E82" s="683"/>
      <c r="F82" s="683"/>
      <c r="G82" s="683"/>
      <c r="H82" s="683"/>
      <c r="I82" s="683"/>
      <c r="J82" s="683"/>
      <c r="K82" s="683"/>
      <c r="L82" s="683"/>
    </row>
    <row r="83" spans="1:18" s="178" customFormat="1" ht="15.75" customHeight="1">
      <c r="A83" s="681" t="s">
        <v>162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50000000000001" customHeight="1">
      <c r="A84" s="681"/>
      <c r="B84" s="194" t="s">
        <v>206</v>
      </c>
      <c r="C84" s="194" t="s">
        <v>155</v>
      </c>
      <c r="D84" s="195" t="s">
        <v>207</v>
      </c>
      <c r="E84" s="195" t="s">
        <v>156</v>
      </c>
      <c r="F84" s="195" t="s">
        <v>350</v>
      </c>
      <c r="G84" s="196" t="s">
        <v>136</v>
      </c>
      <c r="H84" s="197" t="s">
        <v>208</v>
      </c>
      <c r="I84" s="196" t="s">
        <v>379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82" t="s">
        <v>188</v>
      </c>
      <c r="B85" s="682"/>
      <c r="C85" s="160" t="s">
        <v>47</v>
      </c>
      <c r="D85" s="682" t="s">
        <v>12</v>
      </c>
      <c r="E85" s="684"/>
      <c r="F85" s="684"/>
      <c r="G85" s="160" t="s">
        <v>46</v>
      </c>
      <c r="H85" s="160" t="s">
        <v>380</v>
      </c>
      <c r="I85" s="160" t="s">
        <v>381</v>
      </c>
      <c r="J85" s="160" t="s">
        <v>332</v>
      </c>
      <c r="K85" s="682" t="s">
        <v>51</v>
      </c>
      <c r="L85" s="684"/>
      <c r="M85" s="193"/>
      <c r="N85" s="189"/>
      <c r="P85" s="400"/>
      <c r="Q85" s="400"/>
    </row>
    <row r="86" spans="1:18" ht="15.75" customHeight="1">
      <c r="A86" s="681">
        <v>1</v>
      </c>
      <c r="B86" s="682" t="s">
        <v>382</v>
      </c>
      <c r="C86" s="200">
        <v>1</v>
      </c>
      <c r="D86" s="677" t="s">
        <v>442</v>
      </c>
      <c r="E86" s="678"/>
      <c r="F86" s="678"/>
      <c r="G86" s="200">
        <v>3</v>
      </c>
      <c r="H86" s="202">
        <v>3194.3109221507757</v>
      </c>
      <c r="I86" s="203">
        <v>1064.7703073835919</v>
      </c>
      <c r="J86" s="221">
        <f>I86-I60</f>
        <v>1.2514285714291873</v>
      </c>
      <c r="K86" s="677"/>
      <c r="L86" s="678"/>
      <c r="N86" s="178"/>
      <c r="O86" s="178"/>
      <c r="P86" s="400"/>
      <c r="Q86" s="400"/>
      <c r="R86" s="178"/>
    </row>
    <row r="87" spans="1:18" ht="15.75" customHeight="1">
      <c r="A87" s="681"/>
      <c r="B87" s="682"/>
      <c r="C87" s="200">
        <v>2</v>
      </c>
      <c r="D87" s="677" t="s">
        <v>404</v>
      </c>
      <c r="E87" s="678"/>
      <c r="F87" s="678"/>
      <c r="G87" s="200">
        <v>3</v>
      </c>
      <c r="H87" s="202">
        <v>3189.527488372953</v>
      </c>
      <c r="I87" s="203">
        <v>1063.1758294576509</v>
      </c>
      <c r="J87" s="221">
        <f>I87-I61</f>
        <v>-0.13714285714286234</v>
      </c>
      <c r="K87" s="677"/>
      <c r="L87" s="678"/>
      <c r="N87" s="178"/>
      <c r="O87" s="178"/>
      <c r="P87" s="400"/>
      <c r="Q87" s="400"/>
      <c r="R87" s="178"/>
    </row>
    <row r="88" spans="1:18" ht="15.75" customHeight="1">
      <c r="A88" s="681"/>
      <c r="B88" s="682"/>
      <c r="C88" s="200">
        <v>3</v>
      </c>
      <c r="D88" s="677" t="s">
        <v>396</v>
      </c>
      <c r="E88" s="678"/>
      <c r="F88" s="678"/>
      <c r="G88" s="200">
        <v>3</v>
      </c>
      <c r="H88" s="202">
        <v>3189.3516216428884</v>
      </c>
      <c r="I88" s="203">
        <v>1063.1172072142963</v>
      </c>
      <c r="J88" s="221">
        <f>I88-I62</f>
        <v>1.2514285714282778</v>
      </c>
      <c r="K88" s="677"/>
      <c r="L88" s="678"/>
      <c r="N88" s="178"/>
      <c r="O88" s="178"/>
      <c r="P88" s="400"/>
      <c r="Q88" s="400"/>
      <c r="R88" s="178"/>
    </row>
    <row r="89" spans="1:18" ht="15.75" customHeight="1">
      <c r="A89" s="681"/>
      <c r="B89" s="682"/>
      <c r="C89" s="200">
        <v>4</v>
      </c>
      <c r="D89" s="677" t="s">
        <v>394</v>
      </c>
      <c r="E89" s="678"/>
      <c r="F89" s="678"/>
      <c r="G89" s="200">
        <v>3</v>
      </c>
      <c r="H89" s="202">
        <v>3188.8611435888583</v>
      </c>
      <c r="I89" s="203">
        <v>1062.9537145296192</v>
      </c>
      <c r="J89" s="221">
        <f>I89-I63</f>
        <v>1.5600000000004002</v>
      </c>
      <c r="K89" s="677"/>
      <c r="L89" s="678"/>
      <c r="N89" s="178"/>
      <c r="O89" s="178"/>
      <c r="P89" s="400"/>
      <c r="Q89" s="400"/>
      <c r="R89" s="178"/>
    </row>
    <row r="90" spans="1:18" ht="15.75" customHeight="1">
      <c r="A90" s="681"/>
      <c r="B90" s="682"/>
      <c r="C90" s="200">
        <v>5</v>
      </c>
      <c r="D90" s="677" t="s">
        <v>397</v>
      </c>
      <c r="E90" s="678"/>
      <c r="F90" s="678"/>
      <c r="G90" s="200">
        <v>3</v>
      </c>
      <c r="H90" s="202">
        <v>3184.9811398588567</v>
      </c>
      <c r="I90" s="203">
        <v>1061.6603799529521</v>
      </c>
      <c r="J90" s="221"/>
      <c r="K90" s="677"/>
      <c r="L90" s="678"/>
      <c r="O90" s="178"/>
      <c r="P90" s="400"/>
      <c r="Q90" s="400"/>
      <c r="R90" s="178"/>
    </row>
    <row r="91" spans="1:18" ht="15.75" customHeight="1">
      <c r="A91" s="681"/>
      <c r="B91" s="682"/>
      <c r="C91" s="204" t="s">
        <v>204</v>
      </c>
      <c r="D91" s="678" t="s">
        <v>515</v>
      </c>
      <c r="E91" s="678"/>
      <c r="F91" s="678"/>
      <c r="G91" s="201">
        <v>13</v>
      </c>
      <c r="H91" s="205">
        <v>3262.4357461978507</v>
      </c>
      <c r="I91" s="206">
        <v>250.95659586137313</v>
      </c>
      <c r="J91" s="221">
        <f>I91-I65</f>
        <v>-7.4633559736355437E-2</v>
      </c>
      <c r="K91" s="677"/>
      <c r="L91" s="678"/>
      <c r="N91" s="178"/>
      <c r="O91" s="178"/>
      <c r="P91" s="400"/>
      <c r="Q91" s="400"/>
      <c r="R91" s="178"/>
    </row>
    <row r="92" spans="1:18" ht="15.75" customHeight="1">
      <c r="A92" s="681"/>
      <c r="B92" s="682"/>
      <c r="C92" s="204" t="s">
        <v>209</v>
      </c>
      <c r="D92" s="678" t="s">
        <v>449</v>
      </c>
      <c r="E92" s="678"/>
      <c r="F92" s="678"/>
      <c r="G92" s="201">
        <v>12</v>
      </c>
      <c r="H92" s="205">
        <v>3116.8149394803595</v>
      </c>
      <c r="I92" s="206">
        <v>259.73457829003002</v>
      </c>
      <c r="J92" s="221">
        <f>I92-I67</f>
        <v>-4.428788544123563E-2</v>
      </c>
      <c r="K92" s="677"/>
      <c r="L92" s="678"/>
      <c r="N92" s="178"/>
      <c r="O92" s="178"/>
      <c r="P92" s="400"/>
      <c r="Q92" s="400"/>
      <c r="R92" s="178"/>
    </row>
    <row r="93" spans="1:18" ht="15.75" customHeight="1">
      <c r="A93" s="681"/>
      <c r="B93" s="682"/>
      <c r="C93" s="204" t="s">
        <v>205</v>
      </c>
      <c r="D93" s="678" t="s">
        <v>446</v>
      </c>
      <c r="E93" s="678"/>
      <c r="F93" s="678"/>
      <c r="G93" s="201">
        <v>12</v>
      </c>
      <c r="H93" s="205">
        <v>3117.5743576454993</v>
      </c>
      <c r="I93" s="206">
        <v>259.79786313712492</v>
      </c>
      <c r="J93" s="221">
        <f>I93-I66</f>
        <v>2.2784763583956646E-2</v>
      </c>
      <c r="K93" s="677"/>
      <c r="L93" s="678"/>
      <c r="N93" s="178"/>
      <c r="O93" s="178"/>
      <c r="P93" s="400"/>
      <c r="Q93" s="400"/>
      <c r="R93" s="178"/>
    </row>
    <row r="94" spans="1:18" ht="15.75" customHeight="1">
      <c r="A94" s="681"/>
      <c r="B94" s="682"/>
      <c r="C94" s="204" t="s">
        <v>210</v>
      </c>
      <c r="D94" s="678" t="s">
        <v>500</v>
      </c>
      <c r="E94" s="678"/>
      <c r="F94" s="678"/>
      <c r="G94" s="201">
        <v>12</v>
      </c>
      <c r="H94" s="205">
        <v>3261.9541458530634</v>
      </c>
      <c r="I94" s="206">
        <v>271.82951215442193</v>
      </c>
      <c r="J94" s="221">
        <f>I94-I68</f>
        <v>-0.12990808030349399</v>
      </c>
      <c r="K94" s="677"/>
      <c r="L94" s="678"/>
      <c r="M94" s="189"/>
      <c r="N94" s="178"/>
      <c r="O94" s="178"/>
      <c r="P94" s="400"/>
      <c r="Q94" s="400"/>
      <c r="R94" s="178"/>
    </row>
    <row r="95" spans="1:18" ht="15.75" customHeight="1">
      <c r="A95" s="681"/>
      <c r="B95" s="682"/>
      <c r="C95" s="204" t="s">
        <v>211</v>
      </c>
      <c r="D95" s="678" t="s">
        <v>541</v>
      </c>
      <c r="E95" s="678"/>
      <c r="F95" s="678"/>
      <c r="G95" s="201">
        <v>5</v>
      </c>
      <c r="H95" s="205">
        <v>2706.463176754055</v>
      </c>
      <c r="I95" s="206">
        <v>541.29263535081111</v>
      </c>
      <c r="J95" s="221">
        <f>I95-I69</f>
        <v>0.57428571428590658</v>
      </c>
      <c r="K95" s="677"/>
      <c r="L95" s="678"/>
      <c r="M95" s="189"/>
      <c r="N95" s="178"/>
      <c r="O95" s="178"/>
      <c r="P95" s="400"/>
      <c r="Q95" s="400"/>
      <c r="R95" s="178"/>
    </row>
    <row r="96" spans="1:18" s="199" customFormat="1" ht="15.75" customHeight="1">
      <c r="A96" s="679" t="s">
        <v>188</v>
      </c>
      <c r="B96" s="679"/>
      <c r="C96" s="207" t="s">
        <v>47</v>
      </c>
      <c r="D96" s="679" t="s">
        <v>12</v>
      </c>
      <c r="E96" s="680"/>
      <c r="F96" s="680"/>
      <c r="G96" s="207" t="s">
        <v>46</v>
      </c>
      <c r="H96" s="207" t="s">
        <v>380</v>
      </c>
      <c r="I96" s="207" t="s">
        <v>381</v>
      </c>
      <c r="J96" s="160" t="s">
        <v>332</v>
      </c>
      <c r="K96" s="679" t="s">
        <v>50</v>
      </c>
      <c r="L96" s="680"/>
      <c r="M96" s="208"/>
      <c r="N96" s="178"/>
      <c r="O96" s="178"/>
      <c r="P96" s="400"/>
      <c r="Q96" s="400"/>
      <c r="R96" s="178"/>
    </row>
    <row r="97" spans="1:18" ht="15.75" customHeight="1">
      <c r="A97" s="681">
        <v>2</v>
      </c>
      <c r="B97" s="682" t="s">
        <v>155</v>
      </c>
      <c r="C97" s="200">
        <v>1</v>
      </c>
      <c r="D97" s="677" t="s">
        <v>348</v>
      </c>
      <c r="E97" s="678"/>
      <c r="F97" s="678"/>
      <c r="G97" s="200">
        <v>10</v>
      </c>
      <c r="H97" s="202">
        <v>3195.0255562299062</v>
      </c>
      <c r="I97" s="203">
        <v>319.50255562299066</v>
      </c>
      <c r="J97" s="221">
        <f>I97-I71</f>
        <v>0.55536998839744456</v>
      </c>
      <c r="K97" s="677"/>
      <c r="L97" s="678"/>
      <c r="M97" s="189"/>
      <c r="N97" s="178"/>
      <c r="O97" s="178"/>
      <c r="P97" s="400"/>
      <c r="Q97" s="400"/>
      <c r="R97" s="178"/>
    </row>
    <row r="98" spans="1:18" ht="15.75" customHeight="1">
      <c r="A98" s="681"/>
      <c r="B98" s="682"/>
      <c r="C98" s="200">
        <v>2</v>
      </c>
      <c r="D98" s="677" t="s">
        <v>562</v>
      </c>
      <c r="E98" s="678"/>
      <c r="F98" s="678"/>
      <c r="G98" s="200">
        <v>11</v>
      </c>
      <c r="H98" s="202">
        <v>3152.452166624309</v>
      </c>
      <c r="I98" s="203">
        <v>286.58656060220989</v>
      </c>
      <c r="J98" s="221">
        <f>I98-I72</f>
        <v>-0.39136115166218133</v>
      </c>
      <c r="K98" s="677"/>
      <c r="L98" s="678"/>
      <c r="M98" s="189"/>
      <c r="N98" s="178"/>
      <c r="O98" s="178"/>
      <c r="P98" s="400"/>
      <c r="Q98" s="400"/>
      <c r="R98" s="178"/>
    </row>
    <row r="99" spans="1:18" ht="15.75" customHeight="1">
      <c r="A99" s="681"/>
      <c r="B99" s="682"/>
      <c r="C99" s="200">
        <v>3</v>
      </c>
      <c r="D99" s="677" t="s">
        <v>561</v>
      </c>
      <c r="E99" s="678"/>
      <c r="F99" s="678"/>
      <c r="G99" s="200">
        <v>11</v>
      </c>
      <c r="H99" s="202">
        <v>3152.2208471139197</v>
      </c>
      <c r="I99" s="203">
        <v>286.56553155581088</v>
      </c>
      <c r="J99" s="221">
        <f>I99-I73</f>
        <v>-0.36328731020665828</v>
      </c>
      <c r="K99" s="677"/>
      <c r="L99" s="678"/>
      <c r="M99" s="189"/>
      <c r="N99" s="178"/>
      <c r="O99" s="178"/>
      <c r="P99" s="400"/>
      <c r="Q99" s="400"/>
      <c r="R99" s="178"/>
    </row>
    <row r="100" spans="1:18" ht="15.75" customHeight="1">
      <c r="A100" s="681"/>
      <c r="B100" s="682"/>
      <c r="C100" s="200">
        <v>4</v>
      </c>
      <c r="D100" s="677"/>
      <c r="E100" s="678"/>
      <c r="F100" s="678"/>
      <c r="G100" s="200"/>
      <c r="H100" s="202"/>
      <c r="I100" s="203"/>
      <c r="J100" s="221"/>
      <c r="K100" s="677"/>
      <c r="L100" s="678"/>
      <c r="M100" s="189"/>
      <c r="N100" s="178"/>
      <c r="O100" s="178"/>
      <c r="P100" s="400"/>
      <c r="Q100" s="400"/>
      <c r="R100" s="178"/>
    </row>
    <row r="101" spans="1:18" ht="15.75" customHeight="1">
      <c r="A101" s="681"/>
      <c r="B101" s="682"/>
      <c r="C101" s="200">
        <v>5</v>
      </c>
      <c r="D101" s="677"/>
      <c r="E101" s="678"/>
      <c r="F101" s="678"/>
      <c r="G101" s="200"/>
      <c r="H101" s="202"/>
      <c r="I101" s="203"/>
      <c r="J101" s="221"/>
      <c r="K101" s="677"/>
      <c r="L101" s="678"/>
      <c r="M101" s="189"/>
      <c r="N101" s="178"/>
      <c r="O101" s="178"/>
      <c r="P101" s="400"/>
      <c r="Q101" s="400"/>
      <c r="R101" s="178"/>
    </row>
    <row r="102" spans="1:18" ht="15.75" customHeight="1">
      <c r="A102" s="681"/>
      <c r="B102" s="682"/>
      <c r="C102" s="204" t="s">
        <v>204</v>
      </c>
      <c r="D102" s="677"/>
      <c r="E102" s="678"/>
      <c r="F102" s="678"/>
      <c r="G102" s="200"/>
      <c r="H102" s="202"/>
      <c r="I102" s="203"/>
      <c r="J102" s="200"/>
      <c r="K102" s="677"/>
      <c r="L102" s="678"/>
      <c r="M102" s="189"/>
      <c r="N102" s="178"/>
      <c r="O102" s="178"/>
      <c r="P102" s="400"/>
      <c r="Q102" s="400"/>
      <c r="R102" s="178"/>
    </row>
    <row r="103" spans="1:18" ht="15.75" customHeight="1">
      <c r="A103" s="681"/>
      <c r="B103" s="682"/>
      <c r="C103" s="204" t="s">
        <v>209</v>
      </c>
      <c r="D103" s="677"/>
      <c r="E103" s="678"/>
      <c r="F103" s="678"/>
      <c r="G103" s="200"/>
      <c r="H103" s="202"/>
      <c r="I103" s="203"/>
      <c r="J103" s="200"/>
      <c r="K103" s="677"/>
      <c r="L103" s="678"/>
      <c r="M103" s="189"/>
      <c r="N103" s="178"/>
      <c r="O103" s="178"/>
      <c r="P103" s="400"/>
      <c r="Q103" s="400"/>
      <c r="R103" s="178"/>
    </row>
    <row r="104" spans="1:18" ht="15.75" customHeight="1">
      <c r="A104" s="681"/>
      <c r="B104" s="682"/>
      <c r="C104" s="204" t="s">
        <v>205</v>
      </c>
      <c r="D104" s="677"/>
      <c r="E104" s="678"/>
      <c r="F104" s="678"/>
      <c r="G104" s="200"/>
      <c r="H104" s="202"/>
      <c r="I104" s="203"/>
      <c r="J104" s="200"/>
      <c r="K104" s="677"/>
      <c r="L104" s="678"/>
      <c r="M104" s="189"/>
      <c r="N104" s="178"/>
      <c r="O104" s="178"/>
      <c r="P104" s="400"/>
      <c r="Q104" s="400"/>
      <c r="R104" s="178"/>
    </row>
    <row r="105" spans="1:18" ht="15.75" customHeight="1">
      <c r="A105" s="681"/>
      <c r="B105" s="682"/>
      <c r="C105" s="204" t="s">
        <v>210</v>
      </c>
      <c r="D105" s="677"/>
      <c r="E105" s="678"/>
      <c r="F105" s="678"/>
      <c r="G105" s="200"/>
      <c r="H105" s="202"/>
      <c r="I105" s="203"/>
      <c r="J105" s="200"/>
      <c r="K105" s="677"/>
      <c r="L105" s="678"/>
      <c r="M105" s="189"/>
      <c r="N105" s="178"/>
      <c r="O105" s="178"/>
      <c r="P105" s="400"/>
      <c r="Q105" s="400"/>
      <c r="R105" s="178"/>
    </row>
    <row r="106" spans="1:18" ht="15.75" customHeight="1">
      <c r="A106" s="681"/>
      <c r="B106" s="682"/>
      <c r="C106" s="204" t="s">
        <v>211</v>
      </c>
      <c r="D106" s="677"/>
      <c r="E106" s="678"/>
      <c r="F106" s="678"/>
      <c r="G106" s="200"/>
      <c r="H106" s="202"/>
      <c r="I106" s="203"/>
      <c r="J106" s="200"/>
      <c r="K106" s="677"/>
      <c r="L106" s="678"/>
      <c r="M106" s="189"/>
      <c r="N106" s="178"/>
      <c r="O106" s="178"/>
      <c r="P106" s="400"/>
      <c r="Q106" s="400"/>
      <c r="R106" s="178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106"/>
  <sheetViews>
    <sheetView view="pageBreakPreview" topLeftCell="A76" zoomScale="115" zoomScaleNormal="60" zoomScaleSheetLayoutView="115" workbookViewId="0">
      <selection activeCell="J102" sqref="J10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57" t="s">
        <v>378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99"/>
    </row>
    <row r="2" spans="1:18" s="10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N2" s="190"/>
      <c r="O2" s="190"/>
      <c r="P2" s="190"/>
      <c r="Q2" s="190"/>
      <c r="R2" s="190"/>
    </row>
    <row r="3" spans="1:18" s="189" customFormat="1" ht="15.75" customHeight="1">
      <c r="A3" s="683" t="s">
        <v>616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</row>
    <row r="4" spans="1:18" s="190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</row>
    <row r="5" spans="1:18" s="178" customFormat="1" ht="16.350000000000001" customHeight="1">
      <c r="A5" s="681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50000000000001" customHeight="1">
      <c r="A6" s="681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350</v>
      </c>
      <c r="G6" s="196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82" t="s">
        <v>188</v>
      </c>
      <c r="B7" s="682"/>
      <c r="C7" s="160" t="s">
        <v>47</v>
      </c>
      <c r="D7" s="682" t="s">
        <v>12</v>
      </c>
      <c r="E7" s="684"/>
      <c r="F7" s="684"/>
      <c r="G7" s="160" t="s">
        <v>46</v>
      </c>
      <c r="H7" s="160" t="s">
        <v>380</v>
      </c>
      <c r="I7" s="160" t="s">
        <v>381</v>
      </c>
      <c r="J7" s="160" t="s">
        <v>332</v>
      </c>
      <c r="K7" s="682" t="s">
        <v>51</v>
      </c>
      <c r="L7" s="684"/>
      <c r="M7" s="193"/>
      <c r="N7" s="189"/>
      <c r="O7" s="199"/>
      <c r="P7" s="401"/>
      <c r="Q7" s="401"/>
      <c r="R7" s="199"/>
    </row>
    <row r="8" spans="1:18" s="189" customFormat="1" ht="15.75" customHeight="1">
      <c r="A8" s="681">
        <v>3</v>
      </c>
      <c r="B8" s="682" t="s">
        <v>383</v>
      </c>
      <c r="C8" s="200">
        <v>1</v>
      </c>
      <c r="D8" s="677" t="s">
        <v>491</v>
      </c>
      <c r="E8" s="678"/>
      <c r="F8" s="678"/>
      <c r="G8" s="200">
        <v>6</v>
      </c>
      <c r="H8" s="202">
        <v>3256.6607949676463</v>
      </c>
      <c r="I8" s="203">
        <v>542.77679916127431</v>
      </c>
      <c r="J8" s="221">
        <v>-0.21986146037306753</v>
      </c>
      <c r="K8" s="677" t="s">
        <v>435</v>
      </c>
      <c r="L8" s="678"/>
      <c r="M8" s="190"/>
      <c r="O8" s="199"/>
      <c r="P8" s="401"/>
      <c r="Q8" s="401"/>
      <c r="R8" s="199"/>
    </row>
    <row r="9" spans="1:18" s="189" customFormat="1" ht="15.75" customHeight="1">
      <c r="A9" s="681"/>
      <c r="B9" s="682"/>
      <c r="C9" s="200">
        <v>2</v>
      </c>
      <c r="D9" s="677" t="s">
        <v>349</v>
      </c>
      <c r="E9" s="678"/>
      <c r="F9" s="678"/>
      <c r="G9" s="200">
        <v>21.714285714285715</v>
      </c>
      <c r="H9" s="202">
        <v>2585.9313186813188</v>
      </c>
      <c r="I9" s="203">
        <v>119.07861781076066</v>
      </c>
      <c r="J9" s="221">
        <v>0.78466176680460364</v>
      </c>
      <c r="K9" s="686" t="s">
        <v>649</v>
      </c>
      <c r="L9" s="687"/>
      <c r="M9" s="190"/>
      <c r="O9" s="199"/>
      <c r="P9" s="401"/>
      <c r="Q9" s="401"/>
      <c r="R9" s="199"/>
    </row>
    <row r="10" spans="1:18" s="189" customFormat="1" ht="15.75" customHeight="1">
      <c r="A10" s="681"/>
      <c r="B10" s="682"/>
      <c r="C10" s="200">
        <v>3</v>
      </c>
      <c r="D10" s="677"/>
      <c r="E10" s="678"/>
      <c r="F10" s="678"/>
      <c r="G10" s="200"/>
      <c r="H10" s="202"/>
      <c r="I10" s="203"/>
      <c r="J10" s="200"/>
      <c r="K10" s="677"/>
      <c r="L10" s="678"/>
      <c r="M10" s="190"/>
      <c r="O10" s="199"/>
      <c r="P10" s="401"/>
      <c r="Q10" s="401"/>
      <c r="R10" s="199"/>
    </row>
    <row r="11" spans="1:18" s="189" customFormat="1" ht="15.75" customHeight="1">
      <c r="A11" s="681"/>
      <c r="B11" s="682"/>
      <c r="C11" s="200">
        <v>4</v>
      </c>
      <c r="D11" s="677"/>
      <c r="E11" s="678"/>
      <c r="F11" s="678"/>
      <c r="G11" s="200"/>
      <c r="H11" s="202"/>
      <c r="I11" s="203"/>
      <c r="J11" s="200"/>
      <c r="K11" s="677"/>
      <c r="L11" s="678"/>
      <c r="M11" s="190"/>
      <c r="O11" s="199"/>
      <c r="P11" s="401"/>
      <c r="Q11" s="401"/>
      <c r="R11" s="199"/>
    </row>
    <row r="12" spans="1:18" s="189" customFormat="1" ht="15.75" customHeight="1">
      <c r="A12" s="681"/>
      <c r="B12" s="682"/>
      <c r="C12" s="200">
        <v>5</v>
      </c>
      <c r="D12" s="677"/>
      <c r="E12" s="678"/>
      <c r="F12" s="678"/>
      <c r="G12" s="200"/>
      <c r="H12" s="202"/>
      <c r="I12" s="203"/>
      <c r="J12" s="200"/>
      <c r="K12" s="677"/>
      <c r="L12" s="678"/>
      <c r="M12" s="190"/>
      <c r="O12" s="199"/>
      <c r="P12" s="401"/>
      <c r="Q12" s="401"/>
      <c r="R12" s="199"/>
    </row>
    <row r="13" spans="1:18" s="189" customFormat="1" ht="15.75" customHeight="1">
      <c r="A13" s="681"/>
      <c r="B13" s="682"/>
      <c r="C13" s="204" t="s">
        <v>204</v>
      </c>
      <c r="D13" s="677"/>
      <c r="E13" s="678"/>
      <c r="F13" s="678"/>
      <c r="G13" s="200"/>
      <c r="H13" s="202"/>
      <c r="I13" s="203"/>
      <c r="J13" s="200"/>
      <c r="K13" s="677"/>
      <c r="L13" s="678"/>
      <c r="M13" s="190"/>
      <c r="O13" s="199"/>
      <c r="P13" s="401"/>
      <c r="Q13" s="401"/>
      <c r="R13" s="199"/>
    </row>
    <row r="14" spans="1:18" s="189" customFormat="1" ht="15.75" customHeight="1">
      <c r="A14" s="681"/>
      <c r="B14" s="682"/>
      <c r="C14" s="204" t="s">
        <v>209</v>
      </c>
      <c r="D14" s="677"/>
      <c r="E14" s="678"/>
      <c r="F14" s="678"/>
      <c r="G14" s="200"/>
      <c r="H14" s="202"/>
      <c r="I14" s="203"/>
      <c r="J14" s="200"/>
      <c r="K14" s="677"/>
      <c r="L14" s="678"/>
      <c r="M14" s="190"/>
      <c r="N14" s="178"/>
      <c r="O14" s="178"/>
      <c r="P14" s="400"/>
      <c r="Q14" s="400"/>
      <c r="R14" s="178"/>
    </row>
    <row r="15" spans="1:18" s="189" customFormat="1" ht="15.75" customHeight="1">
      <c r="A15" s="681"/>
      <c r="B15" s="682"/>
      <c r="C15" s="204" t="s">
        <v>205</v>
      </c>
      <c r="D15" s="677"/>
      <c r="E15" s="678"/>
      <c r="F15" s="678"/>
      <c r="G15" s="202"/>
      <c r="H15" s="202"/>
      <c r="I15" s="203"/>
      <c r="J15" s="200"/>
      <c r="K15" s="677"/>
      <c r="L15" s="678"/>
      <c r="M15" s="190"/>
      <c r="O15" s="199"/>
      <c r="P15" s="401"/>
      <c r="Q15" s="401"/>
      <c r="R15" s="199"/>
    </row>
    <row r="16" spans="1:18" s="189" customFormat="1" ht="15.75" customHeight="1">
      <c r="A16" s="681"/>
      <c r="B16" s="682"/>
      <c r="C16" s="204" t="s">
        <v>210</v>
      </c>
      <c r="D16" s="677"/>
      <c r="E16" s="678"/>
      <c r="F16" s="678"/>
      <c r="G16" s="200"/>
      <c r="H16" s="202"/>
      <c r="I16" s="203"/>
      <c r="J16" s="200"/>
      <c r="K16" s="677"/>
      <c r="L16" s="678"/>
      <c r="O16" s="199"/>
      <c r="P16" s="401"/>
      <c r="Q16" s="401"/>
      <c r="R16" s="199"/>
    </row>
    <row r="17" spans="1:18" s="189" customFormat="1" ht="15.75" customHeight="1">
      <c r="A17" s="681"/>
      <c r="B17" s="682"/>
      <c r="C17" s="204" t="s">
        <v>211</v>
      </c>
      <c r="D17" s="677"/>
      <c r="E17" s="678"/>
      <c r="F17" s="678"/>
      <c r="G17" s="200"/>
      <c r="H17" s="202"/>
      <c r="I17" s="203"/>
      <c r="J17" s="200"/>
      <c r="K17" s="677"/>
      <c r="L17" s="678"/>
      <c r="O17" s="199"/>
      <c r="P17" s="401"/>
      <c r="Q17" s="401"/>
      <c r="R17" s="199"/>
    </row>
    <row r="18" spans="1:18" s="199" customFormat="1" ht="15.75" customHeight="1">
      <c r="A18" s="679" t="s">
        <v>188</v>
      </c>
      <c r="B18" s="679"/>
      <c r="C18" s="207" t="s">
        <v>47</v>
      </c>
      <c r="D18" s="679" t="s">
        <v>12</v>
      </c>
      <c r="E18" s="680"/>
      <c r="F18" s="680"/>
      <c r="G18" s="207" t="s">
        <v>46</v>
      </c>
      <c r="H18" s="207" t="s">
        <v>380</v>
      </c>
      <c r="I18" s="207" t="s">
        <v>381</v>
      </c>
      <c r="J18" s="160" t="s">
        <v>332</v>
      </c>
      <c r="K18" s="679" t="s">
        <v>51</v>
      </c>
      <c r="L18" s="680"/>
      <c r="M18" s="208"/>
      <c r="N18" s="189"/>
      <c r="P18" s="401"/>
      <c r="Q18" s="401"/>
    </row>
    <row r="19" spans="1:18" s="189" customFormat="1" ht="15.75" customHeight="1">
      <c r="A19" s="681">
        <v>4</v>
      </c>
      <c r="B19" s="682" t="s">
        <v>156</v>
      </c>
      <c r="C19" s="200">
        <v>1</v>
      </c>
      <c r="D19" s="677" t="s">
        <v>605</v>
      </c>
      <c r="E19" s="678"/>
      <c r="F19" s="678"/>
      <c r="G19" s="200">
        <v>6</v>
      </c>
      <c r="H19" s="202">
        <v>2251.061397160694</v>
      </c>
      <c r="I19" s="203">
        <v>375.17689952678239</v>
      </c>
      <c r="J19" s="221">
        <v>0.19317161443211717</v>
      </c>
      <c r="K19" s="677" t="s">
        <v>435</v>
      </c>
      <c r="L19" s="678"/>
      <c r="N19" s="199"/>
      <c r="O19" s="199"/>
      <c r="P19" s="401"/>
      <c r="Q19" s="401"/>
      <c r="R19" s="199"/>
    </row>
    <row r="20" spans="1:18" s="189" customFormat="1" ht="15.75" customHeight="1">
      <c r="A20" s="681"/>
      <c r="B20" s="682"/>
      <c r="C20" s="200">
        <v>2</v>
      </c>
      <c r="D20" s="677" t="s">
        <v>584</v>
      </c>
      <c r="E20" s="678"/>
      <c r="F20" s="678"/>
      <c r="G20" s="200">
        <v>6</v>
      </c>
      <c r="H20" s="202">
        <v>2250.7227073064419</v>
      </c>
      <c r="I20" s="203">
        <v>375.12045121774042</v>
      </c>
      <c r="J20" s="221">
        <v>0.13672330539014865</v>
      </c>
      <c r="K20" s="677" t="s">
        <v>435</v>
      </c>
      <c r="L20" s="678"/>
      <c r="O20" s="199"/>
      <c r="P20" s="401"/>
      <c r="Q20" s="401"/>
      <c r="R20" s="199"/>
    </row>
    <row r="21" spans="1:18" s="189" customFormat="1" ht="15.75" customHeight="1">
      <c r="A21" s="681"/>
      <c r="B21" s="682"/>
      <c r="C21" s="200">
        <v>3</v>
      </c>
      <c r="D21" s="677" t="s">
        <v>563</v>
      </c>
      <c r="E21" s="678"/>
      <c r="F21" s="678"/>
      <c r="G21" s="200">
        <v>11</v>
      </c>
      <c r="H21" s="202">
        <v>2652.1180131291808</v>
      </c>
      <c r="I21" s="203">
        <v>241.10163755719825</v>
      </c>
      <c r="J21" s="221">
        <v>5.4545454545348093E-2</v>
      </c>
      <c r="K21" s="677" t="s">
        <v>435</v>
      </c>
      <c r="L21" s="678"/>
      <c r="O21" s="199"/>
      <c r="P21" s="401"/>
      <c r="Q21" s="401"/>
      <c r="R21" s="199"/>
    </row>
    <row r="22" spans="1:18" s="189" customFormat="1" ht="15.75" customHeight="1">
      <c r="A22" s="681"/>
      <c r="B22" s="682"/>
      <c r="C22" s="200">
        <v>4</v>
      </c>
      <c r="D22" s="677"/>
      <c r="E22" s="678"/>
      <c r="F22" s="678"/>
      <c r="G22" s="200"/>
      <c r="H22" s="202"/>
      <c r="I22" s="203"/>
      <c r="J22" s="221"/>
      <c r="K22" s="677"/>
      <c r="L22" s="678"/>
      <c r="O22" s="199"/>
      <c r="P22" s="401"/>
      <c r="Q22" s="401"/>
      <c r="R22" s="199"/>
    </row>
    <row r="23" spans="1:18" s="189" customFormat="1" ht="15.75" customHeight="1">
      <c r="A23" s="681"/>
      <c r="B23" s="682"/>
      <c r="C23" s="200">
        <v>5</v>
      </c>
      <c r="D23" s="677"/>
      <c r="E23" s="678"/>
      <c r="F23" s="678"/>
      <c r="G23" s="200"/>
      <c r="H23" s="202"/>
      <c r="I23" s="203"/>
      <c r="J23" s="200"/>
      <c r="K23" s="677"/>
      <c r="L23" s="678"/>
      <c r="O23" s="199"/>
      <c r="P23" s="401"/>
      <c r="Q23" s="401"/>
      <c r="R23" s="199"/>
    </row>
    <row r="24" spans="1:18" s="189" customFormat="1" ht="15.75" customHeight="1">
      <c r="A24" s="681"/>
      <c r="B24" s="682"/>
      <c r="C24" s="204" t="s">
        <v>204</v>
      </c>
      <c r="D24" s="677"/>
      <c r="E24" s="678"/>
      <c r="F24" s="678"/>
      <c r="G24" s="200"/>
      <c r="H24" s="202"/>
      <c r="I24" s="203"/>
      <c r="J24" s="200"/>
      <c r="K24" s="677"/>
      <c r="L24" s="678"/>
      <c r="O24" s="199"/>
      <c r="P24" s="401"/>
      <c r="Q24" s="401"/>
      <c r="R24" s="199"/>
    </row>
    <row r="25" spans="1:18" s="189" customFormat="1" ht="15.75" customHeight="1">
      <c r="A25" s="681"/>
      <c r="B25" s="682"/>
      <c r="C25" s="204" t="s">
        <v>209</v>
      </c>
      <c r="D25" s="677"/>
      <c r="E25" s="678"/>
      <c r="F25" s="678"/>
      <c r="G25" s="200"/>
      <c r="H25" s="202"/>
      <c r="I25" s="203"/>
      <c r="J25" s="200"/>
      <c r="K25" s="677"/>
      <c r="L25" s="678"/>
      <c r="O25" s="199"/>
      <c r="P25" s="401"/>
      <c r="Q25" s="401"/>
      <c r="R25" s="199"/>
    </row>
    <row r="26" spans="1:18" s="189" customFormat="1" ht="15.75" customHeight="1">
      <c r="A26" s="681"/>
      <c r="B26" s="682"/>
      <c r="C26" s="204" t="s">
        <v>205</v>
      </c>
      <c r="D26" s="677"/>
      <c r="E26" s="678"/>
      <c r="F26" s="678"/>
      <c r="G26" s="200"/>
      <c r="H26" s="202"/>
      <c r="I26" s="203"/>
      <c r="J26" s="200"/>
      <c r="K26" s="677"/>
      <c r="L26" s="678"/>
      <c r="O26" s="199"/>
      <c r="P26" s="401"/>
      <c r="Q26" s="401"/>
      <c r="R26" s="199"/>
    </row>
    <row r="27" spans="1:18" s="189" customFormat="1" ht="15.75" customHeight="1">
      <c r="A27" s="681"/>
      <c r="B27" s="682"/>
      <c r="C27" s="204" t="s">
        <v>210</v>
      </c>
      <c r="D27" s="677"/>
      <c r="E27" s="678"/>
      <c r="F27" s="678"/>
      <c r="G27" s="200"/>
      <c r="H27" s="202"/>
      <c r="I27" s="203"/>
      <c r="J27" s="200"/>
      <c r="K27" s="677"/>
      <c r="L27" s="678"/>
      <c r="O27" s="199"/>
      <c r="P27" s="401"/>
      <c r="Q27" s="401"/>
      <c r="R27" s="199"/>
    </row>
    <row r="28" spans="1:18" s="189" customFormat="1" ht="15.75" customHeight="1">
      <c r="A28" s="681"/>
      <c r="B28" s="682"/>
      <c r="C28" s="204" t="s">
        <v>211</v>
      </c>
      <c r="D28" s="677"/>
      <c r="E28" s="678"/>
      <c r="F28" s="678"/>
      <c r="G28" s="200"/>
      <c r="H28" s="202"/>
      <c r="I28" s="203"/>
      <c r="J28" s="200"/>
      <c r="K28" s="677"/>
      <c r="L28" s="678"/>
      <c r="O28" s="199"/>
      <c r="P28" s="401"/>
      <c r="Q28" s="401"/>
      <c r="R28" s="199"/>
    </row>
    <row r="29" spans="1:18" s="189" customFormat="1" ht="15.75" customHeight="1">
      <c r="A29" s="683" t="s">
        <v>698</v>
      </c>
      <c r="B29" s="683"/>
      <c r="C29" s="683"/>
      <c r="D29" s="683"/>
      <c r="E29" s="683"/>
      <c r="F29" s="683"/>
      <c r="G29" s="683"/>
      <c r="H29" s="683"/>
      <c r="I29" s="683"/>
      <c r="J29" s="683"/>
      <c r="K29" s="683"/>
      <c r="L29" s="683"/>
    </row>
    <row r="30" spans="1:18" s="190" customFormat="1" ht="15.75" customHeight="1">
      <c r="A30" s="683"/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</row>
    <row r="31" spans="1:18" s="178" customFormat="1" ht="16.350000000000001" customHeight="1">
      <c r="A31" s="681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50000000000001" customHeight="1">
      <c r="A32" s="681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350</v>
      </c>
      <c r="G32" s="196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82" t="s">
        <v>188</v>
      </c>
      <c r="B33" s="682"/>
      <c r="C33" s="160" t="s">
        <v>47</v>
      </c>
      <c r="D33" s="682" t="s">
        <v>12</v>
      </c>
      <c r="E33" s="684"/>
      <c r="F33" s="684"/>
      <c r="G33" s="160" t="s">
        <v>46</v>
      </c>
      <c r="H33" s="160" t="s">
        <v>380</v>
      </c>
      <c r="I33" s="160" t="s">
        <v>381</v>
      </c>
      <c r="J33" s="160" t="s">
        <v>332</v>
      </c>
      <c r="K33" s="682" t="s">
        <v>51</v>
      </c>
      <c r="L33" s="684"/>
      <c r="M33" s="193"/>
      <c r="N33" s="189"/>
      <c r="O33" s="199"/>
      <c r="P33" s="401"/>
      <c r="Q33" s="401"/>
      <c r="R33" s="199"/>
    </row>
    <row r="34" spans="1:18" s="189" customFormat="1" ht="15.75" customHeight="1">
      <c r="A34" s="681">
        <v>3</v>
      </c>
      <c r="B34" s="682" t="s">
        <v>383</v>
      </c>
      <c r="C34" s="200">
        <v>1</v>
      </c>
      <c r="D34" s="677" t="s">
        <v>491</v>
      </c>
      <c r="E34" s="678"/>
      <c r="F34" s="678"/>
      <c r="G34" s="200">
        <v>5.4285714285714288</v>
      </c>
      <c r="H34" s="202">
        <v>3252.3407949676453</v>
      </c>
      <c r="I34" s="203">
        <v>604.00100477970568</v>
      </c>
      <c r="J34" s="221">
        <f>I34-I8</f>
        <v>61.22420561843137</v>
      </c>
      <c r="K34" s="685" t="s">
        <v>716</v>
      </c>
      <c r="L34" s="678"/>
      <c r="M34" s="190"/>
      <c r="O34" s="199"/>
      <c r="P34" s="401"/>
      <c r="Q34" s="401"/>
      <c r="R34" s="199"/>
    </row>
    <row r="35" spans="1:18" s="189" customFormat="1" ht="15.75" customHeight="1">
      <c r="A35" s="681"/>
      <c r="B35" s="682"/>
      <c r="C35" s="200">
        <v>2</v>
      </c>
      <c r="D35" s="677" t="s">
        <v>349</v>
      </c>
      <c r="E35" s="678"/>
      <c r="F35" s="678"/>
      <c r="G35" s="200">
        <v>21</v>
      </c>
      <c r="H35" s="202">
        <v>2484.1730769230767</v>
      </c>
      <c r="I35" s="203">
        <v>118.29395604395602</v>
      </c>
      <c r="J35" s="221">
        <f>I35-I9</f>
        <v>-0.78466176680464628</v>
      </c>
      <c r="K35" s="677" t="s">
        <v>435</v>
      </c>
      <c r="L35" s="678"/>
      <c r="M35" s="190"/>
      <c r="O35" s="199"/>
      <c r="P35" s="401"/>
      <c r="Q35" s="401"/>
      <c r="R35" s="199"/>
    </row>
    <row r="36" spans="1:18" s="189" customFormat="1" ht="15.75" customHeight="1">
      <c r="A36" s="681"/>
      <c r="B36" s="682"/>
      <c r="C36" s="200">
        <v>3</v>
      </c>
      <c r="D36" s="677"/>
      <c r="E36" s="678"/>
      <c r="F36" s="678"/>
      <c r="G36" s="200"/>
      <c r="H36" s="202"/>
      <c r="I36" s="203"/>
      <c r="J36" s="200"/>
      <c r="K36" s="677"/>
      <c r="L36" s="678"/>
      <c r="M36" s="190"/>
      <c r="O36" s="199"/>
      <c r="P36" s="401"/>
      <c r="Q36" s="401"/>
      <c r="R36" s="199"/>
    </row>
    <row r="37" spans="1:18" s="189" customFormat="1" ht="15.75" customHeight="1">
      <c r="A37" s="681"/>
      <c r="B37" s="682"/>
      <c r="C37" s="200">
        <v>4</v>
      </c>
      <c r="D37" s="677"/>
      <c r="E37" s="678"/>
      <c r="F37" s="678"/>
      <c r="G37" s="200"/>
      <c r="H37" s="202"/>
      <c r="I37" s="203"/>
      <c r="J37" s="200"/>
      <c r="K37" s="677"/>
      <c r="L37" s="678"/>
      <c r="M37" s="190"/>
      <c r="O37" s="199"/>
      <c r="P37" s="401"/>
      <c r="Q37" s="401"/>
      <c r="R37" s="199"/>
    </row>
    <row r="38" spans="1:18" s="189" customFormat="1" ht="15.75" customHeight="1">
      <c r="A38" s="681"/>
      <c r="B38" s="682"/>
      <c r="C38" s="200">
        <v>5</v>
      </c>
      <c r="D38" s="677"/>
      <c r="E38" s="678"/>
      <c r="F38" s="678"/>
      <c r="G38" s="200"/>
      <c r="H38" s="202"/>
      <c r="I38" s="203"/>
      <c r="J38" s="200"/>
      <c r="K38" s="677"/>
      <c r="L38" s="678"/>
      <c r="M38" s="190"/>
      <c r="O38" s="199"/>
      <c r="P38" s="401"/>
      <c r="Q38" s="401"/>
      <c r="R38" s="199"/>
    </row>
    <row r="39" spans="1:18" s="189" customFormat="1" ht="15.75" customHeight="1">
      <c r="A39" s="681"/>
      <c r="B39" s="682"/>
      <c r="C39" s="204" t="s">
        <v>204</v>
      </c>
      <c r="D39" s="677"/>
      <c r="E39" s="678"/>
      <c r="F39" s="678"/>
      <c r="G39" s="200"/>
      <c r="H39" s="202"/>
      <c r="I39" s="203"/>
      <c r="J39" s="200"/>
      <c r="K39" s="677"/>
      <c r="L39" s="678"/>
      <c r="M39" s="190"/>
      <c r="O39" s="199"/>
      <c r="P39" s="401"/>
      <c r="Q39" s="401"/>
      <c r="R39" s="199"/>
    </row>
    <row r="40" spans="1:18" s="189" customFormat="1" ht="15.75" customHeight="1">
      <c r="A40" s="681"/>
      <c r="B40" s="682"/>
      <c r="C40" s="204" t="s">
        <v>209</v>
      </c>
      <c r="D40" s="677"/>
      <c r="E40" s="678"/>
      <c r="F40" s="678"/>
      <c r="G40" s="200"/>
      <c r="H40" s="202"/>
      <c r="I40" s="203"/>
      <c r="J40" s="200"/>
      <c r="K40" s="677"/>
      <c r="L40" s="678"/>
      <c r="M40" s="190"/>
      <c r="N40" s="178"/>
      <c r="O40" s="178"/>
      <c r="P40" s="400"/>
      <c r="Q40" s="400"/>
      <c r="R40" s="178"/>
    </row>
    <row r="41" spans="1:18" s="189" customFormat="1" ht="15.75" customHeight="1">
      <c r="A41" s="681"/>
      <c r="B41" s="682"/>
      <c r="C41" s="204" t="s">
        <v>205</v>
      </c>
      <c r="D41" s="677"/>
      <c r="E41" s="678"/>
      <c r="F41" s="678"/>
      <c r="G41" s="202"/>
      <c r="H41" s="202"/>
      <c r="I41" s="203"/>
      <c r="J41" s="200"/>
      <c r="K41" s="677"/>
      <c r="L41" s="678"/>
      <c r="M41" s="190"/>
      <c r="O41" s="199"/>
      <c r="P41" s="401"/>
      <c r="Q41" s="401"/>
      <c r="R41" s="199"/>
    </row>
    <row r="42" spans="1:18" s="189" customFormat="1" ht="15.75" customHeight="1">
      <c r="A42" s="681"/>
      <c r="B42" s="682"/>
      <c r="C42" s="204" t="s">
        <v>210</v>
      </c>
      <c r="D42" s="677"/>
      <c r="E42" s="678"/>
      <c r="F42" s="678"/>
      <c r="G42" s="200"/>
      <c r="H42" s="202"/>
      <c r="I42" s="203"/>
      <c r="J42" s="200"/>
      <c r="K42" s="677"/>
      <c r="L42" s="678"/>
      <c r="O42" s="199"/>
      <c r="P42" s="401"/>
      <c r="Q42" s="401"/>
      <c r="R42" s="199"/>
    </row>
    <row r="43" spans="1:18" s="189" customFormat="1" ht="15.75" customHeight="1">
      <c r="A43" s="681"/>
      <c r="B43" s="682"/>
      <c r="C43" s="204" t="s">
        <v>211</v>
      </c>
      <c r="D43" s="677"/>
      <c r="E43" s="678"/>
      <c r="F43" s="678"/>
      <c r="G43" s="200"/>
      <c r="H43" s="202"/>
      <c r="I43" s="203"/>
      <c r="J43" s="200"/>
      <c r="K43" s="677"/>
      <c r="L43" s="678"/>
      <c r="O43" s="199"/>
      <c r="P43" s="401"/>
      <c r="Q43" s="401"/>
      <c r="R43" s="199"/>
    </row>
    <row r="44" spans="1:18" s="199" customFormat="1" ht="15.75" customHeight="1">
      <c r="A44" s="679" t="s">
        <v>188</v>
      </c>
      <c r="B44" s="679"/>
      <c r="C44" s="207" t="s">
        <v>47</v>
      </c>
      <c r="D44" s="679" t="s">
        <v>12</v>
      </c>
      <c r="E44" s="680"/>
      <c r="F44" s="680"/>
      <c r="G44" s="207" t="s">
        <v>46</v>
      </c>
      <c r="H44" s="207" t="s">
        <v>380</v>
      </c>
      <c r="I44" s="207" t="s">
        <v>381</v>
      </c>
      <c r="J44" s="160" t="s">
        <v>332</v>
      </c>
      <c r="K44" s="679" t="s">
        <v>51</v>
      </c>
      <c r="L44" s="680"/>
      <c r="M44" s="208"/>
      <c r="N44" s="189"/>
      <c r="P44" s="401"/>
      <c r="Q44" s="401"/>
    </row>
    <row r="45" spans="1:18" s="189" customFormat="1" ht="15.75" customHeight="1">
      <c r="A45" s="681">
        <v>4</v>
      </c>
      <c r="B45" s="682" t="s">
        <v>156</v>
      </c>
      <c r="C45" s="200">
        <v>1</v>
      </c>
      <c r="D45" s="677" t="s">
        <v>584</v>
      </c>
      <c r="E45" s="678"/>
      <c r="F45" s="678"/>
      <c r="G45" s="200">
        <v>6</v>
      </c>
      <c r="H45" s="202">
        <v>2255.375090838671</v>
      </c>
      <c r="I45" s="203">
        <v>375.89584847311187</v>
      </c>
      <c r="J45" s="221">
        <f>I45-I20</f>
        <v>0.77539725537144477</v>
      </c>
      <c r="K45" s="677" t="s">
        <v>435</v>
      </c>
      <c r="L45" s="678"/>
      <c r="N45" s="199"/>
      <c r="O45" s="199"/>
      <c r="P45" s="401"/>
      <c r="Q45" s="401"/>
      <c r="R45" s="199"/>
    </row>
    <row r="46" spans="1:18" s="189" customFormat="1" ht="15.75" customHeight="1">
      <c r="A46" s="681"/>
      <c r="B46" s="682"/>
      <c r="C46" s="200">
        <v>2</v>
      </c>
      <c r="D46" s="677" t="s">
        <v>605</v>
      </c>
      <c r="E46" s="678"/>
      <c r="F46" s="678"/>
      <c r="G46" s="200">
        <v>6</v>
      </c>
      <c r="H46" s="202">
        <v>2254.7363689222293</v>
      </c>
      <c r="I46" s="203">
        <v>375.78939482037151</v>
      </c>
      <c r="J46" s="221">
        <f>I46-I19</f>
        <v>0.61249529358912014</v>
      </c>
      <c r="K46" s="677" t="s">
        <v>435</v>
      </c>
      <c r="L46" s="678"/>
      <c r="O46" s="199"/>
      <c r="P46" s="401"/>
      <c r="Q46" s="401"/>
      <c r="R46" s="199"/>
    </row>
    <row r="47" spans="1:18" s="189" customFormat="1" ht="15.75" customHeight="1">
      <c r="A47" s="681"/>
      <c r="B47" s="682"/>
      <c r="C47" s="200">
        <v>3</v>
      </c>
      <c r="D47" s="677"/>
      <c r="E47" s="678"/>
      <c r="F47" s="678"/>
      <c r="G47" s="200"/>
      <c r="H47" s="202"/>
      <c r="I47" s="203"/>
      <c r="J47" s="221"/>
      <c r="K47" s="677"/>
      <c r="L47" s="678"/>
      <c r="O47" s="199"/>
      <c r="P47" s="401"/>
      <c r="Q47" s="401"/>
      <c r="R47" s="199"/>
    </row>
    <row r="48" spans="1:18" s="189" customFormat="1" ht="15.75" customHeight="1">
      <c r="A48" s="681"/>
      <c r="B48" s="682"/>
      <c r="C48" s="200">
        <v>4</v>
      </c>
      <c r="D48" s="677"/>
      <c r="E48" s="678"/>
      <c r="F48" s="678"/>
      <c r="G48" s="200"/>
      <c r="H48" s="202"/>
      <c r="I48" s="203"/>
      <c r="J48" s="200"/>
      <c r="K48" s="677"/>
      <c r="L48" s="678"/>
      <c r="O48" s="199"/>
      <c r="P48" s="401"/>
      <c r="Q48" s="401"/>
      <c r="R48" s="199"/>
    </row>
    <row r="49" spans="1:18" s="189" customFormat="1" ht="15.75" customHeight="1">
      <c r="A49" s="681"/>
      <c r="B49" s="682"/>
      <c r="C49" s="200">
        <v>5</v>
      </c>
      <c r="D49" s="677"/>
      <c r="E49" s="678"/>
      <c r="F49" s="678"/>
      <c r="G49" s="200"/>
      <c r="H49" s="202"/>
      <c r="I49" s="203"/>
      <c r="J49" s="200"/>
      <c r="K49" s="677"/>
      <c r="L49" s="678"/>
      <c r="O49" s="199"/>
      <c r="P49" s="401"/>
      <c r="Q49" s="401"/>
      <c r="R49" s="199"/>
    </row>
    <row r="50" spans="1:18" s="189" customFormat="1" ht="15.75" customHeight="1">
      <c r="A50" s="681"/>
      <c r="B50" s="682"/>
      <c r="C50" s="204" t="s">
        <v>204</v>
      </c>
      <c r="D50" s="677"/>
      <c r="E50" s="678"/>
      <c r="F50" s="678"/>
      <c r="G50" s="200"/>
      <c r="H50" s="202"/>
      <c r="I50" s="203"/>
      <c r="J50" s="200"/>
      <c r="K50" s="677"/>
      <c r="L50" s="678"/>
      <c r="O50" s="199"/>
      <c r="P50" s="401"/>
      <c r="Q50" s="401"/>
      <c r="R50" s="199"/>
    </row>
    <row r="51" spans="1:18" s="189" customFormat="1" ht="15.75" customHeight="1">
      <c r="A51" s="681"/>
      <c r="B51" s="682"/>
      <c r="C51" s="204" t="s">
        <v>209</v>
      </c>
      <c r="D51" s="677"/>
      <c r="E51" s="678"/>
      <c r="F51" s="678"/>
      <c r="G51" s="200"/>
      <c r="H51" s="202"/>
      <c r="I51" s="203"/>
      <c r="J51" s="200"/>
      <c r="K51" s="677"/>
      <c r="L51" s="678"/>
      <c r="O51" s="199"/>
      <c r="P51" s="401"/>
      <c r="Q51" s="401"/>
      <c r="R51" s="199"/>
    </row>
    <row r="52" spans="1:18" s="189" customFormat="1" ht="15.75" customHeight="1">
      <c r="A52" s="681"/>
      <c r="B52" s="682"/>
      <c r="C52" s="204" t="s">
        <v>205</v>
      </c>
      <c r="D52" s="677"/>
      <c r="E52" s="678"/>
      <c r="F52" s="678"/>
      <c r="G52" s="200"/>
      <c r="H52" s="202"/>
      <c r="I52" s="203"/>
      <c r="J52" s="200"/>
      <c r="K52" s="677"/>
      <c r="L52" s="678"/>
      <c r="O52" s="199"/>
      <c r="P52" s="401"/>
      <c r="Q52" s="401"/>
      <c r="R52" s="199"/>
    </row>
    <row r="53" spans="1:18" s="189" customFormat="1" ht="15.75" customHeight="1">
      <c r="A53" s="681"/>
      <c r="B53" s="682"/>
      <c r="C53" s="204" t="s">
        <v>210</v>
      </c>
      <c r="D53" s="677"/>
      <c r="E53" s="678"/>
      <c r="F53" s="678"/>
      <c r="G53" s="200"/>
      <c r="H53" s="202"/>
      <c r="I53" s="203"/>
      <c r="J53" s="200"/>
      <c r="K53" s="677"/>
      <c r="L53" s="678"/>
      <c r="O53" s="199"/>
      <c r="P53" s="401"/>
      <c r="Q53" s="401"/>
      <c r="R53" s="199"/>
    </row>
    <row r="54" spans="1:18" s="189" customFormat="1" ht="15.75" customHeight="1">
      <c r="A54" s="681"/>
      <c r="B54" s="682"/>
      <c r="C54" s="204" t="s">
        <v>211</v>
      </c>
      <c r="D54" s="677"/>
      <c r="E54" s="678"/>
      <c r="F54" s="678"/>
      <c r="G54" s="200"/>
      <c r="H54" s="202"/>
      <c r="I54" s="203"/>
      <c r="J54" s="200"/>
      <c r="K54" s="677"/>
      <c r="L54" s="678"/>
      <c r="O54" s="199"/>
      <c r="P54" s="401"/>
      <c r="Q54" s="401"/>
      <c r="R54" s="199"/>
    </row>
    <row r="55" spans="1:18" s="189" customFormat="1" ht="15.75" customHeight="1">
      <c r="A55" s="683" t="s">
        <v>715</v>
      </c>
      <c r="B55" s="683"/>
      <c r="C55" s="683"/>
      <c r="D55" s="683"/>
      <c r="E55" s="683"/>
      <c r="F55" s="683"/>
      <c r="G55" s="683"/>
      <c r="H55" s="683"/>
      <c r="I55" s="683"/>
      <c r="J55" s="683"/>
      <c r="K55" s="683"/>
      <c r="L55" s="683"/>
    </row>
    <row r="56" spans="1:18" s="190" customFormat="1" ht="15.75" customHeight="1">
      <c r="A56" s="683"/>
      <c r="B56" s="683"/>
      <c r="C56" s="683"/>
      <c r="D56" s="683"/>
      <c r="E56" s="683"/>
      <c r="F56" s="683"/>
      <c r="G56" s="683"/>
      <c r="H56" s="683"/>
      <c r="I56" s="683"/>
      <c r="J56" s="683"/>
      <c r="K56" s="683"/>
      <c r="L56" s="683"/>
    </row>
    <row r="57" spans="1:18" s="178" customFormat="1" ht="16.350000000000001" customHeight="1">
      <c r="A57" s="681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50000000000001" customHeight="1">
      <c r="A58" s="681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350</v>
      </c>
      <c r="G58" s="196" t="s">
        <v>136</v>
      </c>
      <c r="H58" s="197" t="s">
        <v>208</v>
      </c>
      <c r="I58" s="196" t="s">
        <v>379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82" t="s">
        <v>188</v>
      </c>
      <c r="B59" s="682"/>
      <c r="C59" s="160" t="s">
        <v>47</v>
      </c>
      <c r="D59" s="682" t="s">
        <v>12</v>
      </c>
      <c r="E59" s="684"/>
      <c r="F59" s="684"/>
      <c r="G59" s="160" t="s">
        <v>46</v>
      </c>
      <c r="H59" s="160" t="s">
        <v>380</v>
      </c>
      <c r="I59" s="160" t="s">
        <v>381</v>
      </c>
      <c r="J59" s="160" t="s">
        <v>332</v>
      </c>
      <c r="K59" s="682" t="s">
        <v>51</v>
      </c>
      <c r="L59" s="684"/>
      <c r="M59" s="193"/>
      <c r="N59" s="189"/>
      <c r="O59" s="199"/>
      <c r="P59" s="401"/>
      <c r="Q59" s="401"/>
      <c r="R59" s="199"/>
    </row>
    <row r="60" spans="1:18" s="189" customFormat="1" ht="15.75" customHeight="1">
      <c r="A60" s="681">
        <v>3</v>
      </c>
      <c r="B60" s="682" t="s">
        <v>383</v>
      </c>
      <c r="C60" s="200">
        <v>1</v>
      </c>
      <c r="D60" s="677" t="s">
        <v>349</v>
      </c>
      <c r="E60" s="678"/>
      <c r="F60" s="678"/>
      <c r="G60" s="200">
        <v>21</v>
      </c>
      <c r="H60" s="202">
        <v>2484.1730769230767</v>
      </c>
      <c r="I60" s="203">
        <v>118.293956043956</v>
      </c>
      <c r="J60" s="221">
        <f>I60-I35</f>
        <v>0</v>
      </c>
      <c r="K60" s="677" t="s">
        <v>435</v>
      </c>
      <c r="L60" s="678"/>
      <c r="M60" s="190"/>
      <c r="O60" s="199"/>
      <c r="P60" s="401"/>
      <c r="Q60" s="401"/>
      <c r="R60" s="199"/>
    </row>
    <row r="61" spans="1:18" s="189" customFormat="1" ht="15.75" customHeight="1">
      <c r="A61" s="681"/>
      <c r="B61" s="682"/>
      <c r="C61" s="200">
        <v>2</v>
      </c>
      <c r="D61" s="677"/>
      <c r="E61" s="678"/>
      <c r="F61" s="678"/>
      <c r="G61" s="200"/>
      <c r="H61" s="202"/>
      <c r="I61" s="203"/>
      <c r="J61" s="221"/>
      <c r="K61" s="677"/>
      <c r="L61" s="678"/>
      <c r="M61" s="190"/>
      <c r="O61" s="199"/>
      <c r="P61" s="401"/>
      <c r="Q61" s="401"/>
      <c r="R61" s="199"/>
    </row>
    <row r="62" spans="1:18" s="189" customFormat="1" ht="15.75" customHeight="1">
      <c r="A62" s="681"/>
      <c r="B62" s="682"/>
      <c r="C62" s="200">
        <v>3</v>
      </c>
      <c r="D62" s="677"/>
      <c r="E62" s="678"/>
      <c r="F62" s="678"/>
      <c r="G62" s="200"/>
      <c r="H62" s="202"/>
      <c r="I62" s="203"/>
      <c r="J62" s="200"/>
      <c r="K62" s="677"/>
      <c r="L62" s="678"/>
      <c r="M62" s="190"/>
      <c r="O62" s="199"/>
      <c r="P62" s="401"/>
      <c r="Q62" s="401"/>
      <c r="R62" s="199"/>
    </row>
    <row r="63" spans="1:18" s="189" customFormat="1" ht="15.75" customHeight="1">
      <c r="A63" s="681"/>
      <c r="B63" s="682"/>
      <c r="C63" s="200">
        <v>4</v>
      </c>
      <c r="D63" s="677"/>
      <c r="E63" s="678"/>
      <c r="F63" s="678"/>
      <c r="G63" s="200"/>
      <c r="H63" s="202"/>
      <c r="I63" s="203"/>
      <c r="J63" s="200"/>
      <c r="K63" s="677"/>
      <c r="L63" s="678"/>
      <c r="M63" s="190"/>
      <c r="O63" s="199"/>
      <c r="P63" s="401"/>
      <c r="Q63" s="401"/>
      <c r="R63" s="199"/>
    </row>
    <row r="64" spans="1:18" s="189" customFormat="1" ht="15.75" customHeight="1">
      <c r="A64" s="681"/>
      <c r="B64" s="682"/>
      <c r="C64" s="200">
        <v>5</v>
      </c>
      <c r="D64" s="677"/>
      <c r="E64" s="678"/>
      <c r="F64" s="678"/>
      <c r="G64" s="200"/>
      <c r="H64" s="202"/>
      <c r="I64" s="203"/>
      <c r="J64" s="200"/>
      <c r="K64" s="677"/>
      <c r="L64" s="678"/>
      <c r="M64" s="190"/>
      <c r="O64" s="199"/>
      <c r="P64" s="401"/>
      <c r="Q64" s="401"/>
      <c r="R64" s="199"/>
    </row>
    <row r="65" spans="1:18" s="189" customFormat="1" ht="15.75" customHeight="1">
      <c r="A65" s="681"/>
      <c r="B65" s="682"/>
      <c r="C65" s="204" t="s">
        <v>204</v>
      </c>
      <c r="D65" s="677"/>
      <c r="E65" s="678"/>
      <c r="F65" s="678"/>
      <c r="G65" s="200"/>
      <c r="H65" s="202"/>
      <c r="I65" s="203"/>
      <c r="J65" s="200"/>
      <c r="K65" s="677"/>
      <c r="L65" s="678"/>
      <c r="M65" s="190"/>
      <c r="O65" s="199"/>
      <c r="P65" s="401"/>
      <c r="Q65" s="401"/>
      <c r="R65" s="199"/>
    </row>
    <row r="66" spans="1:18" s="189" customFormat="1" ht="15.75" customHeight="1">
      <c r="A66" s="681"/>
      <c r="B66" s="682"/>
      <c r="C66" s="204" t="s">
        <v>209</v>
      </c>
      <c r="D66" s="677"/>
      <c r="E66" s="678"/>
      <c r="F66" s="678"/>
      <c r="G66" s="200"/>
      <c r="H66" s="202"/>
      <c r="I66" s="203"/>
      <c r="J66" s="200"/>
      <c r="K66" s="677"/>
      <c r="L66" s="678"/>
      <c r="M66" s="190"/>
      <c r="N66" s="178"/>
      <c r="O66" s="178"/>
      <c r="P66" s="400"/>
      <c r="Q66" s="400"/>
      <c r="R66" s="178"/>
    </row>
    <row r="67" spans="1:18" s="189" customFormat="1" ht="15.75" customHeight="1">
      <c r="A67" s="681"/>
      <c r="B67" s="682"/>
      <c r="C67" s="204" t="s">
        <v>205</v>
      </c>
      <c r="D67" s="677"/>
      <c r="E67" s="678"/>
      <c r="F67" s="678"/>
      <c r="G67" s="202"/>
      <c r="H67" s="202"/>
      <c r="I67" s="203"/>
      <c r="J67" s="200"/>
      <c r="K67" s="677"/>
      <c r="L67" s="678"/>
      <c r="M67" s="190"/>
      <c r="O67" s="199"/>
      <c r="P67" s="401"/>
      <c r="Q67" s="401"/>
      <c r="R67" s="199"/>
    </row>
    <row r="68" spans="1:18" s="189" customFormat="1" ht="15.75" customHeight="1">
      <c r="A68" s="681"/>
      <c r="B68" s="682"/>
      <c r="C68" s="204" t="s">
        <v>210</v>
      </c>
      <c r="D68" s="677"/>
      <c r="E68" s="678"/>
      <c r="F68" s="678"/>
      <c r="G68" s="200"/>
      <c r="H68" s="202"/>
      <c r="I68" s="203"/>
      <c r="J68" s="200"/>
      <c r="K68" s="677"/>
      <c r="L68" s="678"/>
      <c r="O68" s="199"/>
      <c r="P68" s="401"/>
      <c r="Q68" s="401"/>
      <c r="R68" s="199"/>
    </row>
    <row r="69" spans="1:18" s="189" customFormat="1" ht="15.75" customHeight="1">
      <c r="A69" s="681"/>
      <c r="B69" s="682"/>
      <c r="C69" s="204" t="s">
        <v>211</v>
      </c>
      <c r="D69" s="677"/>
      <c r="E69" s="678"/>
      <c r="F69" s="678"/>
      <c r="G69" s="200"/>
      <c r="H69" s="202"/>
      <c r="I69" s="203"/>
      <c r="J69" s="200"/>
      <c r="K69" s="677"/>
      <c r="L69" s="678"/>
      <c r="O69" s="199"/>
      <c r="P69" s="401"/>
      <c r="Q69" s="401"/>
      <c r="R69" s="199"/>
    </row>
    <row r="70" spans="1:18" s="199" customFormat="1" ht="15.75" customHeight="1">
      <c r="A70" s="679" t="s">
        <v>188</v>
      </c>
      <c r="B70" s="679"/>
      <c r="C70" s="207" t="s">
        <v>47</v>
      </c>
      <c r="D70" s="679" t="s">
        <v>12</v>
      </c>
      <c r="E70" s="680"/>
      <c r="F70" s="680"/>
      <c r="G70" s="207" t="s">
        <v>46</v>
      </c>
      <c r="H70" s="207" t="s">
        <v>380</v>
      </c>
      <c r="I70" s="207" t="s">
        <v>381</v>
      </c>
      <c r="J70" s="160" t="s">
        <v>332</v>
      </c>
      <c r="K70" s="679" t="s">
        <v>51</v>
      </c>
      <c r="L70" s="680"/>
      <c r="M70" s="208"/>
      <c r="N70" s="189"/>
      <c r="P70" s="401"/>
      <c r="Q70" s="401"/>
    </row>
    <row r="71" spans="1:18" s="189" customFormat="1" ht="15.75" customHeight="1">
      <c r="A71" s="681">
        <v>4</v>
      </c>
      <c r="B71" s="682" t="s">
        <v>156</v>
      </c>
      <c r="C71" s="200">
        <v>1</v>
      </c>
      <c r="D71" s="677" t="s">
        <v>584</v>
      </c>
      <c r="E71" s="678"/>
      <c r="F71" s="678"/>
      <c r="G71" s="200">
        <v>6</v>
      </c>
      <c r="H71" s="202">
        <v>2258.8418407560575</v>
      </c>
      <c r="I71" s="203">
        <v>376.47364012600957</v>
      </c>
      <c r="J71" s="221">
        <f>I71-I45</f>
        <v>0.57779165289770162</v>
      </c>
      <c r="K71" s="677" t="s">
        <v>435</v>
      </c>
      <c r="L71" s="678"/>
      <c r="N71" s="199"/>
      <c r="O71" s="199"/>
      <c r="P71" s="401"/>
      <c r="Q71" s="401"/>
      <c r="R71" s="199"/>
    </row>
    <row r="72" spans="1:18" s="189" customFormat="1" ht="15.75" customHeight="1">
      <c r="A72" s="681"/>
      <c r="B72" s="682"/>
      <c r="C72" s="200">
        <v>2</v>
      </c>
      <c r="D72" s="677" t="s">
        <v>605</v>
      </c>
      <c r="E72" s="678"/>
      <c r="F72" s="678"/>
      <c r="G72" s="200">
        <v>6</v>
      </c>
      <c r="H72" s="202">
        <v>2258.1174550323085</v>
      </c>
      <c r="I72" s="203">
        <v>376.3529091720514</v>
      </c>
      <c r="J72" s="221">
        <f>I72-I46</f>
        <v>0.56351435167988484</v>
      </c>
      <c r="K72" s="677" t="s">
        <v>435</v>
      </c>
      <c r="L72" s="678"/>
      <c r="O72" s="199"/>
      <c r="P72" s="401"/>
      <c r="Q72" s="401"/>
      <c r="R72" s="199"/>
    </row>
    <row r="73" spans="1:18" s="189" customFormat="1" ht="15.75" customHeight="1">
      <c r="A73" s="681"/>
      <c r="B73" s="682"/>
      <c r="C73" s="200">
        <v>3</v>
      </c>
      <c r="D73" s="677" t="s">
        <v>744</v>
      </c>
      <c r="E73" s="678"/>
      <c r="F73" s="678"/>
      <c r="G73" s="200">
        <v>6</v>
      </c>
      <c r="H73" s="202">
        <v>2255.9546645030323</v>
      </c>
      <c r="I73" s="203">
        <v>375.99244408383868</v>
      </c>
      <c r="J73" s="221"/>
      <c r="K73" s="677" t="s">
        <v>754</v>
      </c>
      <c r="L73" s="678"/>
      <c r="O73" s="199"/>
      <c r="P73" s="401"/>
      <c r="Q73" s="401"/>
      <c r="R73" s="199"/>
    </row>
    <row r="74" spans="1:18" s="189" customFormat="1" ht="15.75" customHeight="1">
      <c r="A74" s="681"/>
      <c r="B74" s="682"/>
      <c r="C74" s="200">
        <v>4</v>
      </c>
      <c r="D74" s="677" t="s">
        <v>745</v>
      </c>
      <c r="E74" s="678"/>
      <c r="F74" s="678"/>
      <c r="G74" s="200">
        <v>6</v>
      </c>
      <c r="H74" s="202">
        <v>2255.0056075189345</v>
      </c>
      <c r="I74" s="203">
        <v>375.83426791982254</v>
      </c>
      <c r="J74" s="221"/>
      <c r="K74" s="677" t="s">
        <v>754</v>
      </c>
      <c r="L74" s="678"/>
      <c r="O74" s="199"/>
      <c r="P74" s="401"/>
      <c r="Q74" s="401"/>
      <c r="R74" s="199"/>
    </row>
    <row r="75" spans="1:18" s="189" customFormat="1" ht="15.75" customHeight="1">
      <c r="A75" s="681"/>
      <c r="B75" s="682"/>
      <c r="C75" s="200">
        <v>5</v>
      </c>
      <c r="D75" s="677"/>
      <c r="E75" s="678"/>
      <c r="F75" s="678"/>
      <c r="G75" s="200"/>
      <c r="H75" s="202"/>
      <c r="I75" s="203"/>
      <c r="J75" s="200"/>
      <c r="K75" s="677"/>
      <c r="L75" s="678"/>
      <c r="O75" s="199"/>
      <c r="P75" s="401"/>
      <c r="Q75" s="401"/>
      <c r="R75" s="199"/>
    </row>
    <row r="76" spans="1:18" s="189" customFormat="1" ht="15.75" customHeight="1">
      <c r="A76" s="681"/>
      <c r="B76" s="682"/>
      <c r="C76" s="204" t="s">
        <v>204</v>
      </c>
      <c r="D76" s="677"/>
      <c r="E76" s="678"/>
      <c r="F76" s="678"/>
      <c r="G76" s="200"/>
      <c r="H76" s="202"/>
      <c r="I76" s="203"/>
      <c r="J76" s="200"/>
      <c r="K76" s="677"/>
      <c r="L76" s="678"/>
      <c r="O76" s="199"/>
      <c r="P76" s="401"/>
      <c r="Q76" s="401"/>
      <c r="R76" s="199"/>
    </row>
    <row r="77" spans="1:18" s="189" customFormat="1" ht="15.75" customHeight="1">
      <c r="A77" s="681"/>
      <c r="B77" s="682"/>
      <c r="C77" s="204" t="s">
        <v>209</v>
      </c>
      <c r="D77" s="677"/>
      <c r="E77" s="678"/>
      <c r="F77" s="678"/>
      <c r="G77" s="200"/>
      <c r="H77" s="202"/>
      <c r="I77" s="203"/>
      <c r="J77" s="200"/>
      <c r="K77" s="677"/>
      <c r="L77" s="678"/>
      <c r="O77" s="199"/>
      <c r="P77" s="401"/>
      <c r="Q77" s="401"/>
      <c r="R77" s="199"/>
    </row>
    <row r="78" spans="1:18" s="189" customFormat="1" ht="15.75" customHeight="1">
      <c r="A78" s="681"/>
      <c r="B78" s="682"/>
      <c r="C78" s="204" t="s">
        <v>205</v>
      </c>
      <c r="D78" s="677"/>
      <c r="E78" s="678"/>
      <c r="F78" s="678"/>
      <c r="G78" s="200"/>
      <c r="H78" s="202"/>
      <c r="I78" s="203"/>
      <c r="J78" s="200"/>
      <c r="K78" s="677"/>
      <c r="L78" s="678"/>
      <c r="O78" s="199"/>
      <c r="P78" s="401"/>
      <c r="Q78" s="401"/>
      <c r="R78" s="199"/>
    </row>
    <row r="79" spans="1:18" s="189" customFormat="1" ht="15.75" customHeight="1">
      <c r="A79" s="681"/>
      <c r="B79" s="682"/>
      <c r="C79" s="204" t="s">
        <v>210</v>
      </c>
      <c r="D79" s="677"/>
      <c r="E79" s="678"/>
      <c r="F79" s="678"/>
      <c r="G79" s="200"/>
      <c r="H79" s="202"/>
      <c r="I79" s="203"/>
      <c r="J79" s="200"/>
      <c r="K79" s="677"/>
      <c r="L79" s="678"/>
      <c r="O79" s="199"/>
      <c r="P79" s="401"/>
      <c r="Q79" s="401"/>
      <c r="R79" s="199"/>
    </row>
    <row r="80" spans="1:18" s="189" customFormat="1" ht="15.75" customHeight="1">
      <c r="A80" s="681"/>
      <c r="B80" s="682"/>
      <c r="C80" s="204" t="s">
        <v>211</v>
      </c>
      <c r="D80" s="677"/>
      <c r="E80" s="678"/>
      <c r="F80" s="678"/>
      <c r="G80" s="200"/>
      <c r="H80" s="202"/>
      <c r="I80" s="203"/>
      <c r="J80" s="200"/>
      <c r="K80" s="677"/>
      <c r="L80" s="678"/>
      <c r="O80" s="199"/>
      <c r="P80" s="401"/>
      <c r="Q80" s="401"/>
      <c r="R80" s="199"/>
    </row>
    <row r="81" spans="1:18" s="189" customFormat="1" ht="15.75" customHeight="1">
      <c r="A81" s="683" t="s">
        <v>781</v>
      </c>
      <c r="B81" s="683"/>
      <c r="C81" s="683"/>
      <c r="D81" s="683"/>
      <c r="E81" s="683"/>
      <c r="F81" s="683"/>
      <c r="G81" s="683"/>
      <c r="H81" s="683"/>
      <c r="I81" s="683"/>
      <c r="J81" s="683"/>
      <c r="K81" s="683"/>
      <c r="L81" s="683"/>
    </row>
    <row r="82" spans="1:18" s="190" customFormat="1" ht="15.75" customHeight="1">
      <c r="A82" s="683"/>
      <c r="B82" s="683"/>
      <c r="C82" s="683"/>
      <c r="D82" s="683"/>
      <c r="E82" s="683"/>
      <c r="F82" s="683"/>
      <c r="G82" s="683"/>
      <c r="H82" s="683"/>
      <c r="I82" s="683"/>
      <c r="J82" s="683"/>
      <c r="K82" s="683"/>
      <c r="L82" s="683"/>
    </row>
    <row r="83" spans="1:18" s="178" customFormat="1" ht="16.350000000000001" customHeight="1">
      <c r="A83" s="681" t="s">
        <v>162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50000000000001" customHeight="1">
      <c r="A84" s="681"/>
      <c r="B84" s="195" t="s">
        <v>206</v>
      </c>
      <c r="C84" s="195" t="s">
        <v>155</v>
      </c>
      <c r="D84" s="194" t="s">
        <v>207</v>
      </c>
      <c r="E84" s="194" t="s">
        <v>156</v>
      </c>
      <c r="F84" s="195" t="s">
        <v>350</v>
      </c>
      <c r="G84" s="196" t="s">
        <v>136</v>
      </c>
      <c r="H84" s="197" t="s">
        <v>208</v>
      </c>
      <c r="I84" s="196" t="s">
        <v>379</v>
      </c>
      <c r="J84" s="196" t="s">
        <v>142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82" t="s">
        <v>188</v>
      </c>
      <c r="B85" s="682"/>
      <c r="C85" s="160" t="s">
        <v>47</v>
      </c>
      <c r="D85" s="682" t="s">
        <v>12</v>
      </c>
      <c r="E85" s="684"/>
      <c r="F85" s="684"/>
      <c r="G85" s="160" t="s">
        <v>46</v>
      </c>
      <c r="H85" s="160" t="s">
        <v>380</v>
      </c>
      <c r="I85" s="160" t="s">
        <v>381</v>
      </c>
      <c r="J85" s="160" t="s">
        <v>332</v>
      </c>
      <c r="K85" s="682" t="s">
        <v>51</v>
      </c>
      <c r="L85" s="684"/>
      <c r="M85" s="193"/>
      <c r="N85" s="189"/>
      <c r="O85" s="199"/>
      <c r="P85" s="401"/>
      <c r="Q85" s="401"/>
      <c r="R85" s="199"/>
    </row>
    <row r="86" spans="1:18" s="189" customFormat="1" ht="15.75" customHeight="1">
      <c r="A86" s="681">
        <v>3</v>
      </c>
      <c r="B86" s="682" t="s">
        <v>383</v>
      </c>
      <c r="C86" s="200">
        <v>1</v>
      </c>
      <c r="D86" s="677" t="s">
        <v>349</v>
      </c>
      <c r="E86" s="678"/>
      <c r="F86" s="678"/>
      <c r="G86" s="200">
        <v>24.714285714285715</v>
      </c>
      <c r="H86" s="202">
        <v>2939.5412087912091</v>
      </c>
      <c r="I86" s="203">
        <v>118.9664452938366</v>
      </c>
      <c r="J86" s="221">
        <f>I86-I60</f>
        <v>0.67248924988059855</v>
      </c>
      <c r="K86" s="677"/>
      <c r="L86" s="678"/>
      <c r="M86" s="190"/>
      <c r="O86" s="199"/>
      <c r="P86" s="401"/>
      <c r="Q86" s="401"/>
      <c r="R86" s="199"/>
    </row>
    <row r="87" spans="1:18" s="189" customFormat="1" ht="15.75" customHeight="1">
      <c r="A87" s="681"/>
      <c r="B87" s="682"/>
      <c r="C87" s="200">
        <v>2</v>
      </c>
      <c r="D87" s="677"/>
      <c r="E87" s="678"/>
      <c r="F87" s="678"/>
      <c r="G87" s="200"/>
      <c r="H87" s="202"/>
      <c r="I87" s="203"/>
      <c r="J87" s="221"/>
      <c r="K87" s="677"/>
      <c r="L87" s="678"/>
      <c r="M87" s="190"/>
      <c r="O87" s="199"/>
      <c r="P87" s="401"/>
      <c r="Q87" s="401"/>
      <c r="R87" s="199"/>
    </row>
    <row r="88" spans="1:18" s="189" customFormat="1" ht="15.75" customHeight="1">
      <c r="A88" s="681"/>
      <c r="B88" s="682"/>
      <c r="C88" s="200">
        <v>3</v>
      </c>
      <c r="D88" s="677"/>
      <c r="E88" s="678"/>
      <c r="F88" s="678"/>
      <c r="G88" s="200"/>
      <c r="H88" s="202"/>
      <c r="I88" s="203"/>
      <c r="J88" s="200"/>
      <c r="K88" s="677"/>
      <c r="L88" s="678"/>
      <c r="M88" s="190"/>
      <c r="O88" s="199"/>
      <c r="P88" s="401"/>
      <c r="Q88" s="401"/>
      <c r="R88" s="199"/>
    </row>
    <row r="89" spans="1:18" s="189" customFormat="1" ht="15.75" customHeight="1">
      <c r="A89" s="681"/>
      <c r="B89" s="682"/>
      <c r="C89" s="200">
        <v>4</v>
      </c>
      <c r="D89" s="677"/>
      <c r="E89" s="678"/>
      <c r="F89" s="678"/>
      <c r="G89" s="200"/>
      <c r="H89" s="202"/>
      <c r="I89" s="203"/>
      <c r="J89" s="200"/>
      <c r="K89" s="677"/>
      <c r="L89" s="678"/>
      <c r="M89" s="190"/>
      <c r="O89" s="199"/>
      <c r="P89" s="401"/>
      <c r="Q89" s="401"/>
      <c r="R89" s="199"/>
    </row>
    <row r="90" spans="1:18" s="189" customFormat="1" ht="15.75" customHeight="1">
      <c r="A90" s="681"/>
      <c r="B90" s="682"/>
      <c r="C90" s="200">
        <v>5</v>
      </c>
      <c r="D90" s="677"/>
      <c r="E90" s="678"/>
      <c r="F90" s="678"/>
      <c r="G90" s="200"/>
      <c r="H90" s="202"/>
      <c r="I90" s="203"/>
      <c r="J90" s="200"/>
      <c r="K90" s="677"/>
      <c r="L90" s="678"/>
      <c r="M90" s="190"/>
      <c r="O90" s="199"/>
      <c r="P90" s="401"/>
      <c r="Q90" s="401"/>
      <c r="R90" s="199"/>
    </row>
    <row r="91" spans="1:18" s="189" customFormat="1" ht="15.75" customHeight="1">
      <c r="A91" s="681"/>
      <c r="B91" s="682"/>
      <c r="C91" s="204" t="s">
        <v>204</v>
      </c>
      <c r="D91" s="677"/>
      <c r="E91" s="678"/>
      <c r="F91" s="678"/>
      <c r="G91" s="200"/>
      <c r="H91" s="202"/>
      <c r="I91" s="203"/>
      <c r="J91" s="200"/>
      <c r="K91" s="677"/>
      <c r="L91" s="678"/>
      <c r="M91" s="190"/>
      <c r="O91" s="199"/>
      <c r="P91" s="401"/>
      <c r="Q91" s="401"/>
      <c r="R91" s="199"/>
    </row>
    <row r="92" spans="1:18" s="189" customFormat="1" ht="15.75" customHeight="1">
      <c r="A92" s="681"/>
      <c r="B92" s="682"/>
      <c r="C92" s="204" t="s">
        <v>209</v>
      </c>
      <c r="D92" s="677"/>
      <c r="E92" s="678"/>
      <c r="F92" s="678"/>
      <c r="G92" s="200"/>
      <c r="H92" s="202"/>
      <c r="I92" s="203"/>
      <c r="J92" s="200"/>
      <c r="K92" s="677"/>
      <c r="L92" s="678"/>
      <c r="M92" s="190"/>
      <c r="N92" s="178"/>
      <c r="O92" s="178"/>
      <c r="P92" s="400"/>
      <c r="Q92" s="400"/>
      <c r="R92" s="178"/>
    </row>
    <row r="93" spans="1:18" s="189" customFormat="1" ht="15.75" customHeight="1">
      <c r="A93" s="681"/>
      <c r="B93" s="682"/>
      <c r="C93" s="204" t="s">
        <v>205</v>
      </c>
      <c r="D93" s="677"/>
      <c r="E93" s="678"/>
      <c r="F93" s="678"/>
      <c r="G93" s="202"/>
      <c r="H93" s="202"/>
      <c r="I93" s="203"/>
      <c r="J93" s="200"/>
      <c r="K93" s="677"/>
      <c r="L93" s="678"/>
      <c r="M93" s="190"/>
      <c r="O93" s="199"/>
      <c r="P93" s="401"/>
      <c r="Q93" s="401"/>
      <c r="R93" s="199"/>
    </row>
    <row r="94" spans="1:18" s="189" customFormat="1" ht="15.75" customHeight="1">
      <c r="A94" s="681"/>
      <c r="B94" s="682"/>
      <c r="C94" s="204" t="s">
        <v>210</v>
      </c>
      <c r="D94" s="677"/>
      <c r="E94" s="678"/>
      <c r="F94" s="678"/>
      <c r="G94" s="200"/>
      <c r="H94" s="202"/>
      <c r="I94" s="203"/>
      <c r="J94" s="200"/>
      <c r="K94" s="677"/>
      <c r="L94" s="678"/>
      <c r="O94" s="199"/>
      <c r="P94" s="401"/>
      <c r="Q94" s="401"/>
      <c r="R94" s="199"/>
    </row>
    <row r="95" spans="1:18" s="189" customFormat="1" ht="15.75" customHeight="1">
      <c r="A95" s="681"/>
      <c r="B95" s="682"/>
      <c r="C95" s="204" t="s">
        <v>211</v>
      </c>
      <c r="D95" s="677"/>
      <c r="E95" s="678"/>
      <c r="F95" s="678"/>
      <c r="G95" s="200"/>
      <c r="H95" s="202"/>
      <c r="I95" s="203"/>
      <c r="J95" s="200"/>
      <c r="K95" s="677"/>
      <c r="L95" s="678"/>
      <c r="O95" s="199"/>
      <c r="P95" s="401"/>
      <c r="Q95" s="401"/>
      <c r="R95" s="199"/>
    </row>
    <row r="96" spans="1:18" s="199" customFormat="1" ht="15.75" customHeight="1">
      <c r="A96" s="679" t="s">
        <v>188</v>
      </c>
      <c r="B96" s="679"/>
      <c r="C96" s="207" t="s">
        <v>47</v>
      </c>
      <c r="D96" s="679" t="s">
        <v>12</v>
      </c>
      <c r="E96" s="680"/>
      <c r="F96" s="680"/>
      <c r="G96" s="207" t="s">
        <v>46</v>
      </c>
      <c r="H96" s="207" t="s">
        <v>380</v>
      </c>
      <c r="I96" s="207" t="s">
        <v>381</v>
      </c>
      <c r="J96" s="160" t="s">
        <v>332</v>
      </c>
      <c r="K96" s="679" t="s">
        <v>51</v>
      </c>
      <c r="L96" s="680"/>
      <c r="M96" s="208"/>
      <c r="N96" s="189"/>
      <c r="P96" s="401"/>
      <c r="Q96" s="401"/>
    </row>
    <row r="97" spans="1:18" s="189" customFormat="1" ht="15.75" customHeight="1">
      <c r="A97" s="681">
        <v>4</v>
      </c>
      <c r="B97" s="682" t="s">
        <v>156</v>
      </c>
      <c r="C97" s="200">
        <v>1</v>
      </c>
      <c r="D97" s="677" t="s">
        <v>784</v>
      </c>
      <c r="E97" s="678"/>
      <c r="F97" s="678"/>
      <c r="G97" s="200">
        <v>6</v>
      </c>
      <c r="H97" s="202">
        <v>2846.5797080482662</v>
      </c>
      <c r="I97" s="203">
        <v>474.42995134137766</v>
      </c>
      <c r="J97" s="221"/>
      <c r="K97" s="677"/>
      <c r="L97" s="678"/>
      <c r="N97" s="199"/>
      <c r="O97" s="199"/>
      <c r="P97" s="401"/>
      <c r="Q97" s="401"/>
      <c r="R97" s="199"/>
    </row>
    <row r="98" spans="1:18" s="189" customFormat="1" ht="15.75" customHeight="1">
      <c r="A98" s="681"/>
      <c r="B98" s="682"/>
      <c r="C98" s="200">
        <v>2</v>
      </c>
      <c r="D98" s="677" t="s">
        <v>744</v>
      </c>
      <c r="E98" s="678"/>
      <c r="F98" s="678"/>
      <c r="G98" s="200">
        <v>6</v>
      </c>
      <c r="H98" s="202">
        <v>2351.1958990966828</v>
      </c>
      <c r="I98" s="203">
        <v>391.86598318278044</v>
      </c>
      <c r="J98" s="221">
        <f>I98-I73</f>
        <v>15.873539098941762</v>
      </c>
      <c r="K98" s="677"/>
      <c r="L98" s="678"/>
      <c r="O98" s="199"/>
      <c r="P98" s="401"/>
      <c r="Q98" s="401"/>
      <c r="R98" s="199"/>
    </row>
    <row r="99" spans="1:18" s="189" customFormat="1" ht="15.75" customHeight="1">
      <c r="A99" s="681"/>
      <c r="B99" s="682"/>
      <c r="C99" s="200">
        <v>3</v>
      </c>
      <c r="D99" s="677" t="s">
        <v>745</v>
      </c>
      <c r="E99" s="678"/>
      <c r="F99" s="678"/>
      <c r="G99" s="200">
        <v>6</v>
      </c>
      <c r="H99" s="202">
        <v>2350.605063492334</v>
      </c>
      <c r="I99" s="203">
        <v>391.76751058205571</v>
      </c>
      <c r="J99" s="221">
        <f>I99-I74</f>
        <v>15.93324266223317</v>
      </c>
      <c r="K99" s="677"/>
      <c r="L99" s="678"/>
      <c r="O99" s="199"/>
      <c r="P99" s="401"/>
      <c r="Q99" s="401"/>
      <c r="R99" s="199"/>
    </row>
    <row r="100" spans="1:18" s="189" customFormat="1" ht="15.75" customHeight="1">
      <c r="A100" s="681"/>
      <c r="B100" s="682"/>
      <c r="C100" s="200">
        <v>4</v>
      </c>
      <c r="D100" s="677" t="s">
        <v>605</v>
      </c>
      <c r="E100" s="678"/>
      <c r="F100" s="678"/>
      <c r="G100" s="200">
        <v>6</v>
      </c>
      <c r="H100" s="202">
        <v>2262.684288936211</v>
      </c>
      <c r="I100" s="203">
        <v>377.1140481560351</v>
      </c>
      <c r="J100" s="221">
        <f>I100-I72</f>
        <v>0.76113898398369884</v>
      </c>
      <c r="K100" s="677"/>
      <c r="L100" s="678"/>
      <c r="O100" s="199"/>
      <c r="P100" s="401"/>
      <c r="Q100" s="401"/>
      <c r="R100" s="199"/>
    </row>
    <row r="101" spans="1:18" s="189" customFormat="1" ht="15.75" customHeight="1">
      <c r="A101" s="681"/>
      <c r="B101" s="682"/>
      <c r="C101" s="200">
        <v>5</v>
      </c>
      <c r="D101" s="677" t="s">
        <v>584</v>
      </c>
      <c r="E101" s="678"/>
      <c r="F101" s="678"/>
      <c r="G101" s="200">
        <v>6</v>
      </c>
      <c r="H101" s="202">
        <v>2262.3570169539553</v>
      </c>
      <c r="I101" s="203">
        <v>377.05950282565919</v>
      </c>
      <c r="J101" s="221">
        <f>I101-I71</f>
        <v>0.58586269964962412</v>
      </c>
      <c r="K101" s="677"/>
      <c r="L101" s="678"/>
      <c r="O101" s="199"/>
      <c r="P101" s="401"/>
      <c r="Q101" s="401"/>
      <c r="R101" s="199"/>
    </row>
    <row r="102" spans="1:18" s="189" customFormat="1" ht="15.75" customHeight="1">
      <c r="A102" s="681"/>
      <c r="B102" s="682"/>
      <c r="C102" s="204" t="s">
        <v>204</v>
      </c>
      <c r="D102" s="677"/>
      <c r="E102" s="678"/>
      <c r="F102" s="678"/>
      <c r="G102" s="200"/>
      <c r="H102" s="202"/>
      <c r="I102" s="203"/>
      <c r="J102" s="200"/>
      <c r="K102" s="677"/>
      <c r="L102" s="678"/>
      <c r="O102" s="199"/>
      <c r="P102" s="401"/>
      <c r="Q102" s="401"/>
      <c r="R102" s="199"/>
    </row>
    <row r="103" spans="1:18" s="189" customFormat="1" ht="15.75" customHeight="1">
      <c r="A103" s="681"/>
      <c r="B103" s="682"/>
      <c r="C103" s="204" t="s">
        <v>209</v>
      </c>
      <c r="D103" s="677"/>
      <c r="E103" s="678"/>
      <c r="F103" s="678"/>
      <c r="G103" s="200"/>
      <c r="H103" s="202"/>
      <c r="I103" s="203"/>
      <c r="J103" s="200"/>
      <c r="K103" s="677"/>
      <c r="L103" s="678"/>
      <c r="O103" s="199"/>
      <c r="P103" s="401"/>
      <c r="Q103" s="401"/>
      <c r="R103" s="199"/>
    </row>
    <row r="104" spans="1:18" s="189" customFormat="1" ht="15.75" customHeight="1">
      <c r="A104" s="681"/>
      <c r="B104" s="682"/>
      <c r="C104" s="204" t="s">
        <v>205</v>
      </c>
      <c r="D104" s="677"/>
      <c r="E104" s="678"/>
      <c r="F104" s="678"/>
      <c r="G104" s="200"/>
      <c r="H104" s="202"/>
      <c r="I104" s="203"/>
      <c r="J104" s="200"/>
      <c r="K104" s="677"/>
      <c r="L104" s="678"/>
      <c r="O104" s="199"/>
      <c r="P104" s="401"/>
      <c r="Q104" s="401"/>
      <c r="R104" s="199"/>
    </row>
    <row r="105" spans="1:18" s="189" customFormat="1" ht="15.75" customHeight="1">
      <c r="A105" s="681"/>
      <c r="B105" s="682"/>
      <c r="C105" s="204" t="s">
        <v>210</v>
      </c>
      <c r="D105" s="677"/>
      <c r="E105" s="678"/>
      <c r="F105" s="678"/>
      <c r="G105" s="200"/>
      <c r="H105" s="202"/>
      <c r="I105" s="203"/>
      <c r="J105" s="200"/>
      <c r="K105" s="677"/>
      <c r="L105" s="678"/>
      <c r="O105" s="199"/>
      <c r="P105" s="401"/>
      <c r="Q105" s="401"/>
      <c r="R105" s="199"/>
    </row>
    <row r="106" spans="1:18" s="189" customFormat="1" ht="15.75" customHeight="1">
      <c r="A106" s="681"/>
      <c r="B106" s="682"/>
      <c r="C106" s="204" t="s">
        <v>211</v>
      </c>
      <c r="D106" s="677"/>
      <c r="E106" s="678"/>
      <c r="F106" s="678"/>
      <c r="G106" s="200"/>
      <c r="H106" s="202"/>
      <c r="I106" s="203"/>
      <c r="J106" s="200"/>
      <c r="K106" s="677"/>
      <c r="L106" s="678"/>
      <c r="O106" s="199"/>
      <c r="P106" s="401"/>
      <c r="Q106" s="401"/>
      <c r="R106" s="199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R106"/>
  <sheetViews>
    <sheetView view="pageBreakPreview" topLeftCell="A77" zoomScaleNormal="60" zoomScaleSheetLayoutView="100" workbookViewId="0">
      <selection activeCell="J107" sqref="J107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57" t="s">
        <v>378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99"/>
    </row>
    <row r="2" spans="1:18" s="10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N2" s="190"/>
      <c r="O2" s="190"/>
      <c r="P2" s="190"/>
      <c r="Q2" s="190"/>
      <c r="R2" s="190"/>
    </row>
    <row r="3" spans="1:18" s="189" customFormat="1" ht="15.75" customHeight="1">
      <c r="A3" s="683" t="s">
        <v>616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</row>
    <row r="4" spans="1:18" s="190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</row>
    <row r="5" spans="1:18" s="106" customFormat="1" ht="16.350000000000001" customHeight="1">
      <c r="A5" s="681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81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350</v>
      </c>
      <c r="G6" s="209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82" t="s">
        <v>188</v>
      </c>
      <c r="B7" s="682"/>
      <c r="C7" s="160" t="s">
        <v>47</v>
      </c>
      <c r="D7" s="682" t="s">
        <v>12</v>
      </c>
      <c r="E7" s="684"/>
      <c r="F7" s="684"/>
      <c r="G7" s="160" t="s">
        <v>46</v>
      </c>
      <c r="H7" s="160" t="s">
        <v>380</v>
      </c>
      <c r="I7" s="160" t="s">
        <v>381</v>
      </c>
      <c r="J7" s="160" t="s">
        <v>332</v>
      </c>
      <c r="K7" s="682" t="s">
        <v>51</v>
      </c>
      <c r="L7" s="684"/>
      <c r="M7" s="127"/>
      <c r="N7" s="189"/>
      <c r="O7" s="199"/>
      <c r="P7" s="401"/>
      <c r="Q7" s="401"/>
      <c r="R7" s="199"/>
    </row>
    <row r="8" spans="1:18" ht="15.75" customHeight="1">
      <c r="A8" s="681">
        <v>5</v>
      </c>
      <c r="B8" s="682" t="s">
        <v>350</v>
      </c>
      <c r="C8" s="200">
        <v>1</v>
      </c>
      <c r="D8" s="677" t="s">
        <v>585</v>
      </c>
      <c r="E8" s="678"/>
      <c r="F8" s="678"/>
      <c r="G8" s="202">
        <v>16</v>
      </c>
      <c r="H8" s="202">
        <v>1788.2251123726844</v>
      </c>
      <c r="I8" s="203">
        <v>111.76406952329278</v>
      </c>
      <c r="J8" s="357">
        <v>2.733162270869812</v>
      </c>
      <c r="K8" s="677" t="s">
        <v>501</v>
      </c>
      <c r="L8" s="678"/>
      <c r="O8" s="402"/>
      <c r="P8" s="401"/>
      <c r="Q8" s="401"/>
      <c r="R8" s="199"/>
    </row>
    <row r="9" spans="1:18" ht="15.75" customHeight="1">
      <c r="A9" s="681"/>
      <c r="B9" s="682"/>
      <c r="C9" s="200">
        <v>2</v>
      </c>
      <c r="D9" s="677" t="s">
        <v>493</v>
      </c>
      <c r="E9" s="678"/>
      <c r="F9" s="678"/>
      <c r="G9" s="202">
        <v>20</v>
      </c>
      <c r="H9" s="202">
        <v>1788.4208852000145</v>
      </c>
      <c r="I9" s="203">
        <v>89.421044260000727</v>
      </c>
      <c r="J9" s="357">
        <v>0.15504489926621545</v>
      </c>
      <c r="K9" s="688" t="s">
        <v>435</v>
      </c>
      <c r="L9" s="687"/>
      <c r="O9" s="402"/>
      <c r="P9" s="401"/>
      <c r="Q9" s="401"/>
      <c r="R9" s="199"/>
    </row>
    <row r="10" spans="1:18" ht="15.75" customHeight="1">
      <c r="A10" s="681"/>
      <c r="B10" s="682"/>
      <c r="C10" s="200">
        <v>3</v>
      </c>
      <c r="D10" s="677" t="s">
        <v>451</v>
      </c>
      <c r="E10" s="678"/>
      <c r="F10" s="678"/>
      <c r="G10" s="202">
        <v>20</v>
      </c>
      <c r="H10" s="202">
        <v>1786</v>
      </c>
      <c r="I10" s="203">
        <v>89.299999999999983</v>
      </c>
      <c r="J10" s="357">
        <v>0</v>
      </c>
      <c r="K10" s="688" t="s">
        <v>435</v>
      </c>
      <c r="L10" s="687"/>
      <c r="O10" s="402"/>
      <c r="P10" s="401"/>
      <c r="Q10" s="401"/>
      <c r="R10" s="199"/>
    </row>
    <row r="11" spans="1:18" ht="15.75" customHeight="1">
      <c r="A11" s="681"/>
      <c r="B11" s="682"/>
      <c r="C11" s="200">
        <v>4</v>
      </c>
      <c r="D11" s="677" t="s">
        <v>343</v>
      </c>
      <c r="E11" s="678"/>
      <c r="F11" s="678"/>
      <c r="G11" s="202">
        <v>22.714285714285715</v>
      </c>
      <c r="H11" s="202">
        <v>1800.0874232634017</v>
      </c>
      <c r="I11" s="203">
        <v>79.274089999818287</v>
      </c>
      <c r="J11" s="357">
        <v>1.3863557693979232</v>
      </c>
      <c r="K11" s="688" t="s">
        <v>435</v>
      </c>
      <c r="L11" s="687"/>
      <c r="O11" s="402"/>
      <c r="P11" s="401"/>
      <c r="Q11" s="401"/>
      <c r="R11" s="199"/>
    </row>
    <row r="12" spans="1:18" ht="15.75" customHeight="1">
      <c r="A12" s="681"/>
      <c r="B12" s="682"/>
      <c r="C12" s="200">
        <v>5</v>
      </c>
      <c r="D12" s="677" t="s">
        <v>351</v>
      </c>
      <c r="E12" s="678"/>
      <c r="F12" s="678"/>
      <c r="G12" s="202">
        <v>22.714285714285715</v>
      </c>
      <c r="H12" s="202">
        <v>1798.5902299960592</v>
      </c>
      <c r="I12" s="203">
        <v>79.208446277876973</v>
      </c>
      <c r="J12" s="357">
        <v>1.4435451727229776</v>
      </c>
      <c r="K12" s="688" t="s">
        <v>435</v>
      </c>
      <c r="L12" s="687"/>
      <c r="O12" s="402"/>
      <c r="P12" s="401"/>
      <c r="Q12" s="401"/>
      <c r="R12" s="199"/>
    </row>
    <row r="13" spans="1:18" ht="15.75" customHeight="1">
      <c r="A13" s="681"/>
      <c r="B13" s="682"/>
      <c r="C13" s="204" t="s">
        <v>204</v>
      </c>
      <c r="D13" s="677" t="s">
        <v>344</v>
      </c>
      <c r="E13" s="678"/>
      <c r="F13" s="678"/>
      <c r="G13" s="202">
        <v>24</v>
      </c>
      <c r="H13" s="202">
        <v>1785.6013990749088</v>
      </c>
      <c r="I13" s="203">
        <v>74.400058294787883</v>
      </c>
      <c r="J13" s="357">
        <v>0.16607259524482743</v>
      </c>
      <c r="K13" s="688" t="s">
        <v>435</v>
      </c>
      <c r="L13" s="687"/>
      <c r="N13" s="178"/>
      <c r="O13" s="403"/>
      <c r="P13" s="400"/>
      <c r="Q13" s="400"/>
      <c r="R13" s="178"/>
    </row>
    <row r="14" spans="1:18" ht="15.75" customHeight="1">
      <c r="A14" s="681"/>
      <c r="B14" s="682"/>
      <c r="C14" s="204" t="s">
        <v>209</v>
      </c>
      <c r="D14" s="677" t="s">
        <v>492</v>
      </c>
      <c r="E14" s="678"/>
      <c r="F14" s="678"/>
      <c r="G14" s="202">
        <v>21</v>
      </c>
      <c r="H14" s="202">
        <v>1605.7342925930138</v>
      </c>
      <c r="I14" s="203">
        <v>76.46353774252448</v>
      </c>
      <c r="J14" s="357">
        <v>-4.3717681512703166E-2</v>
      </c>
      <c r="K14" s="688" t="s">
        <v>435</v>
      </c>
      <c r="L14" s="687"/>
      <c r="O14" s="402"/>
      <c r="P14" s="401"/>
      <c r="Q14" s="401"/>
      <c r="R14" s="199"/>
    </row>
    <row r="15" spans="1:18" ht="15.75" customHeight="1">
      <c r="A15" s="681"/>
      <c r="B15" s="682"/>
      <c r="C15" s="204" t="s">
        <v>205</v>
      </c>
      <c r="D15" s="677" t="s">
        <v>345</v>
      </c>
      <c r="E15" s="678"/>
      <c r="F15" s="678"/>
      <c r="G15" s="202">
        <v>22.714285714285715</v>
      </c>
      <c r="H15" s="202">
        <v>1797.4877735524144</v>
      </c>
      <c r="I15" s="203">
        <v>79.160184182860135</v>
      </c>
      <c r="J15" s="357">
        <v>1.4621298950869175</v>
      </c>
      <c r="K15" s="688" t="s">
        <v>435</v>
      </c>
      <c r="L15" s="687"/>
      <c r="O15" s="402"/>
      <c r="P15" s="401"/>
      <c r="Q15" s="401"/>
      <c r="R15" s="199"/>
    </row>
    <row r="16" spans="1:18" ht="15.75" customHeight="1">
      <c r="A16" s="681"/>
      <c r="B16" s="682"/>
      <c r="C16" s="204" t="s">
        <v>210</v>
      </c>
      <c r="D16" s="677"/>
      <c r="E16" s="678"/>
      <c r="F16" s="678"/>
      <c r="G16" s="202"/>
      <c r="H16" s="202"/>
      <c r="I16" s="203"/>
      <c r="J16" s="357"/>
      <c r="K16" s="688"/>
      <c r="L16" s="687"/>
      <c r="M16" s="99"/>
      <c r="O16" s="402"/>
      <c r="P16" s="401"/>
      <c r="Q16" s="401"/>
      <c r="R16" s="199"/>
    </row>
    <row r="17" spans="1:18" ht="15.75" customHeight="1">
      <c r="A17" s="681"/>
      <c r="B17" s="682"/>
      <c r="C17" s="204" t="s">
        <v>211</v>
      </c>
      <c r="D17" s="677"/>
      <c r="E17" s="678"/>
      <c r="F17" s="678"/>
      <c r="G17" s="202"/>
      <c r="H17" s="202"/>
      <c r="I17" s="203"/>
      <c r="J17" s="200"/>
      <c r="K17" s="677"/>
      <c r="L17" s="678"/>
      <c r="M17" s="99"/>
      <c r="O17" s="402"/>
      <c r="P17" s="401"/>
      <c r="Q17" s="401"/>
      <c r="R17" s="199"/>
    </row>
    <row r="18" spans="1:18" s="104" customFormat="1" ht="15.75" customHeight="1">
      <c r="A18" s="679" t="s">
        <v>188</v>
      </c>
      <c r="B18" s="679"/>
      <c r="C18" s="207" t="s">
        <v>47</v>
      </c>
      <c r="D18" s="679" t="s">
        <v>12</v>
      </c>
      <c r="E18" s="680"/>
      <c r="F18" s="680"/>
      <c r="G18" s="207" t="s">
        <v>46</v>
      </c>
      <c r="H18" s="207" t="s">
        <v>380</v>
      </c>
      <c r="I18" s="207" t="s">
        <v>381</v>
      </c>
      <c r="J18" s="160" t="s">
        <v>332</v>
      </c>
      <c r="K18" s="679" t="s">
        <v>51</v>
      </c>
      <c r="L18" s="680"/>
      <c r="M18" s="128"/>
      <c r="N18" s="189"/>
      <c r="O18" s="402"/>
      <c r="P18" s="401"/>
      <c r="Q18" s="401"/>
      <c r="R18" s="199"/>
    </row>
    <row r="19" spans="1:18" ht="15.75" customHeight="1">
      <c r="A19" s="681">
        <v>6</v>
      </c>
      <c r="B19" s="682" t="s">
        <v>136</v>
      </c>
      <c r="C19" s="200">
        <v>1</v>
      </c>
      <c r="D19" s="677" t="s">
        <v>447</v>
      </c>
      <c r="E19" s="678"/>
      <c r="F19" s="678"/>
      <c r="G19" s="200">
        <v>20</v>
      </c>
      <c r="H19" s="202">
        <v>1787.4351228030155</v>
      </c>
      <c r="I19" s="203">
        <v>89.371756140150765</v>
      </c>
      <c r="J19" s="357">
        <v>7.6802002618507004E-2</v>
      </c>
      <c r="K19" s="688" t="s">
        <v>435</v>
      </c>
      <c r="L19" s="687"/>
      <c r="M19" s="99"/>
      <c r="N19" s="199"/>
      <c r="O19" s="199"/>
      <c r="P19" s="401"/>
      <c r="Q19" s="401"/>
      <c r="R19" s="199"/>
    </row>
    <row r="20" spans="1:18" ht="15.75" customHeight="1">
      <c r="A20" s="681"/>
      <c r="B20" s="682"/>
      <c r="C20" s="200">
        <v>2</v>
      </c>
      <c r="D20" s="677" t="s">
        <v>353</v>
      </c>
      <c r="E20" s="678"/>
      <c r="F20" s="678"/>
      <c r="G20" s="202">
        <v>21</v>
      </c>
      <c r="H20" s="202">
        <v>1787.0571428571423</v>
      </c>
      <c r="I20" s="203">
        <v>85.097959183673439</v>
      </c>
      <c r="J20" s="357">
        <v>2.8571428571453339E-2</v>
      </c>
      <c r="K20" s="688" t="s">
        <v>435</v>
      </c>
      <c r="L20" s="687"/>
      <c r="M20" s="99"/>
      <c r="O20" s="199"/>
      <c r="P20" s="401"/>
      <c r="Q20" s="401"/>
      <c r="R20" s="199"/>
    </row>
    <row r="21" spans="1:18" ht="15.75" customHeight="1">
      <c r="A21" s="681"/>
      <c r="B21" s="682"/>
      <c r="C21" s="200">
        <v>3</v>
      </c>
      <c r="D21" s="677" t="s">
        <v>444</v>
      </c>
      <c r="E21" s="678"/>
      <c r="F21" s="678"/>
      <c r="G21" s="202">
        <v>22</v>
      </c>
      <c r="H21" s="202">
        <v>1786.8898179020273</v>
      </c>
      <c r="I21" s="203">
        <v>81.22226445009214</v>
      </c>
      <c r="J21" s="357">
        <v>-5.4545454545447569E-2</v>
      </c>
      <c r="K21" s="688" t="s">
        <v>435</v>
      </c>
      <c r="L21" s="687"/>
      <c r="M21" s="99"/>
      <c r="O21" s="199"/>
      <c r="P21" s="401"/>
      <c r="Q21" s="401"/>
      <c r="R21" s="199"/>
    </row>
    <row r="22" spans="1:18" ht="15.75" customHeight="1">
      <c r="A22" s="681"/>
      <c r="B22" s="682"/>
      <c r="C22" s="200">
        <v>4</v>
      </c>
      <c r="D22" s="677" t="s">
        <v>441</v>
      </c>
      <c r="E22" s="678"/>
      <c r="F22" s="678"/>
      <c r="G22" s="200">
        <v>23</v>
      </c>
      <c r="H22" s="202">
        <v>1790.5066107707155</v>
      </c>
      <c r="I22" s="203">
        <v>77.848113511770222</v>
      </c>
      <c r="J22" s="357">
        <v>-4.2236024844754638E-2</v>
      </c>
      <c r="K22" s="688" t="s">
        <v>435</v>
      </c>
      <c r="L22" s="687"/>
      <c r="M22" s="99"/>
      <c r="O22" s="199"/>
      <c r="P22" s="401"/>
      <c r="Q22" s="401"/>
      <c r="R22" s="199"/>
    </row>
    <row r="23" spans="1:18" ht="15.75" customHeight="1">
      <c r="A23" s="681"/>
      <c r="B23" s="682"/>
      <c r="C23" s="200">
        <v>5</v>
      </c>
      <c r="D23" s="677" t="s">
        <v>352</v>
      </c>
      <c r="E23" s="678"/>
      <c r="F23" s="678"/>
      <c r="G23" s="202">
        <v>23</v>
      </c>
      <c r="H23" s="202">
        <v>1789.2355996944241</v>
      </c>
      <c r="I23" s="203">
        <v>77.792852160627135</v>
      </c>
      <c r="J23" s="357">
        <v>-3.8509316770173996E-2</v>
      </c>
      <c r="K23" s="688" t="s">
        <v>435</v>
      </c>
      <c r="L23" s="687"/>
      <c r="M23" s="99"/>
      <c r="O23" s="199"/>
      <c r="P23" s="401"/>
      <c r="Q23" s="401"/>
      <c r="R23" s="199"/>
    </row>
    <row r="24" spans="1:18" ht="15.75" customHeight="1">
      <c r="A24" s="681"/>
      <c r="B24" s="682"/>
      <c r="C24" s="204" t="s">
        <v>204</v>
      </c>
      <c r="D24" s="677" t="s">
        <v>542</v>
      </c>
      <c r="E24" s="678"/>
      <c r="F24" s="678"/>
      <c r="G24" s="200">
        <v>26</v>
      </c>
      <c r="H24" s="202">
        <v>1790.5376311638433</v>
      </c>
      <c r="I24" s="203">
        <v>68.866831967840128</v>
      </c>
      <c r="J24" s="357">
        <v>-1.4285714285691142E-2</v>
      </c>
      <c r="K24" s="688" t="s">
        <v>435</v>
      </c>
      <c r="L24" s="687"/>
      <c r="M24" s="99"/>
      <c r="O24" s="199"/>
      <c r="P24" s="401"/>
      <c r="Q24" s="401"/>
      <c r="R24" s="199"/>
    </row>
    <row r="25" spans="1:18" ht="15.75" customHeight="1">
      <c r="A25" s="681"/>
      <c r="B25" s="682"/>
      <c r="C25" s="204" t="s">
        <v>209</v>
      </c>
      <c r="D25" s="677" t="s">
        <v>356</v>
      </c>
      <c r="E25" s="678"/>
      <c r="F25" s="678"/>
      <c r="G25" s="200">
        <v>24</v>
      </c>
      <c r="H25" s="202">
        <v>1787.730781076536</v>
      </c>
      <c r="I25" s="203">
        <v>74.488782544855681</v>
      </c>
      <c r="J25" s="357">
        <v>6.1904761904784777E-2</v>
      </c>
      <c r="K25" s="688" t="s">
        <v>435</v>
      </c>
      <c r="L25" s="687"/>
      <c r="M25" s="99"/>
      <c r="O25" s="199"/>
      <c r="P25" s="401"/>
      <c r="Q25" s="401"/>
      <c r="R25" s="199"/>
    </row>
    <row r="26" spans="1:18" ht="15.75" customHeight="1">
      <c r="A26" s="681"/>
      <c r="B26" s="682"/>
      <c r="C26" s="204" t="s">
        <v>205</v>
      </c>
      <c r="D26" s="677" t="s">
        <v>354</v>
      </c>
      <c r="E26" s="678"/>
      <c r="F26" s="678"/>
      <c r="G26" s="200">
        <v>24</v>
      </c>
      <c r="H26" s="202">
        <v>1790.9140502123737</v>
      </c>
      <c r="I26" s="203">
        <v>74.621418758848904</v>
      </c>
      <c r="J26" s="357">
        <v>-5.952380952379599E-3</v>
      </c>
      <c r="K26" s="688" t="s">
        <v>435</v>
      </c>
      <c r="L26" s="687"/>
      <c r="M26" s="99"/>
      <c r="O26" s="199"/>
      <c r="P26" s="401"/>
      <c r="Q26" s="401"/>
      <c r="R26" s="199"/>
    </row>
    <row r="27" spans="1:18" ht="15.75" customHeight="1">
      <c r="A27" s="681"/>
      <c r="B27" s="682"/>
      <c r="C27" s="204" t="s">
        <v>210</v>
      </c>
      <c r="D27" s="677" t="s">
        <v>355</v>
      </c>
      <c r="E27" s="678"/>
      <c r="F27" s="678"/>
      <c r="G27" s="200">
        <v>23</v>
      </c>
      <c r="H27" s="202">
        <v>1787.1670773791141</v>
      </c>
      <c r="I27" s="203">
        <v>77.702916407787569</v>
      </c>
      <c r="J27" s="357">
        <v>2.4410433356479189E-2</v>
      </c>
      <c r="K27" s="688" t="s">
        <v>435</v>
      </c>
      <c r="L27" s="687"/>
      <c r="M27" s="99"/>
      <c r="O27" s="199"/>
      <c r="P27" s="401"/>
      <c r="Q27" s="401"/>
      <c r="R27" s="199"/>
    </row>
    <row r="28" spans="1:18" ht="15.75" customHeight="1">
      <c r="A28" s="681"/>
      <c r="B28" s="682"/>
      <c r="C28" s="204" t="s">
        <v>211</v>
      </c>
      <c r="D28" s="677"/>
      <c r="E28" s="678"/>
      <c r="F28" s="678"/>
      <c r="G28" s="200"/>
      <c r="H28" s="202"/>
      <c r="I28" s="203"/>
      <c r="J28" s="200"/>
      <c r="K28" s="677"/>
      <c r="L28" s="678"/>
      <c r="M28" s="99"/>
      <c r="O28" s="199"/>
      <c r="P28" s="401"/>
      <c r="Q28" s="401"/>
      <c r="R28" s="199"/>
    </row>
    <row r="29" spans="1:18" s="189" customFormat="1" ht="15.75" customHeight="1">
      <c r="A29" s="683" t="s">
        <v>698</v>
      </c>
      <c r="B29" s="683"/>
      <c r="C29" s="683"/>
      <c r="D29" s="683"/>
      <c r="E29" s="683"/>
      <c r="F29" s="683"/>
      <c r="G29" s="683"/>
      <c r="H29" s="683"/>
      <c r="I29" s="683"/>
      <c r="J29" s="683"/>
      <c r="K29" s="683"/>
      <c r="L29" s="683"/>
    </row>
    <row r="30" spans="1:18" s="190" customFormat="1" ht="15.75" customHeight="1">
      <c r="A30" s="683"/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</row>
    <row r="31" spans="1:18" s="106" customFormat="1" ht="16.350000000000001" customHeight="1">
      <c r="A31" s="681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81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350</v>
      </c>
      <c r="G32" s="209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82" t="s">
        <v>188</v>
      </c>
      <c r="B33" s="682"/>
      <c r="C33" s="160" t="s">
        <v>47</v>
      </c>
      <c r="D33" s="682" t="s">
        <v>12</v>
      </c>
      <c r="E33" s="684"/>
      <c r="F33" s="684"/>
      <c r="G33" s="160" t="s">
        <v>46</v>
      </c>
      <c r="H33" s="160" t="s">
        <v>380</v>
      </c>
      <c r="I33" s="160" t="s">
        <v>381</v>
      </c>
      <c r="J33" s="160" t="s">
        <v>332</v>
      </c>
      <c r="K33" s="682" t="s">
        <v>51</v>
      </c>
      <c r="L33" s="684"/>
      <c r="M33" s="127"/>
      <c r="N33" s="189"/>
      <c r="O33" s="402"/>
      <c r="P33" s="401"/>
      <c r="Q33" s="401"/>
      <c r="R33" s="199"/>
    </row>
    <row r="34" spans="1:18" ht="15.75" customHeight="1">
      <c r="A34" s="681">
        <v>5</v>
      </c>
      <c r="B34" s="682" t="s">
        <v>350</v>
      </c>
      <c r="C34" s="200">
        <v>1</v>
      </c>
      <c r="D34" s="677" t="s">
        <v>585</v>
      </c>
      <c r="E34" s="678"/>
      <c r="F34" s="678"/>
      <c r="G34" s="202">
        <v>15.8</v>
      </c>
      <c r="H34" s="202">
        <v>1788.3600389557141</v>
      </c>
      <c r="I34" s="203">
        <v>113.26083576806545</v>
      </c>
      <c r="J34" s="357">
        <f>I34-I8</f>
        <v>1.4967662447726724</v>
      </c>
      <c r="K34" s="677" t="s">
        <v>435</v>
      </c>
      <c r="L34" s="678"/>
      <c r="O34" s="402"/>
      <c r="P34" s="401"/>
      <c r="Q34" s="401"/>
      <c r="R34" s="199"/>
    </row>
    <row r="35" spans="1:18" ht="15.75" customHeight="1">
      <c r="A35" s="681"/>
      <c r="B35" s="682"/>
      <c r="C35" s="200">
        <v>2</v>
      </c>
      <c r="D35" s="677" t="s">
        <v>493</v>
      </c>
      <c r="E35" s="678"/>
      <c r="F35" s="678"/>
      <c r="G35" s="202">
        <v>19.571428571428573</v>
      </c>
      <c r="H35" s="202">
        <v>1788.6599074088469</v>
      </c>
      <c r="I35" s="203">
        <v>91.447281084728061</v>
      </c>
      <c r="J35" s="357">
        <f>I35-I9</f>
        <v>2.0262368247273344</v>
      </c>
      <c r="K35" s="677" t="s">
        <v>435</v>
      </c>
      <c r="L35" s="678"/>
      <c r="O35" s="402"/>
      <c r="P35" s="401"/>
      <c r="Q35" s="401"/>
      <c r="R35" s="199"/>
    </row>
    <row r="36" spans="1:18" ht="15.75" customHeight="1">
      <c r="A36" s="681"/>
      <c r="B36" s="682"/>
      <c r="C36" s="200">
        <v>3</v>
      </c>
      <c r="D36" s="677" t="s">
        <v>451</v>
      </c>
      <c r="E36" s="678"/>
      <c r="F36" s="678"/>
      <c r="G36" s="202">
        <v>19.571428571428573</v>
      </c>
      <c r="H36" s="202">
        <v>1786</v>
      </c>
      <c r="I36" s="203">
        <v>91.314285714285717</v>
      </c>
      <c r="J36" s="357">
        <f>I36-I10</f>
        <v>2.0142857142857338</v>
      </c>
      <c r="K36" s="677" t="s">
        <v>435</v>
      </c>
      <c r="L36" s="678"/>
      <c r="O36" s="402"/>
      <c r="P36" s="401"/>
      <c r="Q36" s="401"/>
      <c r="R36" s="199"/>
    </row>
    <row r="37" spans="1:18" ht="15.75" customHeight="1">
      <c r="A37" s="681"/>
      <c r="B37" s="682"/>
      <c r="C37" s="200">
        <v>4</v>
      </c>
      <c r="D37" s="677" t="s">
        <v>697</v>
      </c>
      <c r="E37" s="678"/>
      <c r="F37" s="678"/>
      <c r="G37" s="202">
        <v>18</v>
      </c>
      <c r="H37" s="202">
        <v>1640.0000000000002</v>
      </c>
      <c r="I37" s="203">
        <v>91.111111111111128</v>
      </c>
      <c r="J37" s="357"/>
      <c r="K37" s="689" t="s">
        <v>557</v>
      </c>
      <c r="L37" s="678"/>
      <c r="O37" s="402"/>
      <c r="P37" s="401"/>
      <c r="Q37" s="401"/>
      <c r="R37" s="199"/>
    </row>
    <row r="38" spans="1:18" ht="15.75" customHeight="1">
      <c r="A38" s="681"/>
      <c r="B38" s="682"/>
      <c r="C38" s="200">
        <v>5</v>
      </c>
      <c r="D38" s="677" t="s">
        <v>345</v>
      </c>
      <c r="E38" s="678"/>
      <c r="F38" s="678"/>
      <c r="G38" s="202">
        <v>23</v>
      </c>
      <c r="H38" s="202">
        <v>1787.1428571428569</v>
      </c>
      <c r="I38" s="203">
        <v>77.701863354037229</v>
      </c>
      <c r="J38" s="357">
        <f>I38-I15</f>
        <v>-1.4583208288229059</v>
      </c>
      <c r="K38" s="677" t="s">
        <v>435</v>
      </c>
      <c r="L38" s="678"/>
      <c r="O38" s="402"/>
      <c r="P38" s="401"/>
      <c r="Q38" s="401"/>
      <c r="R38" s="199"/>
    </row>
    <row r="39" spans="1:18" ht="15.75" customHeight="1">
      <c r="A39" s="681"/>
      <c r="B39" s="682"/>
      <c r="C39" s="204" t="s">
        <v>204</v>
      </c>
      <c r="D39" s="677" t="s">
        <v>344</v>
      </c>
      <c r="E39" s="678"/>
      <c r="F39" s="678"/>
      <c r="G39" s="202">
        <v>24</v>
      </c>
      <c r="H39" s="202">
        <v>1788.1307885357041</v>
      </c>
      <c r="I39" s="203">
        <v>74.505449522321001</v>
      </c>
      <c r="J39" s="357">
        <f>I39-I13</f>
        <v>0.10539122753311858</v>
      </c>
      <c r="K39" s="677" t="s">
        <v>435</v>
      </c>
      <c r="L39" s="678"/>
      <c r="O39" s="199"/>
      <c r="P39" s="401"/>
      <c r="Q39" s="401"/>
      <c r="R39" s="199"/>
    </row>
    <row r="40" spans="1:18" ht="15.75" customHeight="1">
      <c r="A40" s="681"/>
      <c r="B40" s="682"/>
      <c r="C40" s="204" t="s">
        <v>209</v>
      </c>
      <c r="D40" s="677" t="s">
        <v>492</v>
      </c>
      <c r="E40" s="678"/>
      <c r="F40" s="678"/>
      <c r="G40" s="202">
        <v>21</v>
      </c>
      <c r="H40" s="202">
        <v>1606.5036354968786</v>
      </c>
      <c r="I40" s="203">
        <v>76.500173118898985</v>
      </c>
      <c r="J40" s="357">
        <f>I40-I14</f>
        <v>3.6635376374505313E-2</v>
      </c>
      <c r="K40" s="677" t="s">
        <v>435</v>
      </c>
      <c r="L40" s="678"/>
      <c r="O40" s="402"/>
      <c r="P40" s="401"/>
      <c r="Q40" s="401"/>
      <c r="R40" s="199"/>
    </row>
    <row r="41" spans="1:18" ht="15.75" customHeight="1">
      <c r="A41" s="681"/>
      <c r="B41" s="682"/>
      <c r="C41" s="204" t="s">
        <v>205</v>
      </c>
      <c r="D41" s="677" t="s">
        <v>351</v>
      </c>
      <c r="E41" s="678"/>
      <c r="F41" s="678"/>
      <c r="G41" s="202">
        <v>23</v>
      </c>
      <c r="H41" s="202">
        <v>1784.9142857142858</v>
      </c>
      <c r="I41" s="203">
        <v>77.604968944099383</v>
      </c>
      <c r="J41" s="357">
        <f>I41-I12</f>
        <v>-1.6034773337775903</v>
      </c>
      <c r="K41" s="677" t="s">
        <v>435</v>
      </c>
      <c r="L41" s="678"/>
      <c r="N41" s="178"/>
      <c r="O41" s="403"/>
      <c r="P41" s="400"/>
      <c r="Q41" s="400"/>
      <c r="R41" s="178"/>
    </row>
    <row r="42" spans="1:18" ht="15.75" customHeight="1">
      <c r="A42" s="681"/>
      <c r="B42" s="682"/>
      <c r="C42" s="204" t="s">
        <v>210</v>
      </c>
      <c r="D42" s="677" t="s">
        <v>343</v>
      </c>
      <c r="E42" s="678"/>
      <c r="F42" s="678"/>
      <c r="G42" s="202">
        <v>23</v>
      </c>
      <c r="H42" s="202">
        <v>1786.8285714285714</v>
      </c>
      <c r="I42" s="203">
        <v>77.688198757763971</v>
      </c>
      <c r="J42" s="357">
        <f>I42-I11</f>
        <v>-1.5858912420543163</v>
      </c>
      <c r="K42" s="677" t="s">
        <v>435</v>
      </c>
      <c r="L42" s="678"/>
      <c r="M42" s="99"/>
      <c r="O42" s="402"/>
      <c r="P42" s="401"/>
      <c r="Q42" s="401"/>
      <c r="R42" s="199"/>
    </row>
    <row r="43" spans="1:18" ht="15.75" customHeight="1">
      <c r="A43" s="681"/>
      <c r="B43" s="682"/>
      <c r="C43" s="204" t="s">
        <v>211</v>
      </c>
      <c r="D43" s="677"/>
      <c r="E43" s="678"/>
      <c r="F43" s="678"/>
      <c r="G43" s="202"/>
      <c r="H43" s="202"/>
      <c r="I43" s="203"/>
      <c r="J43" s="200"/>
      <c r="K43" s="677"/>
      <c r="L43" s="678"/>
      <c r="M43" s="99"/>
      <c r="O43" s="402"/>
      <c r="P43" s="401"/>
      <c r="Q43" s="401"/>
      <c r="R43" s="199"/>
    </row>
    <row r="44" spans="1:18" s="104" customFormat="1" ht="15.75" customHeight="1">
      <c r="A44" s="679" t="s">
        <v>188</v>
      </c>
      <c r="B44" s="679"/>
      <c r="C44" s="207" t="s">
        <v>47</v>
      </c>
      <c r="D44" s="679" t="s">
        <v>12</v>
      </c>
      <c r="E44" s="680"/>
      <c r="F44" s="680"/>
      <c r="G44" s="207" t="s">
        <v>46</v>
      </c>
      <c r="H44" s="207" t="s">
        <v>380</v>
      </c>
      <c r="I44" s="207" t="s">
        <v>381</v>
      </c>
      <c r="J44" s="160" t="s">
        <v>332</v>
      </c>
      <c r="K44" s="679" t="s">
        <v>51</v>
      </c>
      <c r="L44" s="680"/>
      <c r="M44" s="128"/>
      <c r="N44" s="189"/>
      <c r="O44" s="402"/>
      <c r="P44" s="401"/>
      <c r="Q44" s="401"/>
      <c r="R44" s="199"/>
    </row>
    <row r="45" spans="1:18" ht="15.75" customHeight="1">
      <c r="A45" s="681">
        <v>6</v>
      </c>
      <c r="B45" s="682" t="s">
        <v>136</v>
      </c>
      <c r="C45" s="200">
        <v>1</v>
      </c>
      <c r="D45" s="677" t="s">
        <v>447</v>
      </c>
      <c r="E45" s="678"/>
      <c r="F45" s="678"/>
      <c r="G45" s="200">
        <v>20</v>
      </c>
      <c r="H45" s="202">
        <v>1786.852357968128</v>
      </c>
      <c r="I45" s="203">
        <v>89.342617898406402</v>
      </c>
      <c r="J45" s="357">
        <f>I45-I19</f>
        <v>-2.9138241744362858E-2</v>
      </c>
      <c r="K45" s="677" t="s">
        <v>435</v>
      </c>
      <c r="L45" s="678"/>
      <c r="M45" s="99"/>
      <c r="N45" s="199"/>
      <c r="O45" s="199"/>
      <c r="P45" s="401"/>
      <c r="Q45" s="401"/>
      <c r="R45" s="199"/>
    </row>
    <row r="46" spans="1:18" ht="15.75" customHeight="1">
      <c r="A46" s="681"/>
      <c r="B46" s="682"/>
      <c r="C46" s="200">
        <v>2</v>
      </c>
      <c r="D46" s="677" t="s">
        <v>353</v>
      </c>
      <c r="E46" s="678"/>
      <c r="F46" s="678"/>
      <c r="G46" s="202">
        <v>21</v>
      </c>
      <c r="H46" s="202">
        <v>1787.8877248447784</v>
      </c>
      <c r="I46" s="203">
        <v>85.137510706894219</v>
      </c>
      <c r="J46" s="357">
        <f>I46-I20</f>
        <v>3.9551523220779927E-2</v>
      </c>
      <c r="K46" s="677" t="s">
        <v>435</v>
      </c>
      <c r="L46" s="678"/>
      <c r="M46" s="99"/>
      <c r="O46" s="199"/>
      <c r="P46" s="401"/>
      <c r="Q46" s="401"/>
      <c r="R46" s="199"/>
    </row>
    <row r="47" spans="1:18" ht="15.75" customHeight="1">
      <c r="A47" s="681"/>
      <c r="B47" s="682"/>
      <c r="C47" s="200">
        <v>3</v>
      </c>
      <c r="D47" s="677" t="s">
        <v>444</v>
      </c>
      <c r="E47" s="678"/>
      <c r="F47" s="678"/>
      <c r="G47" s="202">
        <v>22</v>
      </c>
      <c r="H47" s="202">
        <v>1787.5469607591699</v>
      </c>
      <c r="I47" s="203">
        <v>81.252134579962259</v>
      </c>
      <c r="J47" s="357">
        <f>I47-I21</f>
        <v>2.9870129870118944E-2</v>
      </c>
      <c r="K47" s="677" t="s">
        <v>435</v>
      </c>
      <c r="L47" s="678"/>
      <c r="M47" s="99"/>
      <c r="O47" s="199"/>
      <c r="P47" s="401"/>
      <c r="Q47" s="401"/>
      <c r="R47" s="199"/>
    </row>
    <row r="48" spans="1:18" ht="15.75" customHeight="1">
      <c r="A48" s="681"/>
      <c r="B48" s="682"/>
      <c r="C48" s="200">
        <v>4</v>
      </c>
      <c r="D48" s="677" t="s">
        <v>441</v>
      </c>
      <c r="E48" s="678"/>
      <c r="F48" s="678"/>
      <c r="G48" s="200">
        <v>23</v>
      </c>
      <c r="H48" s="202">
        <v>1792.020896485001</v>
      </c>
      <c r="I48" s="203">
        <v>77.913952021086985</v>
      </c>
      <c r="J48" s="357">
        <f>I48-I22</f>
        <v>6.5838509316762384E-2</v>
      </c>
      <c r="K48" s="677" t="s">
        <v>435</v>
      </c>
      <c r="L48" s="678"/>
      <c r="M48" s="99"/>
      <c r="O48" s="199"/>
      <c r="P48" s="401"/>
      <c r="Q48" s="401"/>
      <c r="R48" s="199"/>
    </row>
    <row r="49" spans="1:18" ht="15.75" customHeight="1">
      <c r="A49" s="681"/>
      <c r="B49" s="682"/>
      <c r="C49" s="200">
        <v>5</v>
      </c>
      <c r="D49" s="677" t="s">
        <v>355</v>
      </c>
      <c r="E49" s="678"/>
      <c r="F49" s="678"/>
      <c r="G49" s="202">
        <v>23</v>
      </c>
      <c r="H49" s="202">
        <v>1788.5024666906731</v>
      </c>
      <c r="I49" s="203">
        <v>77.760976812637978</v>
      </c>
      <c r="J49" s="357">
        <f>I49-I22</f>
        <v>-8.7136699132244644E-2</v>
      </c>
      <c r="K49" s="677" t="s">
        <v>435</v>
      </c>
      <c r="L49" s="678"/>
      <c r="M49" s="99"/>
      <c r="O49" s="199"/>
      <c r="P49" s="401"/>
      <c r="Q49" s="401"/>
      <c r="R49" s="199"/>
    </row>
    <row r="50" spans="1:18" ht="15.75" customHeight="1">
      <c r="A50" s="681"/>
      <c r="B50" s="682"/>
      <c r="C50" s="204" t="s">
        <v>204</v>
      </c>
      <c r="D50" s="677" t="s">
        <v>542</v>
      </c>
      <c r="E50" s="678"/>
      <c r="F50" s="678"/>
      <c r="G50" s="200">
        <v>26</v>
      </c>
      <c r="H50" s="202">
        <v>1791.5947740209867</v>
      </c>
      <c r="I50" s="203">
        <v>68.907491308499488</v>
      </c>
      <c r="J50" s="357">
        <f>I50-I24</f>
        <v>4.0659340659360055E-2</v>
      </c>
      <c r="K50" s="677" t="s">
        <v>435</v>
      </c>
      <c r="L50" s="678"/>
      <c r="M50" s="99"/>
      <c r="O50" s="199"/>
      <c r="P50" s="401"/>
      <c r="Q50" s="401"/>
      <c r="R50" s="199"/>
    </row>
    <row r="51" spans="1:18" ht="15.75" customHeight="1">
      <c r="A51" s="681"/>
      <c r="B51" s="682"/>
      <c r="C51" s="204" t="s">
        <v>209</v>
      </c>
      <c r="D51" s="677" t="s">
        <v>356</v>
      </c>
      <c r="E51" s="678"/>
      <c r="F51" s="678"/>
      <c r="G51" s="200">
        <v>24</v>
      </c>
      <c r="H51" s="202">
        <v>1790.2117730521111</v>
      </c>
      <c r="I51" s="203">
        <v>74.592157210504624</v>
      </c>
      <c r="J51" s="357">
        <f>I51-I25</f>
        <v>0.10337466564894271</v>
      </c>
      <c r="K51" s="677" t="s">
        <v>435</v>
      </c>
      <c r="L51" s="678"/>
      <c r="M51" s="99"/>
      <c r="O51" s="199"/>
      <c r="P51" s="401"/>
      <c r="Q51" s="401"/>
      <c r="R51" s="199"/>
    </row>
    <row r="52" spans="1:18" ht="15.75" customHeight="1">
      <c r="A52" s="681"/>
      <c r="B52" s="682"/>
      <c r="C52" s="204" t="s">
        <v>205</v>
      </c>
      <c r="D52" s="677" t="s">
        <v>354</v>
      </c>
      <c r="E52" s="678"/>
      <c r="F52" s="678"/>
      <c r="G52" s="200">
        <v>24</v>
      </c>
      <c r="H52" s="202">
        <v>1792.5711930695174</v>
      </c>
      <c r="I52" s="203">
        <v>74.690466377896556</v>
      </c>
      <c r="J52" s="357">
        <f>I52-I26</f>
        <v>6.9047619047651665E-2</v>
      </c>
      <c r="K52" s="677" t="s">
        <v>435</v>
      </c>
      <c r="L52" s="678"/>
      <c r="M52" s="99"/>
      <c r="O52" s="199"/>
      <c r="P52" s="401"/>
      <c r="Q52" s="401"/>
      <c r="R52" s="199"/>
    </row>
    <row r="53" spans="1:18" ht="15.75" customHeight="1">
      <c r="A53" s="681"/>
      <c r="B53" s="682"/>
      <c r="C53" s="204" t="s">
        <v>210</v>
      </c>
      <c r="D53" s="677" t="s">
        <v>352</v>
      </c>
      <c r="E53" s="678"/>
      <c r="F53" s="678"/>
      <c r="G53" s="200">
        <v>23</v>
      </c>
      <c r="H53" s="202">
        <v>1788.4300192484495</v>
      </c>
      <c r="I53" s="203">
        <v>77.757826923845627</v>
      </c>
      <c r="J53" s="357">
        <f>I53-I23</f>
        <v>-3.5025236781507374E-2</v>
      </c>
      <c r="K53" s="677" t="s">
        <v>435</v>
      </c>
      <c r="L53" s="678"/>
      <c r="M53" s="99"/>
      <c r="O53" s="199"/>
      <c r="P53" s="401"/>
      <c r="Q53" s="401"/>
      <c r="R53" s="199"/>
    </row>
    <row r="54" spans="1:18" ht="15.75" customHeight="1">
      <c r="A54" s="681"/>
      <c r="B54" s="682"/>
      <c r="C54" s="204" t="s">
        <v>211</v>
      </c>
      <c r="D54" s="677"/>
      <c r="E54" s="678"/>
      <c r="F54" s="678"/>
      <c r="G54" s="200"/>
      <c r="H54" s="202"/>
      <c r="I54" s="203"/>
      <c r="J54" s="200"/>
      <c r="K54" s="677"/>
      <c r="L54" s="678"/>
      <c r="M54" s="99"/>
      <c r="O54" s="199"/>
      <c r="P54" s="401"/>
      <c r="Q54" s="401"/>
      <c r="R54" s="199"/>
    </row>
    <row r="55" spans="1:18" s="189" customFormat="1" ht="15.75" customHeight="1">
      <c r="A55" s="683" t="s">
        <v>715</v>
      </c>
      <c r="B55" s="683"/>
      <c r="C55" s="683"/>
      <c r="D55" s="683"/>
      <c r="E55" s="683"/>
      <c r="F55" s="683"/>
      <c r="G55" s="683"/>
      <c r="H55" s="683"/>
      <c r="I55" s="683"/>
      <c r="J55" s="683"/>
      <c r="K55" s="683"/>
      <c r="L55" s="683"/>
    </row>
    <row r="56" spans="1:18" s="190" customFormat="1" ht="15.75" customHeight="1">
      <c r="A56" s="683"/>
      <c r="B56" s="683"/>
      <c r="C56" s="683"/>
      <c r="D56" s="683"/>
      <c r="E56" s="683"/>
      <c r="F56" s="683"/>
      <c r="G56" s="683"/>
      <c r="H56" s="683"/>
      <c r="I56" s="683"/>
      <c r="J56" s="683"/>
      <c r="K56" s="683"/>
      <c r="L56" s="683"/>
    </row>
    <row r="57" spans="1:18" s="106" customFormat="1" ht="16.350000000000001" customHeight="1">
      <c r="A57" s="681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81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350</v>
      </c>
      <c r="G58" s="209" t="s">
        <v>136</v>
      </c>
      <c r="H58" s="197" t="s">
        <v>208</v>
      </c>
      <c r="I58" s="196" t="s">
        <v>379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82" t="s">
        <v>188</v>
      </c>
      <c r="B59" s="682"/>
      <c r="C59" s="160" t="s">
        <v>47</v>
      </c>
      <c r="D59" s="682" t="s">
        <v>12</v>
      </c>
      <c r="E59" s="684"/>
      <c r="F59" s="684"/>
      <c r="G59" s="160" t="s">
        <v>46</v>
      </c>
      <c r="H59" s="160" t="s">
        <v>380</v>
      </c>
      <c r="I59" s="160" t="s">
        <v>381</v>
      </c>
      <c r="J59" s="160" t="s">
        <v>332</v>
      </c>
      <c r="K59" s="682" t="s">
        <v>51</v>
      </c>
      <c r="L59" s="684"/>
      <c r="M59" s="127"/>
      <c r="N59" s="189"/>
      <c r="O59" s="402"/>
      <c r="P59" s="401"/>
      <c r="Q59" s="401"/>
      <c r="R59" s="199"/>
    </row>
    <row r="60" spans="1:18" ht="15.75" customHeight="1">
      <c r="A60" s="681">
        <v>5</v>
      </c>
      <c r="B60" s="682" t="s">
        <v>350</v>
      </c>
      <c r="C60" s="200">
        <v>1</v>
      </c>
      <c r="D60" s="677" t="s">
        <v>697</v>
      </c>
      <c r="E60" s="678"/>
      <c r="F60" s="678"/>
      <c r="G60" s="202">
        <v>17.285714285714285</v>
      </c>
      <c r="H60" s="202">
        <v>1751.5805218580704</v>
      </c>
      <c r="I60" s="203">
        <v>101.45576167792571</v>
      </c>
      <c r="J60" s="357">
        <f>I60-I37</f>
        <v>10.344650566814579</v>
      </c>
      <c r="K60" s="688" t="s">
        <v>755</v>
      </c>
      <c r="L60" s="687"/>
      <c r="O60" s="402"/>
      <c r="P60" s="401"/>
      <c r="Q60" s="401"/>
      <c r="R60" s="199"/>
    </row>
    <row r="61" spans="1:18" ht="15.75" customHeight="1">
      <c r="A61" s="681"/>
      <c r="B61" s="682"/>
      <c r="C61" s="200">
        <v>2</v>
      </c>
      <c r="D61" s="677" t="s">
        <v>493</v>
      </c>
      <c r="E61" s="678"/>
      <c r="F61" s="678"/>
      <c r="G61" s="202">
        <v>19.285714285714285</v>
      </c>
      <c r="H61" s="202">
        <v>1787.7528194008612</v>
      </c>
      <c r="I61" s="203">
        <v>92.748374672486293</v>
      </c>
      <c r="J61" s="357">
        <f>I61-I35</f>
        <v>1.3010935877582313</v>
      </c>
      <c r="K61" s="688" t="s">
        <v>755</v>
      </c>
      <c r="L61" s="687"/>
      <c r="O61" s="402"/>
      <c r="P61" s="401"/>
      <c r="Q61" s="401"/>
      <c r="R61" s="199"/>
    </row>
    <row r="62" spans="1:18" ht="15.75" customHeight="1">
      <c r="A62" s="681"/>
      <c r="B62" s="682"/>
      <c r="C62" s="200">
        <v>3</v>
      </c>
      <c r="D62" s="677" t="s">
        <v>451</v>
      </c>
      <c r="E62" s="678"/>
      <c r="F62" s="678"/>
      <c r="G62" s="202">
        <v>20</v>
      </c>
      <c r="H62" s="202">
        <v>1786</v>
      </c>
      <c r="I62" s="203">
        <v>89.3</v>
      </c>
      <c r="J62" s="357">
        <f>I62-I36</f>
        <v>-2.0142857142857196</v>
      </c>
      <c r="K62" s="677" t="s">
        <v>435</v>
      </c>
      <c r="L62" s="678"/>
      <c r="O62" s="402"/>
      <c r="P62" s="401"/>
      <c r="Q62" s="401"/>
      <c r="R62" s="199"/>
    </row>
    <row r="63" spans="1:18" ht="15.75" customHeight="1">
      <c r="A63" s="681"/>
      <c r="B63" s="682"/>
      <c r="C63" s="200">
        <v>4</v>
      </c>
      <c r="D63" s="677" t="s">
        <v>343</v>
      </c>
      <c r="E63" s="678"/>
      <c r="F63" s="678"/>
      <c r="G63" s="202">
        <v>23</v>
      </c>
      <c r="H63" s="202">
        <v>1788.799999999999</v>
      </c>
      <c r="I63" s="203">
        <v>77.773913043478231</v>
      </c>
      <c r="J63" s="357">
        <f>I63-I42</f>
        <v>8.5714285714260541E-2</v>
      </c>
      <c r="K63" s="677" t="s">
        <v>435</v>
      </c>
      <c r="L63" s="678"/>
      <c r="O63" s="402"/>
      <c r="P63" s="401"/>
      <c r="Q63" s="401"/>
      <c r="R63" s="199"/>
    </row>
    <row r="64" spans="1:18" ht="15.75" customHeight="1">
      <c r="A64" s="681"/>
      <c r="B64" s="682"/>
      <c r="C64" s="200">
        <v>5</v>
      </c>
      <c r="D64" s="677" t="s">
        <v>351</v>
      </c>
      <c r="E64" s="678"/>
      <c r="F64" s="678"/>
      <c r="G64" s="202">
        <v>23</v>
      </c>
      <c r="H64" s="202">
        <v>1787.8520809777056</v>
      </c>
      <c r="I64" s="203">
        <v>77.732699172943725</v>
      </c>
      <c r="J64" s="357">
        <f>I64-I41</f>
        <v>0.12773022884434226</v>
      </c>
      <c r="K64" s="677" t="s">
        <v>435</v>
      </c>
      <c r="L64" s="678"/>
      <c r="O64" s="402"/>
      <c r="P64" s="401"/>
      <c r="Q64" s="401"/>
      <c r="R64" s="199"/>
    </row>
    <row r="65" spans="1:18" ht="15.75" customHeight="1">
      <c r="A65" s="681"/>
      <c r="B65" s="682"/>
      <c r="C65" s="204" t="s">
        <v>204</v>
      </c>
      <c r="D65" s="677" t="s">
        <v>344</v>
      </c>
      <c r="E65" s="678"/>
      <c r="F65" s="678"/>
      <c r="G65" s="202">
        <v>24</v>
      </c>
      <c r="H65" s="202">
        <v>1788.6110430609028</v>
      </c>
      <c r="I65" s="203">
        <v>74.525460127537613</v>
      </c>
      <c r="J65" s="357">
        <f>I65-I39</f>
        <v>2.0010605216612021E-2</v>
      </c>
      <c r="K65" s="677" t="s">
        <v>435</v>
      </c>
      <c r="L65" s="678"/>
      <c r="O65" s="199"/>
      <c r="P65" s="401"/>
      <c r="Q65" s="401"/>
      <c r="R65" s="199"/>
    </row>
    <row r="66" spans="1:18" ht="15.75" customHeight="1">
      <c r="A66" s="681"/>
      <c r="B66" s="682"/>
      <c r="C66" s="204" t="s">
        <v>209</v>
      </c>
      <c r="D66" s="677" t="s">
        <v>492</v>
      </c>
      <c r="E66" s="678"/>
      <c r="F66" s="678"/>
      <c r="G66" s="202">
        <v>21</v>
      </c>
      <c r="H66" s="202">
        <v>1608.5607783540222</v>
      </c>
      <c r="I66" s="203">
        <v>76.598132302572495</v>
      </c>
      <c r="J66" s="357">
        <f>I66-I40</f>
        <v>9.7959183673509642E-2</v>
      </c>
      <c r="K66" s="677" t="s">
        <v>435</v>
      </c>
      <c r="L66" s="678"/>
      <c r="O66" s="402"/>
      <c r="P66" s="401"/>
      <c r="Q66" s="401"/>
      <c r="R66" s="199"/>
    </row>
    <row r="67" spans="1:18" ht="15.75" customHeight="1">
      <c r="A67" s="681"/>
      <c r="B67" s="682"/>
      <c r="C67" s="204" t="s">
        <v>205</v>
      </c>
      <c r="D67" s="677" t="s">
        <v>345</v>
      </c>
      <c r="E67" s="678"/>
      <c r="F67" s="678"/>
      <c r="G67" s="202">
        <v>23</v>
      </c>
      <c r="H67" s="202">
        <v>1787.599999999999</v>
      </c>
      <c r="I67" s="203">
        <v>77.721739130434756</v>
      </c>
      <c r="J67" s="357">
        <f>I67-I38</f>
        <v>1.9875776397526579E-2</v>
      </c>
      <c r="K67" s="677" t="s">
        <v>435</v>
      </c>
      <c r="L67" s="678"/>
      <c r="N67" s="178"/>
      <c r="O67" s="403"/>
      <c r="P67" s="400"/>
      <c r="Q67" s="400"/>
      <c r="R67" s="178"/>
    </row>
    <row r="68" spans="1:18" ht="15.75" customHeight="1">
      <c r="A68" s="681"/>
      <c r="B68" s="682"/>
      <c r="C68" s="204" t="s">
        <v>210</v>
      </c>
      <c r="D68" s="677"/>
      <c r="E68" s="678"/>
      <c r="F68" s="678"/>
      <c r="G68" s="202"/>
      <c r="H68" s="202"/>
      <c r="I68" s="203"/>
      <c r="J68" s="357"/>
      <c r="K68" s="677"/>
      <c r="L68" s="678"/>
      <c r="M68" s="99"/>
      <c r="O68" s="402"/>
      <c r="P68" s="401"/>
      <c r="Q68" s="401"/>
      <c r="R68" s="199"/>
    </row>
    <row r="69" spans="1:18" ht="15.75" customHeight="1">
      <c r="A69" s="681"/>
      <c r="B69" s="682"/>
      <c r="C69" s="204" t="s">
        <v>211</v>
      </c>
      <c r="D69" s="677"/>
      <c r="E69" s="678"/>
      <c r="F69" s="678"/>
      <c r="G69" s="202"/>
      <c r="H69" s="202"/>
      <c r="I69" s="203"/>
      <c r="J69" s="200"/>
      <c r="K69" s="677"/>
      <c r="L69" s="678"/>
      <c r="M69" s="99"/>
      <c r="O69" s="402"/>
      <c r="P69" s="401"/>
      <c r="Q69" s="401"/>
      <c r="R69" s="199"/>
    </row>
    <row r="70" spans="1:18" s="104" customFormat="1" ht="15.75" customHeight="1">
      <c r="A70" s="679" t="s">
        <v>188</v>
      </c>
      <c r="B70" s="679"/>
      <c r="C70" s="207" t="s">
        <v>47</v>
      </c>
      <c r="D70" s="679" t="s">
        <v>12</v>
      </c>
      <c r="E70" s="680"/>
      <c r="F70" s="680"/>
      <c r="G70" s="207" t="s">
        <v>46</v>
      </c>
      <c r="H70" s="207" t="s">
        <v>380</v>
      </c>
      <c r="I70" s="207" t="s">
        <v>381</v>
      </c>
      <c r="J70" s="160" t="s">
        <v>332</v>
      </c>
      <c r="K70" s="679" t="s">
        <v>51</v>
      </c>
      <c r="L70" s="680"/>
      <c r="M70" s="128"/>
      <c r="N70" s="189"/>
      <c r="O70" s="402"/>
      <c r="P70" s="401"/>
      <c r="Q70" s="401"/>
      <c r="R70" s="199"/>
    </row>
    <row r="71" spans="1:18" ht="15.75" customHeight="1">
      <c r="A71" s="681">
        <v>6</v>
      </c>
      <c r="B71" s="682" t="s">
        <v>136</v>
      </c>
      <c r="C71" s="200">
        <v>1</v>
      </c>
      <c r="D71" s="677" t="s">
        <v>447</v>
      </c>
      <c r="E71" s="678"/>
      <c r="F71" s="678"/>
      <c r="G71" s="200">
        <v>20</v>
      </c>
      <c r="H71" s="202">
        <v>1788.1809538023849</v>
      </c>
      <c r="I71" s="203">
        <v>89.409047690119252</v>
      </c>
      <c r="J71" s="357">
        <f>I71-I45</f>
        <v>6.6429791712849351E-2</v>
      </c>
      <c r="K71" s="677" t="s">
        <v>435</v>
      </c>
      <c r="L71" s="678"/>
      <c r="M71" s="99"/>
      <c r="N71" s="199"/>
      <c r="O71" s="199"/>
      <c r="P71" s="401"/>
      <c r="Q71" s="401"/>
      <c r="R71" s="199"/>
    </row>
    <row r="72" spans="1:18" ht="15.75" customHeight="1">
      <c r="A72" s="681"/>
      <c r="B72" s="682"/>
      <c r="C72" s="200">
        <v>2</v>
      </c>
      <c r="D72" s="677" t="s">
        <v>746</v>
      </c>
      <c r="E72" s="678"/>
      <c r="F72" s="678"/>
      <c r="G72" s="202">
        <v>20</v>
      </c>
      <c r="H72" s="202">
        <v>1724.7806071241555</v>
      </c>
      <c r="I72" s="203">
        <v>86.239030356207778</v>
      </c>
      <c r="J72" s="357"/>
      <c r="K72" s="677" t="s">
        <v>754</v>
      </c>
      <c r="L72" s="678"/>
      <c r="M72" s="99"/>
      <c r="O72" s="199"/>
      <c r="P72" s="401"/>
      <c r="Q72" s="401"/>
      <c r="R72" s="199"/>
    </row>
    <row r="73" spans="1:18" ht="15.75" customHeight="1">
      <c r="A73" s="681"/>
      <c r="B73" s="682"/>
      <c r="C73" s="200">
        <v>3</v>
      </c>
      <c r="D73" s="677" t="s">
        <v>353</v>
      </c>
      <c r="E73" s="678"/>
      <c r="F73" s="678"/>
      <c r="G73" s="202">
        <v>21</v>
      </c>
      <c r="H73" s="202">
        <v>1788.9249470497907</v>
      </c>
      <c r="I73" s="203">
        <v>85.186902240466239</v>
      </c>
      <c r="J73" s="357">
        <f>I73-I46</f>
        <v>4.9391533572020307E-2</v>
      </c>
      <c r="K73" s="677" t="s">
        <v>435</v>
      </c>
      <c r="L73" s="678"/>
      <c r="M73" s="99"/>
      <c r="O73" s="199"/>
      <c r="P73" s="401"/>
      <c r="Q73" s="401"/>
      <c r="R73" s="199"/>
    </row>
    <row r="74" spans="1:18" ht="15.75" customHeight="1">
      <c r="A74" s="681"/>
      <c r="B74" s="682"/>
      <c r="C74" s="200">
        <v>4</v>
      </c>
      <c r="D74" s="677" t="s">
        <v>444</v>
      </c>
      <c r="E74" s="678"/>
      <c r="F74" s="678"/>
      <c r="G74" s="200">
        <v>22</v>
      </c>
      <c r="H74" s="202">
        <v>1786.7014195411177</v>
      </c>
      <c r="I74" s="203">
        <v>81.213700888232637</v>
      </c>
      <c r="J74" s="357">
        <f>I74-I47</f>
        <v>-3.843369172962241E-2</v>
      </c>
      <c r="K74" s="677" t="s">
        <v>435</v>
      </c>
      <c r="L74" s="678"/>
      <c r="M74" s="99"/>
      <c r="O74" s="199"/>
      <c r="P74" s="401"/>
      <c r="Q74" s="401"/>
      <c r="R74" s="199"/>
    </row>
    <row r="75" spans="1:18" ht="15.75" customHeight="1">
      <c r="A75" s="681"/>
      <c r="B75" s="682"/>
      <c r="C75" s="200">
        <v>5</v>
      </c>
      <c r="D75" s="677" t="s">
        <v>441</v>
      </c>
      <c r="E75" s="678"/>
      <c r="F75" s="678"/>
      <c r="G75" s="202">
        <v>23</v>
      </c>
      <c r="H75" s="202">
        <v>1790.590708336849</v>
      </c>
      <c r="I75" s="203">
        <v>77.851769927689091</v>
      </c>
      <c r="J75" s="357">
        <f>I75-I48</f>
        <v>-6.2182093397893823E-2</v>
      </c>
      <c r="K75" s="677" t="s">
        <v>435</v>
      </c>
      <c r="L75" s="678"/>
      <c r="M75" s="99"/>
      <c r="O75" s="199"/>
      <c r="P75" s="401"/>
      <c r="Q75" s="401"/>
      <c r="R75" s="199"/>
    </row>
    <row r="76" spans="1:18" ht="15.75" customHeight="1">
      <c r="A76" s="681"/>
      <c r="B76" s="682"/>
      <c r="C76" s="204" t="s">
        <v>204</v>
      </c>
      <c r="D76" s="677" t="s">
        <v>542</v>
      </c>
      <c r="E76" s="678"/>
      <c r="F76" s="678"/>
      <c r="G76" s="200">
        <v>26</v>
      </c>
      <c r="H76" s="202">
        <v>1791.5947740209874</v>
      </c>
      <c r="I76" s="203">
        <v>68.90749130849953</v>
      </c>
      <c r="J76" s="357">
        <f>I76-I50</f>
        <v>0</v>
      </c>
      <c r="K76" s="677" t="s">
        <v>435</v>
      </c>
      <c r="L76" s="678"/>
      <c r="M76" s="99"/>
      <c r="O76" s="199"/>
      <c r="P76" s="401"/>
      <c r="Q76" s="401"/>
      <c r="R76" s="199"/>
    </row>
    <row r="77" spans="1:18" ht="15.75" customHeight="1">
      <c r="A77" s="681"/>
      <c r="B77" s="682"/>
      <c r="C77" s="204" t="s">
        <v>209</v>
      </c>
      <c r="D77" s="677" t="s">
        <v>356</v>
      </c>
      <c r="E77" s="678"/>
      <c r="F77" s="678"/>
      <c r="G77" s="200">
        <v>24</v>
      </c>
      <c r="H77" s="202">
        <v>1790.5796598909362</v>
      </c>
      <c r="I77" s="203">
        <v>74.607485828788995</v>
      </c>
      <c r="J77" s="357">
        <f>I77-I51</f>
        <v>1.5328618284371487E-2</v>
      </c>
      <c r="K77" s="677" t="s">
        <v>435</v>
      </c>
      <c r="L77" s="678"/>
      <c r="M77" s="99"/>
      <c r="O77" s="199"/>
      <c r="P77" s="401"/>
      <c r="Q77" s="401"/>
      <c r="R77" s="199"/>
    </row>
    <row r="78" spans="1:18" ht="15.75" customHeight="1">
      <c r="A78" s="681"/>
      <c r="B78" s="682"/>
      <c r="C78" s="204" t="s">
        <v>205</v>
      </c>
      <c r="D78" s="677" t="s">
        <v>354</v>
      </c>
      <c r="E78" s="678"/>
      <c r="F78" s="678"/>
      <c r="G78" s="200">
        <v>24</v>
      </c>
      <c r="H78" s="202">
        <v>1792.2586084992145</v>
      </c>
      <c r="I78" s="203">
        <v>74.677442020800612</v>
      </c>
      <c r="J78" s="357">
        <f>I78-I52</f>
        <v>-1.3024357095943628E-2</v>
      </c>
      <c r="K78" s="677" t="s">
        <v>435</v>
      </c>
      <c r="L78" s="678"/>
      <c r="M78" s="99"/>
      <c r="O78" s="199"/>
      <c r="P78" s="401"/>
      <c r="Q78" s="401"/>
      <c r="R78" s="199"/>
    </row>
    <row r="79" spans="1:18" ht="15.75" customHeight="1">
      <c r="A79" s="681"/>
      <c r="B79" s="682"/>
      <c r="C79" s="204" t="s">
        <v>210</v>
      </c>
      <c r="D79" s="677" t="s">
        <v>355</v>
      </c>
      <c r="E79" s="678"/>
      <c r="F79" s="678"/>
      <c r="G79" s="200">
        <v>23</v>
      </c>
      <c r="H79" s="202">
        <v>1787.9841481127539</v>
      </c>
      <c r="I79" s="203">
        <v>77.738441222293659</v>
      </c>
      <c r="J79" s="357">
        <f>I79-I49</f>
        <v>-2.2535590344318734E-2</v>
      </c>
      <c r="K79" s="677" t="s">
        <v>435</v>
      </c>
      <c r="L79" s="678"/>
      <c r="M79" s="99"/>
      <c r="O79" s="199"/>
      <c r="P79" s="401"/>
      <c r="Q79" s="401"/>
      <c r="R79" s="199"/>
    </row>
    <row r="80" spans="1:18" ht="15.75" customHeight="1">
      <c r="A80" s="681"/>
      <c r="B80" s="682"/>
      <c r="C80" s="204" t="s">
        <v>211</v>
      </c>
      <c r="D80" s="677" t="s">
        <v>352</v>
      </c>
      <c r="E80" s="678"/>
      <c r="F80" s="678"/>
      <c r="G80" s="200">
        <v>23</v>
      </c>
      <c r="H80" s="202">
        <v>1788.9065231091006</v>
      </c>
      <c r="I80" s="203">
        <v>77.778544483004353</v>
      </c>
      <c r="J80" s="357">
        <f>I80-I53</f>
        <v>2.0717559158725862E-2</v>
      </c>
      <c r="K80" s="677" t="s">
        <v>435</v>
      </c>
      <c r="L80" s="678"/>
      <c r="M80" s="99"/>
      <c r="O80" s="199"/>
      <c r="P80" s="401"/>
      <c r="Q80" s="401"/>
      <c r="R80" s="199"/>
    </row>
    <row r="81" spans="1:18" s="189" customFormat="1" ht="15.75" customHeight="1">
      <c r="A81" s="683" t="s">
        <v>781</v>
      </c>
      <c r="B81" s="683"/>
      <c r="C81" s="683"/>
      <c r="D81" s="683"/>
      <c r="E81" s="683"/>
      <c r="F81" s="683"/>
      <c r="G81" s="683"/>
      <c r="H81" s="683"/>
      <c r="I81" s="683"/>
      <c r="J81" s="683"/>
      <c r="K81" s="683"/>
      <c r="L81" s="683"/>
    </row>
    <row r="82" spans="1:18" s="190" customFormat="1" ht="15.75" customHeight="1">
      <c r="A82" s="683"/>
      <c r="B82" s="683"/>
      <c r="C82" s="683"/>
      <c r="D82" s="683"/>
      <c r="E82" s="683"/>
      <c r="F82" s="683"/>
      <c r="G82" s="683"/>
      <c r="H82" s="683"/>
      <c r="I82" s="683"/>
      <c r="J82" s="683"/>
      <c r="K82" s="683"/>
      <c r="L82" s="683"/>
    </row>
    <row r="83" spans="1:18" s="106" customFormat="1" ht="16.350000000000001" customHeight="1">
      <c r="A83" s="681" t="s">
        <v>162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81"/>
      <c r="B84" s="195" t="s">
        <v>206</v>
      </c>
      <c r="C84" s="195" t="s">
        <v>155</v>
      </c>
      <c r="D84" s="195" t="s">
        <v>207</v>
      </c>
      <c r="E84" s="195" t="s">
        <v>156</v>
      </c>
      <c r="F84" s="194" t="s">
        <v>350</v>
      </c>
      <c r="G84" s="209" t="s">
        <v>136</v>
      </c>
      <c r="H84" s="197" t="s">
        <v>208</v>
      </c>
      <c r="I84" s="196" t="s">
        <v>379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82" t="s">
        <v>188</v>
      </c>
      <c r="B85" s="682"/>
      <c r="C85" s="160" t="s">
        <v>47</v>
      </c>
      <c r="D85" s="682" t="s">
        <v>12</v>
      </c>
      <c r="E85" s="684"/>
      <c r="F85" s="684"/>
      <c r="G85" s="160" t="s">
        <v>46</v>
      </c>
      <c r="H85" s="160" t="s">
        <v>380</v>
      </c>
      <c r="I85" s="160" t="s">
        <v>381</v>
      </c>
      <c r="J85" s="160" t="s">
        <v>332</v>
      </c>
      <c r="K85" s="682" t="s">
        <v>51</v>
      </c>
      <c r="L85" s="684"/>
      <c r="M85" s="127"/>
      <c r="N85" s="189"/>
      <c r="O85" s="402"/>
      <c r="P85" s="401"/>
      <c r="Q85" s="401"/>
      <c r="R85" s="199"/>
    </row>
    <row r="86" spans="1:18" ht="15.75" customHeight="1">
      <c r="A86" s="681">
        <v>5</v>
      </c>
      <c r="B86" s="682" t="s">
        <v>350</v>
      </c>
      <c r="C86" s="200">
        <v>1</v>
      </c>
      <c r="D86" s="677" t="s">
        <v>697</v>
      </c>
      <c r="E86" s="678"/>
      <c r="F86" s="678"/>
      <c r="G86" s="202">
        <v>17</v>
      </c>
      <c r="H86" s="202">
        <v>1788</v>
      </c>
      <c r="I86" s="203">
        <v>105.17647058823529</v>
      </c>
      <c r="J86" s="357">
        <f>I86-I60</f>
        <v>3.7207089103095825</v>
      </c>
      <c r="K86" s="688"/>
      <c r="L86" s="687"/>
      <c r="O86" s="402"/>
      <c r="P86" s="401"/>
      <c r="Q86" s="401"/>
      <c r="R86" s="199"/>
    </row>
    <row r="87" spans="1:18" ht="15.75" customHeight="1">
      <c r="A87" s="681"/>
      <c r="B87" s="682"/>
      <c r="C87" s="200">
        <v>2</v>
      </c>
      <c r="D87" s="677" t="s">
        <v>493</v>
      </c>
      <c r="E87" s="678"/>
      <c r="F87" s="678"/>
      <c r="G87" s="202">
        <v>19</v>
      </c>
      <c r="H87" s="202">
        <v>1788</v>
      </c>
      <c r="I87" s="203">
        <v>94.105263157894754</v>
      </c>
      <c r="J87" s="357">
        <f>I87-I61</f>
        <v>1.3568884854084615</v>
      </c>
      <c r="K87" s="688"/>
      <c r="L87" s="687"/>
      <c r="O87" s="402"/>
      <c r="P87" s="401"/>
      <c r="Q87" s="401"/>
      <c r="R87" s="199"/>
    </row>
    <row r="88" spans="1:18" ht="15.75" customHeight="1">
      <c r="A88" s="681"/>
      <c r="B88" s="682"/>
      <c r="C88" s="200">
        <v>3</v>
      </c>
      <c r="D88" s="677" t="s">
        <v>351</v>
      </c>
      <c r="E88" s="678"/>
      <c r="F88" s="678"/>
      <c r="G88" s="202">
        <v>23</v>
      </c>
      <c r="H88" s="202">
        <v>1788.9036182835127</v>
      </c>
      <c r="I88" s="203">
        <v>77.778418186239691</v>
      </c>
      <c r="J88" s="357">
        <f>I88-I64</f>
        <v>4.5719013295965283E-2</v>
      </c>
      <c r="K88" s="677"/>
      <c r="L88" s="678"/>
      <c r="O88" s="402"/>
      <c r="P88" s="401"/>
      <c r="Q88" s="401"/>
      <c r="R88" s="199"/>
    </row>
    <row r="89" spans="1:18" ht="15.75" customHeight="1">
      <c r="A89" s="681"/>
      <c r="B89" s="682"/>
      <c r="C89" s="200">
        <v>4</v>
      </c>
      <c r="D89" s="677" t="s">
        <v>343</v>
      </c>
      <c r="E89" s="678"/>
      <c r="F89" s="678"/>
      <c r="G89" s="202">
        <v>23</v>
      </c>
      <c r="H89" s="202">
        <v>1788.8857142857123</v>
      </c>
      <c r="I89" s="203">
        <v>77.777639751552698</v>
      </c>
      <c r="J89" s="357">
        <f>I89-I63</f>
        <v>3.7267080744669556E-3</v>
      </c>
      <c r="K89" s="677"/>
      <c r="L89" s="678"/>
      <c r="O89" s="402"/>
      <c r="P89" s="401"/>
      <c r="Q89" s="401"/>
      <c r="R89" s="199"/>
    </row>
    <row r="90" spans="1:18" ht="15.75" customHeight="1">
      <c r="A90" s="681"/>
      <c r="B90" s="682"/>
      <c r="C90" s="200">
        <v>5</v>
      </c>
      <c r="D90" s="677" t="s">
        <v>345</v>
      </c>
      <c r="E90" s="678"/>
      <c r="F90" s="678"/>
      <c r="G90" s="202">
        <v>23</v>
      </c>
      <c r="H90" s="202">
        <v>1787.8857142857134</v>
      </c>
      <c r="I90" s="203">
        <v>77.734161490683206</v>
      </c>
      <c r="J90" s="357">
        <f>I90-I67</f>
        <v>1.2422360248450559E-2</v>
      </c>
      <c r="K90" s="677"/>
      <c r="L90" s="678"/>
      <c r="O90" s="402"/>
      <c r="P90" s="401"/>
      <c r="Q90" s="401"/>
      <c r="R90" s="199"/>
    </row>
    <row r="91" spans="1:18" ht="15.75" customHeight="1">
      <c r="A91" s="681"/>
      <c r="B91" s="682"/>
      <c r="C91" s="204" t="s">
        <v>204</v>
      </c>
      <c r="D91" s="677" t="s">
        <v>344</v>
      </c>
      <c r="E91" s="678"/>
      <c r="F91" s="678"/>
      <c r="G91" s="202">
        <v>24</v>
      </c>
      <c r="H91" s="202">
        <v>1790.0194005157189</v>
      </c>
      <c r="I91" s="203">
        <v>74.584141688154958</v>
      </c>
      <c r="J91" s="357">
        <f>I91-I65</f>
        <v>5.868156061734453E-2</v>
      </c>
      <c r="K91" s="677"/>
      <c r="L91" s="678"/>
      <c r="O91" s="199"/>
      <c r="P91" s="401"/>
      <c r="Q91" s="401"/>
      <c r="R91" s="199"/>
    </row>
    <row r="92" spans="1:18" ht="15.75" customHeight="1">
      <c r="A92" s="681"/>
      <c r="B92" s="682"/>
      <c r="C92" s="204" t="s">
        <v>209</v>
      </c>
      <c r="D92" s="677" t="s">
        <v>492</v>
      </c>
      <c r="E92" s="678"/>
      <c r="F92" s="678"/>
      <c r="G92" s="202">
        <v>21</v>
      </c>
      <c r="H92" s="202">
        <v>1610.5317192509078</v>
      </c>
      <c r="I92" s="203">
        <v>76.691986630995615</v>
      </c>
      <c r="J92" s="357">
        <f>I92-I66</f>
        <v>9.3854328423120137E-2</v>
      </c>
      <c r="K92" s="677"/>
      <c r="L92" s="678"/>
      <c r="O92" s="402"/>
      <c r="P92" s="401"/>
      <c r="Q92" s="401"/>
      <c r="R92" s="199"/>
    </row>
    <row r="93" spans="1:18" ht="15.75" customHeight="1">
      <c r="A93" s="681"/>
      <c r="B93" s="682"/>
      <c r="C93" s="204" t="s">
        <v>205</v>
      </c>
      <c r="D93" s="677"/>
      <c r="E93" s="678"/>
      <c r="F93" s="678"/>
      <c r="G93" s="202"/>
      <c r="H93" s="202"/>
      <c r="I93" s="203"/>
      <c r="J93" s="357"/>
      <c r="K93" s="677"/>
      <c r="L93" s="678"/>
      <c r="N93" s="178"/>
      <c r="O93" s="403"/>
      <c r="P93" s="400"/>
      <c r="Q93" s="400"/>
      <c r="R93" s="178"/>
    </row>
    <row r="94" spans="1:18" ht="15.75" customHeight="1">
      <c r="A94" s="681"/>
      <c r="B94" s="682"/>
      <c r="C94" s="204" t="s">
        <v>210</v>
      </c>
      <c r="D94" s="677"/>
      <c r="E94" s="678"/>
      <c r="F94" s="678"/>
      <c r="G94" s="202"/>
      <c r="H94" s="202"/>
      <c r="I94" s="203"/>
      <c r="J94" s="357"/>
      <c r="K94" s="677"/>
      <c r="L94" s="678"/>
      <c r="M94" s="99"/>
      <c r="O94" s="402"/>
      <c r="P94" s="401"/>
      <c r="Q94" s="401"/>
      <c r="R94" s="199"/>
    </row>
    <row r="95" spans="1:18" ht="15.75" customHeight="1">
      <c r="A95" s="681"/>
      <c r="B95" s="682"/>
      <c r="C95" s="204" t="s">
        <v>211</v>
      </c>
      <c r="D95" s="677"/>
      <c r="E95" s="678"/>
      <c r="F95" s="678"/>
      <c r="G95" s="202"/>
      <c r="H95" s="202"/>
      <c r="I95" s="203"/>
      <c r="J95" s="200"/>
      <c r="K95" s="677"/>
      <c r="L95" s="678"/>
      <c r="M95" s="99"/>
      <c r="O95" s="402"/>
      <c r="P95" s="401"/>
      <c r="Q95" s="401"/>
      <c r="R95" s="199"/>
    </row>
    <row r="96" spans="1:18" s="104" customFormat="1" ht="15.75" customHeight="1">
      <c r="A96" s="679" t="s">
        <v>188</v>
      </c>
      <c r="B96" s="679"/>
      <c r="C96" s="207" t="s">
        <v>47</v>
      </c>
      <c r="D96" s="679" t="s">
        <v>12</v>
      </c>
      <c r="E96" s="680"/>
      <c r="F96" s="680"/>
      <c r="G96" s="207" t="s">
        <v>46</v>
      </c>
      <c r="H96" s="207" t="s">
        <v>380</v>
      </c>
      <c r="I96" s="207" t="s">
        <v>381</v>
      </c>
      <c r="J96" s="160" t="s">
        <v>332</v>
      </c>
      <c r="K96" s="679" t="s">
        <v>51</v>
      </c>
      <c r="L96" s="680"/>
      <c r="M96" s="128"/>
      <c r="N96" s="189"/>
      <c r="O96" s="402"/>
      <c r="P96" s="401"/>
      <c r="Q96" s="401"/>
      <c r="R96" s="199"/>
    </row>
    <row r="97" spans="1:18" ht="15.75" customHeight="1">
      <c r="A97" s="681">
        <v>6</v>
      </c>
      <c r="B97" s="682" t="s">
        <v>136</v>
      </c>
      <c r="C97" s="200">
        <v>1</v>
      </c>
      <c r="D97" s="677" t="s">
        <v>746</v>
      </c>
      <c r="E97" s="678"/>
      <c r="F97" s="678"/>
      <c r="G97" s="200">
        <v>20</v>
      </c>
      <c r="H97" s="202">
        <v>1789.8884430108283</v>
      </c>
      <c r="I97" s="203">
        <v>89.494422150541396</v>
      </c>
      <c r="J97" s="357">
        <f>I97-I72</f>
        <v>3.2553917943336188</v>
      </c>
      <c r="K97" s="677"/>
      <c r="L97" s="678"/>
      <c r="M97" s="99"/>
      <c r="N97" s="199"/>
      <c r="O97" s="199"/>
      <c r="P97" s="401"/>
      <c r="Q97" s="401"/>
      <c r="R97" s="199"/>
    </row>
    <row r="98" spans="1:18" ht="15.75" customHeight="1">
      <c r="A98" s="681"/>
      <c r="B98" s="682"/>
      <c r="C98" s="200">
        <v>2</v>
      </c>
      <c r="D98" s="677" t="s">
        <v>447</v>
      </c>
      <c r="E98" s="678"/>
      <c r="F98" s="678"/>
      <c r="G98" s="202">
        <v>20</v>
      </c>
      <c r="H98" s="202">
        <v>1788.746660617217</v>
      </c>
      <c r="I98" s="203">
        <v>89.437333030860856</v>
      </c>
      <c r="J98" s="357">
        <f>I98-I71</f>
        <v>2.8285340741604159E-2</v>
      </c>
      <c r="K98" s="677"/>
      <c r="L98" s="678"/>
      <c r="M98" s="99"/>
      <c r="O98" s="199"/>
      <c r="P98" s="401"/>
      <c r="Q98" s="401"/>
      <c r="R98" s="199"/>
    </row>
    <row r="99" spans="1:18" ht="15.75" customHeight="1">
      <c r="A99" s="681"/>
      <c r="B99" s="682"/>
      <c r="C99" s="200">
        <v>3</v>
      </c>
      <c r="D99" s="677" t="s">
        <v>353</v>
      </c>
      <c r="E99" s="678"/>
      <c r="F99" s="678"/>
      <c r="G99" s="202">
        <v>21</v>
      </c>
      <c r="H99" s="202">
        <v>1789.267804192647</v>
      </c>
      <c r="I99" s="203">
        <v>85.203228771078443</v>
      </c>
      <c r="J99" s="357">
        <f>I99-I73</f>
        <v>1.6326530612204238E-2</v>
      </c>
      <c r="K99" s="677"/>
      <c r="L99" s="678"/>
      <c r="M99" s="99"/>
      <c r="O99" s="199"/>
      <c r="P99" s="401"/>
      <c r="Q99" s="401"/>
      <c r="R99" s="199"/>
    </row>
    <row r="100" spans="1:18" ht="15.75" customHeight="1">
      <c r="A100" s="681"/>
      <c r="B100" s="682"/>
      <c r="C100" s="200">
        <v>4</v>
      </c>
      <c r="D100" s="677" t="s">
        <v>444</v>
      </c>
      <c r="E100" s="678"/>
      <c r="F100" s="678"/>
      <c r="G100" s="200">
        <v>22</v>
      </c>
      <c r="H100" s="202">
        <v>1786.2176388619196</v>
      </c>
      <c r="I100" s="203">
        <v>81.191710857359993</v>
      </c>
      <c r="J100" s="357">
        <f>I100-I74</f>
        <v>-2.1990030872643729E-2</v>
      </c>
      <c r="K100" s="677"/>
      <c r="L100" s="678"/>
      <c r="M100" s="99"/>
      <c r="O100" s="199"/>
      <c r="P100" s="401"/>
      <c r="Q100" s="401"/>
      <c r="R100" s="199"/>
    </row>
    <row r="101" spans="1:18" ht="15.75" customHeight="1">
      <c r="A101" s="681"/>
      <c r="B101" s="682"/>
      <c r="C101" s="200">
        <v>5</v>
      </c>
      <c r="D101" s="677" t="s">
        <v>441</v>
      </c>
      <c r="E101" s="678"/>
      <c r="F101" s="678"/>
      <c r="G101" s="202">
        <v>23</v>
      </c>
      <c r="H101" s="202">
        <v>1791.1101678810435</v>
      </c>
      <c r="I101" s="203">
        <v>77.874355125262781</v>
      </c>
      <c r="J101" s="357">
        <f>I101-I75</f>
        <v>2.2585197573690152E-2</v>
      </c>
      <c r="K101" s="677"/>
      <c r="L101" s="678"/>
      <c r="M101" s="99"/>
      <c r="O101" s="199"/>
      <c r="P101" s="401"/>
      <c r="Q101" s="401"/>
      <c r="R101" s="199"/>
    </row>
    <row r="102" spans="1:18" ht="15.75" customHeight="1">
      <c r="A102" s="681"/>
      <c r="B102" s="682"/>
      <c r="C102" s="204" t="s">
        <v>204</v>
      </c>
      <c r="D102" s="677" t="s">
        <v>542</v>
      </c>
      <c r="E102" s="678"/>
      <c r="F102" s="678"/>
      <c r="G102" s="200">
        <v>26</v>
      </c>
      <c r="H102" s="202">
        <v>1791.7947740209879</v>
      </c>
      <c r="I102" s="203">
        <v>68.91518361619184</v>
      </c>
      <c r="J102" s="357">
        <f>I102-I76</f>
        <v>7.6923076923094413E-3</v>
      </c>
      <c r="K102" s="677"/>
      <c r="L102" s="678"/>
      <c r="M102" s="99"/>
      <c r="O102" s="199"/>
      <c r="P102" s="401"/>
      <c r="Q102" s="401"/>
      <c r="R102" s="199"/>
    </row>
    <row r="103" spans="1:18" ht="15.75" customHeight="1">
      <c r="A103" s="681"/>
      <c r="B103" s="682"/>
      <c r="C103" s="204" t="s">
        <v>209</v>
      </c>
      <c r="D103" s="677" t="s">
        <v>356</v>
      </c>
      <c r="E103" s="678"/>
      <c r="F103" s="678"/>
      <c r="G103" s="200">
        <v>24</v>
      </c>
      <c r="H103" s="202">
        <v>1790.6939456052223</v>
      </c>
      <c r="I103" s="203">
        <v>74.61224773355093</v>
      </c>
      <c r="J103" s="357">
        <f>I103-I77</f>
        <v>4.7619047619349431E-3</v>
      </c>
      <c r="K103" s="677"/>
      <c r="L103" s="678"/>
      <c r="M103" s="99"/>
      <c r="O103" s="199"/>
      <c r="P103" s="401"/>
      <c r="Q103" s="401"/>
      <c r="R103" s="199"/>
    </row>
    <row r="104" spans="1:18" ht="15.75" customHeight="1">
      <c r="A104" s="681"/>
      <c r="B104" s="682"/>
      <c r="C104" s="204" t="s">
        <v>205</v>
      </c>
      <c r="D104" s="677" t="s">
        <v>354</v>
      </c>
      <c r="E104" s="678"/>
      <c r="F104" s="678"/>
      <c r="G104" s="200">
        <v>24</v>
      </c>
      <c r="H104" s="202">
        <v>1793.3831010773927</v>
      </c>
      <c r="I104" s="203">
        <v>74.724295878224694</v>
      </c>
      <c r="J104" s="357">
        <f>I104-I78</f>
        <v>4.6853857424082435E-2</v>
      </c>
      <c r="K104" s="677"/>
      <c r="L104" s="678"/>
      <c r="M104" s="99"/>
      <c r="O104" s="199"/>
      <c r="P104" s="401"/>
      <c r="Q104" s="401"/>
      <c r="R104" s="199"/>
    </row>
    <row r="105" spans="1:18" ht="15.75" customHeight="1">
      <c r="A105" s="681"/>
      <c r="B105" s="682"/>
      <c r="C105" s="204" t="s">
        <v>210</v>
      </c>
      <c r="D105" s="677" t="s">
        <v>352</v>
      </c>
      <c r="E105" s="678"/>
      <c r="F105" s="678"/>
      <c r="G105" s="200">
        <v>23</v>
      </c>
      <c r="H105" s="202">
        <v>1787.7620868513229</v>
      </c>
      <c r="I105" s="203">
        <v>77.728786384840149</v>
      </c>
      <c r="J105" s="357">
        <f>I105-I75</f>
        <v>-0.12298354284894231</v>
      </c>
      <c r="K105" s="677"/>
      <c r="L105" s="678"/>
      <c r="M105" s="99"/>
      <c r="O105" s="199"/>
      <c r="P105" s="401"/>
      <c r="Q105" s="401"/>
      <c r="R105" s="199"/>
    </row>
    <row r="106" spans="1:18" ht="15.75" customHeight="1">
      <c r="A106" s="681"/>
      <c r="B106" s="682"/>
      <c r="C106" s="204" t="s">
        <v>211</v>
      </c>
      <c r="D106" s="677" t="s">
        <v>355</v>
      </c>
      <c r="E106" s="678"/>
      <c r="F106" s="678"/>
      <c r="G106" s="200">
        <v>23</v>
      </c>
      <c r="H106" s="202">
        <v>1789.8127195413251</v>
      </c>
      <c r="I106" s="203">
        <v>77.817944327883694</v>
      </c>
      <c r="J106" s="357">
        <f>I106-I79</f>
        <v>7.9503105590035261E-2</v>
      </c>
      <c r="K106" s="677"/>
      <c r="L106" s="678"/>
      <c r="M106" s="99"/>
      <c r="O106" s="199"/>
      <c r="P106" s="401"/>
      <c r="Q106" s="401"/>
      <c r="R106" s="199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106"/>
  <sheetViews>
    <sheetView view="pageBreakPreview" topLeftCell="A76" zoomScale="115" zoomScaleNormal="60" zoomScaleSheetLayoutView="115" workbookViewId="0">
      <selection activeCell="J102" sqref="J10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57" t="s">
        <v>378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99"/>
    </row>
    <row r="2" spans="1:18" s="10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N2" s="190"/>
      <c r="O2" s="190"/>
      <c r="P2" s="190"/>
      <c r="Q2" s="190"/>
      <c r="R2" s="190"/>
    </row>
    <row r="3" spans="1:18" s="189" customFormat="1" ht="15.75" customHeight="1">
      <c r="A3" s="683" t="s">
        <v>616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</row>
    <row r="4" spans="1:18" s="190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</row>
    <row r="5" spans="1:18" s="106" customFormat="1" ht="16.350000000000001" customHeight="1">
      <c r="A5" s="694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96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700" t="s">
        <v>188</v>
      </c>
      <c r="B7" s="701"/>
      <c r="C7" s="160" t="s">
        <v>47</v>
      </c>
      <c r="D7" s="700" t="s">
        <v>12</v>
      </c>
      <c r="E7" s="702"/>
      <c r="F7" s="701"/>
      <c r="G7" s="160" t="s">
        <v>46</v>
      </c>
      <c r="H7" s="160" t="s">
        <v>380</v>
      </c>
      <c r="I7" s="160" t="s">
        <v>381</v>
      </c>
      <c r="J7" s="160" t="s">
        <v>332</v>
      </c>
      <c r="K7" s="700" t="s">
        <v>51</v>
      </c>
      <c r="L7" s="701"/>
      <c r="M7" s="127"/>
      <c r="N7" s="189"/>
      <c r="O7" s="199"/>
      <c r="P7" s="401"/>
      <c r="Q7" s="401"/>
      <c r="R7" s="199"/>
    </row>
    <row r="8" spans="1:18" ht="15.75" customHeight="1">
      <c r="A8" s="694">
        <v>7</v>
      </c>
      <c r="B8" s="697" t="s">
        <v>384</v>
      </c>
      <c r="C8" s="200">
        <v>1</v>
      </c>
      <c r="D8" s="703"/>
      <c r="E8" s="678"/>
      <c r="F8" s="678"/>
      <c r="G8" s="200"/>
      <c r="H8" s="202"/>
      <c r="I8" s="203"/>
      <c r="J8" s="200"/>
      <c r="K8" s="688"/>
      <c r="L8" s="687"/>
      <c r="O8" s="199"/>
      <c r="P8" s="401"/>
      <c r="Q8" s="401"/>
      <c r="R8" s="199"/>
    </row>
    <row r="9" spans="1:18" ht="15.75" customHeight="1">
      <c r="A9" s="695"/>
      <c r="B9" s="698"/>
      <c r="C9" s="200">
        <v>2</v>
      </c>
      <c r="D9" s="703"/>
      <c r="E9" s="678"/>
      <c r="F9" s="678"/>
      <c r="G9" s="200"/>
      <c r="H9" s="202"/>
      <c r="I9" s="203"/>
      <c r="J9" s="200"/>
      <c r="K9" s="688"/>
      <c r="L9" s="687"/>
      <c r="O9" s="199"/>
      <c r="P9" s="401"/>
      <c r="Q9" s="401"/>
      <c r="R9" s="199"/>
    </row>
    <row r="10" spans="1:18" ht="15.75" customHeight="1">
      <c r="A10" s="695"/>
      <c r="B10" s="698"/>
      <c r="C10" s="200">
        <v>3</v>
      </c>
      <c r="D10" s="688"/>
      <c r="E10" s="690"/>
      <c r="F10" s="687"/>
      <c r="G10" s="200"/>
      <c r="H10" s="202"/>
      <c r="I10" s="203"/>
      <c r="J10" s="200"/>
      <c r="K10" s="688"/>
      <c r="L10" s="687"/>
      <c r="N10" s="404"/>
      <c r="O10" s="199"/>
      <c r="P10" s="401"/>
      <c r="Q10" s="401"/>
      <c r="R10" s="199"/>
    </row>
    <row r="11" spans="1:18" ht="15.75" customHeight="1">
      <c r="A11" s="695"/>
      <c r="B11" s="698"/>
      <c r="C11" s="200">
        <v>4</v>
      </c>
      <c r="D11" s="688"/>
      <c r="E11" s="690"/>
      <c r="F11" s="687"/>
      <c r="G11" s="200"/>
      <c r="H11" s="202"/>
      <c r="I11" s="203"/>
      <c r="J11" s="200"/>
      <c r="K11" s="688"/>
      <c r="L11" s="687"/>
      <c r="O11" s="199"/>
      <c r="P11" s="401"/>
      <c r="Q11" s="401"/>
      <c r="R11" s="199"/>
    </row>
    <row r="12" spans="1:18" ht="15.75" customHeight="1">
      <c r="A12" s="695"/>
      <c r="B12" s="698"/>
      <c r="C12" s="200">
        <v>5</v>
      </c>
      <c r="D12" s="688"/>
      <c r="E12" s="690"/>
      <c r="F12" s="687"/>
      <c r="G12" s="200"/>
      <c r="H12" s="202"/>
      <c r="I12" s="203"/>
      <c r="J12" s="200"/>
      <c r="K12" s="688"/>
      <c r="L12" s="687"/>
      <c r="N12" s="178"/>
      <c r="O12" s="199"/>
      <c r="P12" s="401"/>
      <c r="Q12" s="401"/>
      <c r="R12" s="199"/>
    </row>
    <row r="13" spans="1:18" ht="15.75" customHeight="1">
      <c r="A13" s="695"/>
      <c r="B13" s="698"/>
      <c r="C13" s="204" t="s">
        <v>204</v>
      </c>
      <c r="D13" s="688"/>
      <c r="E13" s="690"/>
      <c r="F13" s="687"/>
      <c r="G13" s="200"/>
      <c r="H13" s="202"/>
      <c r="I13" s="203"/>
      <c r="J13" s="200"/>
      <c r="K13" s="688"/>
      <c r="L13" s="687"/>
      <c r="N13" s="404"/>
      <c r="O13" s="199"/>
      <c r="P13" s="401"/>
      <c r="Q13" s="401"/>
      <c r="R13" s="199"/>
    </row>
    <row r="14" spans="1:18" ht="15.75" customHeight="1">
      <c r="A14" s="695"/>
      <c r="B14" s="698"/>
      <c r="C14" s="204" t="s">
        <v>209</v>
      </c>
      <c r="D14" s="688"/>
      <c r="E14" s="690"/>
      <c r="F14" s="687"/>
      <c r="G14" s="200"/>
      <c r="H14" s="202"/>
      <c r="I14" s="203"/>
      <c r="J14" s="200"/>
      <c r="K14" s="688"/>
      <c r="L14" s="687"/>
      <c r="O14" s="199"/>
      <c r="P14" s="401"/>
      <c r="Q14" s="401"/>
      <c r="R14" s="199"/>
    </row>
    <row r="15" spans="1:18" ht="15.75" customHeight="1">
      <c r="A15" s="695"/>
      <c r="B15" s="698"/>
      <c r="C15" s="204" t="s">
        <v>205</v>
      </c>
      <c r="D15" s="688"/>
      <c r="E15" s="690"/>
      <c r="F15" s="687"/>
      <c r="G15" s="200"/>
      <c r="H15" s="202"/>
      <c r="I15" s="203"/>
      <c r="J15" s="200"/>
      <c r="K15" s="688"/>
      <c r="L15" s="687"/>
      <c r="O15" s="199"/>
      <c r="P15" s="401"/>
      <c r="Q15" s="401"/>
      <c r="R15" s="199"/>
    </row>
    <row r="16" spans="1:18" ht="15.75" customHeight="1">
      <c r="A16" s="695"/>
      <c r="B16" s="698"/>
      <c r="C16" s="204" t="s">
        <v>210</v>
      </c>
      <c r="D16" s="688"/>
      <c r="E16" s="690"/>
      <c r="F16" s="687"/>
      <c r="G16" s="200"/>
      <c r="H16" s="202"/>
      <c r="I16" s="203"/>
      <c r="J16" s="200"/>
      <c r="K16" s="688"/>
      <c r="L16" s="687"/>
      <c r="M16" s="99"/>
      <c r="O16" s="199"/>
      <c r="P16" s="401"/>
      <c r="Q16" s="401"/>
      <c r="R16" s="199"/>
    </row>
    <row r="17" spans="1:18" ht="15.75" customHeight="1">
      <c r="A17" s="696"/>
      <c r="B17" s="699"/>
      <c r="C17" s="204" t="s">
        <v>211</v>
      </c>
      <c r="D17" s="688"/>
      <c r="E17" s="690"/>
      <c r="F17" s="687"/>
      <c r="G17" s="200"/>
      <c r="H17" s="202"/>
      <c r="I17" s="203"/>
      <c r="J17" s="200"/>
      <c r="K17" s="688"/>
      <c r="L17" s="687"/>
      <c r="M17" s="99"/>
      <c r="N17" s="199"/>
      <c r="O17" s="199"/>
      <c r="P17" s="401"/>
      <c r="Q17" s="401"/>
      <c r="R17" s="199"/>
    </row>
    <row r="18" spans="1:18" s="104" customFormat="1" ht="15.75" customHeight="1">
      <c r="A18" s="691" t="s">
        <v>188</v>
      </c>
      <c r="B18" s="692"/>
      <c r="C18" s="207" t="s">
        <v>47</v>
      </c>
      <c r="D18" s="691" t="s">
        <v>12</v>
      </c>
      <c r="E18" s="693"/>
      <c r="F18" s="692"/>
      <c r="G18" s="207" t="s">
        <v>46</v>
      </c>
      <c r="H18" s="207" t="s">
        <v>380</v>
      </c>
      <c r="I18" s="207" t="s">
        <v>381</v>
      </c>
      <c r="J18" s="160" t="s">
        <v>332</v>
      </c>
      <c r="K18" s="691" t="s">
        <v>51</v>
      </c>
      <c r="L18" s="692"/>
      <c r="M18" s="128"/>
      <c r="N18" s="189"/>
      <c r="O18" s="199"/>
      <c r="P18" s="401"/>
      <c r="Q18" s="401"/>
      <c r="R18" s="199"/>
    </row>
    <row r="19" spans="1:18" ht="15.75" customHeight="1">
      <c r="A19" s="694">
        <v>8</v>
      </c>
      <c r="B19" s="697" t="s">
        <v>385</v>
      </c>
      <c r="C19" s="200">
        <v>1</v>
      </c>
      <c r="D19" s="688" t="s">
        <v>588</v>
      </c>
      <c r="E19" s="690"/>
      <c r="F19" s="687"/>
      <c r="G19" s="200">
        <v>19</v>
      </c>
      <c r="H19" s="202">
        <v>3172.184337094784</v>
      </c>
      <c r="I19" s="203">
        <v>166.95707037340972</v>
      </c>
      <c r="J19" s="357">
        <v>9.7326049824175698E-2</v>
      </c>
      <c r="K19" s="688" t="s">
        <v>435</v>
      </c>
      <c r="L19" s="687"/>
      <c r="M19" s="99"/>
      <c r="O19" s="199"/>
      <c r="P19" s="401"/>
      <c r="Q19" s="401"/>
      <c r="R19" s="199"/>
    </row>
    <row r="20" spans="1:18" ht="15.75" customHeight="1">
      <c r="A20" s="695"/>
      <c r="B20" s="698"/>
      <c r="C20" s="200">
        <v>2</v>
      </c>
      <c r="D20" s="688" t="s">
        <v>606</v>
      </c>
      <c r="E20" s="690"/>
      <c r="F20" s="687"/>
      <c r="G20" s="200">
        <v>19</v>
      </c>
      <c r="H20" s="202">
        <v>3170.9267633689415</v>
      </c>
      <c r="I20" s="203">
        <v>166.89088228257586</v>
      </c>
      <c r="J20" s="357">
        <v>3.4575619585544359</v>
      </c>
      <c r="K20" s="677" t="s">
        <v>501</v>
      </c>
      <c r="L20" s="678"/>
      <c r="M20" s="99"/>
      <c r="O20" s="178"/>
      <c r="P20" s="400"/>
      <c r="Q20" s="400"/>
      <c r="R20" s="178"/>
    </row>
    <row r="21" spans="1:18" ht="15.75" customHeight="1">
      <c r="A21" s="695"/>
      <c r="B21" s="698"/>
      <c r="C21" s="200">
        <v>3</v>
      </c>
      <c r="D21" s="688" t="s">
        <v>620</v>
      </c>
      <c r="E21" s="690"/>
      <c r="F21" s="687"/>
      <c r="G21" s="200">
        <v>19</v>
      </c>
      <c r="H21" s="202">
        <v>3106.4853322042131</v>
      </c>
      <c r="I21" s="203">
        <v>163.49922801074803</v>
      </c>
      <c r="J21" s="357"/>
      <c r="K21" s="677" t="s">
        <v>557</v>
      </c>
      <c r="L21" s="678"/>
      <c r="M21" s="99"/>
      <c r="O21" s="199"/>
      <c r="P21" s="401"/>
      <c r="Q21" s="401"/>
      <c r="R21" s="199"/>
    </row>
    <row r="22" spans="1:18" ht="15.75" customHeight="1">
      <c r="A22" s="695"/>
      <c r="B22" s="698"/>
      <c r="C22" s="200">
        <v>4</v>
      </c>
      <c r="D22" s="688" t="s">
        <v>586</v>
      </c>
      <c r="E22" s="690"/>
      <c r="F22" s="687"/>
      <c r="G22" s="200">
        <v>20</v>
      </c>
      <c r="H22" s="202">
        <v>3257.0218312293314</v>
      </c>
      <c r="I22" s="203">
        <v>162.85109156146657</v>
      </c>
      <c r="J22" s="357">
        <v>-2.0588799049505724E-3</v>
      </c>
      <c r="K22" s="688" t="s">
        <v>435</v>
      </c>
      <c r="L22" s="687"/>
      <c r="M22" s="99"/>
      <c r="O22" s="199"/>
      <c r="P22" s="401"/>
      <c r="Q22" s="401"/>
      <c r="R22" s="199"/>
    </row>
    <row r="23" spans="1:18" ht="15.75" customHeight="1">
      <c r="A23" s="695"/>
      <c r="B23" s="698"/>
      <c r="C23" s="200">
        <v>5</v>
      </c>
      <c r="D23" s="688" t="s">
        <v>587</v>
      </c>
      <c r="E23" s="690"/>
      <c r="F23" s="687"/>
      <c r="G23" s="200">
        <v>21</v>
      </c>
      <c r="H23" s="202">
        <v>3258.2142282390128</v>
      </c>
      <c r="I23" s="203">
        <v>155.15305848757203</v>
      </c>
      <c r="J23" s="357">
        <v>-1.7060673523076275E-2</v>
      </c>
      <c r="K23" s="688" t="s">
        <v>435</v>
      </c>
      <c r="L23" s="687"/>
      <c r="M23" s="99"/>
      <c r="O23" s="199"/>
      <c r="P23" s="401"/>
      <c r="Q23" s="401"/>
      <c r="R23" s="199"/>
    </row>
    <row r="24" spans="1:18" ht="15.75" customHeight="1">
      <c r="A24" s="695"/>
      <c r="B24" s="698"/>
      <c r="C24" s="204" t="s">
        <v>204</v>
      </c>
      <c r="D24" s="688"/>
      <c r="E24" s="690"/>
      <c r="F24" s="687"/>
      <c r="G24" s="200"/>
      <c r="H24" s="202"/>
      <c r="I24" s="203"/>
      <c r="J24" s="200"/>
      <c r="K24" s="688"/>
      <c r="L24" s="687"/>
      <c r="M24" s="99"/>
      <c r="O24" s="199"/>
      <c r="P24" s="401"/>
      <c r="Q24" s="401"/>
      <c r="R24" s="199"/>
    </row>
    <row r="25" spans="1:18" ht="15.75" customHeight="1">
      <c r="A25" s="695"/>
      <c r="B25" s="698"/>
      <c r="C25" s="204" t="s">
        <v>209</v>
      </c>
      <c r="D25" s="688"/>
      <c r="E25" s="690"/>
      <c r="F25" s="687"/>
      <c r="G25" s="200"/>
      <c r="H25" s="202"/>
      <c r="I25" s="203"/>
      <c r="J25" s="200"/>
      <c r="K25" s="688"/>
      <c r="L25" s="687"/>
      <c r="M25" s="99"/>
      <c r="O25" s="199"/>
      <c r="P25" s="401"/>
      <c r="Q25" s="401"/>
      <c r="R25" s="199"/>
    </row>
    <row r="26" spans="1:18" ht="15.75" customHeight="1">
      <c r="A26" s="695"/>
      <c r="B26" s="698"/>
      <c r="C26" s="204" t="s">
        <v>205</v>
      </c>
      <c r="D26" s="688"/>
      <c r="E26" s="690"/>
      <c r="F26" s="687"/>
      <c r="G26" s="200"/>
      <c r="H26" s="202"/>
      <c r="I26" s="203"/>
      <c r="J26" s="200"/>
      <c r="K26" s="688"/>
      <c r="L26" s="687"/>
      <c r="M26" s="99"/>
      <c r="O26" s="199"/>
      <c r="P26" s="401"/>
      <c r="Q26" s="401"/>
      <c r="R26" s="199"/>
    </row>
    <row r="27" spans="1:18" ht="15.75" customHeight="1">
      <c r="A27" s="695"/>
      <c r="B27" s="698"/>
      <c r="C27" s="204" t="s">
        <v>210</v>
      </c>
      <c r="D27" s="688"/>
      <c r="E27" s="690"/>
      <c r="F27" s="687"/>
      <c r="G27" s="200"/>
      <c r="H27" s="202"/>
      <c r="I27" s="203"/>
      <c r="J27" s="200"/>
      <c r="K27" s="688"/>
      <c r="L27" s="687"/>
      <c r="M27" s="99"/>
      <c r="O27" s="199"/>
      <c r="P27" s="401"/>
      <c r="Q27" s="401"/>
      <c r="R27" s="199"/>
    </row>
    <row r="28" spans="1:18" ht="15.75" customHeight="1">
      <c r="A28" s="696"/>
      <c r="B28" s="699"/>
      <c r="C28" s="204" t="s">
        <v>211</v>
      </c>
      <c r="D28" s="688"/>
      <c r="E28" s="690"/>
      <c r="F28" s="687"/>
      <c r="G28" s="200"/>
      <c r="H28" s="202"/>
      <c r="I28" s="203"/>
      <c r="J28" s="200"/>
      <c r="K28" s="688"/>
      <c r="L28" s="687"/>
      <c r="M28" s="99"/>
      <c r="O28" s="199"/>
      <c r="P28" s="401"/>
      <c r="Q28" s="401"/>
      <c r="R28" s="199"/>
    </row>
    <row r="29" spans="1:18" ht="15.75" customHeight="1">
      <c r="A29" s="683" t="s">
        <v>698</v>
      </c>
      <c r="B29" s="683"/>
      <c r="C29" s="683"/>
      <c r="D29" s="683"/>
      <c r="E29" s="683"/>
      <c r="F29" s="683"/>
      <c r="G29" s="683"/>
      <c r="H29" s="683"/>
      <c r="I29" s="683"/>
      <c r="J29" s="683"/>
      <c r="K29" s="683"/>
      <c r="L29" s="683"/>
      <c r="M29" s="99"/>
    </row>
    <row r="30" spans="1:18" s="100" customFormat="1" ht="15.75" customHeight="1">
      <c r="A30" s="683"/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  <c r="N30" s="190"/>
      <c r="O30" s="190"/>
      <c r="P30" s="190"/>
      <c r="Q30" s="190"/>
      <c r="R30" s="190"/>
    </row>
    <row r="31" spans="1:18" s="106" customFormat="1" ht="16.350000000000001" customHeight="1">
      <c r="A31" s="694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96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700" t="s">
        <v>188</v>
      </c>
      <c r="B33" s="701"/>
      <c r="C33" s="160" t="s">
        <v>47</v>
      </c>
      <c r="D33" s="700" t="s">
        <v>12</v>
      </c>
      <c r="E33" s="702"/>
      <c r="F33" s="701"/>
      <c r="G33" s="160" t="s">
        <v>46</v>
      </c>
      <c r="H33" s="160" t="s">
        <v>380</v>
      </c>
      <c r="I33" s="160" t="s">
        <v>381</v>
      </c>
      <c r="J33" s="160" t="s">
        <v>332</v>
      </c>
      <c r="K33" s="700" t="s">
        <v>51</v>
      </c>
      <c r="L33" s="701"/>
      <c r="M33" s="127"/>
      <c r="N33" s="189"/>
      <c r="O33" s="199"/>
      <c r="P33" s="401"/>
      <c r="Q33" s="401"/>
      <c r="R33" s="199"/>
    </row>
    <row r="34" spans="1:18" ht="15.75" customHeight="1">
      <c r="A34" s="694">
        <v>7</v>
      </c>
      <c r="B34" s="697" t="s">
        <v>384</v>
      </c>
      <c r="C34" s="200">
        <v>1</v>
      </c>
      <c r="D34" s="703"/>
      <c r="E34" s="678"/>
      <c r="F34" s="678"/>
      <c r="G34" s="200"/>
      <c r="H34" s="202"/>
      <c r="I34" s="203"/>
      <c r="J34" s="200"/>
      <c r="K34" s="688"/>
      <c r="L34" s="687"/>
      <c r="N34" s="404"/>
      <c r="O34" s="199"/>
      <c r="P34" s="401"/>
      <c r="Q34" s="401"/>
      <c r="R34" s="199"/>
    </row>
    <row r="35" spans="1:18" ht="15.75" customHeight="1">
      <c r="A35" s="695"/>
      <c r="B35" s="698"/>
      <c r="C35" s="200">
        <v>2</v>
      </c>
      <c r="D35" s="703"/>
      <c r="E35" s="678"/>
      <c r="F35" s="678"/>
      <c r="G35" s="200"/>
      <c r="H35" s="202"/>
      <c r="I35" s="203"/>
      <c r="J35" s="200"/>
      <c r="K35" s="688"/>
      <c r="L35" s="687"/>
      <c r="O35" s="199"/>
      <c r="P35" s="401"/>
      <c r="Q35" s="401"/>
      <c r="R35" s="199"/>
    </row>
    <row r="36" spans="1:18" ht="15.75" customHeight="1">
      <c r="A36" s="695"/>
      <c r="B36" s="698"/>
      <c r="C36" s="200">
        <v>3</v>
      </c>
      <c r="D36" s="688"/>
      <c r="E36" s="690"/>
      <c r="F36" s="687"/>
      <c r="G36" s="200"/>
      <c r="H36" s="202"/>
      <c r="I36" s="203"/>
      <c r="J36" s="200"/>
      <c r="K36" s="688"/>
      <c r="L36" s="687"/>
      <c r="O36" s="199"/>
      <c r="P36" s="401"/>
      <c r="Q36" s="401"/>
      <c r="R36" s="199"/>
    </row>
    <row r="37" spans="1:18" ht="15.75" customHeight="1">
      <c r="A37" s="695"/>
      <c r="B37" s="698"/>
      <c r="C37" s="200">
        <v>4</v>
      </c>
      <c r="D37" s="688"/>
      <c r="E37" s="690"/>
      <c r="F37" s="687"/>
      <c r="G37" s="200"/>
      <c r="H37" s="202"/>
      <c r="I37" s="203"/>
      <c r="J37" s="200"/>
      <c r="K37" s="688"/>
      <c r="L37" s="687"/>
      <c r="O37" s="199"/>
      <c r="P37" s="401"/>
      <c r="Q37" s="401"/>
      <c r="R37" s="199"/>
    </row>
    <row r="38" spans="1:18" ht="15.75" customHeight="1">
      <c r="A38" s="695"/>
      <c r="B38" s="698"/>
      <c r="C38" s="200">
        <v>5</v>
      </c>
      <c r="D38" s="688"/>
      <c r="E38" s="690"/>
      <c r="F38" s="687"/>
      <c r="G38" s="200"/>
      <c r="H38" s="202"/>
      <c r="I38" s="203"/>
      <c r="J38" s="200"/>
      <c r="K38" s="688"/>
      <c r="L38" s="687"/>
      <c r="N38" s="178"/>
      <c r="O38" s="199"/>
      <c r="P38" s="401"/>
      <c r="Q38" s="401"/>
      <c r="R38" s="199"/>
    </row>
    <row r="39" spans="1:18" ht="15.75" customHeight="1">
      <c r="A39" s="695"/>
      <c r="B39" s="698"/>
      <c r="C39" s="204" t="s">
        <v>204</v>
      </c>
      <c r="D39" s="688"/>
      <c r="E39" s="690"/>
      <c r="F39" s="687"/>
      <c r="G39" s="200"/>
      <c r="H39" s="202"/>
      <c r="I39" s="203"/>
      <c r="J39" s="200"/>
      <c r="K39" s="688"/>
      <c r="L39" s="687"/>
      <c r="N39" s="404"/>
      <c r="O39" s="199"/>
      <c r="P39" s="401"/>
      <c r="Q39" s="401"/>
      <c r="R39" s="199"/>
    </row>
    <row r="40" spans="1:18" ht="15.75" customHeight="1">
      <c r="A40" s="695"/>
      <c r="B40" s="698"/>
      <c r="C40" s="204" t="s">
        <v>209</v>
      </c>
      <c r="D40" s="688"/>
      <c r="E40" s="690"/>
      <c r="F40" s="687"/>
      <c r="G40" s="200"/>
      <c r="H40" s="202"/>
      <c r="I40" s="203"/>
      <c r="J40" s="200"/>
      <c r="K40" s="688"/>
      <c r="L40" s="687"/>
      <c r="O40" s="199"/>
      <c r="P40" s="401"/>
      <c r="Q40" s="401"/>
      <c r="R40" s="199"/>
    </row>
    <row r="41" spans="1:18" ht="15.75" customHeight="1">
      <c r="A41" s="695"/>
      <c r="B41" s="698"/>
      <c r="C41" s="204" t="s">
        <v>205</v>
      </c>
      <c r="D41" s="688"/>
      <c r="E41" s="690"/>
      <c r="F41" s="687"/>
      <c r="G41" s="200"/>
      <c r="H41" s="202"/>
      <c r="I41" s="203"/>
      <c r="J41" s="200"/>
      <c r="K41" s="688"/>
      <c r="L41" s="687"/>
      <c r="O41" s="199"/>
      <c r="P41" s="401"/>
      <c r="Q41" s="401"/>
      <c r="R41" s="199"/>
    </row>
    <row r="42" spans="1:18" ht="15.75" customHeight="1">
      <c r="A42" s="695"/>
      <c r="B42" s="698"/>
      <c r="C42" s="204" t="s">
        <v>210</v>
      </c>
      <c r="D42" s="688"/>
      <c r="E42" s="690"/>
      <c r="F42" s="687"/>
      <c r="G42" s="200"/>
      <c r="H42" s="202"/>
      <c r="I42" s="203"/>
      <c r="J42" s="200"/>
      <c r="K42" s="688"/>
      <c r="L42" s="687"/>
      <c r="M42" s="99"/>
      <c r="O42" s="199"/>
      <c r="P42" s="401"/>
      <c r="Q42" s="401"/>
      <c r="R42" s="199"/>
    </row>
    <row r="43" spans="1:18" ht="15.75" customHeight="1">
      <c r="A43" s="696"/>
      <c r="B43" s="699"/>
      <c r="C43" s="204" t="s">
        <v>211</v>
      </c>
      <c r="D43" s="688"/>
      <c r="E43" s="690"/>
      <c r="F43" s="687"/>
      <c r="G43" s="200"/>
      <c r="H43" s="202"/>
      <c r="I43" s="203"/>
      <c r="J43" s="200"/>
      <c r="K43" s="688"/>
      <c r="L43" s="687"/>
      <c r="M43" s="99"/>
      <c r="N43" s="199"/>
      <c r="O43" s="199"/>
      <c r="P43" s="401"/>
      <c r="Q43" s="401"/>
      <c r="R43" s="199"/>
    </row>
    <row r="44" spans="1:18" s="104" customFormat="1" ht="15.75" customHeight="1">
      <c r="A44" s="691" t="s">
        <v>188</v>
      </c>
      <c r="B44" s="692"/>
      <c r="C44" s="207" t="s">
        <v>47</v>
      </c>
      <c r="D44" s="691" t="s">
        <v>12</v>
      </c>
      <c r="E44" s="693"/>
      <c r="F44" s="692"/>
      <c r="G44" s="207" t="s">
        <v>46</v>
      </c>
      <c r="H44" s="207" t="s">
        <v>380</v>
      </c>
      <c r="I44" s="207" t="s">
        <v>381</v>
      </c>
      <c r="J44" s="160" t="s">
        <v>332</v>
      </c>
      <c r="K44" s="691" t="s">
        <v>51</v>
      </c>
      <c r="L44" s="692"/>
      <c r="M44" s="128"/>
      <c r="N44" s="189"/>
      <c r="O44" s="199"/>
      <c r="P44" s="401"/>
      <c r="Q44" s="401"/>
      <c r="R44" s="199"/>
    </row>
    <row r="45" spans="1:18" ht="15.75" customHeight="1">
      <c r="A45" s="694">
        <v>8</v>
      </c>
      <c r="B45" s="697" t="s">
        <v>385</v>
      </c>
      <c r="C45" s="200">
        <v>1</v>
      </c>
      <c r="D45" s="688" t="s">
        <v>588</v>
      </c>
      <c r="E45" s="690"/>
      <c r="F45" s="687"/>
      <c r="G45" s="200">
        <v>19</v>
      </c>
      <c r="H45" s="202">
        <v>3172.8093492064554</v>
      </c>
      <c r="I45" s="203">
        <v>166.98996574770823</v>
      </c>
      <c r="J45" s="357">
        <f>I45-I19</f>
        <v>3.2895374298504976E-2</v>
      </c>
      <c r="K45" s="688" t="s">
        <v>435</v>
      </c>
      <c r="L45" s="687"/>
      <c r="M45" s="99"/>
      <c r="O45" s="199"/>
      <c r="P45" s="401"/>
      <c r="Q45" s="401"/>
      <c r="R45" s="199"/>
    </row>
    <row r="46" spans="1:18" ht="15.75" customHeight="1">
      <c r="A46" s="695"/>
      <c r="B46" s="698"/>
      <c r="C46" s="200">
        <v>2</v>
      </c>
      <c r="D46" s="688" t="s">
        <v>620</v>
      </c>
      <c r="E46" s="690"/>
      <c r="F46" s="687"/>
      <c r="G46" s="200">
        <v>19</v>
      </c>
      <c r="H46" s="202">
        <v>3172.5987712216661</v>
      </c>
      <c r="I46" s="203">
        <v>166.97888269587719</v>
      </c>
      <c r="J46" s="357">
        <f>I46-I21</f>
        <v>3.4796546851291623</v>
      </c>
      <c r="K46" s="677" t="s">
        <v>501</v>
      </c>
      <c r="L46" s="678"/>
      <c r="M46" s="99"/>
      <c r="O46" s="178"/>
      <c r="P46" s="400"/>
      <c r="Q46" s="400"/>
      <c r="R46" s="178"/>
    </row>
    <row r="47" spans="1:18" ht="15.75" customHeight="1">
      <c r="A47" s="695"/>
      <c r="B47" s="698"/>
      <c r="C47" s="200">
        <v>3</v>
      </c>
      <c r="D47" s="688" t="s">
        <v>606</v>
      </c>
      <c r="E47" s="690"/>
      <c r="F47" s="687"/>
      <c r="G47" s="200">
        <v>19</v>
      </c>
      <c r="H47" s="202">
        <v>3172.1023845136951</v>
      </c>
      <c r="I47" s="203">
        <v>166.95275707966817</v>
      </c>
      <c r="J47" s="357">
        <f>I47-I20</f>
        <v>6.1874797092315248E-2</v>
      </c>
      <c r="K47" s="688" t="s">
        <v>435</v>
      </c>
      <c r="L47" s="687"/>
      <c r="M47" s="99"/>
      <c r="O47" s="199"/>
      <c r="P47" s="401"/>
      <c r="Q47" s="401"/>
      <c r="R47" s="199"/>
    </row>
    <row r="48" spans="1:18" ht="15.75" customHeight="1">
      <c r="A48" s="695"/>
      <c r="B48" s="698"/>
      <c r="C48" s="200">
        <v>4</v>
      </c>
      <c r="D48" s="688" t="s">
        <v>586</v>
      </c>
      <c r="E48" s="690"/>
      <c r="F48" s="687"/>
      <c r="G48" s="200">
        <v>20</v>
      </c>
      <c r="H48" s="202">
        <v>3256.0551865659909</v>
      </c>
      <c r="I48" s="203">
        <v>162.80275932829954</v>
      </c>
      <c r="J48" s="357">
        <f>I48-I22</f>
        <v>-4.8332233167030836E-2</v>
      </c>
      <c r="K48" s="688" t="s">
        <v>435</v>
      </c>
      <c r="L48" s="687"/>
      <c r="M48" s="99"/>
      <c r="O48" s="199"/>
      <c r="P48" s="401"/>
      <c r="Q48" s="401"/>
      <c r="R48" s="199"/>
    </row>
    <row r="49" spans="1:18" ht="15.75" customHeight="1">
      <c r="A49" s="695"/>
      <c r="B49" s="698"/>
      <c r="C49" s="200">
        <v>5</v>
      </c>
      <c r="D49" s="688" t="s">
        <v>587</v>
      </c>
      <c r="E49" s="690"/>
      <c r="F49" s="687"/>
      <c r="G49" s="200">
        <v>21</v>
      </c>
      <c r="H49" s="202">
        <v>3256.6404036683962</v>
      </c>
      <c r="I49" s="203">
        <v>155.07811446039983</v>
      </c>
      <c r="J49" s="357">
        <f>I49-I23</f>
        <v>-7.4944027172193728E-2</v>
      </c>
      <c r="K49" s="688" t="s">
        <v>435</v>
      </c>
      <c r="L49" s="687"/>
      <c r="M49" s="99"/>
      <c r="O49" s="199"/>
      <c r="P49" s="401"/>
      <c r="Q49" s="401"/>
      <c r="R49" s="199"/>
    </row>
    <row r="50" spans="1:18" ht="15.75" customHeight="1">
      <c r="A50" s="695"/>
      <c r="B50" s="698"/>
      <c r="C50" s="204" t="s">
        <v>204</v>
      </c>
      <c r="D50" s="688"/>
      <c r="E50" s="690"/>
      <c r="F50" s="687"/>
      <c r="G50" s="200"/>
      <c r="H50" s="202"/>
      <c r="I50" s="203"/>
      <c r="J50" s="200"/>
      <c r="K50" s="688"/>
      <c r="L50" s="687"/>
      <c r="M50" s="99"/>
      <c r="O50" s="199"/>
      <c r="P50" s="401"/>
      <c r="Q50" s="401"/>
      <c r="R50" s="199"/>
    </row>
    <row r="51" spans="1:18" ht="15.75" customHeight="1">
      <c r="A51" s="695"/>
      <c r="B51" s="698"/>
      <c r="C51" s="204" t="s">
        <v>209</v>
      </c>
      <c r="D51" s="688"/>
      <c r="E51" s="690"/>
      <c r="F51" s="687"/>
      <c r="G51" s="200"/>
      <c r="H51" s="202"/>
      <c r="I51" s="203"/>
      <c r="J51" s="200"/>
      <c r="K51" s="688"/>
      <c r="L51" s="687"/>
      <c r="M51" s="99"/>
      <c r="O51" s="199"/>
      <c r="P51" s="401"/>
      <c r="Q51" s="401"/>
      <c r="R51" s="199"/>
    </row>
    <row r="52" spans="1:18" ht="15.75" customHeight="1">
      <c r="A52" s="695"/>
      <c r="B52" s="698"/>
      <c r="C52" s="204" t="s">
        <v>205</v>
      </c>
      <c r="D52" s="688"/>
      <c r="E52" s="690"/>
      <c r="F52" s="687"/>
      <c r="G52" s="200"/>
      <c r="H52" s="202"/>
      <c r="I52" s="203"/>
      <c r="J52" s="200"/>
      <c r="K52" s="688"/>
      <c r="L52" s="687"/>
      <c r="M52" s="99"/>
      <c r="O52" s="199"/>
      <c r="P52" s="401"/>
      <c r="Q52" s="401"/>
      <c r="R52" s="199"/>
    </row>
    <row r="53" spans="1:18" ht="15.75" customHeight="1">
      <c r="A53" s="695"/>
      <c r="B53" s="698"/>
      <c r="C53" s="204" t="s">
        <v>210</v>
      </c>
      <c r="D53" s="688"/>
      <c r="E53" s="690"/>
      <c r="F53" s="687"/>
      <c r="G53" s="200"/>
      <c r="H53" s="202"/>
      <c r="I53" s="203"/>
      <c r="J53" s="200"/>
      <c r="K53" s="688"/>
      <c r="L53" s="687"/>
      <c r="M53" s="99"/>
      <c r="O53" s="199"/>
      <c r="P53" s="401"/>
      <c r="Q53" s="401"/>
      <c r="R53" s="199"/>
    </row>
    <row r="54" spans="1:18" ht="15.75" customHeight="1">
      <c r="A54" s="696"/>
      <c r="B54" s="699"/>
      <c r="C54" s="204" t="s">
        <v>211</v>
      </c>
      <c r="D54" s="688"/>
      <c r="E54" s="690"/>
      <c r="F54" s="687"/>
      <c r="G54" s="200"/>
      <c r="H54" s="202"/>
      <c r="I54" s="203"/>
      <c r="J54" s="200"/>
      <c r="K54" s="688"/>
      <c r="L54" s="687"/>
      <c r="M54" s="99"/>
      <c r="O54" s="199"/>
      <c r="P54" s="401"/>
      <c r="Q54" s="401"/>
      <c r="R54" s="199"/>
    </row>
    <row r="55" spans="1:18" s="189" customFormat="1" ht="15.75" customHeight="1">
      <c r="A55" s="683" t="s">
        <v>715</v>
      </c>
      <c r="B55" s="683"/>
      <c r="C55" s="683"/>
      <c r="D55" s="683"/>
      <c r="E55" s="683"/>
      <c r="F55" s="683"/>
      <c r="G55" s="683"/>
      <c r="H55" s="683"/>
      <c r="I55" s="683"/>
      <c r="J55" s="683"/>
      <c r="K55" s="683"/>
      <c r="L55" s="683"/>
    </row>
    <row r="56" spans="1:18" s="190" customFormat="1" ht="15.75" customHeight="1">
      <c r="A56" s="683"/>
      <c r="B56" s="683"/>
      <c r="C56" s="683"/>
      <c r="D56" s="683"/>
      <c r="E56" s="683"/>
      <c r="F56" s="683"/>
      <c r="G56" s="683"/>
      <c r="H56" s="683"/>
      <c r="I56" s="683"/>
      <c r="J56" s="683"/>
      <c r="K56" s="683"/>
      <c r="L56" s="683"/>
    </row>
    <row r="57" spans="1:18" s="106" customFormat="1" ht="16.350000000000001" customHeight="1">
      <c r="A57" s="694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96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379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700" t="s">
        <v>188</v>
      </c>
      <c r="B59" s="701"/>
      <c r="C59" s="160" t="s">
        <v>47</v>
      </c>
      <c r="D59" s="700" t="s">
        <v>12</v>
      </c>
      <c r="E59" s="702"/>
      <c r="F59" s="701"/>
      <c r="G59" s="160" t="s">
        <v>46</v>
      </c>
      <c r="H59" s="160" t="s">
        <v>380</v>
      </c>
      <c r="I59" s="160" t="s">
        <v>381</v>
      </c>
      <c r="J59" s="160" t="s">
        <v>332</v>
      </c>
      <c r="K59" s="700" t="s">
        <v>51</v>
      </c>
      <c r="L59" s="701"/>
      <c r="M59" s="127"/>
      <c r="N59" s="189"/>
      <c r="O59" s="199"/>
      <c r="P59" s="401"/>
      <c r="Q59" s="401"/>
      <c r="R59" s="199"/>
    </row>
    <row r="60" spans="1:18" ht="15.75" customHeight="1">
      <c r="A60" s="694">
        <v>7</v>
      </c>
      <c r="B60" s="697" t="s">
        <v>384</v>
      </c>
      <c r="C60" s="200">
        <v>1</v>
      </c>
      <c r="D60" s="703"/>
      <c r="E60" s="678"/>
      <c r="F60" s="678"/>
      <c r="G60" s="200"/>
      <c r="H60" s="202"/>
      <c r="I60" s="203"/>
      <c r="J60" s="200"/>
      <c r="K60" s="688"/>
      <c r="L60" s="687"/>
      <c r="N60" s="404"/>
      <c r="O60" s="199"/>
      <c r="P60" s="401"/>
      <c r="Q60" s="401"/>
      <c r="R60" s="199"/>
    </row>
    <row r="61" spans="1:18" ht="15.75" customHeight="1">
      <c r="A61" s="695"/>
      <c r="B61" s="698"/>
      <c r="C61" s="200">
        <v>2</v>
      </c>
      <c r="D61" s="703"/>
      <c r="E61" s="678"/>
      <c r="F61" s="678"/>
      <c r="G61" s="200"/>
      <c r="H61" s="202"/>
      <c r="I61" s="203"/>
      <c r="J61" s="200"/>
      <c r="K61" s="688"/>
      <c r="L61" s="687"/>
      <c r="O61" s="199"/>
      <c r="P61" s="401"/>
      <c r="Q61" s="401"/>
      <c r="R61" s="199"/>
    </row>
    <row r="62" spans="1:18" ht="15.75" customHeight="1">
      <c r="A62" s="695"/>
      <c r="B62" s="698"/>
      <c r="C62" s="200">
        <v>3</v>
      </c>
      <c r="D62" s="688"/>
      <c r="E62" s="690"/>
      <c r="F62" s="687"/>
      <c r="G62" s="200"/>
      <c r="H62" s="202"/>
      <c r="I62" s="203"/>
      <c r="J62" s="200"/>
      <c r="K62" s="688"/>
      <c r="L62" s="687"/>
      <c r="O62" s="199"/>
      <c r="P62" s="401"/>
      <c r="Q62" s="401"/>
      <c r="R62" s="199"/>
    </row>
    <row r="63" spans="1:18" ht="15.75" customHeight="1">
      <c r="A63" s="695"/>
      <c r="B63" s="698"/>
      <c r="C63" s="200">
        <v>4</v>
      </c>
      <c r="D63" s="688"/>
      <c r="E63" s="690"/>
      <c r="F63" s="687"/>
      <c r="G63" s="200"/>
      <c r="H63" s="202"/>
      <c r="I63" s="203"/>
      <c r="J63" s="200"/>
      <c r="K63" s="688"/>
      <c r="L63" s="687"/>
      <c r="O63" s="199"/>
      <c r="P63" s="401"/>
      <c r="Q63" s="401"/>
      <c r="R63" s="199"/>
    </row>
    <row r="64" spans="1:18" ht="15.75" customHeight="1">
      <c r="A64" s="695"/>
      <c r="B64" s="698"/>
      <c r="C64" s="200">
        <v>5</v>
      </c>
      <c r="D64" s="688"/>
      <c r="E64" s="690"/>
      <c r="F64" s="687"/>
      <c r="G64" s="200"/>
      <c r="H64" s="202"/>
      <c r="I64" s="203"/>
      <c r="J64" s="200"/>
      <c r="K64" s="688"/>
      <c r="L64" s="687"/>
      <c r="N64" s="178"/>
      <c r="O64" s="199"/>
      <c r="P64" s="401"/>
      <c r="Q64" s="401"/>
      <c r="R64" s="199"/>
    </row>
    <row r="65" spans="1:18" ht="15.75" customHeight="1">
      <c r="A65" s="695"/>
      <c r="B65" s="698"/>
      <c r="C65" s="204" t="s">
        <v>204</v>
      </c>
      <c r="D65" s="688"/>
      <c r="E65" s="690"/>
      <c r="F65" s="687"/>
      <c r="G65" s="200"/>
      <c r="H65" s="202"/>
      <c r="I65" s="203"/>
      <c r="J65" s="200"/>
      <c r="K65" s="688"/>
      <c r="L65" s="687"/>
      <c r="N65" s="404"/>
      <c r="O65" s="199"/>
      <c r="P65" s="401"/>
      <c r="Q65" s="401"/>
      <c r="R65" s="199"/>
    </row>
    <row r="66" spans="1:18" ht="15.75" customHeight="1">
      <c r="A66" s="695"/>
      <c r="B66" s="698"/>
      <c r="C66" s="204" t="s">
        <v>209</v>
      </c>
      <c r="D66" s="688"/>
      <c r="E66" s="690"/>
      <c r="F66" s="687"/>
      <c r="G66" s="200"/>
      <c r="H66" s="202"/>
      <c r="I66" s="203"/>
      <c r="J66" s="200"/>
      <c r="K66" s="688"/>
      <c r="L66" s="687"/>
      <c r="O66" s="199"/>
      <c r="P66" s="401"/>
      <c r="Q66" s="401"/>
      <c r="R66" s="199"/>
    </row>
    <row r="67" spans="1:18" ht="15.75" customHeight="1">
      <c r="A67" s="695"/>
      <c r="B67" s="698"/>
      <c r="C67" s="204" t="s">
        <v>205</v>
      </c>
      <c r="D67" s="688"/>
      <c r="E67" s="690"/>
      <c r="F67" s="687"/>
      <c r="G67" s="200"/>
      <c r="H67" s="202"/>
      <c r="I67" s="203"/>
      <c r="J67" s="200"/>
      <c r="K67" s="688"/>
      <c r="L67" s="687"/>
      <c r="O67" s="199"/>
      <c r="P67" s="401"/>
      <c r="Q67" s="401"/>
      <c r="R67" s="199"/>
    </row>
    <row r="68" spans="1:18" ht="15.75" customHeight="1">
      <c r="A68" s="695"/>
      <c r="B68" s="698"/>
      <c r="C68" s="204" t="s">
        <v>210</v>
      </c>
      <c r="D68" s="688"/>
      <c r="E68" s="690"/>
      <c r="F68" s="687"/>
      <c r="G68" s="200"/>
      <c r="H68" s="202"/>
      <c r="I68" s="203"/>
      <c r="J68" s="200"/>
      <c r="K68" s="688"/>
      <c r="L68" s="687"/>
      <c r="M68" s="99"/>
      <c r="O68" s="199"/>
      <c r="P68" s="401"/>
      <c r="Q68" s="401"/>
      <c r="R68" s="199"/>
    </row>
    <row r="69" spans="1:18" ht="15.75" customHeight="1">
      <c r="A69" s="696"/>
      <c r="B69" s="699"/>
      <c r="C69" s="204" t="s">
        <v>211</v>
      </c>
      <c r="D69" s="688"/>
      <c r="E69" s="690"/>
      <c r="F69" s="687"/>
      <c r="G69" s="200"/>
      <c r="H69" s="202"/>
      <c r="I69" s="203"/>
      <c r="J69" s="200"/>
      <c r="K69" s="688"/>
      <c r="L69" s="687"/>
      <c r="M69" s="99"/>
      <c r="N69" s="199"/>
      <c r="O69" s="199"/>
      <c r="P69" s="401"/>
      <c r="Q69" s="401"/>
      <c r="R69" s="199"/>
    </row>
    <row r="70" spans="1:18" s="104" customFormat="1" ht="15.75" customHeight="1">
      <c r="A70" s="691" t="s">
        <v>188</v>
      </c>
      <c r="B70" s="692"/>
      <c r="C70" s="207" t="s">
        <v>47</v>
      </c>
      <c r="D70" s="691" t="s">
        <v>12</v>
      </c>
      <c r="E70" s="693"/>
      <c r="F70" s="692"/>
      <c r="G70" s="207" t="s">
        <v>46</v>
      </c>
      <c r="H70" s="207" t="s">
        <v>380</v>
      </c>
      <c r="I70" s="207" t="s">
        <v>381</v>
      </c>
      <c r="J70" s="160" t="s">
        <v>332</v>
      </c>
      <c r="K70" s="691" t="s">
        <v>51</v>
      </c>
      <c r="L70" s="692"/>
      <c r="M70" s="128"/>
      <c r="N70" s="189"/>
      <c r="O70" s="199"/>
      <c r="P70" s="401"/>
      <c r="Q70" s="401"/>
      <c r="R70" s="199"/>
    </row>
    <row r="71" spans="1:18" ht="15.75" customHeight="1">
      <c r="A71" s="694">
        <v>8</v>
      </c>
      <c r="B71" s="697" t="s">
        <v>385</v>
      </c>
      <c r="C71" s="200">
        <v>1</v>
      </c>
      <c r="D71" s="688" t="s">
        <v>606</v>
      </c>
      <c r="E71" s="690"/>
      <c r="F71" s="687"/>
      <c r="G71" s="200">
        <v>19</v>
      </c>
      <c r="H71" s="202">
        <v>3176.5436780862042</v>
      </c>
      <c r="I71" s="203">
        <v>167.18650937295811</v>
      </c>
      <c r="J71" s="357">
        <f>I71-I47</f>
        <v>0.23375229328993896</v>
      </c>
      <c r="K71" s="688" t="s">
        <v>435</v>
      </c>
      <c r="L71" s="687"/>
      <c r="M71" s="99"/>
      <c r="O71" s="199"/>
      <c r="P71" s="401"/>
      <c r="Q71" s="401"/>
      <c r="R71" s="199"/>
    </row>
    <row r="72" spans="1:18" ht="15.75" customHeight="1">
      <c r="A72" s="695"/>
      <c r="B72" s="698"/>
      <c r="C72" s="200">
        <v>2</v>
      </c>
      <c r="D72" s="688" t="s">
        <v>588</v>
      </c>
      <c r="E72" s="690"/>
      <c r="F72" s="687"/>
      <c r="G72" s="200">
        <v>19</v>
      </c>
      <c r="H72" s="202">
        <v>3175.1678814144102</v>
      </c>
      <c r="I72" s="203">
        <v>167.11409902181109</v>
      </c>
      <c r="J72" s="357">
        <f>I72-I45</f>
        <v>0.12413327410286001</v>
      </c>
      <c r="K72" s="688" t="s">
        <v>435</v>
      </c>
      <c r="L72" s="687"/>
      <c r="M72" s="99"/>
      <c r="O72" s="178"/>
      <c r="P72" s="400"/>
      <c r="Q72" s="400"/>
      <c r="R72" s="178"/>
    </row>
    <row r="73" spans="1:18" ht="15.75" customHeight="1">
      <c r="A73" s="695"/>
      <c r="B73" s="698"/>
      <c r="C73" s="200">
        <v>3</v>
      </c>
      <c r="D73" s="688" t="s">
        <v>620</v>
      </c>
      <c r="E73" s="690"/>
      <c r="F73" s="687"/>
      <c r="G73" s="200">
        <v>19</v>
      </c>
      <c r="H73" s="202">
        <v>3174.4266891857883</v>
      </c>
      <c r="I73" s="203">
        <v>167.07508890451521</v>
      </c>
      <c r="J73" s="357">
        <f>I73-I46</f>
        <v>9.6206208638022872E-2</v>
      </c>
      <c r="K73" s="688" t="s">
        <v>435</v>
      </c>
      <c r="L73" s="687"/>
      <c r="M73" s="99"/>
      <c r="O73" s="199"/>
      <c r="P73" s="401"/>
      <c r="Q73" s="401"/>
      <c r="R73" s="199"/>
    </row>
    <row r="74" spans="1:18" ht="15.75" customHeight="1">
      <c r="A74" s="695"/>
      <c r="B74" s="698"/>
      <c r="C74" s="200">
        <v>4</v>
      </c>
      <c r="D74" s="688" t="s">
        <v>586</v>
      </c>
      <c r="E74" s="690"/>
      <c r="F74" s="687"/>
      <c r="G74" s="200">
        <v>20</v>
      </c>
      <c r="H74" s="202">
        <v>3252.1980437088473</v>
      </c>
      <c r="I74" s="203">
        <v>162.60990218544239</v>
      </c>
      <c r="J74" s="357">
        <f>I74-I48</f>
        <v>-0.19285714285715017</v>
      </c>
      <c r="K74" s="688" t="s">
        <v>435</v>
      </c>
      <c r="L74" s="687"/>
      <c r="M74" s="99"/>
      <c r="O74" s="199"/>
      <c r="P74" s="401"/>
      <c r="Q74" s="401"/>
      <c r="R74" s="199"/>
    </row>
    <row r="75" spans="1:18" ht="15.75" customHeight="1">
      <c r="A75" s="695"/>
      <c r="B75" s="698"/>
      <c r="C75" s="200">
        <v>5</v>
      </c>
      <c r="D75" s="688" t="s">
        <v>587</v>
      </c>
      <c r="E75" s="690"/>
      <c r="F75" s="687"/>
      <c r="G75" s="200">
        <v>21</v>
      </c>
      <c r="H75" s="202">
        <v>3253.8252110108433</v>
      </c>
      <c r="I75" s="203">
        <v>154.94405766718299</v>
      </c>
      <c r="J75" s="357">
        <f>I75-I49</f>
        <v>-0.13405679321684261</v>
      </c>
      <c r="K75" s="688" t="s">
        <v>435</v>
      </c>
      <c r="L75" s="687"/>
      <c r="M75" s="99"/>
      <c r="O75" s="199"/>
      <c r="P75" s="401"/>
      <c r="Q75" s="401"/>
      <c r="R75" s="199"/>
    </row>
    <row r="76" spans="1:18" ht="15.75" customHeight="1">
      <c r="A76" s="695"/>
      <c r="B76" s="698"/>
      <c r="C76" s="204" t="s">
        <v>204</v>
      </c>
      <c r="D76" s="688"/>
      <c r="E76" s="690"/>
      <c r="F76" s="687"/>
      <c r="G76" s="200"/>
      <c r="H76" s="202"/>
      <c r="I76" s="203"/>
      <c r="J76" s="200"/>
      <c r="K76" s="688"/>
      <c r="L76" s="687"/>
      <c r="M76" s="99"/>
      <c r="O76" s="199"/>
      <c r="P76" s="401"/>
      <c r="Q76" s="401"/>
      <c r="R76" s="199"/>
    </row>
    <row r="77" spans="1:18" ht="15.75" customHeight="1">
      <c r="A77" s="695"/>
      <c r="B77" s="698"/>
      <c r="C77" s="204" t="s">
        <v>209</v>
      </c>
      <c r="D77" s="688"/>
      <c r="E77" s="690"/>
      <c r="F77" s="687"/>
      <c r="G77" s="200"/>
      <c r="H77" s="202"/>
      <c r="I77" s="203"/>
      <c r="J77" s="200"/>
      <c r="K77" s="688"/>
      <c r="L77" s="687"/>
      <c r="M77" s="99"/>
      <c r="O77" s="199"/>
      <c r="P77" s="401"/>
      <c r="Q77" s="401"/>
      <c r="R77" s="199"/>
    </row>
    <row r="78" spans="1:18" ht="15.75" customHeight="1">
      <c r="A78" s="695"/>
      <c r="B78" s="698"/>
      <c r="C78" s="204" t="s">
        <v>205</v>
      </c>
      <c r="D78" s="688"/>
      <c r="E78" s="690"/>
      <c r="F78" s="687"/>
      <c r="G78" s="200"/>
      <c r="H78" s="202"/>
      <c r="I78" s="203"/>
      <c r="J78" s="200"/>
      <c r="K78" s="688"/>
      <c r="L78" s="687"/>
      <c r="M78" s="99"/>
      <c r="O78" s="199"/>
      <c r="P78" s="401"/>
      <c r="Q78" s="401"/>
      <c r="R78" s="199"/>
    </row>
    <row r="79" spans="1:18" ht="15.75" customHeight="1">
      <c r="A79" s="695"/>
      <c r="B79" s="698"/>
      <c r="C79" s="204" t="s">
        <v>210</v>
      </c>
      <c r="D79" s="688"/>
      <c r="E79" s="690"/>
      <c r="F79" s="687"/>
      <c r="G79" s="200"/>
      <c r="H79" s="202"/>
      <c r="I79" s="203"/>
      <c r="J79" s="200"/>
      <c r="K79" s="688"/>
      <c r="L79" s="687"/>
      <c r="M79" s="99"/>
      <c r="O79" s="199"/>
      <c r="P79" s="401"/>
      <c r="Q79" s="401"/>
      <c r="R79" s="199"/>
    </row>
    <row r="80" spans="1:18" ht="15.75" customHeight="1">
      <c r="A80" s="696"/>
      <c r="B80" s="699"/>
      <c r="C80" s="204" t="s">
        <v>211</v>
      </c>
      <c r="D80" s="688"/>
      <c r="E80" s="690"/>
      <c r="F80" s="687"/>
      <c r="G80" s="200"/>
      <c r="H80" s="202"/>
      <c r="I80" s="203"/>
      <c r="J80" s="200"/>
      <c r="K80" s="688"/>
      <c r="L80" s="687"/>
      <c r="M80" s="99"/>
      <c r="O80" s="199"/>
      <c r="P80" s="401"/>
      <c r="Q80" s="401"/>
      <c r="R80" s="199"/>
    </row>
    <row r="81" spans="1:18" s="189" customFormat="1" ht="15.75" customHeight="1">
      <c r="A81" s="683" t="s">
        <v>781</v>
      </c>
      <c r="B81" s="683"/>
      <c r="C81" s="683"/>
      <c r="D81" s="683"/>
      <c r="E81" s="683"/>
      <c r="F81" s="683"/>
      <c r="G81" s="683"/>
      <c r="H81" s="683"/>
      <c r="I81" s="683"/>
      <c r="J81" s="683"/>
      <c r="K81" s="683"/>
      <c r="L81" s="683"/>
    </row>
    <row r="82" spans="1:18" s="190" customFormat="1" ht="15.75" customHeight="1">
      <c r="A82" s="683"/>
      <c r="B82" s="683"/>
      <c r="C82" s="683"/>
      <c r="D82" s="683"/>
      <c r="E82" s="683"/>
      <c r="F82" s="683"/>
      <c r="G82" s="683"/>
      <c r="H82" s="683"/>
      <c r="I82" s="683"/>
      <c r="J82" s="683"/>
      <c r="K82" s="683"/>
      <c r="L82" s="683"/>
    </row>
    <row r="83" spans="1:18" s="106" customFormat="1" ht="16.350000000000001" customHeight="1">
      <c r="A83" s="694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96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4" t="s">
        <v>208</v>
      </c>
      <c r="I84" s="209" t="s">
        <v>379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700" t="s">
        <v>188</v>
      </c>
      <c r="B85" s="701"/>
      <c r="C85" s="160" t="s">
        <v>47</v>
      </c>
      <c r="D85" s="700" t="s">
        <v>12</v>
      </c>
      <c r="E85" s="702"/>
      <c r="F85" s="701"/>
      <c r="G85" s="160" t="s">
        <v>46</v>
      </c>
      <c r="H85" s="160" t="s">
        <v>380</v>
      </c>
      <c r="I85" s="160" t="s">
        <v>381</v>
      </c>
      <c r="J85" s="160" t="s">
        <v>332</v>
      </c>
      <c r="K85" s="700" t="s">
        <v>51</v>
      </c>
      <c r="L85" s="701"/>
      <c r="M85" s="127"/>
      <c r="N85" s="189"/>
      <c r="O85" s="199"/>
      <c r="P85" s="401"/>
      <c r="Q85" s="401"/>
      <c r="R85" s="199"/>
    </row>
    <row r="86" spans="1:18">
      <c r="A86" s="694">
        <v>7</v>
      </c>
      <c r="B86" s="697" t="s">
        <v>384</v>
      </c>
      <c r="C86" s="200">
        <v>1</v>
      </c>
      <c r="D86" s="703"/>
      <c r="E86" s="678"/>
      <c r="F86" s="678"/>
      <c r="G86" s="200"/>
      <c r="H86" s="202"/>
      <c r="I86" s="203"/>
      <c r="J86" s="200"/>
      <c r="K86" s="688"/>
      <c r="L86" s="687"/>
      <c r="N86" s="404"/>
      <c r="O86" s="199"/>
      <c r="P86" s="401"/>
      <c r="Q86" s="401"/>
      <c r="R86" s="199"/>
    </row>
    <row r="87" spans="1:18">
      <c r="A87" s="695"/>
      <c r="B87" s="698"/>
      <c r="C87" s="200">
        <v>2</v>
      </c>
      <c r="D87" s="703"/>
      <c r="E87" s="678"/>
      <c r="F87" s="678"/>
      <c r="G87" s="200"/>
      <c r="H87" s="202"/>
      <c r="I87" s="203"/>
      <c r="J87" s="200"/>
      <c r="K87" s="688"/>
      <c r="L87" s="687"/>
      <c r="O87" s="199"/>
      <c r="P87" s="401"/>
      <c r="Q87" s="401"/>
      <c r="R87" s="199"/>
    </row>
    <row r="88" spans="1:18">
      <c r="A88" s="695"/>
      <c r="B88" s="698"/>
      <c r="C88" s="200">
        <v>3</v>
      </c>
      <c r="D88" s="688"/>
      <c r="E88" s="690"/>
      <c r="F88" s="687"/>
      <c r="G88" s="200"/>
      <c r="H88" s="202"/>
      <c r="I88" s="203"/>
      <c r="J88" s="200"/>
      <c r="K88" s="688"/>
      <c r="L88" s="687"/>
      <c r="O88" s="199"/>
      <c r="P88" s="401"/>
      <c r="Q88" s="401"/>
      <c r="R88" s="199"/>
    </row>
    <row r="89" spans="1:18">
      <c r="A89" s="695"/>
      <c r="B89" s="698"/>
      <c r="C89" s="200">
        <v>4</v>
      </c>
      <c r="D89" s="688"/>
      <c r="E89" s="690"/>
      <c r="F89" s="687"/>
      <c r="G89" s="200"/>
      <c r="H89" s="202"/>
      <c r="I89" s="203"/>
      <c r="J89" s="200"/>
      <c r="K89" s="688"/>
      <c r="L89" s="687"/>
      <c r="O89" s="199"/>
      <c r="P89" s="401"/>
      <c r="Q89" s="401"/>
      <c r="R89" s="199"/>
    </row>
    <row r="90" spans="1:18">
      <c r="A90" s="695"/>
      <c r="B90" s="698"/>
      <c r="C90" s="200">
        <v>5</v>
      </c>
      <c r="D90" s="688"/>
      <c r="E90" s="690"/>
      <c r="F90" s="687"/>
      <c r="G90" s="200"/>
      <c r="H90" s="202"/>
      <c r="I90" s="203"/>
      <c r="J90" s="200"/>
      <c r="K90" s="688"/>
      <c r="L90" s="687"/>
      <c r="N90" s="178"/>
      <c r="O90" s="199"/>
      <c r="P90" s="401"/>
      <c r="Q90" s="401"/>
      <c r="R90" s="199"/>
    </row>
    <row r="91" spans="1:18">
      <c r="A91" s="695"/>
      <c r="B91" s="698"/>
      <c r="C91" s="204" t="s">
        <v>204</v>
      </c>
      <c r="D91" s="688"/>
      <c r="E91" s="690"/>
      <c r="F91" s="687"/>
      <c r="G91" s="200"/>
      <c r="H91" s="202"/>
      <c r="I91" s="203"/>
      <c r="J91" s="200"/>
      <c r="K91" s="688"/>
      <c r="L91" s="687"/>
      <c r="N91" s="404"/>
      <c r="O91" s="199"/>
      <c r="P91" s="401"/>
      <c r="Q91" s="401"/>
      <c r="R91" s="199"/>
    </row>
    <row r="92" spans="1:18">
      <c r="A92" s="695"/>
      <c r="B92" s="698"/>
      <c r="C92" s="204" t="s">
        <v>209</v>
      </c>
      <c r="D92" s="688"/>
      <c r="E92" s="690"/>
      <c r="F92" s="687"/>
      <c r="G92" s="200"/>
      <c r="H92" s="202"/>
      <c r="I92" s="203"/>
      <c r="J92" s="200"/>
      <c r="K92" s="688"/>
      <c r="L92" s="687"/>
      <c r="O92" s="199"/>
      <c r="P92" s="401"/>
      <c r="Q92" s="401"/>
      <c r="R92" s="199"/>
    </row>
    <row r="93" spans="1:18">
      <c r="A93" s="695"/>
      <c r="B93" s="698"/>
      <c r="C93" s="204" t="s">
        <v>205</v>
      </c>
      <c r="D93" s="688"/>
      <c r="E93" s="690"/>
      <c r="F93" s="687"/>
      <c r="G93" s="200"/>
      <c r="H93" s="202"/>
      <c r="I93" s="203"/>
      <c r="J93" s="200"/>
      <c r="K93" s="688"/>
      <c r="L93" s="687"/>
      <c r="O93" s="199"/>
      <c r="P93" s="401"/>
      <c r="Q93" s="401"/>
      <c r="R93" s="199"/>
    </row>
    <row r="94" spans="1:18">
      <c r="A94" s="695"/>
      <c r="B94" s="698"/>
      <c r="C94" s="204" t="s">
        <v>210</v>
      </c>
      <c r="D94" s="688"/>
      <c r="E94" s="690"/>
      <c r="F94" s="687"/>
      <c r="G94" s="200"/>
      <c r="H94" s="202"/>
      <c r="I94" s="203"/>
      <c r="J94" s="200"/>
      <c r="K94" s="688"/>
      <c r="L94" s="687"/>
      <c r="M94" s="99"/>
      <c r="O94" s="199"/>
      <c r="P94" s="401"/>
      <c r="Q94" s="401"/>
      <c r="R94" s="199"/>
    </row>
    <row r="95" spans="1:18">
      <c r="A95" s="696"/>
      <c r="B95" s="699"/>
      <c r="C95" s="204" t="s">
        <v>211</v>
      </c>
      <c r="D95" s="688"/>
      <c r="E95" s="690"/>
      <c r="F95" s="687"/>
      <c r="G95" s="200"/>
      <c r="H95" s="202"/>
      <c r="I95" s="203"/>
      <c r="J95" s="200"/>
      <c r="K95" s="688"/>
      <c r="L95" s="687"/>
      <c r="M95" s="99"/>
      <c r="N95" s="199"/>
      <c r="O95" s="199"/>
      <c r="P95" s="401"/>
      <c r="Q95" s="401"/>
      <c r="R95" s="199"/>
    </row>
    <row r="96" spans="1:18" s="104" customFormat="1">
      <c r="A96" s="691" t="s">
        <v>188</v>
      </c>
      <c r="B96" s="692"/>
      <c r="C96" s="207" t="s">
        <v>47</v>
      </c>
      <c r="D96" s="691" t="s">
        <v>12</v>
      </c>
      <c r="E96" s="693"/>
      <c r="F96" s="692"/>
      <c r="G96" s="207" t="s">
        <v>46</v>
      </c>
      <c r="H96" s="207" t="s">
        <v>380</v>
      </c>
      <c r="I96" s="207" t="s">
        <v>381</v>
      </c>
      <c r="J96" s="160" t="s">
        <v>332</v>
      </c>
      <c r="K96" s="691" t="s">
        <v>51</v>
      </c>
      <c r="L96" s="692"/>
      <c r="M96" s="128"/>
      <c r="N96" s="189"/>
      <c r="O96" s="199"/>
      <c r="P96" s="401"/>
      <c r="Q96" s="401"/>
      <c r="R96" s="199"/>
    </row>
    <row r="97" spans="1:18">
      <c r="A97" s="694">
        <v>8</v>
      </c>
      <c r="B97" s="697" t="s">
        <v>385</v>
      </c>
      <c r="C97" s="200">
        <v>1</v>
      </c>
      <c r="D97" s="688" t="s">
        <v>606</v>
      </c>
      <c r="E97" s="690"/>
      <c r="F97" s="687"/>
      <c r="G97" s="200">
        <v>19</v>
      </c>
      <c r="H97" s="202">
        <v>3181.3399462254201</v>
      </c>
      <c r="I97" s="203">
        <v>167.43894453817998</v>
      </c>
      <c r="J97" s="357">
        <f>I97-I71</f>
        <v>0.25243516522186837</v>
      </c>
      <c r="K97" s="688"/>
      <c r="L97" s="687"/>
      <c r="M97" s="99"/>
      <c r="O97" s="199"/>
      <c r="P97" s="401"/>
      <c r="Q97" s="401"/>
      <c r="R97" s="199"/>
    </row>
    <row r="98" spans="1:18">
      <c r="A98" s="695"/>
      <c r="B98" s="698"/>
      <c r="C98" s="200">
        <v>2</v>
      </c>
      <c r="D98" s="688" t="s">
        <v>620</v>
      </c>
      <c r="E98" s="690"/>
      <c r="F98" s="687"/>
      <c r="G98" s="200">
        <v>19</v>
      </c>
      <c r="H98" s="202">
        <v>3180.7098789606448</v>
      </c>
      <c r="I98" s="203">
        <v>167.40578310319182</v>
      </c>
      <c r="J98" s="357">
        <f>I98-I73</f>
        <v>0.33069419867661054</v>
      </c>
      <c r="K98" s="688"/>
      <c r="L98" s="687"/>
      <c r="M98" s="99"/>
      <c r="O98" s="178"/>
      <c r="P98" s="400"/>
      <c r="Q98" s="400"/>
      <c r="R98" s="178"/>
    </row>
    <row r="99" spans="1:18">
      <c r="A99" s="695"/>
      <c r="B99" s="698"/>
      <c r="C99" s="200">
        <v>3</v>
      </c>
      <c r="D99" s="688" t="s">
        <v>588</v>
      </c>
      <c r="E99" s="690"/>
      <c r="F99" s="687"/>
      <c r="G99" s="200">
        <v>19</v>
      </c>
      <c r="H99" s="202">
        <v>3179.5477398616435</v>
      </c>
      <c r="I99" s="203">
        <v>167.34461788745492</v>
      </c>
      <c r="J99" s="357">
        <f>I99-I75</f>
        <v>12.400560220271927</v>
      </c>
      <c r="K99" s="688"/>
      <c r="L99" s="687"/>
      <c r="M99" s="99"/>
      <c r="O99" s="199"/>
      <c r="P99" s="401"/>
      <c r="Q99" s="401"/>
      <c r="R99" s="199"/>
    </row>
    <row r="100" spans="1:18">
      <c r="A100" s="695"/>
      <c r="B100" s="698"/>
      <c r="C100" s="200">
        <v>4</v>
      </c>
      <c r="D100" s="688" t="s">
        <v>586</v>
      </c>
      <c r="E100" s="690"/>
      <c r="F100" s="687"/>
      <c r="G100" s="200">
        <v>20</v>
      </c>
      <c r="H100" s="202">
        <v>3252.2322815810799</v>
      </c>
      <c r="I100" s="203">
        <v>162.61161407905396</v>
      </c>
      <c r="J100" s="357">
        <f>I100-I74</f>
        <v>1.7118936115707584E-3</v>
      </c>
      <c r="K100" s="688"/>
      <c r="L100" s="687"/>
      <c r="M100" s="99"/>
      <c r="O100" s="199"/>
      <c r="P100" s="401"/>
      <c r="Q100" s="401"/>
      <c r="R100" s="199"/>
    </row>
    <row r="101" spans="1:18">
      <c r="A101" s="695"/>
      <c r="B101" s="698"/>
      <c r="C101" s="200">
        <v>5</v>
      </c>
      <c r="D101" s="688" t="s">
        <v>587</v>
      </c>
      <c r="E101" s="690"/>
      <c r="F101" s="687"/>
      <c r="G101" s="200">
        <v>21</v>
      </c>
      <c r="H101" s="202">
        <v>3254.9952362482209</v>
      </c>
      <c r="I101" s="203">
        <v>154.99977315467714</v>
      </c>
      <c r="J101" s="357">
        <f>I101-I75</f>
        <v>5.5715487494154559E-2</v>
      </c>
      <c r="K101" s="688"/>
      <c r="L101" s="687"/>
      <c r="M101" s="99"/>
      <c r="O101" s="199"/>
      <c r="P101" s="401"/>
      <c r="Q101" s="401"/>
      <c r="R101" s="199"/>
    </row>
    <row r="102" spans="1:18">
      <c r="A102" s="695"/>
      <c r="B102" s="698"/>
      <c r="C102" s="204" t="s">
        <v>204</v>
      </c>
      <c r="D102" s="688" t="s">
        <v>785</v>
      </c>
      <c r="E102" s="690"/>
      <c r="F102" s="687"/>
      <c r="G102" s="200">
        <v>24</v>
      </c>
      <c r="H102" s="202">
        <v>3139.3408511022385</v>
      </c>
      <c r="I102" s="203">
        <v>130.80586879592661</v>
      </c>
      <c r="J102" s="357"/>
      <c r="K102" s="688"/>
      <c r="L102" s="687"/>
      <c r="M102" s="99"/>
      <c r="O102" s="199"/>
      <c r="P102" s="401"/>
      <c r="Q102" s="401"/>
      <c r="R102" s="199"/>
    </row>
    <row r="103" spans="1:18">
      <c r="A103" s="695"/>
      <c r="B103" s="698"/>
      <c r="C103" s="204" t="s">
        <v>209</v>
      </c>
      <c r="D103" s="688"/>
      <c r="E103" s="690"/>
      <c r="F103" s="687"/>
      <c r="G103" s="200"/>
      <c r="H103" s="202"/>
      <c r="I103" s="203"/>
      <c r="J103" s="200"/>
      <c r="K103" s="688"/>
      <c r="L103" s="687"/>
      <c r="M103" s="99"/>
      <c r="O103" s="199"/>
      <c r="P103" s="401"/>
      <c r="Q103" s="401"/>
      <c r="R103" s="199"/>
    </row>
    <row r="104" spans="1:18">
      <c r="A104" s="695"/>
      <c r="B104" s="698"/>
      <c r="C104" s="204" t="s">
        <v>205</v>
      </c>
      <c r="D104" s="688"/>
      <c r="E104" s="690"/>
      <c r="F104" s="687"/>
      <c r="G104" s="200"/>
      <c r="H104" s="202"/>
      <c r="I104" s="203"/>
      <c r="J104" s="200"/>
      <c r="K104" s="688"/>
      <c r="L104" s="687"/>
      <c r="M104" s="99"/>
      <c r="O104" s="199"/>
      <c r="P104" s="401"/>
      <c r="Q104" s="401"/>
      <c r="R104" s="199"/>
    </row>
    <row r="105" spans="1:18">
      <c r="A105" s="695"/>
      <c r="B105" s="698"/>
      <c r="C105" s="204" t="s">
        <v>210</v>
      </c>
      <c r="D105" s="688"/>
      <c r="E105" s="690"/>
      <c r="F105" s="687"/>
      <c r="G105" s="200"/>
      <c r="H105" s="202"/>
      <c r="I105" s="203"/>
      <c r="J105" s="200"/>
      <c r="K105" s="688"/>
      <c r="L105" s="687"/>
      <c r="M105" s="99"/>
      <c r="O105" s="199"/>
      <c r="P105" s="401"/>
      <c r="Q105" s="401"/>
      <c r="R105" s="199"/>
    </row>
    <row r="106" spans="1:18">
      <c r="A106" s="696"/>
      <c r="B106" s="699"/>
      <c r="C106" s="204" t="s">
        <v>211</v>
      </c>
      <c r="D106" s="688"/>
      <c r="E106" s="690"/>
      <c r="F106" s="687"/>
      <c r="G106" s="200"/>
      <c r="H106" s="202"/>
      <c r="I106" s="203"/>
      <c r="J106" s="200"/>
      <c r="K106" s="688"/>
      <c r="L106" s="687"/>
      <c r="M106" s="99"/>
      <c r="O106" s="199"/>
      <c r="P106" s="401"/>
      <c r="Q106" s="401"/>
      <c r="R106" s="199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R106"/>
  <sheetViews>
    <sheetView view="pageBreakPreview" topLeftCell="A61" zoomScale="115" zoomScaleNormal="60" zoomScaleSheetLayoutView="115" workbookViewId="0">
      <selection activeCell="J87" sqref="J87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57" t="s">
        <v>378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99"/>
    </row>
    <row r="2" spans="1:18" s="10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N2" s="190"/>
      <c r="O2" s="190"/>
      <c r="P2" s="190"/>
      <c r="Q2" s="190"/>
      <c r="R2" s="190"/>
    </row>
    <row r="3" spans="1:18" s="189" customFormat="1" ht="15.75" customHeight="1">
      <c r="A3" s="683" t="s">
        <v>616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</row>
    <row r="4" spans="1:18" s="190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</row>
    <row r="5" spans="1:18" s="106" customFormat="1" ht="16.350000000000001" customHeight="1">
      <c r="A5" s="694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96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379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700" t="s">
        <v>188</v>
      </c>
      <c r="B7" s="701"/>
      <c r="C7" s="160" t="s">
        <v>47</v>
      </c>
      <c r="D7" s="700" t="s">
        <v>12</v>
      </c>
      <c r="E7" s="702"/>
      <c r="F7" s="701"/>
      <c r="G7" s="160" t="s">
        <v>46</v>
      </c>
      <c r="H7" s="160" t="s">
        <v>380</v>
      </c>
      <c r="I7" s="160" t="s">
        <v>381</v>
      </c>
      <c r="J7" s="160" t="s">
        <v>332</v>
      </c>
      <c r="K7" s="700" t="s">
        <v>51</v>
      </c>
      <c r="L7" s="701"/>
      <c r="M7" s="127"/>
      <c r="N7" s="189"/>
      <c r="O7" s="199"/>
      <c r="P7" s="401"/>
      <c r="Q7" s="401"/>
      <c r="R7" s="199"/>
    </row>
    <row r="8" spans="1:18" ht="15.75" customHeight="1">
      <c r="A8" s="694">
        <f>J5</f>
        <v>9</v>
      </c>
      <c r="B8" s="697" t="str">
        <f>J6</f>
        <v>微波小吃</v>
      </c>
      <c r="C8" s="200">
        <v>1</v>
      </c>
      <c r="D8" s="688" t="s">
        <v>357</v>
      </c>
      <c r="E8" s="690"/>
      <c r="F8" s="687"/>
      <c r="G8" s="200">
        <v>13</v>
      </c>
      <c r="H8" s="202">
        <v>1080.3104812428951</v>
      </c>
      <c r="I8" s="203">
        <v>83.100806249453484</v>
      </c>
      <c r="J8" s="357">
        <v>-5.2747252747309403E-3</v>
      </c>
      <c r="K8" s="704" t="s">
        <v>435</v>
      </c>
      <c r="L8" s="705"/>
      <c r="O8" s="199"/>
      <c r="P8" s="401"/>
      <c r="Q8" s="401"/>
      <c r="R8" s="199"/>
    </row>
    <row r="9" spans="1:18" ht="15.75" customHeight="1">
      <c r="A9" s="695"/>
      <c r="B9" s="698"/>
      <c r="C9" s="200">
        <v>2</v>
      </c>
      <c r="D9" s="688"/>
      <c r="E9" s="690"/>
      <c r="F9" s="687"/>
      <c r="G9" s="200"/>
      <c r="H9" s="202"/>
      <c r="I9" s="203"/>
      <c r="J9" s="200"/>
      <c r="K9" s="688"/>
      <c r="L9" s="687"/>
      <c r="O9" s="199"/>
      <c r="P9" s="401"/>
      <c r="Q9" s="401"/>
      <c r="R9" s="199"/>
    </row>
    <row r="10" spans="1:18" ht="15.75" customHeight="1">
      <c r="A10" s="695"/>
      <c r="B10" s="698"/>
      <c r="C10" s="200">
        <v>3</v>
      </c>
      <c r="D10" s="688"/>
      <c r="E10" s="690"/>
      <c r="F10" s="687"/>
      <c r="G10" s="200"/>
      <c r="H10" s="202"/>
      <c r="I10" s="203"/>
      <c r="J10" s="200"/>
      <c r="K10" s="688"/>
      <c r="L10" s="687"/>
      <c r="O10" s="199"/>
      <c r="P10" s="401"/>
      <c r="Q10" s="401"/>
      <c r="R10" s="199"/>
    </row>
    <row r="11" spans="1:18" ht="15.75" customHeight="1">
      <c r="A11" s="695"/>
      <c r="B11" s="698"/>
      <c r="C11" s="200">
        <v>4</v>
      </c>
      <c r="D11" s="688"/>
      <c r="E11" s="690"/>
      <c r="F11" s="687"/>
      <c r="G11" s="202"/>
      <c r="H11" s="202"/>
      <c r="I11" s="203"/>
      <c r="J11" s="200"/>
      <c r="K11" s="688"/>
      <c r="L11" s="687"/>
      <c r="O11" s="199"/>
      <c r="P11" s="401"/>
      <c r="Q11" s="401"/>
      <c r="R11" s="199"/>
    </row>
    <row r="12" spans="1:18" ht="15.75" customHeight="1">
      <c r="A12" s="695"/>
      <c r="B12" s="698"/>
      <c r="C12" s="200">
        <v>5</v>
      </c>
      <c r="D12" s="688"/>
      <c r="E12" s="690"/>
      <c r="F12" s="687"/>
      <c r="G12" s="200"/>
      <c r="H12" s="202"/>
      <c r="I12" s="203"/>
      <c r="J12" s="200"/>
      <c r="K12" s="688"/>
      <c r="L12" s="687"/>
      <c r="O12" s="199"/>
      <c r="P12" s="401"/>
      <c r="Q12" s="401"/>
      <c r="R12" s="199"/>
    </row>
    <row r="13" spans="1:18" ht="15.75" customHeight="1">
      <c r="A13" s="695"/>
      <c r="B13" s="698"/>
      <c r="C13" s="204" t="s">
        <v>204</v>
      </c>
      <c r="D13" s="688"/>
      <c r="E13" s="690"/>
      <c r="F13" s="687"/>
      <c r="G13" s="200"/>
      <c r="H13" s="202"/>
      <c r="I13" s="203"/>
      <c r="J13" s="200"/>
      <c r="K13" s="688"/>
      <c r="L13" s="687"/>
      <c r="O13" s="199"/>
      <c r="P13" s="401"/>
      <c r="Q13" s="401"/>
      <c r="R13" s="199"/>
    </row>
    <row r="14" spans="1:18" ht="15.75" customHeight="1">
      <c r="A14" s="695"/>
      <c r="B14" s="698"/>
      <c r="C14" s="204" t="s">
        <v>209</v>
      </c>
      <c r="D14" s="688"/>
      <c r="E14" s="690"/>
      <c r="F14" s="687"/>
      <c r="G14" s="200"/>
      <c r="H14" s="202"/>
      <c r="I14" s="203"/>
      <c r="J14" s="200"/>
      <c r="K14" s="688"/>
      <c r="L14" s="687"/>
      <c r="N14" s="178"/>
      <c r="O14" s="178"/>
      <c r="P14" s="400"/>
      <c r="Q14" s="400"/>
      <c r="R14" s="178"/>
    </row>
    <row r="15" spans="1:18" ht="15.75" customHeight="1">
      <c r="A15" s="695"/>
      <c r="B15" s="698"/>
      <c r="C15" s="204" t="s">
        <v>205</v>
      </c>
      <c r="D15" s="688"/>
      <c r="E15" s="690"/>
      <c r="F15" s="687"/>
      <c r="G15" s="200"/>
      <c r="H15" s="202"/>
      <c r="I15" s="203"/>
      <c r="J15" s="200"/>
      <c r="K15" s="688"/>
      <c r="L15" s="687"/>
      <c r="O15" s="199"/>
      <c r="P15" s="401"/>
      <c r="Q15" s="401"/>
      <c r="R15" s="199"/>
    </row>
    <row r="16" spans="1:18" ht="15.75" customHeight="1">
      <c r="A16" s="695"/>
      <c r="B16" s="698"/>
      <c r="C16" s="204" t="s">
        <v>210</v>
      </c>
      <c r="D16" s="688"/>
      <c r="E16" s="690"/>
      <c r="F16" s="687"/>
      <c r="G16" s="200"/>
      <c r="H16" s="202"/>
      <c r="I16" s="203"/>
      <c r="J16" s="200"/>
      <c r="K16" s="688"/>
      <c r="L16" s="687"/>
      <c r="M16" s="99"/>
      <c r="O16" s="199"/>
      <c r="P16" s="401"/>
      <c r="Q16" s="401"/>
      <c r="R16" s="199"/>
    </row>
    <row r="17" spans="1:18" ht="15.75" customHeight="1">
      <c r="A17" s="696"/>
      <c r="B17" s="699"/>
      <c r="C17" s="204" t="s">
        <v>211</v>
      </c>
      <c r="D17" s="688"/>
      <c r="E17" s="690"/>
      <c r="F17" s="687"/>
      <c r="G17" s="200"/>
      <c r="H17" s="202"/>
      <c r="I17" s="203"/>
      <c r="J17" s="200"/>
      <c r="K17" s="688"/>
      <c r="L17" s="687"/>
      <c r="M17" s="99"/>
      <c r="O17" s="199"/>
      <c r="P17" s="401"/>
      <c r="Q17" s="401"/>
      <c r="R17" s="199"/>
    </row>
    <row r="18" spans="1:18" s="104" customFormat="1" ht="15.75" customHeight="1">
      <c r="A18" s="691" t="s">
        <v>188</v>
      </c>
      <c r="B18" s="692"/>
      <c r="C18" s="207" t="s">
        <v>47</v>
      </c>
      <c r="D18" s="691" t="s">
        <v>12</v>
      </c>
      <c r="E18" s="693"/>
      <c r="F18" s="692"/>
      <c r="G18" s="207" t="s">
        <v>46</v>
      </c>
      <c r="H18" s="207" t="s">
        <v>380</v>
      </c>
      <c r="I18" s="207" t="s">
        <v>381</v>
      </c>
      <c r="J18" s="160" t="s">
        <v>332</v>
      </c>
      <c r="K18" s="691" t="s">
        <v>51</v>
      </c>
      <c r="L18" s="692"/>
      <c r="M18" s="128"/>
      <c r="N18" s="189"/>
      <c r="O18" s="199"/>
      <c r="P18" s="401"/>
      <c r="Q18" s="401"/>
      <c r="R18" s="199"/>
    </row>
    <row r="19" spans="1:18" ht="15.75" customHeight="1">
      <c r="A19" s="694"/>
      <c r="B19" s="697"/>
      <c r="C19" s="200">
        <v>1</v>
      </c>
      <c r="D19" s="688"/>
      <c r="E19" s="690"/>
      <c r="F19" s="687"/>
      <c r="G19" s="200"/>
      <c r="H19" s="202"/>
      <c r="I19" s="203"/>
      <c r="J19" s="200"/>
      <c r="K19" s="688"/>
      <c r="L19" s="687"/>
      <c r="M19" s="99"/>
      <c r="N19" s="199"/>
      <c r="O19" s="199"/>
      <c r="P19" s="401"/>
      <c r="Q19" s="401"/>
      <c r="R19" s="199"/>
    </row>
    <row r="20" spans="1:18" ht="15.75" customHeight="1">
      <c r="A20" s="695"/>
      <c r="B20" s="698"/>
      <c r="C20" s="200">
        <v>2</v>
      </c>
      <c r="D20" s="688"/>
      <c r="E20" s="690"/>
      <c r="F20" s="687"/>
      <c r="G20" s="200"/>
      <c r="H20" s="202"/>
      <c r="I20" s="203"/>
      <c r="J20" s="200"/>
      <c r="K20" s="688"/>
      <c r="L20" s="687"/>
      <c r="M20" s="99"/>
      <c r="O20" s="199"/>
      <c r="P20" s="401"/>
      <c r="Q20" s="401"/>
      <c r="R20" s="199"/>
    </row>
    <row r="21" spans="1:18" ht="15.75" customHeight="1">
      <c r="A21" s="695"/>
      <c r="B21" s="698"/>
      <c r="C21" s="200">
        <v>3</v>
      </c>
      <c r="D21" s="688"/>
      <c r="E21" s="690"/>
      <c r="F21" s="687"/>
      <c r="G21" s="200"/>
      <c r="H21" s="202"/>
      <c r="I21" s="203"/>
      <c r="J21" s="200"/>
      <c r="K21" s="688"/>
      <c r="L21" s="687"/>
      <c r="M21" s="99"/>
      <c r="O21" s="199"/>
      <c r="P21" s="401"/>
      <c r="Q21" s="401"/>
      <c r="R21" s="199"/>
    </row>
    <row r="22" spans="1:18" ht="15.75" customHeight="1">
      <c r="A22" s="695"/>
      <c r="B22" s="698"/>
      <c r="C22" s="200">
        <v>4</v>
      </c>
      <c r="D22" s="688"/>
      <c r="E22" s="690"/>
      <c r="F22" s="687"/>
      <c r="G22" s="200"/>
      <c r="H22" s="202"/>
      <c r="I22" s="203"/>
      <c r="J22" s="200"/>
      <c r="K22" s="688"/>
      <c r="L22" s="687"/>
      <c r="M22" s="99"/>
      <c r="O22" s="199"/>
      <c r="P22" s="401"/>
      <c r="Q22" s="401"/>
      <c r="R22" s="199"/>
    </row>
    <row r="23" spans="1:18" ht="15.75" customHeight="1">
      <c r="A23" s="695"/>
      <c r="B23" s="698"/>
      <c r="C23" s="200">
        <v>5</v>
      </c>
      <c r="D23" s="688"/>
      <c r="E23" s="690"/>
      <c r="F23" s="687"/>
      <c r="G23" s="200"/>
      <c r="H23" s="202"/>
      <c r="I23" s="203"/>
      <c r="J23" s="200"/>
      <c r="K23" s="688"/>
      <c r="L23" s="687"/>
      <c r="M23" s="99"/>
      <c r="O23" s="199"/>
      <c r="P23" s="401"/>
      <c r="Q23" s="401"/>
      <c r="R23" s="199"/>
    </row>
    <row r="24" spans="1:18" ht="15.75" customHeight="1">
      <c r="A24" s="695"/>
      <c r="B24" s="698"/>
      <c r="C24" s="204" t="s">
        <v>204</v>
      </c>
      <c r="D24" s="688"/>
      <c r="E24" s="690"/>
      <c r="F24" s="687"/>
      <c r="G24" s="200"/>
      <c r="H24" s="202"/>
      <c r="I24" s="203"/>
      <c r="J24" s="200"/>
      <c r="K24" s="688"/>
      <c r="L24" s="687"/>
      <c r="M24" s="99"/>
      <c r="O24" s="199"/>
      <c r="P24" s="401"/>
      <c r="Q24" s="401"/>
      <c r="R24" s="199"/>
    </row>
    <row r="25" spans="1:18" ht="15.75" customHeight="1">
      <c r="A25" s="695"/>
      <c r="B25" s="698"/>
      <c r="C25" s="204" t="s">
        <v>209</v>
      </c>
      <c r="D25" s="688"/>
      <c r="E25" s="690"/>
      <c r="F25" s="687"/>
      <c r="G25" s="200"/>
      <c r="H25" s="202"/>
      <c r="I25" s="203"/>
      <c r="J25" s="200"/>
      <c r="K25" s="688"/>
      <c r="L25" s="687"/>
      <c r="M25" s="99"/>
      <c r="O25" s="199"/>
      <c r="P25" s="401"/>
      <c r="Q25" s="401"/>
      <c r="R25" s="199"/>
    </row>
    <row r="26" spans="1:18" ht="15.75" customHeight="1">
      <c r="A26" s="695"/>
      <c r="B26" s="698"/>
      <c r="C26" s="204" t="s">
        <v>205</v>
      </c>
      <c r="D26" s="688"/>
      <c r="E26" s="690"/>
      <c r="F26" s="687"/>
      <c r="G26" s="200"/>
      <c r="H26" s="202"/>
      <c r="I26" s="203"/>
      <c r="J26" s="200"/>
      <c r="K26" s="688"/>
      <c r="L26" s="687"/>
      <c r="M26" s="99"/>
      <c r="O26" s="199"/>
      <c r="P26" s="401"/>
      <c r="Q26" s="401"/>
      <c r="R26" s="199"/>
    </row>
    <row r="27" spans="1:18" ht="15.75" customHeight="1">
      <c r="A27" s="695"/>
      <c r="B27" s="698"/>
      <c r="C27" s="204" t="s">
        <v>210</v>
      </c>
      <c r="D27" s="688"/>
      <c r="E27" s="690"/>
      <c r="F27" s="687"/>
      <c r="G27" s="200"/>
      <c r="H27" s="202"/>
      <c r="I27" s="203"/>
      <c r="J27" s="200"/>
      <c r="K27" s="688"/>
      <c r="L27" s="687"/>
      <c r="M27" s="99"/>
      <c r="O27" s="199"/>
      <c r="P27" s="401"/>
      <c r="Q27" s="401"/>
      <c r="R27" s="199"/>
    </row>
    <row r="28" spans="1:18" ht="15.75" customHeight="1">
      <c r="A28" s="696"/>
      <c r="B28" s="699"/>
      <c r="C28" s="204" t="s">
        <v>211</v>
      </c>
      <c r="D28" s="688"/>
      <c r="E28" s="690"/>
      <c r="F28" s="687"/>
      <c r="G28" s="200"/>
      <c r="H28" s="202"/>
      <c r="I28" s="203"/>
      <c r="J28" s="200"/>
      <c r="K28" s="688"/>
      <c r="L28" s="687"/>
      <c r="M28" s="99"/>
      <c r="O28" s="199"/>
      <c r="P28" s="401"/>
      <c r="Q28" s="401"/>
      <c r="R28" s="199"/>
    </row>
    <row r="29" spans="1:18" ht="15.75" customHeight="1">
      <c r="A29" s="683" t="s">
        <v>698</v>
      </c>
      <c r="B29" s="683"/>
      <c r="C29" s="683"/>
      <c r="D29" s="683"/>
      <c r="E29" s="683"/>
      <c r="F29" s="683"/>
      <c r="G29" s="683"/>
      <c r="H29" s="683"/>
      <c r="I29" s="683"/>
      <c r="J29" s="683"/>
      <c r="K29" s="683"/>
      <c r="L29" s="683"/>
      <c r="M29" s="99"/>
    </row>
    <row r="30" spans="1:18" s="100" customFormat="1" ht="15.75" customHeight="1">
      <c r="A30" s="683"/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  <c r="N30" s="190"/>
      <c r="O30" s="190"/>
      <c r="P30" s="190"/>
      <c r="Q30" s="190"/>
      <c r="R30" s="190"/>
    </row>
    <row r="31" spans="1:18" s="106" customFormat="1" ht="16.350000000000001" customHeight="1">
      <c r="A31" s="694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96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379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700" t="s">
        <v>188</v>
      </c>
      <c r="B33" s="701"/>
      <c r="C33" s="160" t="s">
        <v>47</v>
      </c>
      <c r="D33" s="700" t="s">
        <v>12</v>
      </c>
      <c r="E33" s="702"/>
      <c r="F33" s="701"/>
      <c r="G33" s="160" t="s">
        <v>46</v>
      </c>
      <c r="H33" s="160" t="s">
        <v>380</v>
      </c>
      <c r="I33" s="160" t="s">
        <v>381</v>
      </c>
      <c r="J33" s="160" t="s">
        <v>332</v>
      </c>
      <c r="K33" s="700" t="s">
        <v>51</v>
      </c>
      <c r="L33" s="701"/>
      <c r="M33" s="127"/>
      <c r="N33" s="189"/>
      <c r="O33" s="199"/>
      <c r="P33" s="401"/>
      <c r="Q33" s="401"/>
      <c r="R33" s="199"/>
    </row>
    <row r="34" spans="1:18" ht="15.75" customHeight="1">
      <c r="A34" s="694">
        <f>J31</f>
        <v>9</v>
      </c>
      <c r="B34" s="697" t="str">
        <f>J32</f>
        <v>微波小吃</v>
      </c>
      <c r="C34" s="200">
        <v>1</v>
      </c>
      <c r="D34" s="688" t="s">
        <v>357</v>
      </c>
      <c r="E34" s="690"/>
      <c r="F34" s="687"/>
      <c r="G34" s="200">
        <v>13</v>
      </c>
      <c r="H34" s="202">
        <v>1079.9056882246364</v>
      </c>
      <c r="I34" s="203">
        <v>83.069668324972028</v>
      </c>
      <c r="J34" s="357">
        <f>I34-I8</f>
        <v>-3.1137924481456025E-2</v>
      </c>
      <c r="K34" s="704" t="s">
        <v>435</v>
      </c>
      <c r="L34" s="705"/>
      <c r="O34" s="199"/>
      <c r="P34" s="401"/>
      <c r="Q34" s="401"/>
      <c r="R34" s="199"/>
    </row>
    <row r="35" spans="1:18" ht="15.75" customHeight="1">
      <c r="A35" s="695"/>
      <c r="B35" s="698"/>
      <c r="C35" s="200">
        <v>2</v>
      </c>
      <c r="D35" s="688"/>
      <c r="E35" s="690"/>
      <c r="F35" s="687"/>
      <c r="G35" s="200"/>
      <c r="H35" s="202"/>
      <c r="I35" s="203"/>
      <c r="J35" s="200"/>
      <c r="K35" s="688"/>
      <c r="L35" s="687"/>
      <c r="O35" s="199"/>
      <c r="P35" s="401"/>
      <c r="Q35" s="401"/>
      <c r="R35" s="199"/>
    </row>
    <row r="36" spans="1:18" ht="15.75" customHeight="1">
      <c r="A36" s="695"/>
      <c r="B36" s="698"/>
      <c r="C36" s="200">
        <v>3</v>
      </c>
      <c r="D36" s="688"/>
      <c r="E36" s="690"/>
      <c r="F36" s="687"/>
      <c r="G36" s="200"/>
      <c r="H36" s="202"/>
      <c r="I36" s="203"/>
      <c r="J36" s="200"/>
      <c r="K36" s="688"/>
      <c r="L36" s="687"/>
      <c r="O36" s="199"/>
      <c r="P36" s="401"/>
      <c r="Q36" s="401"/>
      <c r="R36" s="199"/>
    </row>
    <row r="37" spans="1:18" ht="15.75" customHeight="1">
      <c r="A37" s="695"/>
      <c r="B37" s="698"/>
      <c r="C37" s="200">
        <v>4</v>
      </c>
      <c r="D37" s="688"/>
      <c r="E37" s="690"/>
      <c r="F37" s="687"/>
      <c r="G37" s="202"/>
      <c r="H37" s="202"/>
      <c r="I37" s="203"/>
      <c r="J37" s="200"/>
      <c r="K37" s="688"/>
      <c r="L37" s="687"/>
      <c r="O37" s="199"/>
      <c r="P37" s="401"/>
      <c r="Q37" s="401"/>
      <c r="R37" s="199"/>
    </row>
    <row r="38" spans="1:18" ht="15.75" customHeight="1">
      <c r="A38" s="695"/>
      <c r="B38" s="698"/>
      <c r="C38" s="200">
        <v>5</v>
      </c>
      <c r="D38" s="688"/>
      <c r="E38" s="690"/>
      <c r="F38" s="687"/>
      <c r="G38" s="200"/>
      <c r="H38" s="202"/>
      <c r="I38" s="203"/>
      <c r="J38" s="200"/>
      <c r="K38" s="688"/>
      <c r="L38" s="687"/>
      <c r="O38" s="199"/>
      <c r="P38" s="401"/>
      <c r="Q38" s="401"/>
      <c r="R38" s="199"/>
    </row>
    <row r="39" spans="1:18" ht="15.75" customHeight="1">
      <c r="A39" s="695"/>
      <c r="B39" s="698"/>
      <c r="C39" s="204" t="s">
        <v>204</v>
      </c>
      <c r="D39" s="688"/>
      <c r="E39" s="690"/>
      <c r="F39" s="687"/>
      <c r="G39" s="200"/>
      <c r="H39" s="202"/>
      <c r="I39" s="203"/>
      <c r="J39" s="200"/>
      <c r="K39" s="688"/>
      <c r="L39" s="687"/>
      <c r="O39" s="199"/>
      <c r="P39" s="401"/>
      <c r="Q39" s="401"/>
      <c r="R39" s="199"/>
    </row>
    <row r="40" spans="1:18" ht="15.75" customHeight="1">
      <c r="A40" s="695"/>
      <c r="B40" s="698"/>
      <c r="C40" s="204" t="s">
        <v>209</v>
      </c>
      <c r="D40" s="688"/>
      <c r="E40" s="690"/>
      <c r="F40" s="687"/>
      <c r="G40" s="200"/>
      <c r="H40" s="202"/>
      <c r="I40" s="203"/>
      <c r="J40" s="200"/>
      <c r="K40" s="688"/>
      <c r="L40" s="687"/>
      <c r="N40" s="178"/>
      <c r="O40" s="178"/>
      <c r="P40" s="400"/>
      <c r="Q40" s="400"/>
      <c r="R40" s="178"/>
    </row>
    <row r="41" spans="1:18" ht="15.75" customHeight="1">
      <c r="A41" s="695"/>
      <c r="B41" s="698"/>
      <c r="C41" s="204" t="s">
        <v>205</v>
      </c>
      <c r="D41" s="688"/>
      <c r="E41" s="690"/>
      <c r="F41" s="687"/>
      <c r="G41" s="200"/>
      <c r="H41" s="202"/>
      <c r="I41" s="203"/>
      <c r="J41" s="200"/>
      <c r="K41" s="688"/>
      <c r="L41" s="687"/>
      <c r="O41" s="199"/>
      <c r="P41" s="401"/>
      <c r="Q41" s="401"/>
      <c r="R41" s="199"/>
    </row>
    <row r="42" spans="1:18" ht="15.75" customHeight="1">
      <c r="A42" s="695"/>
      <c r="B42" s="698"/>
      <c r="C42" s="204" t="s">
        <v>210</v>
      </c>
      <c r="D42" s="688"/>
      <c r="E42" s="690"/>
      <c r="F42" s="687"/>
      <c r="G42" s="200"/>
      <c r="H42" s="202"/>
      <c r="I42" s="203"/>
      <c r="J42" s="200"/>
      <c r="K42" s="688"/>
      <c r="L42" s="687"/>
      <c r="M42" s="99"/>
      <c r="O42" s="199"/>
      <c r="P42" s="401"/>
      <c r="Q42" s="401"/>
      <c r="R42" s="199"/>
    </row>
    <row r="43" spans="1:18" ht="15.75" customHeight="1">
      <c r="A43" s="696"/>
      <c r="B43" s="699"/>
      <c r="C43" s="204" t="s">
        <v>211</v>
      </c>
      <c r="D43" s="688"/>
      <c r="E43" s="690"/>
      <c r="F43" s="687"/>
      <c r="G43" s="200"/>
      <c r="H43" s="202"/>
      <c r="I43" s="203"/>
      <c r="J43" s="200"/>
      <c r="K43" s="688"/>
      <c r="L43" s="687"/>
      <c r="M43" s="99"/>
      <c r="O43" s="199"/>
      <c r="P43" s="401"/>
      <c r="Q43" s="401"/>
      <c r="R43" s="199"/>
    </row>
    <row r="44" spans="1:18" s="104" customFormat="1" ht="15.75" customHeight="1">
      <c r="A44" s="691" t="s">
        <v>188</v>
      </c>
      <c r="B44" s="692"/>
      <c r="C44" s="207" t="s">
        <v>47</v>
      </c>
      <c r="D44" s="691" t="s">
        <v>12</v>
      </c>
      <c r="E44" s="693"/>
      <c r="F44" s="692"/>
      <c r="G44" s="207" t="s">
        <v>46</v>
      </c>
      <c r="H44" s="207" t="s">
        <v>380</v>
      </c>
      <c r="I44" s="207" t="s">
        <v>381</v>
      </c>
      <c r="J44" s="160" t="s">
        <v>332</v>
      </c>
      <c r="K44" s="691" t="s">
        <v>51</v>
      </c>
      <c r="L44" s="692"/>
      <c r="M44" s="128"/>
      <c r="N44" s="189"/>
      <c r="O44" s="199"/>
      <c r="P44" s="401"/>
      <c r="Q44" s="401"/>
      <c r="R44" s="199"/>
    </row>
    <row r="45" spans="1:18" ht="15.75" customHeight="1">
      <c r="A45" s="694"/>
      <c r="B45" s="697"/>
      <c r="C45" s="200">
        <v>1</v>
      </c>
      <c r="D45" s="688"/>
      <c r="E45" s="690"/>
      <c r="F45" s="687"/>
      <c r="G45" s="200"/>
      <c r="H45" s="202"/>
      <c r="I45" s="203"/>
      <c r="J45" s="200"/>
      <c r="K45" s="688"/>
      <c r="L45" s="687"/>
      <c r="M45" s="99"/>
      <c r="N45" s="199"/>
      <c r="O45" s="199"/>
      <c r="P45" s="401"/>
      <c r="Q45" s="401"/>
      <c r="R45" s="199"/>
    </row>
    <row r="46" spans="1:18" ht="15.75" customHeight="1">
      <c r="A46" s="695"/>
      <c r="B46" s="698"/>
      <c r="C46" s="200">
        <v>2</v>
      </c>
      <c r="D46" s="688"/>
      <c r="E46" s="690"/>
      <c r="F46" s="687"/>
      <c r="G46" s="200"/>
      <c r="H46" s="202"/>
      <c r="I46" s="203"/>
      <c r="J46" s="200"/>
      <c r="K46" s="688"/>
      <c r="L46" s="687"/>
      <c r="M46" s="99"/>
      <c r="O46" s="199"/>
      <c r="P46" s="401"/>
      <c r="Q46" s="401"/>
      <c r="R46" s="199"/>
    </row>
    <row r="47" spans="1:18" ht="15.75" customHeight="1">
      <c r="A47" s="695"/>
      <c r="B47" s="698"/>
      <c r="C47" s="200">
        <v>3</v>
      </c>
      <c r="D47" s="688"/>
      <c r="E47" s="690"/>
      <c r="F47" s="687"/>
      <c r="G47" s="200"/>
      <c r="H47" s="202"/>
      <c r="I47" s="203"/>
      <c r="J47" s="200"/>
      <c r="K47" s="688"/>
      <c r="L47" s="687"/>
      <c r="M47" s="99"/>
      <c r="O47" s="199"/>
      <c r="P47" s="401"/>
      <c r="Q47" s="401"/>
      <c r="R47" s="199"/>
    </row>
    <row r="48" spans="1:18" ht="15.75" customHeight="1">
      <c r="A48" s="695"/>
      <c r="B48" s="698"/>
      <c r="C48" s="200">
        <v>4</v>
      </c>
      <c r="D48" s="688"/>
      <c r="E48" s="690"/>
      <c r="F48" s="687"/>
      <c r="G48" s="200"/>
      <c r="H48" s="202"/>
      <c r="I48" s="203"/>
      <c r="J48" s="200"/>
      <c r="K48" s="688"/>
      <c r="L48" s="687"/>
      <c r="M48" s="99"/>
      <c r="O48" s="199"/>
      <c r="P48" s="401"/>
      <c r="Q48" s="401"/>
      <c r="R48" s="199"/>
    </row>
    <row r="49" spans="1:18" ht="15.75" customHeight="1">
      <c r="A49" s="695"/>
      <c r="B49" s="698"/>
      <c r="C49" s="200">
        <v>5</v>
      </c>
      <c r="D49" s="688"/>
      <c r="E49" s="690"/>
      <c r="F49" s="687"/>
      <c r="G49" s="200"/>
      <c r="H49" s="202"/>
      <c r="I49" s="203"/>
      <c r="J49" s="200"/>
      <c r="K49" s="688"/>
      <c r="L49" s="687"/>
      <c r="M49" s="99"/>
      <c r="O49" s="199"/>
      <c r="P49" s="401"/>
      <c r="Q49" s="401"/>
      <c r="R49" s="199"/>
    </row>
    <row r="50" spans="1:18" ht="15.75" customHeight="1">
      <c r="A50" s="695"/>
      <c r="B50" s="698"/>
      <c r="C50" s="204" t="s">
        <v>204</v>
      </c>
      <c r="D50" s="688"/>
      <c r="E50" s="690"/>
      <c r="F50" s="687"/>
      <c r="G50" s="200"/>
      <c r="H50" s="202"/>
      <c r="I50" s="203"/>
      <c r="J50" s="200"/>
      <c r="K50" s="688"/>
      <c r="L50" s="687"/>
      <c r="M50" s="99"/>
      <c r="O50" s="199"/>
      <c r="P50" s="401"/>
      <c r="Q50" s="401"/>
      <c r="R50" s="199"/>
    </row>
    <row r="51" spans="1:18" ht="15.75" customHeight="1">
      <c r="A51" s="695"/>
      <c r="B51" s="698"/>
      <c r="C51" s="204" t="s">
        <v>209</v>
      </c>
      <c r="D51" s="688"/>
      <c r="E51" s="690"/>
      <c r="F51" s="687"/>
      <c r="G51" s="200"/>
      <c r="H51" s="202"/>
      <c r="I51" s="203"/>
      <c r="J51" s="200"/>
      <c r="K51" s="688"/>
      <c r="L51" s="687"/>
      <c r="M51" s="99"/>
      <c r="O51" s="199"/>
      <c r="P51" s="401"/>
      <c r="Q51" s="401"/>
      <c r="R51" s="199"/>
    </row>
    <row r="52" spans="1:18" ht="15.75" customHeight="1">
      <c r="A52" s="695"/>
      <c r="B52" s="698"/>
      <c r="C52" s="204" t="s">
        <v>205</v>
      </c>
      <c r="D52" s="688"/>
      <c r="E52" s="690"/>
      <c r="F52" s="687"/>
      <c r="G52" s="200"/>
      <c r="H52" s="202"/>
      <c r="I52" s="203"/>
      <c r="J52" s="200"/>
      <c r="K52" s="688"/>
      <c r="L52" s="687"/>
      <c r="M52" s="99"/>
      <c r="O52" s="199"/>
      <c r="P52" s="401"/>
      <c r="Q52" s="401"/>
      <c r="R52" s="199"/>
    </row>
    <row r="53" spans="1:18" ht="15.75" customHeight="1">
      <c r="A53" s="695"/>
      <c r="B53" s="698"/>
      <c r="C53" s="204" t="s">
        <v>210</v>
      </c>
      <c r="D53" s="688"/>
      <c r="E53" s="690"/>
      <c r="F53" s="687"/>
      <c r="G53" s="200"/>
      <c r="H53" s="202"/>
      <c r="I53" s="203"/>
      <c r="J53" s="200"/>
      <c r="K53" s="688"/>
      <c r="L53" s="687"/>
      <c r="M53" s="99"/>
      <c r="O53" s="199"/>
      <c r="P53" s="401"/>
      <c r="Q53" s="401"/>
      <c r="R53" s="199"/>
    </row>
    <row r="54" spans="1:18" ht="15.75" customHeight="1">
      <c r="A54" s="696"/>
      <c r="B54" s="699"/>
      <c r="C54" s="204" t="s">
        <v>211</v>
      </c>
      <c r="D54" s="688"/>
      <c r="E54" s="690"/>
      <c r="F54" s="687"/>
      <c r="G54" s="200"/>
      <c r="H54" s="202"/>
      <c r="I54" s="203"/>
      <c r="J54" s="200"/>
      <c r="K54" s="688"/>
      <c r="L54" s="687"/>
      <c r="M54" s="99"/>
      <c r="O54" s="199"/>
      <c r="P54" s="401"/>
      <c r="Q54" s="401"/>
      <c r="R54" s="199"/>
    </row>
    <row r="55" spans="1:18" s="189" customFormat="1" ht="15.75" customHeight="1">
      <c r="A55" s="683" t="s">
        <v>715</v>
      </c>
      <c r="B55" s="683"/>
      <c r="C55" s="683"/>
      <c r="D55" s="683"/>
      <c r="E55" s="683"/>
      <c r="F55" s="683"/>
      <c r="G55" s="683"/>
      <c r="H55" s="683"/>
      <c r="I55" s="683"/>
      <c r="J55" s="683"/>
      <c r="K55" s="683"/>
      <c r="L55" s="683"/>
    </row>
    <row r="56" spans="1:18" s="190" customFormat="1" ht="15.75" customHeight="1">
      <c r="A56" s="683"/>
      <c r="B56" s="683"/>
      <c r="C56" s="683"/>
      <c r="D56" s="683"/>
      <c r="E56" s="683"/>
      <c r="F56" s="683"/>
      <c r="G56" s="683"/>
      <c r="H56" s="683"/>
      <c r="I56" s="683"/>
      <c r="J56" s="683"/>
      <c r="K56" s="683"/>
      <c r="L56" s="683"/>
    </row>
    <row r="57" spans="1:18" s="106" customFormat="1" ht="16.350000000000001" customHeight="1">
      <c r="A57" s="694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96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379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700" t="s">
        <v>188</v>
      </c>
      <c r="B59" s="701"/>
      <c r="C59" s="160" t="s">
        <v>47</v>
      </c>
      <c r="D59" s="700" t="s">
        <v>12</v>
      </c>
      <c r="E59" s="702"/>
      <c r="F59" s="701"/>
      <c r="G59" s="160" t="s">
        <v>46</v>
      </c>
      <c r="H59" s="160" t="s">
        <v>380</v>
      </c>
      <c r="I59" s="160" t="s">
        <v>381</v>
      </c>
      <c r="J59" s="160" t="s">
        <v>332</v>
      </c>
      <c r="K59" s="700" t="s">
        <v>51</v>
      </c>
      <c r="L59" s="701"/>
      <c r="M59" s="127"/>
      <c r="N59" s="189"/>
      <c r="O59" s="199"/>
      <c r="P59" s="401"/>
      <c r="Q59" s="401"/>
      <c r="R59" s="199"/>
    </row>
    <row r="60" spans="1:18" ht="15.75" customHeight="1">
      <c r="A60" s="694">
        <f>J57</f>
        <v>9</v>
      </c>
      <c r="B60" s="697" t="str">
        <f>J58</f>
        <v>微波小吃</v>
      </c>
      <c r="C60" s="200">
        <v>1</v>
      </c>
      <c r="D60" s="688" t="s">
        <v>357</v>
      </c>
      <c r="E60" s="690"/>
      <c r="F60" s="687"/>
      <c r="G60" s="200">
        <v>13</v>
      </c>
      <c r="H60" s="202">
        <v>1078.7498336711456</v>
      </c>
      <c r="I60" s="203">
        <v>82.98075643624199</v>
      </c>
      <c r="J60" s="357">
        <f>I60-I34</f>
        <v>-8.8911888730038413E-2</v>
      </c>
      <c r="K60" s="688" t="s">
        <v>435</v>
      </c>
      <c r="L60" s="687"/>
      <c r="O60" s="199"/>
      <c r="P60" s="401"/>
      <c r="Q60" s="401"/>
      <c r="R60" s="199"/>
    </row>
    <row r="61" spans="1:18" ht="15.75" customHeight="1">
      <c r="A61" s="695"/>
      <c r="B61" s="698"/>
      <c r="C61" s="200">
        <v>2</v>
      </c>
      <c r="D61" s="688"/>
      <c r="E61" s="690"/>
      <c r="F61" s="687"/>
      <c r="G61" s="200"/>
      <c r="H61" s="202"/>
      <c r="I61" s="203"/>
      <c r="J61" s="200"/>
      <c r="K61" s="688"/>
      <c r="L61" s="687"/>
      <c r="O61" s="199"/>
      <c r="P61" s="401"/>
      <c r="Q61" s="401"/>
      <c r="R61" s="199"/>
    </row>
    <row r="62" spans="1:18" ht="15.75" customHeight="1">
      <c r="A62" s="695"/>
      <c r="B62" s="698"/>
      <c r="C62" s="200">
        <v>3</v>
      </c>
      <c r="D62" s="688"/>
      <c r="E62" s="690"/>
      <c r="F62" s="687"/>
      <c r="G62" s="200"/>
      <c r="H62" s="202"/>
      <c r="I62" s="203"/>
      <c r="J62" s="200"/>
      <c r="K62" s="688"/>
      <c r="L62" s="687"/>
      <c r="O62" s="199"/>
      <c r="P62" s="401"/>
      <c r="Q62" s="401"/>
      <c r="R62" s="199"/>
    </row>
    <row r="63" spans="1:18" ht="15.75" customHeight="1">
      <c r="A63" s="695"/>
      <c r="B63" s="698"/>
      <c r="C63" s="200">
        <v>4</v>
      </c>
      <c r="D63" s="688"/>
      <c r="E63" s="690"/>
      <c r="F63" s="687"/>
      <c r="G63" s="202"/>
      <c r="H63" s="202"/>
      <c r="I63" s="203"/>
      <c r="J63" s="200"/>
      <c r="K63" s="688"/>
      <c r="L63" s="687"/>
      <c r="O63" s="199"/>
      <c r="P63" s="401"/>
      <c r="Q63" s="401"/>
      <c r="R63" s="199"/>
    </row>
    <row r="64" spans="1:18" ht="15.75" customHeight="1">
      <c r="A64" s="695"/>
      <c r="B64" s="698"/>
      <c r="C64" s="200">
        <v>5</v>
      </c>
      <c r="D64" s="688"/>
      <c r="E64" s="690"/>
      <c r="F64" s="687"/>
      <c r="G64" s="200"/>
      <c r="H64" s="202"/>
      <c r="I64" s="203"/>
      <c r="J64" s="200"/>
      <c r="K64" s="688"/>
      <c r="L64" s="687"/>
      <c r="O64" s="199"/>
      <c r="P64" s="401"/>
      <c r="Q64" s="401"/>
      <c r="R64" s="199"/>
    </row>
    <row r="65" spans="1:18" ht="15.75" customHeight="1">
      <c r="A65" s="695"/>
      <c r="B65" s="698"/>
      <c r="C65" s="204" t="s">
        <v>204</v>
      </c>
      <c r="D65" s="688"/>
      <c r="E65" s="690"/>
      <c r="F65" s="687"/>
      <c r="G65" s="200"/>
      <c r="H65" s="202"/>
      <c r="I65" s="203"/>
      <c r="J65" s="200"/>
      <c r="K65" s="688"/>
      <c r="L65" s="687"/>
      <c r="O65" s="199"/>
      <c r="P65" s="401"/>
      <c r="Q65" s="401"/>
      <c r="R65" s="199"/>
    </row>
    <row r="66" spans="1:18" ht="15.75" customHeight="1">
      <c r="A66" s="695"/>
      <c r="B66" s="698"/>
      <c r="C66" s="204" t="s">
        <v>209</v>
      </c>
      <c r="D66" s="688"/>
      <c r="E66" s="690"/>
      <c r="F66" s="687"/>
      <c r="G66" s="200"/>
      <c r="H66" s="202"/>
      <c r="I66" s="203"/>
      <c r="J66" s="200"/>
      <c r="K66" s="688"/>
      <c r="L66" s="687"/>
      <c r="N66" s="178"/>
      <c r="O66" s="178"/>
      <c r="P66" s="400"/>
      <c r="Q66" s="400"/>
      <c r="R66" s="178"/>
    </row>
    <row r="67" spans="1:18" ht="15.75" customHeight="1">
      <c r="A67" s="695"/>
      <c r="B67" s="698"/>
      <c r="C67" s="204" t="s">
        <v>205</v>
      </c>
      <c r="D67" s="688"/>
      <c r="E67" s="690"/>
      <c r="F67" s="687"/>
      <c r="G67" s="200"/>
      <c r="H67" s="202"/>
      <c r="I67" s="203"/>
      <c r="J67" s="200"/>
      <c r="K67" s="688"/>
      <c r="L67" s="687"/>
      <c r="O67" s="199"/>
      <c r="P67" s="401"/>
      <c r="Q67" s="401"/>
      <c r="R67" s="199"/>
    </row>
    <row r="68" spans="1:18" ht="15.75" customHeight="1">
      <c r="A68" s="695"/>
      <c r="B68" s="698"/>
      <c r="C68" s="204" t="s">
        <v>210</v>
      </c>
      <c r="D68" s="688"/>
      <c r="E68" s="690"/>
      <c r="F68" s="687"/>
      <c r="G68" s="200"/>
      <c r="H68" s="202"/>
      <c r="I68" s="203"/>
      <c r="J68" s="200"/>
      <c r="K68" s="688"/>
      <c r="L68" s="687"/>
      <c r="M68" s="99"/>
      <c r="O68" s="199"/>
      <c r="P68" s="401"/>
      <c r="Q68" s="401"/>
      <c r="R68" s="199"/>
    </row>
    <row r="69" spans="1:18" ht="15.75" customHeight="1">
      <c r="A69" s="696"/>
      <c r="B69" s="699"/>
      <c r="C69" s="204" t="s">
        <v>211</v>
      </c>
      <c r="D69" s="688"/>
      <c r="E69" s="690"/>
      <c r="F69" s="687"/>
      <c r="G69" s="200"/>
      <c r="H69" s="202"/>
      <c r="I69" s="203"/>
      <c r="J69" s="200"/>
      <c r="K69" s="688"/>
      <c r="L69" s="687"/>
      <c r="M69" s="99"/>
      <c r="O69" s="199"/>
      <c r="P69" s="401"/>
      <c r="Q69" s="401"/>
      <c r="R69" s="199"/>
    </row>
    <row r="70" spans="1:18" s="104" customFormat="1" ht="15.75" customHeight="1">
      <c r="A70" s="691" t="s">
        <v>188</v>
      </c>
      <c r="B70" s="692"/>
      <c r="C70" s="207" t="s">
        <v>47</v>
      </c>
      <c r="D70" s="691" t="s">
        <v>12</v>
      </c>
      <c r="E70" s="693"/>
      <c r="F70" s="692"/>
      <c r="G70" s="207" t="s">
        <v>46</v>
      </c>
      <c r="H70" s="207" t="s">
        <v>380</v>
      </c>
      <c r="I70" s="207" t="s">
        <v>381</v>
      </c>
      <c r="J70" s="160" t="s">
        <v>332</v>
      </c>
      <c r="K70" s="691" t="s">
        <v>51</v>
      </c>
      <c r="L70" s="692"/>
      <c r="M70" s="128"/>
      <c r="N70" s="189"/>
      <c r="O70" s="199"/>
      <c r="P70" s="401"/>
      <c r="Q70" s="401"/>
      <c r="R70" s="199"/>
    </row>
    <row r="71" spans="1:18" ht="15.75" customHeight="1">
      <c r="A71" s="694"/>
      <c r="B71" s="697"/>
      <c r="C71" s="200">
        <v>1</v>
      </c>
      <c r="D71" s="688"/>
      <c r="E71" s="690"/>
      <c r="F71" s="687"/>
      <c r="G71" s="200"/>
      <c r="H71" s="202"/>
      <c r="I71" s="203"/>
      <c r="J71" s="200"/>
      <c r="K71" s="688"/>
      <c r="L71" s="687"/>
      <c r="M71" s="99"/>
      <c r="N71" s="199"/>
      <c r="O71" s="199"/>
      <c r="P71" s="401"/>
      <c r="Q71" s="401"/>
      <c r="R71" s="199"/>
    </row>
    <row r="72" spans="1:18" ht="15.75" customHeight="1">
      <c r="A72" s="695"/>
      <c r="B72" s="698"/>
      <c r="C72" s="200">
        <v>2</v>
      </c>
      <c r="D72" s="688"/>
      <c r="E72" s="690"/>
      <c r="F72" s="687"/>
      <c r="G72" s="200"/>
      <c r="H72" s="202"/>
      <c r="I72" s="203"/>
      <c r="J72" s="200"/>
      <c r="K72" s="688"/>
      <c r="L72" s="687"/>
      <c r="M72" s="99"/>
      <c r="O72" s="199"/>
      <c r="P72" s="401"/>
      <c r="Q72" s="401"/>
      <c r="R72" s="199"/>
    </row>
    <row r="73" spans="1:18" ht="15.75" customHeight="1">
      <c r="A73" s="695"/>
      <c r="B73" s="698"/>
      <c r="C73" s="200">
        <v>3</v>
      </c>
      <c r="D73" s="688"/>
      <c r="E73" s="690"/>
      <c r="F73" s="687"/>
      <c r="G73" s="200"/>
      <c r="H73" s="202"/>
      <c r="I73" s="203"/>
      <c r="J73" s="200"/>
      <c r="K73" s="688"/>
      <c r="L73" s="687"/>
      <c r="M73" s="99"/>
      <c r="O73" s="199"/>
      <c r="P73" s="401"/>
      <c r="Q73" s="401"/>
      <c r="R73" s="199"/>
    </row>
    <row r="74" spans="1:18" ht="15.75" customHeight="1">
      <c r="A74" s="695"/>
      <c r="B74" s="698"/>
      <c r="C74" s="200">
        <v>4</v>
      </c>
      <c r="D74" s="688"/>
      <c r="E74" s="690"/>
      <c r="F74" s="687"/>
      <c r="G74" s="200"/>
      <c r="H74" s="202"/>
      <c r="I74" s="203"/>
      <c r="J74" s="200"/>
      <c r="K74" s="688"/>
      <c r="L74" s="687"/>
      <c r="M74" s="99"/>
      <c r="O74" s="199"/>
      <c r="P74" s="401"/>
      <c r="Q74" s="401"/>
      <c r="R74" s="199"/>
    </row>
    <row r="75" spans="1:18" ht="15.75" customHeight="1">
      <c r="A75" s="695"/>
      <c r="B75" s="698"/>
      <c r="C75" s="200">
        <v>5</v>
      </c>
      <c r="D75" s="688"/>
      <c r="E75" s="690"/>
      <c r="F75" s="687"/>
      <c r="G75" s="200"/>
      <c r="H75" s="202"/>
      <c r="I75" s="203"/>
      <c r="J75" s="200"/>
      <c r="K75" s="688"/>
      <c r="L75" s="687"/>
      <c r="M75" s="99"/>
      <c r="O75" s="199"/>
      <c r="P75" s="401"/>
      <c r="Q75" s="401"/>
      <c r="R75" s="199"/>
    </row>
    <row r="76" spans="1:18" ht="15.75" customHeight="1">
      <c r="A76" s="695"/>
      <c r="B76" s="698"/>
      <c r="C76" s="204" t="s">
        <v>204</v>
      </c>
      <c r="D76" s="688"/>
      <c r="E76" s="690"/>
      <c r="F76" s="687"/>
      <c r="G76" s="200"/>
      <c r="H76" s="202"/>
      <c r="I76" s="203"/>
      <c r="J76" s="200"/>
      <c r="K76" s="688"/>
      <c r="L76" s="687"/>
      <c r="M76" s="99"/>
      <c r="O76" s="199"/>
      <c r="P76" s="401"/>
      <c r="Q76" s="401"/>
      <c r="R76" s="199"/>
    </row>
    <row r="77" spans="1:18" ht="15.75" customHeight="1">
      <c r="A77" s="695"/>
      <c r="B77" s="698"/>
      <c r="C77" s="204" t="s">
        <v>209</v>
      </c>
      <c r="D77" s="688"/>
      <c r="E77" s="690"/>
      <c r="F77" s="687"/>
      <c r="G77" s="200"/>
      <c r="H77" s="202"/>
      <c r="I77" s="203"/>
      <c r="J77" s="200"/>
      <c r="K77" s="688"/>
      <c r="L77" s="687"/>
      <c r="M77" s="99"/>
      <c r="O77" s="199"/>
      <c r="P77" s="401"/>
      <c r="Q77" s="401"/>
      <c r="R77" s="199"/>
    </row>
    <row r="78" spans="1:18" ht="15.75" customHeight="1">
      <c r="A78" s="695"/>
      <c r="B78" s="698"/>
      <c r="C78" s="204" t="s">
        <v>205</v>
      </c>
      <c r="D78" s="688"/>
      <c r="E78" s="690"/>
      <c r="F78" s="687"/>
      <c r="G78" s="200"/>
      <c r="H78" s="202"/>
      <c r="I78" s="203"/>
      <c r="J78" s="200"/>
      <c r="K78" s="688"/>
      <c r="L78" s="687"/>
      <c r="M78" s="99"/>
      <c r="O78" s="199"/>
      <c r="P78" s="401"/>
      <c r="Q78" s="401"/>
      <c r="R78" s="199"/>
    </row>
    <row r="79" spans="1:18" ht="15.75" customHeight="1">
      <c r="A79" s="695"/>
      <c r="B79" s="698"/>
      <c r="C79" s="204" t="s">
        <v>210</v>
      </c>
      <c r="D79" s="688"/>
      <c r="E79" s="690"/>
      <c r="F79" s="687"/>
      <c r="G79" s="200"/>
      <c r="H79" s="202"/>
      <c r="I79" s="203"/>
      <c r="J79" s="200"/>
      <c r="K79" s="688"/>
      <c r="L79" s="687"/>
      <c r="M79" s="99"/>
      <c r="O79" s="199"/>
      <c r="P79" s="401"/>
      <c r="Q79" s="401"/>
      <c r="R79" s="199"/>
    </row>
    <row r="80" spans="1:18" ht="15.75" customHeight="1">
      <c r="A80" s="696"/>
      <c r="B80" s="699"/>
      <c r="C80" s="204" t="s">
        <v>211</v>
      </c>
      <c r="D80" s="688"/>
      <c r="E80" s="690"/>
      <c r="F80" s="687"/>
      <c r="G80" s="200"/>
      <c r="H80" s="202"/>
      <c r="I80" s="203"/>
      <c r="J80" s="200"/>
      <c r="K80" s="688"/>
      <c r="L80" s="687"/>
      <c r="M80" s="99"/>
      <c r="O80" s="199"/>
      <c r="P80" s="401"/>
      <c r="Q80" s="401"/>
      <c r="R80" s="199"/>
    </row>
    <row r="81" spans="1:18" s="189" customFormat="1" ht="15.75" customHeight="1">
      <c r="A81" s="683" t="s">
        <v>781</v>
      </c>
      <c r="B81" s="683"/>
      <c r="C81" s="683"/>
      <c r="D81" s="683"/>
      <c r="E81" s="683"/>
      <c r="F81" s="683"/>
      <c r="G81" s="683"/>
      <c r="H81" s="683"/>
      <c r="I81" s="683"/>
      <c r="J81" s="683"/>
      <c r="K81" s="683"/>
      <c r="L81" s="683"/>
    </row>
    <row r="82" spans="1:18" s="190" customFormat="1" ht="15.75" customHeight="1">
      <c r="A82" s="683"/>
      <c r="B82" s="683"/>
      <c r="C82" s="683"/>
      <c r="D82" s="683"/>
      <c r="E82" s="683"/>
      <c r="F82" s="683"/>
      <c r="G82" s="683"/>
      <c r="H82" s="683"/>
      <c r="I82" s="683"/>
      <c r="J82" s="683"/>
      <c r="K82" s="683"/>
      <c r="L82" s="683"/>
    </row>
    <row r="83" spans="1:18" s="106" customFormat="1" ht="16.350000000000001" customHeight="1">
      <c r="A83" s="694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96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7" t="s">
        <v>208</v>
      </c>
      <c r="I84" s="196" t="s">
        <v>379</v>
      </c>
      <c r="J84" s="209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700" t="s">
        <v>188</v>
      </c>
      <c r="B85" s="701"/>
      <c r="C85" s="160" t="s">
        <v>47</v>
      </c>
      <c r="D85" s="700" t="s">
        <v>12</v>
      </c>
      <c r="E85" s="702"/>
      <c r="F85" s="701"/>
      <c r="G85" s="160" t="s">
        <v>46</v>
      </c>
      <c r="H85" s="160" t="s">
        <v>380</v>
      </c>
      <c r="I85" s="160" t="s">
        <v>381</v>
      </c>
      <c r="J85" s="160" t="s">
        <v>332</v>
      </c>
      <c r="K85" s="700" t="s">
        <v>51</v>
      </c>
      <c r="L85" s="701"/>
      <c r="M85" s="127"/>
      <c r="N85" s="189"/>
      <c r="O85" s="199"/>
      <c r="P85" s="401"/>
      <c r="Q85" s="401"/>
      <c r="R85" s="199"/>
    </row>
    <row r="86" spans="1:18" ht="15.75" customHeight="1">
      <c r="A86" s="694">
        <f>J83</f>
        <v>9</v>
      </c>
      <c r="B86" s="697" t="str">
        <f>J84</f>
        <v>微波小吃</v>
      </c>
      <c r="C86" s="200">
        <v>1</v>
      </c>
      <c r="D86" s="688" t="s">
        <v>357</v>
      </c>
      <c r="E86" s="690"/>
      <c r="F86" s="687"/>
      <c r="G86" s="200">
        <v>13</v>
      </c>
      <c r="H86" s="202">
        <v>1079.5848463609343</v>
      </c>
      <c r="I86" s="203">
        <v>83.044988181610321</v>
      </c>
      <c r="J86" s="357">
        <f>I86-I60</f>
        <v>6.4231745368331872E-2</v>
      </c>
      <c r="K86" s="688"/>
      <c r="L86" s="687"/>
      <c r="O86" s="199"/>
      <c r="P86" s="401"/>
      <c r="Q86" s="401"/>
      <c r="R86" s="199"/>
    </row>
    <row r="87" spans="1:18" ht="15.75" customHeight="1">
      <c r="A87" s="695"/>
      <c r="B87" s="698"/>
      <c r="C87" s="200">
        <v>2</v>
      </c>
      <c r="D87" s="688"/>
      <c r="E87" s="690"/>
      <c r="F87" s="687"/>
      <c r="G87" s="200"/>
      <c r="H87" s="202"/>
      <c r="I87" s="203"/>
      <c r="J87" s="200"/>
      <c r="K87" s="688"/>
      <c r="L87" s="687"/>
      <c r="O87" s="199"/>
      <c r="P87" s="401"/>
      <c r="Q87" s="401"/>
      <c r="R87" s="199"/>
    </row>
    <row r="88" spans="1:18" ht="15.75" customHeight="1">
      <c r="A88" s="695"/>
      <c r="B88" s="698"/>
      <c r="C88" s="200">
        <v>3</v>
      </c>
      <c r="D88" s="688"/>
      <c r="E88" s="690"/>
      <c r="F88" s="687"/>
      <c r="G88" s="200"/>
      <c r="H88" s="202"/>
      <c r="I88" s="203"/>
      <c r="J88" s="200"/>
      <c r="K88" s="688"/>
      <c r="L88" s="687"/>
      <c r="O88" s="199"/>
      <c r="P88" s="401"/>
      <c r="Q88" s="401"/>
      <c r="R88" s="199"/>
    </row>
    <row r="89" spans="1:18" ht="15.75" customHeight="1">
      <c r="A89" s="695"/>
      <c r="B89" s="698"/>
      <c r="C89" s="200">
        <v>4</v>
      </c>
      <c r="D89" s="688"/>
      <c r="E89" s="690"/>
      <c r="F89" s="687"/>
      <c r="G89" s="202"/>
      <c r="H89" s="202"/>
      <c r="I89" s="203"/>
      <c r="J89" s="200"/>
      <c r="K89" s="688"/>
      <c r="L89" s="687"/>
      <c r="O89" s="199"/>
      <c r="P89" s="401"/>
      <c r="Q89" s="401"/>
      <c r="R89" s="199"/>
    </row>
    <row r="90" spans="1:18" ht="15.75" customHeight="1">
      <c r="A90" s="695"/>
      <c r="B90" s="698"/>
      <c r="C90" s="200">
        <v>5</v>
      </c>
      <c r="D90" s="688"/>
      <c r="E90" s="690"/>
      <c r="F90" s="687"/>
      <c r="G90" s="200"/>
      <c r="H90" s="202"/>
      <c r="I90" s="203"/>
      <c r="J90" s="200"/>
      <c r="K90" s="688"/>
      <c r="L90" s="687"/>
      <c r="O90" s="199"/>
      <c r="P90" s="401"/>
      <c r="Q90" s="401"/>
      <c r="R90" s="199"/>
    </row>
    <row r="91" spans="1:18" ht="15.75" customHeight="1">
      <c r="A91" s="695"/>
      <c r="B91" s="698"/>
      <c r="C91" s="204" t="s">
        <v>204</v>
      </c>
      <c r="D91" s="688"/>
      <c r="E91" s="690"/>
      <c r="F91" s="687"/>
      <c r="G91" s="200"/>
      <c r="H91" s="202"/>
      <c r="I91" s="203"/>
      <c r="J91" s="200"/>
      <c r="K91" s="688"/>
      <c r="L91" s="687"/>
      <c r="O91" s="199"/>
      <c r="P91" s="401"/>
      <c r="Q91" s="401"/>
      <c r="R91" s="199"/>
    </row>
    <row r="92" spans="1:18" ht="15.75" customHeight="1">
      <c r="A92" s="695"/>
      <c r="B92" s="698"/>
      <c r="C92" s="204" t="s">
        <v>209</v>
      </c>
      <c r="D92" s="688"/>
      <c r="E92" s="690"/>
      <c r="F92" s="687"/>
      <c r="G92" s="200"/>
      <c r="H92" s="202"/>
      <c r="I92" s="203"/>
      <c r="J92" s="200"/>
      <c r="K92" s="688"/>
      <c r="L92" s="687"/>
      <c r="N92" s="178"/>
      <c r="O92" s="178"/>
      <c r="P92" s="400"/>
      <c r="Q92" s="400"/>
      <c r="R92" s="178"/>
    </row>
    <row r="93" spans="1:18" ht="15.75" customHeight="1">
      <c r="A93" s="695"/>
      <c r="B93" s="698"/>
      <c r="C93" s="204" t="s">
        <v>205</v>
      </c>
      <c r="D93" s="688"/>
      <c r="E93" s="690"/>
      <c r="F93" s="687"/>
      <c r="G93" s="200"/>
      <c r="H93" s="202"/>
      <c r="I93" s="203"/>
      <c r="J93" s="200"/>
      <c r="K93" s="688"/>
      <c r="L93" s="687"/>
      <c r="O93" s="199"/>
      <c r="P93" s="401"/>
      <c r="Q93" s="401"/>
      <c r="R93" s="199"/>
    </row>
    <row r="94" spans="1:18" ht="15.75" customHeight="1">
      <c r="A94" s="695"/>
      <c r="B94" s="698"/>
      <c r="C94" s="204" t="s">
        <v>210</v>
      </c>
      <c r="D94" s="688"/>
      <c r="E94" s="690"/>
      <c r="F94" s="687"/>
      <c r="G94" s="200"/>
      <c r="H94" s="202"/>
      <c r="I94" s="203"/>
      <c r="J94" s="200"/>
      <c r="K94" s="688"/>
      <c r="L94" s="687"/>
      <c r="M94" s="99"/>
      <c r="O94" s="199"/>
      <c r="P94" s="401"/>
      <c r="Q94" s="401"/>
      <c r="R94" s="199"/>
    </row>
    <row r="95" spans="1:18" ht="15.75" customHeight="1">
      <c r="A95" s="696"/>
      <c r="B95" s="699"/>
      <c r="C95" s="204" t="s">
        <v>211</v>
      </c>
      <c r="D95" s="688"/>
      <c r="E95" s="690"/>
      <c r="F95" s="687"/>
      <c r="G95" s="200"/>
      <c r="H95" s="202"/>
      <c r="I95" s="203"/>
      <c r="J95" s="200"/>
      <c r="K95" s="688"/>
      <c r="L95" s="687"/>
      <c r="M95" s="99"/>
      <c r="O95" s="199"/>
      <c r="P95" s="401"/>
      <c r="Q95" s="401"/>
      <c r="R95" s="199"/>
    </row>
    <row r="96" spans="1:18" s="104" customFormat="1" ht="15.75" customHeight="1">
      <c r="A96" s="691" t="s">
        <v>188</v>
      </c>
      <c r="B96" s="692"/>
      <c r="C96" s="207" t="s">
        <v>47</v>
      </c>
      <c r="D96" s="691" t="s">
        <v>12</v>
      </c>
      <c r="E96" s="693"/>
      <c r="F96" s="692"/>
      <c r="G96" s="207" t="s">
        <v>46</v>
      </c>
      <c r="H96" s="207" t="s">
        <v>380</v>
      </c>
      <c r="I96" s="207" t="s">
        <v>381</v>
      </c>
      <c r="J96" s="160" t="s">
        <v>332</v>
      </c>
      <c r="K96" s="691" t="s">
        <v>51</v>
      </c>
      <c r="L96" s="692"/>
      <c r="M96" s="128"/>
      <c r="N96" s="189"/>
      <c r="O96" s="199"/>
      <c r="P96" s="401"/>
      <c r="Q96" s="401"/>
      <c r="R96" s="199"/>
    </row>
    <row r="97" spans="1:18" ht="15.75" customHeight="1">
      <c r="A97" s="694"/>
      <c r="B97" s="697"/>
      <c r="C97" s="200">
        <v>1</v>
      </c>
      <c r="D97" s="688"/>
      <c r="E97" s="690"/>
      <c r="F97" s="687"/>
      <c r="G97" s="200"/>
      <c r="H97" s="202"/>
      <c r="I97" s="203"/>
      <c r="J97" s="200"/>
      <c r="K97" s="688"/>
      <c r="L97" s="687"/>
      <c r="M97" s="99"/>
      <c r="N97" s="199"/>
      <c r="O97" s="199"/>
      <c r="P97" s="401"/>
      <c r="Q97" s="401"/>
      <c r="R97" s="199"/>
    </row>
    <row r="98" spans="1:18" ht="15.75" customHeight="1">
      <c r="A98" s="695"/>
      <c r="B98" s="698"/>
      <c r="C98" s="200">
        <v>2</v>
      </c>
      <c r="D98" s="688"/>
      <c r="E98" s="690"/>
      <c r="F98" s="687"/>
      <c r="G98" s="200"/>
      <c r="H98" s="202"/>
      <c r="I98" s="203"/>
      <c r="J98" s="200"/>
      <c r="K98" s="688"/>
      <c r="L98" s="687"/>
      <c r="M98" s="99"/>
      <c r="O98" s="199"/>
      <c r="P98" s="401"/>
      <c r="Q98" s="401"/>
      <c r="R98" s="199"/>
    </row>
    <row r="99" spans="1:18" ht="15.75" customHeight="1">
      <c r="A99" s="695"/>
      <c r="B99" s="698"/>
      <c r="C99" s="200">
        <v>3</v>
      </c>
      <c r="D99" s="688"/>
      <c r="E99" s="690"/>
      <c r="F99" s="687"/>
      <c r="G99" s="200"/>
      <c r="H99" s="202"/>
      <c r="I99" s="203"/>
      <c r="J99" s="200"/>
      <c r="K99" s="688"/>
      <c r="L99" s="687"/>
      <c r="M99" s="99"/>
      <c r="O99" s="199"/>
      <c r="P99" s="401"/>
      <c r="Q99" s="401"/>
      <c r="R99" s="199"/>
    </row>
    <row r="100" spans="1:18" ht="15.75" customHeight="1">
      <c r="A100" s="695"/>
      <c r="B100" s="698"/>
      <c r="C100" s="200">
        <v>4</v>
      </c>
      <c r="D100" s="688"/>
      <c r="E100" s="690"/>
      <c r="F100" s="687"/>
      <c r="G100" s="200"/>
      <c r="H100" s="202"/>
      <c r="I100" s="203"/>
      <c r="J100" s="200"/>
      <c r="K100" s="688"/>
      <c r="L100" s="687"/>
      <c r="M100" s="99"/>
      <c r="O100" s="199"/>
      <c r="P100" s="401"/>
      <c r="Q100" s="401"/>
      <c r="R100" s="199"/>
    </row>
    <row r="101" spans="1:18" ht="15.75" customHeight="1">
      <c r="A101" s="695"/>
      <c r="B101" s="698"/>
      <c r="C101" s="200">
        <v>5</v>
      </c>
      <c r="D101" s="688"/>
      <c r="E101" s="690"/>
      <c r="F101" s="687"/>
      <c r="G101" s="200"/>
      <c r="H101" s="202"/>
      <c r="I101" s="203"/>
      <c r="J101" s="200"/>
      <c r="K101" s="688"/>
      <c r="L101" s="687"/>
      <c r="M101" s="99"/>
      <c r="O101" s="199"/>
      <c r="P101" s="401"/>
      <c r="Q101" s="401"/>
      <c r="R101" s="199"/>
    </row>
    <row r="102" spans="1:18" ht="15.75" customHeight="1">
      <c r="A102" s="695"/>
      <c r="B102" s="698"/>
      <c r="C102" s="204" t="s">
        <v>204</v>
      </c>
      <c r="D102" s="688"/>
      <c r="E102" s="690"/>
      <c r="F102" s="687"/>
      <c r="G102" s="200"/>
      <c r="H102" s="202"/>
      <c r="I102" s="203"/>
      <c r="J102" s="200"/>
      <c r="K102" s="688"/>
      <c r="L102" s="687"/>
      <c r="M102" s="99"/>
      <c r="O102" s="199"/>
      <c r="P102" s="401"/>
      <c r="Q102" s="401"/>
      <c r="R102" s="199"/>
    </row>
    <row r="103" spans="1:18" ht="15.75" customHeight="1">
      <c r="A103" s="695"/>
      <c r="B103" s="698"/>
      <c r="C103" s="204" t="s">
        <v>209</v>
      </c>
      <c r="D103" s="688"/>
      <c r="E103" s="690"/>
      <c r="F103" s="687"/>
      <c r="G103" s="200"/>
      <c r="H103" s="202"/>
      <c r="I103" s="203"/>
      <c r="J103" s="200"/>
      <c r="K103" s="688"/>
      <c r="L103" s="687"/>
      <c r="M103" s="99"/>
      <c r="O103" s="199"/>
      <c r="P103" s="401"/>
      <c r="Q103" s="401"/>
      <c r="R103" s="199"/>
    </row>
    <row r="104" spans="1:18" ht="15.75" customHeight="1">
      <c r="A104" s="695"/>
      <c r="B104" s="698"/>
      <c r="C104" s="204" t="s">
        <v>205</v>
      </c>
      <c r="D104" s="688"/>
      <c r="E104" s="690"/>
      <c r="F104" s="687"/>
      <c r="G104" s="200"/>
      <c r="H104" s="202"/>
      <c r="I104" s="203"/>
      <c r="J104" s="200"/>
      <c r="K104" s="688"/>
      <c r="L104" s="687"/>
      <c r="M104" s="99"/>
      <c r="O104" s="199"/>
      <c r="P104" s="401"/>
      <c r="Q104" s="401"/>
      <c r="R104" s="199"/>
    </row>
    <row r="105" spans="1:18" ht="15.75" customHeight="1">
      <c r="A105" s="695"/>
      <c r="B105" s="698"/>
      <c r="C105" s="204" t="s">
        <v>210</v>
      </c>
      <c r="D105" s="688"/>
      <c r="E105" s="690"/>
      <c r="F105" s="687"/>
      <c r="G105" s="200"/>
      <c r="H105" s="202"/>
      <c r="I105" s="203"/>
      <c r="J105" s="200"/>
      <c r="K105" s="688"/>
      <c r="L105" s="687"/>
      <c r="M105" s="99"/>
      <c r="O105" s="199"/>
      <c r="P105" s="401"/>
      <c r="Q105" s="401"/>
      <c r="R105" s="199"/>
    </row>
    <row r="106" spans="1:18" ht="15.75" customHeight="1">
      <c r="A106" s="696"/>
      <c r="B106" s="699"/>
      <c r="C106" s="204" t="s">
        <v>211</v>
      </c>
      <c r="D106" s="688"/>
      <c r="E106" s="690"/>
      <c r="F106" s="687"/>
      <c r="G106" s="200"/>
      <c r="H106" s="202"/>
      <c r="I106" s="203"/>
      <c r="J106" s="200"/>
      <c r="K106" s="688"/>
      <c r="L106" s="687"/>
      <c r="M106" s="99"/>
      <c r="O106" s="199"/>
      <c r="P106" s="401"/>
      <c r="Q106" s="401"/>
      <c r="R106" s="199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:C5"/>
    </sheetView>
  </sheetViews>
  <sheetFormatPr defaultColWidth="12.5703125" defaultRowHeight="15.75" customHeight="1"/>
  <cols>
    <col min="1" max="1" width="18" style="136" bestFit="1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706" t="s">
        <v>367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</row>
    <row r="2" spans="1:13" s="137" customFormat="1" ht="15.75" customHeight="1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</row>
    <row r="3" spans="1:13" ht="15.75" customHeight="1">
      <c r="A3" s="707" t="s">
        <v>238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</row>
    <row r="4" spans="1:13" s="137" customFormat="1" ht="15.75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13" ht="15.75" customHeight="1">
      <c r="A5" s="226" t="s">
        <v>428</v>
      </c>
      <c r="B5" s="138" t="e">
        <f>'生產管理報表(月)'!B6</f>
        <v>#REF!</v>
      </c>
    </row>
    <row r="6" spans="1:13" ht="15.75" customHeight="1">
      <c r="A6" s="708" t="s">
        <v>239</v>
      </c>
      <c r="B6" s="709" t="s">
        <v>10</v>
      </c>
      <c r="C6" s="709"/>
      <c r="D6" s="710"/>
      <c r="E6" s="708" t="s">
        <v>197</v>
      </c>
      <c r="F6" s="712">
        <v>1</v>
      </c>
      <c r="G6" s="712"/>
      <c r="H6" s="712">
        <v>2</v>
      </c>
      <c r="I6" s="712"/>
      <c r="J6" s="712">
        <v>3</v>
      </c>
      <c r="K6" s="712"/>
      <c r="L6" s="712">
        <v>4</v>
      </c>
      <c r="M6" s="712"/>
    </row>
    <row r="7" spans="1:13" ht="31.35" customHeight="1">
      <c r="A7" s="708"/>
      <c r="B7" s="709"/>
      <c r="C7" s="709"/>
      <c r="D7" s="711"/>
      <c r="E7" s="708"/>
      <c r="F7" s="714" t="s">
        <v>463</v>
      </c>
      <c r="G7" s="714"/>
      <c r="H7" s="714" t="s">
        <v>240</v>
      </c>
      <c r="I7" s="714"/>
      <c r="J7" s="714" t="s">
        <v>166</v>
      </c>
      <c r="K7" s="714"/>
      <c r="L7" s="714" t="s">
        <v>437</v>
      </c>
      <c r="M7" s="714"/>
    </row>
    <row r="8" spans="1:13" ht="15.75" customHeight="1">
      <c r="A8" s="708"/>
      <c r="B8" s="155" t="s">
        <v>11</v>
      </c>
      <c r="C8" s="155" t="s">
        <v>241</v>
      </c>
      <c r="D8" s="711"/>
      <c r="E8" s="708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139" t="s">
        <v>242</v>
      </c>
      <c r="B9" s="140">
        <f>日別報廢率總表!AI3</f>
        <v>0</v>
      </c>
      <c r="C9" s="141" t="e">
        <f>B9/($B$5*1000)</f>
        <v>#REF!</v>
      </c>
      <c r="D9" s="711"/>
      <c r="E9" s="139" t="s">
        <v>242</v>
      </c>
      <c r="F9" s="142" t="e">
        <f>'報廢20大－原因別分析'!#REF!</f>
        <v>#REF!</v>
      </c>
      <c r="G9" s="363" t="e">
        <f>'報廢20大－原因別分析'!#REF!</f>
        <v>#REF!</v>
      </c>
      <c r="H9" s="142" t="e">
        <f>'報廢20大－原因別分析'!#REF!</f>
        <v>#REF!</v>
      </c>
      <c r="I9" s="363" t="e">
        <f>'報廢20大－原因別分析'!#REF!</f>
        <v>#REF!</v>
      </c>
      <c r="J9" s="142" t="e">
        <f>'報廢20大－原因別分析'!#REF!</f>
        <v>#REF!</v>
      </c>
      <c r="K9" s="363" t="e">
        <f>'報廢20大－原因別分析'!#REF!</f>
        <v>#REF!</v>
      </c>
      <c r="L9" s="142" t="e">
        <f>'報廢20大－原因別分析'!#REF!</f>
        <v>#REF!</v>
      </c>
      <c r="M9" s="363" t="e">
        <f>'報廢20大－原因別分析'!#REF!</f>
        <v>#REF!</v>
      </c>
    </row>
    <row r="10" spans="1:13" ht="19.350000000000001" customHeight="1">
      <c r="A10" s="144" t="s">
        <v>243</v>
      </c>
      <c r="B10" s="145">
        <f>日別報廢率總表!AL3</f>
        <v>0</v>
      </c>
      <c r="C10" s="141" t="e">
        <f>B10/($B$5*1000)</f>
        <v>#REF!</v>
      </c>
      <c r="D10" s="711"/>
      <c r="E10" s="144" t="s">
        <v>243</v>
      </c>
      <c r="F10" s="142">
        <f>'超用20大－原因別分析'!AB47</f>
        <v>0</v>
      </c>
      <c r="G10" s="363">
        <f>'超用20大－原因別分析'!AB48</f>
        <v>0</v>
      </c>
      <c r="H10" s="142">
        <f>'超用20大－原因別分析'!AC47</f>
        <v>0</v>
      </c>
      <c r="I10" s="363">
        <f>'超用20大－原因別分析'!AC48</f>
        <v>0</v>
      </c>
      <c r="J10" s="142">
        <f>'超用20大－原因別分析'!AD47</f>
        <v>0</v>
      </c>
      <c r="K10" s="363">
        <f>'超用20大－原因別分析'!AD48</f>
        <v>0</v>
      </c>
      <c r="L10" s="142">
        <f>'超用20大－原因別分析'!AE47</f>
        <v>0</v>
      </c>
      <c r="M10" s="363">
        <f>'超用20大－原因別分析'!AE48</f>
        <v>0</v>
      </c>
    </row>
    <row r="11" spans="1:13" ht="15.75" customHeight="1">
      <c r="D11" s="711"/>
      <c r="E11" s="708" t="s">
        <v>197</v>
      </c>
      <c r="F11" s="712">
        <v>5</v>
      </c>
      <c r="G11" s="712"/>
      <c r="H11" s="712">
        <v>6</v>
      </c>
      <c r="I11" s="712"/>
      <c r="J11" s="712">
        <v>7</v>
      </c>
      <c r="K11" s="712"/>
      <c r="L11" s="713">
        <v>8</v>
      </c>
      <c r="M11" s="713"/>
    </row>
    <row r="12" spans="1:13" ht="31.35" customHeight="1">
      <c r="D12" s="711"/>
      <c r="E12" s="708"/>
      <c r="F12" s="714" t="s">
        <v>189</v>
      </c>
      <c r="G12" s="714"/>
      <c r="H12" s="714" t="s">
        <v>167</v>
      </c>
      <c r="I12" s="714"/>
      <c r="J12" s="714" t="s">
        <v>190</v>
      </c>
      <c r="K12" s="714"/>
      <c r="L12" s="715"/>
      <c r="M12" s="715"/>
    </row>
    <row r="13" spans="1:13" ht="15.75" customHeight="1">
      <c r="D13" s="711"/>
      <c r="E13" s="708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11"/>
      <c r="E14" s="139" t="s">
        <v>242</v>
      </c>
      <c r="F14" s="142" t="e">
        <f>'報廢20大－原因別分析'!#REF!</f>
        <v>#REF!</v>
      </c>
      <c r="G14" s="363" t="e">
        <f>'報廢20大－原因別分析'!#REF!</f>
        <v>#REF!</v>
      </c>
      <c r="H14" s="142" t="e">
        <f>'報廢20大－原因別分析'!#REF!</f>
        <v>#REF!</v>
      </c>
      <c r="I14" s="363" t="e">
        <f>'報廢20大－原因別分析'!#REF!</f>
        <v>#REF!</v>
      </c>
      <c r="J14" s="142" t="e">
        <f>'報廢20大－原因別分析'!#REF!</f>
        <v>#REF!</v>
      </c>
      <c r="K14" s="363" t="e">
        <f>'報廢20大－原因別分析'!#REF!</f>
        <v>#REF!</v>
      </c>
      <c r="L14" s="142"/>
      <c r="M14" s="143"/>
    </row>
    <row r="15" spans="1:13" ht="19.350000000000001" customHeight="1">
      <c r="D15" s="711"/>
      <c r="E15" s="144" t="s">
        <v>243</v>
      </c>
      <c r="F15" s="142">
        <f>'超用20大－原因別分析'!AF47</f>
        <v>0</v>
      </c>
      <c r="G15" s="363">
        <f>'超用20大－原因別分析'!AF48</f>
        <v>0</v>
      </c>
      <c r="H15" s="142">
        <f>'超用20大－原因別分析'!AG47</f>
        <v>0</v>
      </c>
      <c r="I15" s="363">
        <f>'超用20大－原因別分析'!AG48</f>
        <v>0</v>
      </c>
      <c r="J15" s="142">
        <f>'超用20大－原因別分析'!AH47</f>
        <v>0</v>
      </c>
      <c r="K15" s="363">
        <f>'超用20大－原因別分析'!AH48</f>
        <v>0</v>
      </c>
      <c r="L15" s="142"/>
      <c r="M15" s="14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 codeName="工作表23">
    <tabColor rgb="FFFF0000"/>
    <outlinePr summaryBelow="0" summaryRight="0"/>
  </sheetPr>
  <dimension ref="A1:BV30"/>
  <sheetViews>
    <sheetView view="pageBreakPreview" topLeftCell="A22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55.42578125" style="136" customWidth="1"/>
    <col min="17" max="20" width="12.5703125" style="233"/>
    <col min="21" max="21" width="24.42578125" style="136" bestFit="1" customWidth="1"/>
    <col min="22" max="22" width="19.42578125" style="136" bestFit="1" customWidth="1"/>
    <col min="23" max="23" width="23" style="136" bestFit="1" customWidth="1"/>
    <col min="24" max="24" width="11.7109375" style="136" bestFit="1" customWidth="1"/>
    <col min="25" max="25" width="15.85546875" style="136" bestFit="1" customWidth="1"/>
    <col min="26" max="26" width="23.5703125" style="136" bestFit="1" customWidth="1"/>
    <col min="27" max="27" width="23" style="136" bestFit="1" customWidth="1"/>
    <col min="28" max="28" width="11.7109375" style="136" bestFit="1" customWidth="1"/>
    <col min="29" max="29" width="20.5703125" style="136" bestFit="1" customWidth="1"/>
    <col min="30" max="30" width="15" style="136" bestFit="1" customWidth="1"/>
    <col min="31" max="31" width="23" style="136" bestFit="1" customWidth="1"/>
    <col min="32" max="32" width="11.7109375" style="136" bestFit="1" customWidth="1"/>
    <col min="33" max="33" width="15.8554687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109375" style="136" bestFit="1" customWidth="1"/>
    <col min="39" max="39" width="13.85546875" style="136" bestFit="1" customWidth="1"/>
    <col min="40" max="40" width="27.85546875" style="136" bestFit="1" customWidth="1"/>
    <col min="41" max="41" width="23" style="136" bestFit="1" customWidth="1"/>
    <col min="42" max="42" width="8" style="136" bestFit="1" customWidth="1"/>
    <col min="43" max="43" width="30.7109375" style="136" bestFit="1" customWidth="1"/>
    <col min="44" max="44" width="25.710937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109375" style="136" bestFit="1" customWidth="1"/>
    <col min="49" max="49" width="20.140625" style="136" bestFit="1" customWidth="1"/>
    <col min="50" max="50" width="23.5703125" style="136" bestFit="1" customWidth="1"/>
    <col min="51" max="51" width="23" style="136" bestFit="1" customWidth="1"/>
    <col min="52" max="52" width="11.7109375" style="136" bestFit="1" customWidth="1"/>
    <col min="53" max="53" width="21.42578125" style="136" bestFit="1" customWidth="1"/>
    <col min="54" max="54" width="15" style="136" bestFit="1" customWidth="1"/>
    <col min="55" max="55" width="23" style="136" bestFit="1" customWidth="1"/>
    <col min="56" max="56" width="11.7109375" style="136" bestFit="1" customWidth="1"/>
    <col min="57" max="57" width="13.8554687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109375" style="136" bestFit="1" customWidth="1"/>
    <col min="63" max="63" width="24.7109375" style="136" bestFit="1" customWidth="1"/>
    <col min="64" max="64" width="18.710937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5546875" style="136" bestFit="1" customWidth="1"/>
    <col min="72" max="72" width="10.5703125" style="136" bestFit="1" customWidth="1"/>
    <col min="73" max="73" width="21.42578125" style="136" bestFit="1" customWidth="1"/>
    <col min="74" max="74" width="5.42578125" style="136" bestFit="1" customWidth="1"/>
    <col min="75" max="16384" width="12.5703125" style="136"/>
  </cols>
  <sheetData>
    <row r="1" spans="1:74" ht="15.75" customHeight="1">
      <c r="A1" s="706" t="s">
        <v>367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</row>
    <row r="2" spans="1:74" s="137" customFormat="1" ht="15.75" customHeight="1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</row>
    <row r="3" spans="1:74" ht="15.75" customHeight="1">
      <c r="A3" s="707" t="s">
        <v>438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</row>
    <row r="4" spans="1:74" s="137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</row>
    <row r="5" spans="1:74" ht="15.75" customHeight="1">
      <c r="A5" s="709" t="s">
        <v>191</v>
      </c>
      <c r="B5" s="729">
        <v>1</v>
      </c>
      <c r="C5" s="729"/>
      <c r="D5" s="729">
        <v>2</v>
      </c>
      <c r="E5" s="729"/>
      <c r="F5" s="729">
        <v>3</v>
      </c>
      <c r="G5" s="729"/>
      <c r="H5" s="712">
        <v>4</v>
      </c>
      <c r="I5" s="712"/>
      <c r="J5" s="712">
        <v>5</v>
      </c>
      <c r="K5" s="712"/>
      <c r="L5" s="712">
        <v>6</v>
      </c>
      <c r="M5" s="712"/>
      <c r="N5" s="712">
        <v>7</v>
      </c>
      <c r="O5" s="712"/>
      <c r="P5" s="359">
        <v>8</v>
      </c>
    </row>
    <row r="6" spans="1:74" ht="15.75" customHeight="1">
      <c r="A6" s="709"/>
      <c r="B6" s="730" t="s">
        <v>463</v>
      </c>
      <c r="C6" s="730"/>
      <c r="D6" s="730" t="s">
        <v>212</v>
      </c>
      <c r="E6" s="730"/>
      <c r="F6" s="730" t="s">
        <v>166</v>
      </c>
      <c r="G6" s="730"/>
      <c r="H6" s="709" t="s">
        <v>436</v>
      </c>
      <c r="I6" s="709"/>
      <c r="J6" s="709" t="s">
        <v>189</v>
      </c>
      <c r="K6" s="709"/>
      <c r="L6" s="709" t="s">
        <v>167</v>
      </c>
      <c r="M6" s="709"/>
      <c r="N6" s="709" t="s">
        <v>190</v>
      </c>
      <c r="O6" s="709"/>
      <c r="P6" s="360" t="s">
        <v>217</v>
      </c>
    </row>
    <row r="8" spans="1:74" s="237" customFormat="1" ht="15.75" customHeight="1">
      <c r="A8" s="712" t="s">
        <v>191</v>
      </c>
      <c r="B8" s="712"/>
      <c r="C8" s="236" t="s">
        <v>47</v>
      </c>
      <c r="D8" s="725" t="s">
        <v>12</v>
      </c>
      <c r="E8" s="725"/>
      <c r="F8" s="725"/>
      <c r="G8" s="519" t="s">
        <v>53</v>
      </c>
      <c r="H8" s="520"/>
      <c r="I8" s="721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716" t="s">
        <v>51</v>
      </c>
      <c r="P8" s="716"/>
    </row>
    <row r="9" spans="1:74" ht="54.95" customHeight="1">
      <c r="A9" s="712">
        <v>1</v>
      </c>
      <c r="B9" s="722" t="s">
        <v>464</v>
      </c>
      <c r="C9" s="238">
        <v>1</v>
      </c>
      <c r="D9" s="239" t="s">
        <v>336</v>
      </c>
      <c r="E9" s="240"/>
      <c r="F9" s="241"/>
      <c r="G9" s="308" t="s">
        <v>336</v>
      </c>
      <c r="H9" s="307"/>
      <c r="I9" s="308"/>
      <c r="J9" s="238">
        <v>141.66999999999999</v>
      </c>
      <c r="K9" s="244">
        <v>1.3688886645631311E-2</v>
      </c>
      <c r="L9" s="238">
        <v>33.89</v>
      </c>
      <c r="M9" s="324">
        <f>L9*J9</f>
        <v>4801.1962999999996</v>
      </c>
      <c r="N9" s="245"/>
      <c r="O9" s="726" t="s">
        <v>621</v>
      </c>
      <c r="P9" s="726"/>
    </row>
    <row r="10" spans="1:74" ht="54.95" customHeight="1">
      <c r="A10" s="712"/>
      <c r="B10" s="722"/>
      <c r="C10" s="238">
        <v>2</v>
      </c>
      <c r="D10" s="239" t="s">
        <v>360</v>
      </c>
      <c r="E10" s="240"/>
      <c r="F10" s="241"/>
      <c r="G10" s="356" t="s">
        <v>360</v>
      </c>
      <c r="H10" s="307"/>
      <c r="I10" s="308"/>
      <c r="J10" s="238">
        <v>183.65</v>
      </c>
      <c r="K10" s="244">
        <v>2.079118224282318E-2</v>
      </c>
      <c r="L10" s="238">
        <v>18.66</v>
      </c>
      <c r="M10" s="324">
        <f t="shared" ref="M10:M13" si="0">L10*J10</f>
        <v>3426.9090000000001</v>
      </c>
      <c r="N10" s="245"/>
      <c r="O10" s="726" t="s">
        <v>622</v>
      </c>
      <c r="P10" s="726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</row>
    <row r="11" spans="1:74" ht="54.95" customHeight="1">
      <c r="A11" s="712"/>
      <c r="B11" s="722"/>
      <c r="C11" s="238">
        <v>3</v>
      </c>
      <c r="D11" s="239" t="s">
        <v>361</v>
      </c>
      <c r="E11" s="240"/>
      <c r="F11" s="241"/>
      <c r="G11" s="308" t="s">
        <v>361</v>
      </c>
      <c r="H11" s="307"/>
      <c r="I11" s="308"/>
      <c r="J11" s="238">
        <v>253.92000000000002</v>
      </c>
      <c r="K11" s="244">
        <v>1.8096654837040496E-2</v>
      </c>
      <c r="L11" s="238">
        <v>17.95</v>
      </c>
      <c r="M11" s="324">
        <f t="shared" si="0"/>
        <v>4557.8640000000005</v>
      </c>
      <c r="N11" s="245"/>
      <c r="O11" s="727" t="s">
        <v>624</v>
      </c>
      <c r="P11" s="727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</row>
    <row r="12" spans="1:74" ht="54.95" customHeight="1">
      <c r="A12" s="712"/>
      <c r="B12" s="722"/>
      <c r="C12" s="238">
        <v>4</v>
      </c>
      <c r="D12" s="239" t="s">
        <v>362</v>
      </c>
      <c r="E12" s="240"/>
      <c r="F12" s="241"/>
      <c r="G12" s="356" t="s">
        <v>362</v>
      </c>
      <c r="H12" s="307"/>
      <c r="I12" s="308"/>
      <c r="J12" s="238">
        <v>152.75</v>
      </c>
      <c r="K12" s="244">
        <v>6.168430621388222E-3</v>
      </c>
      <c r="L12" s="238">
        <v>6.65</v>
      </c>
      <c r="M12" s="324">
        <f t="shared" si="0"/>
        <v>1015.7875</v>
      </c>
      <c r="N12" s="245"/>
      <c r="O12" s="727" t="s">
        <v>625</v>
      </c>
      <c r="P12" s="727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</row>
    <row r="13" spans="1:74" ht="54.95" customHeight="1" thickBot="1">
      <c r="A13" s="712"/>
      <c r="B13" s="722"/>
      <c r="C13" s="238">
        <v>5</v>
      </c>
      <c r="D13" s="246" t="s">
        <v>472</v>
      </c>
      <c r="E13" s="247"/>
      <c r="F13" s="248"/>
      <c r="G13" s="367" t="s">
        <v>472</v>
      </c>
      <c r="H13" s="366"/>
      <c r="I13" s="367"/>
      <c r="J13" s="249">
        <v>153.19000000000003</v>
      </c>
      <c r="K13" s="250">
        <v>2.6060060757587433E-2</v>
      </c>
      <c r="L13" s="249">
        <v>22.86</v>
      </c>
      <c r="M13" s="325">
        <f t="shared" si="0"/>
        <v>3501.9234000000006</v>
      </c>
      <c r="N13" s="245"/>
      <c r="O13" s="727" t="s">
        <v>623</v>
      </c>
      <c r="P13" s="727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</row>
    <row r="14" spans="1:74" ht="15.75" customHeight="1" thickTop="1">
      <c r="A14" s="712"/>
      <c r="B14" s="722"/>
      <c r="C14" s="718"/>
      <c r="D14" s="719"/>
      <c r="E14" s="719"/>
      <c r="F14" s="719"/>
      <c r="G14" s="719"/>
      <c r="H14" s="719"/>
      <c r="I14" s="720"/>
      <c r="J14" s="251" t="s">
        <v>58</v>
      </c>
      <c r="K14" s="341" t="e">
        <f>M14/'生產管理報表 7-1(月)'!$B$9</f>
        <v>#DIV/0!</v>
      </c>
      <c r="L14" s="251" t="s">
        <v>59</v>
      </c>
      <c r="M14" s="361">
        <f>SUM(M9:M13)</f>
        <v>17303.680200000003</v>
      </c>
      <c r="N14" s="724"/>
      <c r="O14" s="724"/>
      <c r="P14" s="724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</row>
    <row r="15" spans="1:74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</row>
    <row r="16" spans="1:74" ht="15.75" customHeight="1">
      <c r="A16" s="712" t="s">
        <v>191</v>
      </c>
      <c r="B16" s="712"/>
      <c r="C16" s="254" t="s">
        <v>47</v>
      </c>
      <c r="D16" s="503" t="s">
        <v>12</v>
      </c>
      <c r="E16" s="504"/>
      <c r="F16" s="505"/>
      <c r="G16" s="519" t="s">
        <v>53</v>
      </c>
      <c r="H16" s="520"/>
      <c r="I16" s="721"/>
      <c r="J16" s="256" t="s">
        <v>54</v>
      </c>
      <c r="K16" s="256" t="s">
        <v>55</v>
      </c>
      <c r="L16" s="256" t="s">
        <v>56</v>
      </c>
      <c r="M16" s="256" t="s">
        <v>11</v>
      </c>
      <c r="N16" s="236" t="s">
        <v>333</v>
      </c>
      <c r="O16" s="716" t="s">
        <v>51</v>
      </c>
      <c r="P16" s="716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</row>
    <row r="17" spans="1:35" ht="20.100000000000001" customHeight="1">
      <c r="A17" s="712">
        <v>2</v>
      </c>
      <c r="B17" s="722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45"/>
      <c r="O17" s="717"/>
      <c r="P17" s="717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</row>
    <row r="18" spans="1:35" ht="20.100000000000001" customHeight="1">
      <c r="A18" s="712"/>
      <c r="B18" s="722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45"/>
      <c r="O18" s="717"/>
      <c r="P18" s="717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</row>
    <row r="19" spans="1:35" ht="20.100000000000001" customHeight="1">
      <c r="A19" s="712"/>
      <c r="B19" s="722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45"/>
      <c r="O19" s="731"/>
      <c r="P19" s="731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</row>
    <row r="20" spans="1:35" ht="20.100000000000001" customHeight="1">
      <c r="A20" s="712"/>
      <c r="B20" s="722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45"/>
      <c r="O20" s="731"/>
      <c r="P20" s="731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</row>
    <row r="21" spans="1:35" ht="20.100000000000001" customHeight="1" thickBot="1">
      <c r="A21" s="712"/>
      <c r="B21" s="722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45"/>
      <c r="O21" s="731"/>
      <c r="P21" s="731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</row>
    <row r="22" spans="1:35" ht="15.75" customHeight="1" thickTop="1">
      <c r="A22" s="712"/>
      <c r="B22" s="722"/>
      <c r="C22" s="718"/>
      <c r="D22" s="719"/>
      <c r="E22" s="719"/>
      <c r="F22" s="719"/>
      <c r="G22" s="719"/>
      <c r="H22" s="719"/>
      <c r="I22" s="720"/>
      <c r="J22" s="251" t="s">
        <v>58</v>
      </c>
      <c r="K22" s="341" t="e">
        <f>M22/'生產管理報表 7-1(月)'!$B$9</f>
        <v>#DIV/0!</v>
      </c>
      <c r="L22" s="251" t="s">
        <v>59</v>
      </c>
      <c r="M22" s="252">
        <f>SUM(M17:M21)</f>
        <v>0</v>
      </c>
      <c r="N22" s="724"/>
      <c r="O22" s="724"/>
      <c r="P22" s="724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</row>
    <row r="23" spans="1:35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</row>
    <row r="24" spans="1:35" ht="15.75" customHeight="1">
      <c r="A24" s="712" t="s">
        <v>191</v>
      </c>
      <c r="B24" s="712"/>
      <c r="C24" s="254" t="s">
        <v>47</v>
      </c>
      <c r="D24" s="503" t="s">
        <v>12</v>
      </c>
      <c r="E24" s="504"/>
      <c r="F24" s="505"/>
      <c r="G24" s="519" t="s">
        <v>53</v>
      </c>
      <c r="H24" s="520"/>
      <c r="I24" s="721"/>
      <c r="J24" s="255" t="s">
        <v>54</v>
      </c>
      <c r="K24" s="256" t="s">
        <v>55</v>
      </c>
      <c r="L24" s="256" t="s">
        <v>56</v>
      </c>
      <c r="M24" s="256" t="s">
        <v>11</v>
      </c>
      <c r="N24" s="236" t="s">
        <v>333</v>
      </c>
      <c r="O24" s="716" t="s">
        <v>51</v>
      </c>
      <c r="P24" s="716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</row>
    <row r="25" spans="1:35" ht="50.1" customHeight="1">
      <c r="A25" s="712">
        <v>3</v>
      </c>
      <c r="B25" s="722" t="s">
        <v>429</v>
      </c>
      <c r="C25" s="258">
        <v>1</v>
      </c>
      <c r="D25" s="239" t="s">
        <v>342</v>
      </c>
      <c r="E25" s="240"/>
      <c r="F25" s="241"/>
      <c r="G25" s="367" t="s">
        <v>458</v>
      </c>
      <c r="H25" s="366"/>
      <c r="I25" s="367"/>
      <c r="J25" s="259">
        <v>1.17</v>
      </c>
      <c r="K25" s="260">
        <v>3.9663546496851521E-3</v>
      </c>
      <c r="L25" s="259">
        <v>5251</v>
      </c>
      <c r="M25" s="327">
        <f t="shared" ref="M25:M29" si="2">L25*J25</f>
        <v>6143.67</v>
      </c>
      <c r="N25" s="245"/>
      <c r="O25" s="717" t="s">
        <v>626</v>
      </c>
      <c r="P25" s="717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</row>
    <row r="26" spans="1:35" ht="50.1" customHeight="1">
      <c r="A26" s="712"/>
      <c r="B26" s="722"/>
      <c r="C26" s="258">
        <v>2</v>
      </c>
      <c r="D26" s="239" t="s">
        <v>342</v>
      </c>
      <c r="E26" s="240"/>
      <c r="F26" s="241"/>
      <c r="G26" s="367" t="s">
        <v>459</v>
      </c>
      <c r="H26" s="366"/>
      <c r="I26" s="367"/>
      <c r="J26" s="259">
        <v>2.4499999999999997</v>
      </c>
      <c r="K26" s="260">
        <v>4.4416679476033229E-3</v>
      </c>
      <c r="L26" s="259">
        <v>2696</v>
      </c>
      <c r="M26" s="327">
        <f t="shared" si="2"/>
        <v>6605.1999999999989</v>
      </c>
      <c r="N26" s="245"/>
      <c r="O26" s="717" t="s">
        <v>627</v>
      </c>
      <c r="P26" s="717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</row>
    <row r="27" spans="1:35" ht="66" customHeight="1">
      <c r="A27" s="712"/>
      <c r="B27" s="722"/>
      <c r="C27" s="258">
        <v>3</v>
      </c>
      <c r="D27" s="239" t="s">
        <v>542</v>
      </c>
      <c r="E27" s="240"/>
      <c r="F27" s="241"/>
      <c r="G27" s="367" t="s">
        <v>545</v>
      </c>
      <c r="H27" s="366"/>
      <c r="I27" s="367"/>
      <c r="J27" s="259">
        <v>16.099999999999998</v>
      </c>
      <c r="K27" s="260">
        <v>5.7671179783190816E-3</v>
      </c>
      <c r="L27" s="259">
        <v>349</v>
      </c>
      <c r="M27" s="327">
        <f t="shared" si="2"/>
        <v>5618.9</v>
      </c>
      <c r="N27" s="245"/>
      <c r="O27" s="723" t="s">
        <v>628</v>
      </c>
      <c r="P27" s="72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</row>
    <row r="28" spans="1:35" ht="50.1" customHeight="1">
      <c r="A28" s="712"/>
      <c r="B28" s="722"/>
      <c r="C28" s="258">
        <v>4</v>
      </c>
      <c r="D28" s="239" t="s">
        <v>342</v>
      </c>
      <c r="E28" s="240"/>
      <c r="F28" s="241"/>
      <c r="G28" s="248" t="s">
        <v>568</v>
      </c>
      <c r="H28" s="247"/>
      <c r="I28" s="248"/>
      <c r="J28" s="259">
        <v>1.1599999999999999</v>
      </c>
      <c r="K28" s="260">
        <v>9.804144444279763E-3</v>
      </c>
      <c r="L28" s="259">
        <v>3775</v>
      </c>
      <c r="M28" s="327">
        <f t="shared" si="2"/>
        <v>4379</v>
      </c>
      <c r="N28" s="245"/>
      <c r="O28" s="723" t="s">
        <v>629</v>
      </c>
      <c r="P28" s="72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</row>
    <row r="29" spans="1:35" ht="50.1" customHeight="1" thickBot="1">
      <c r="A29" s="712"/>
      <c r="B29" s="722"/>
      <c r="C29" s="264">
        <v>5</v>
      </c>
      <c r="D29" s="246" t="s">
        <v>356</v>
      </c>
      <c r="E29" s="247"/>
      <c r="F29" s="248"/>
      <c r="G29" s="367" t="s">
        <v>516</v>
      </c>
      <c r="H29" s="366"/>
      <c r="I29" s="367"/>
      <c r="J29" s="265">
        <v>122.06999999999996</v>
      </c>
      <c r="K29" s="266">
        <v>1.276921767259726E-2</v>
      </c>
      <c r="L29" s="265">
        <v>9</v>
      </c>
      <c r="M29" s="327">
        <f t="shared" si="2"/>
        <v>1098.6299999999997</v>
      </c>
      <c r="N29" s="245"/>
      <c r="O29" s="723" t="s">
        <v>630</v>
      </c>
      <c r="P29" s="72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</row>
    <row r="30" spans="1:35" ht="15.75" customHeight="1" thickTop="1">
      <c r="A30" s="712"/>
      <c r="B30" s="722"/>
      <c r="C30" s="718"/>
      <c r="D30" s="719"/>
      <c r="E30" s="719"/>
      <c r="F30" s="719"/>
      <c r="G30" s="719"/>
      <c r="H30" s="719"/>
      <c r="I30" s="720"/>
      <c r="J30" s="276" t="s">
        <v>58</v>
      </c>
      <c r="K30" s="341" t="e">
        <f>M30/'生產管理報表 7-1(月)'!$B$9</f>
        <v>#DIV/0!</v>
      </c>
      <c r="L30" s="276" t="s">
        <v>59</v>
      </c>
      <c r="M30" s="328">
        <f>SUM(M25:M29)</f>
        <v>23845.399999999998</v>
      </c>
      <c r="N30" s="724"/>
      <c r="O30" s="724"/>
      <c r="P30" s="724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 codeName="工作表24"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38" style="291" customWidth="1"/>
    <col min="17" max="16384" width="12.5703125" style="291"/>
  </cols>
  <sheetData>
    <row r="1" spans="1:20" s="136" customFormat="1" ht="15.75" customHeight="1">
      <c r="A1" s="706" t="s">
        <v>367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</row>
    <row r="2" spans="1:20" s="137" customFormat="1" ht="15.75" customHeight="1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</row>
    <row r="3" spans="1:20" s="136" customFormat="1" ht="15.75" customHeight="1">
      <c r="A3" s="707" t="s">
        <v>438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</row>
    <row r="4" spans="1:20" s="137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20" s="136" customFormat="1" ht="15.75" customHeight="1">
      <c r="A5" s="553" t="s">
        <v>191</v>
      </c>
      <c r="B5" s="501">
        <v>1</v>
      </c>
      <c r="C5" s="502"/>
      <c r="D5" s="501">
        <v>2</v>
      </c>
      <c r="E5" s="502"/>
      <c r="F5" s="501">
        <v>3</v>
      </c>
      <c r="G5" s="502"/>
      <c r="H5" s="555">
        <v>4</v>
      </c>
      <c r="I5" s="556"/>
      <c r="J5" s="555">
        <v>5</v>
      </c>
      <c r="K5" s="556"/>
      <c r="L5" s="555">
        <v>6</v>
      </c>
      <c r="M5" s="556"/>
      <c r="N5" s="555">
        <v>7</v>
      </c>
      <c r="O5" s="556"/>
      <c r="P5" s="329">
        <v>8</v>
      </c>
    </row>
    <row r="6" spans="1:20" s="136" customFormat="1" ht="15.75" customHeight="1">
      <c r="A6" s="554"/>
      <c r="B6" s="547" t="s">
        <v>463</v>
      </c>
      <c r="C6" s="548"/>
      <c r="D6" s="547" t="s">
        <v>212</v>
      </c>
      <c r="E6" s="548"/>
      <c r="F6" s="547" t="s">
        <v>166</v>
      </c>
      <c r="G6" s="548"/>
      <c r="H6" s="545" t="s">
        <v>436</v>
      </c>
      <c r="I6" s="546"/>
      <c r="J6" s="545" t="s">
        <v>189</v>
      </c>
      <c r="K6" s="546"/>
      <c r="L6" s="545" t="s">
        <v>167</v>
      </c>
      <c r="M6" s="546"/>
      <c r="N6" s="545" t="s">
        <v>190</v>
      </c>
      <c r="O6" s="546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735" t="s">
        <v>191</v>
      </c>
      <c r="B8" s="736"/>
      <c r="C8" s="277" t="s">
        <v>47</v>
      </c>
      <c r="D8" s="763" t="s">
        <v>12</v>
      </c>
      <c r="E8" s="764"/>
      <c r="F8" s="765"/>
      <c r="G8" s="766" t="s">
        <v>53</v>
      </c>
      <c r="H8" s="767"/>
      <c r="I8" s="768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43" t="s">
        <v>51</v>
      </c>
      <c r="P8" s="744"/>
      <c r="R8" s="342"/>
      <c r="S8" s="343"/>
    </row>
    <row r="9" spans="1:20" s="300" customFormat="1" ht="65.099999999999994" customHeight="1">
      <c r="A9" s="745">
        <v>4</v>
      </c>
      <c r="B9" s="779" t="s">
        <v>436</v>
      </c>
      <c r="C9" s="281">
        <v>1</v>
      </c>
      <c r="D9" s="239" t="s">
        <v>344</v>
      </c>
      <c r="E9" s="240"/>
      <c r="F9" s="241"/>
      <c r="G9" s="270" t="s">
        <v>336</v>
      </c>
      <c r="H9" s="240"/>
      <c r="I9" s="270"/>
      <c r="J9" s="238">
        <v>141.66999999999999</v>
      </c>
      <c r="K9" s="244">
        <v>1.3688886645631311E-2</v>
      </c>
      <c r="L9" s="238">
        <v>33.89</v>
      </c>
      <c r="M9" s="324">
        <f t="shared" ref="M9:M13" si="0">L9*J9</f>
        <v>4801.1962999999996</v>
      </c>
      <c r="N9" s="316"/>
      <c r="O9" s="538" t="s">
        <v>621</v>
      </c>
      <c r="P9" s="539"/>
      <c r="R9" s="344"/>
      <c r="S9" s="344"/>
    </row>
    <row r="10" spans="1:20" s="300" customFormat="1" ht="65.099999999999994" customHeight="1">
      <c r="A10" s="746"/>
      <c r="B10" s="780"/>
      <c r="C10" s="281">
        <v>2</v>
      </c>
      <c r="D10" s="239" t="s">
        <v>353</v>
      </c>
      <c r="E10" s="240"/>
      <c r="F10" s="241"/>
      <c r="G10" s="239" t="s">
        <v>360</v>
      </c>
      <c r="H10" s="240"/>
      <c r="I10" s="270"/>
      <c r="J10" s="238">
        <v>183.65</v>
      </c>
      <c r="K10" s="244">
        <v>2.079118224282318E-2</v>
      </c>
      <c r="L10" s="238">
        <v>18.66</v>
      </c>
      <c r="M10" s="324">
        <f t="shared" si="0"/>
        <v>3426.9090000000001</v>
      </c>
      <c r="N10" s="316"/>
      <c r="O10" s="775" t="s">
        <v>631</v>
      </c>
      <c r="P10" s="776"/>
      <c r="R10" s="344"/>
      <c r="S10" s="344"/>
    </row>
    <row r="11" spans="1:20" s="300" customFormat="1" ht="65.099999999999994" customHeight="1">
      <c r="A11" s="746"/>
      <c r="B11" s="780"/>
      <c r="C11" s="281">
        <v>3</v>
      </c>
      <c r="D11" s="239" t="s">
        <v>353</v>
      </c>
      <c r="E11" s="240"/>
      <c r="F11" s="241"/>
      <c r="G11" s="270" t="s">
        <v>361</v>
      </c>
      <c r="H11" s="240"/>
      <c r="I11" s="270"/>
      <c r="J11" s="238">
        <v>253.92000000000002</v>
      </c>
      <c r="K11" s="244">
        <v>1.8096654837040496E-2</v>
      </c>
      <c r="L11" s="238">
        <v>17.95</v>
      </c>
      <c r="M11" s="324">
        <f t="shared" si="0"/>
        <v>4557.8640000000005</v>
      </c>
      <c r="N11" s="316"/>
      <c r="O11" s="782" t="s">
        <v>624</v>
      </c>
      <c r="P11" s="783"/>
      <c r="R11" s="344"/>
      <c r="S11" s="342"/>
    </row>
    <row r="12" spans="1:20" s="300" customFormat="1" ht="65.099999999999994" customHeight="1">
      <c r="A12" s="746"/>
      <c r="B12" s="780"/>
      <c r="C12" s="281">
        <v>4</v>
      </c>
      <c r="D12" s="239" t="s">
        <v>364</v>
      </c>
      <c r="E12" s="240"/>
      <c r="F12" s="241"/>
      <c r="G12" s="246" t="s">
        <v>362</v>
      </c>
      <c r="H12" s="247"/>
      <c r="I12" s="273"/>
      <c r="J12" s="238">
        <v>152.75</v>
      </c>
      <c r="K12" s="244">
        <v>6.168430621388222E-3</v>
      </c>
      <c r="L12" s="238">
        <v>6.65</v>
      </c>
      <c r="M12" s="324">
        <f t="shared" si="0"/>
        <v>1015.7875</v>
      </c>
      <c r="N12" s="316"/>
      <c r="O12" s="775" t="s">
        <v>625</v>
      </c>
      <c r="P12" s="776"/>
      <c r="R12" s="344"/>
      <c r="S12" s="342"/>
    </row>
    <row r="13" spans="1:20" s="300" customFormat="1" ht="65.099999999999994" customHeight="1" thickBot="1">
      <c r="A13" s="746"/>
      <c r="B13" s="780"/>
      <c r="C13" s="281">
        <v>5</v>
      </c>
      <c r="D13" s="246" t="s">
        <v>473</v>
      </c>
      <c r="E13" s="247"/>
      <c r="F13" s="248"/>
      <c r="G13" s="367" t="s">
        <v>472</v>
      </c>
      <c r="H13" s="366"/>
      <c r="I13" s="367"/>
      <c r="J13" s="249">
        <v>153.19000000000003</v>
      </c>
      <c r="K13" s="250">
        <v>2.6060060757587433E-2</v>
      </c>
      <c r="L13" s="249">
        <v>22.86</v>
      </c>
      <c r="M13" s="324">
        <f t="shared" si="0"/>
        <v>3501.9234000000006</v>
      </c>
      <c r="N13" s="316"/>
      <c r="O13" s="784" t="s">
        <v>632</v>
      </c>
      <c r="P13" s="785"/>
      <c r="R13" s="345"/>
      <c r="S13" s="342"/>
      <c r="T13" s="291"/>
    </row>
    <row r="14" spans="1:20" ht="15.75" customHeight="1" thickTop="1" thickBot="1">
      <c r="A14" s="747"/>
      <c r="B14" s="781"/>
      <c r="C14" s="786"/>
      <c r="D14" s="787"/>
      <c r="E14" s="787"/>
      <c r="F14" s="787"/>
      <c r="G14" s="787"/>
      <c r="H14" s="787"/>
      <c r="I14" s="788"/>
      <c r="J14" s="297" t="s">
        <v>58</v>
      </c>
      <c r="K14" s="458" t="e">
        <f>M14/'生產管理報表 7-1(月)'!$B$9</f>
        <v>#DIV/0!</v>
      </c>
      <c r="L14" s="298" t="s">
        <v>59</v>
      </c>
      <c r="M14" s="336">
        <f>SUM(M9:M13)</f>
        <v>17303.680200000003</v>
      </c>
      <c r="N14" s="732"/>
      <c r="O14" s="733"/>
      <c r="P14" s="734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735" t="s">
        <v>191</v>
      </c>
      <c r="B16" s="736"/>
      <c r="C16" s="277" t="s">
        <v>47</v>
      </c>
      <c r="D16" s="763" t="s">
        <v>12</v>
      </c>
      <c r="E16" s="764"/>
      <c r="F16" s="765"/>
      <c r="G16" s="766" t="s">
        <v>53</v>
      </c>
      <c r="H16" s="767"/>
      <c r="I16" s="768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43" t="s">
        <v>51</v>
      </c>
      <c r="P16" s="744"/>
      <c r="S16" s="343"/>
      <c r="T16" s="300"/>
    </row>
    <row r="17" spans="1:20" s="300" customFormat="1" ht="39.950000000000003" customHeight="1">
      <c r="A17" s="745">
        <v>5</v>
      </c>
      <c r="B17" s="758" t="s">
        <v>215</v>
      </c>
      <c r="C17" s="281">
        <v>1</v>
      </c>
      <c r="D17" s="239" t="s">
        <v>542</v>
      </c>
      <c r="E17" s="240"/>
      <c r="F17" s="241"/>
      <c r="G17" s="308" t="s">
        <v>570</v>
      </c>
      <c r="H17" s="307"/>
      <c r="I17" s="308"/>
      <c r="J17" s="314">
        <v>130</v>
      </c>
      <c r="K17" s="315">
        <v>3.3469999211543006E-2</v>
      </c>
      <c r="L17" s="316">
        <v>8.4899999999999984</v>
      </c>
      <c r="M17" s="324">
        <f t="shared" ref="M17:M21" si="1">L17*J17</f>
        <v>1103.6999999999998</v>
      </c>
      <c r="N17" s="316"/>
      <c r="O17" s="769" t="s">
        <v>634</v>
      </c>
      <c r="P17" s="770"/>
      <c r="S17" s="342"/>
    </row>
    <row r="18" spans="1:20" s="300" customFormat="1" ht="20.100000000000001" customHeight="1">
      <c r="A18" s="746"/>
      <c r="B18" s="759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si="1"/>
        <v>0</v>
      </c>
      <c r="N18" s="316"/>
      <c r="O18" s="771"/>
      <c r="P18" s="772"/>
      <c r="S18" s="291"/>
      <c r="T18" s="291"/>
    </row>
    <row r="19" spans="1:20" ht="20.100000000000001" customHeight="1">
      <c r="A19" s="746"/>
      <c r="B19" s="759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73"/>
      <c r="P19" s="774"/>
    </row>
    <row r="20" spans="1:20" ht="20.100000000000001" customHeight="1">
      <c r="A20" s="746"/>
      <c r="B20" s="759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75"/>
      <c r="P20" s="776"/>
    </row>
    <row r="21" spans="1:20" ht="20.100000000000001" customHeight="1" thickBot="1">
      <c r="A21" s="746"/>
      <c r="B21" s="759"/>
      <c r="C21" s="281">
        <v>5</v>
      </c>
      <c r="D21" s="246"/>
      <c r="E21" s="293"/>
      <c r="F21" s="294"/>
      <c r="G21" s="356"/>
      <c r="H21" s="307"/>
      <c r="I21" s="308"/>
      <c r="J21" s="318"/>
      <c r="K21" s="266"/>
      <c r="L21" s="319"/>
      <c r="M21" s="324">
        <f t="shared" si="1"/>
        <v>0</v>
      </c>
      <c r="N21" s="290"/>
      <c r="O21" s="777"/>
      <c r="P21" s="778"/>
      <c r="R21" s="346"/>
    </row>
    <row r="22" spans="1:20" ht="15.75" customHeight="1" thickTop="1" thickBot="1">
      <c r="A22" s="747"/>
      <c r="B22" s="760"/>
      <c r="C22" s="755"/>
      <c r="D22" s="756"/>
      <c r="E22" s="756"/>
      <c r="F22" s="756"/>
      <c r="G22" s="756"/>
      <c r="H22" s="756"/>
      <c r="I22" s="757"/>
      <c r="J22" s="297" t="s">
        <v>58</v>
      </c>
      <c r="K22" s="341" t="e">
        <f>M22/'生產管理報表 7-1(月)'!$B$9</f>
        <v>#DIV/0!</v>
      </c>
      <c r="L22" s="298" t="s">
        <v>59</v>
      </c>
      <c r="M22" s="336">
        <f>SUM(M17:M21)</f>
        <v>1103.6999999999998</v>
      </c>
      <c r="N22" s="732"/>
      <c r="O22" s="733"/>
      <c r="P22" s="734"/>
      <c r="R22" s="342"/>
    </row>
    <row r="23" spans="1:20" ht="15.75" customHeight="1" thickTop="1">
      <c r="M23" s="331"/>
      <c r="R23" s="342"/>
    </row>
    <row r="24" spans="1:20" ht="15.75" customHeight="1">
      <c r="A24" s="735" t="s">
        <v>191</v>
      </c>
      <c r="B24" s="736"/>
      <c r="C24" s="305" t="s">
        <v>47</v>
      </c>
      <c r="D24" s="737" t="s">
        <v>12</v>
      </c>
      <c r="E24" s="738"/>
      <c r="F24" s="739"/>
      <c r="G24" s="740" t="s">
        <v>53</v>
      </c>
      <c r="H24" s="741"/>
      <c r="I24" s="742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43" t="s">
        <v>51</v>
      </c>
      <c r="P24" s="744"/>
      <c r="R24" s="342"/>
    </row>
    <row r="25" spans="1:20" s="300" customFormat="1" ht="60" customHeight="1">
      <c r="A25" s="745">
        <v>6</v>
      </c>
      <c r="B25" s="758" t="s">
        <v>216</v>
      </c>
      <c r="C25" s="281">
        <v>1</v>
      </c>
      <c r="D25" s="239" t="s">
        <v>341</v>
      </c>
      <c r="E25" s="240"/>
      <c r="F25" s="241"/>
      <c r="G25" s="308" t="s">
        <v>335</v>
      </c>
      <c r="H25" s="307"/>
      <c r="I25" s="308"/>
      <c r="J25" s="314">
        <v>15.450000000000001</v>
      </c>
      <c r="K25" s="315">
        <v>3.6909221589950425E-3</v>
      </c>
      <c r="L25" s="316">
        <v>494</v>
      </c>
      <c r="M25" s="324">
        <f t="shared" ref="M25" si="2">L25*J25</f>
        <v>7632.3</v>
      </c>
      <c r="N25" s="316"/>
      <c r="O25" s="761" t="s">
        <v>633</v>
      </c>
      <c r="P25" s="762"/>
    </row>
    <row r="26" spans="1:20" ht="20.100000000000001" customHeight="1">
      <c r="A26" s="746"/>
      <c r="B26" s="759"/>
      <c r="C26" s="281">
        <v>2</v>
      </c>
      <c r="D26" s="282"/>
      <c r="E26" s="283"/>
      <c r="F26" s="284"/>
      <c r="G26" s="285"/>
      <c r="H26" s="286"/>
      <c r="I26" s="287"/>
      <c r="J26" s="288"/>
      <c r="K26" s="289"/>
      <c r="L26" s="290"/>
      <c r="M26" s="333">
        <v>0</v>
      </c>
      <c r="N26" s="290"/>
      <c r="O26" s="301"/>
      <c r="P26" s="302"/>
    </row>
    <row r="27" spans="1:20" ht="20.100000000000001" customHeight="1">
      <c r="A27" s="746"/>
      <c r="B27" s="759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</row>
    <row r="28" spans="1:20" ht="20.100000000000001" customHeight="1">
      <c r="A28" s="746"/>
      <c r="B28" s="759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</row>
    <row r="29" spans="1:20" ht="20.100000000000001" customHeight="1" thickBot="1">
      <c r="A29" s="746"/>
      <c r="B29" s="759"/>
      <c r="C29" s="281">
        <v>5</v>
      </c>
      <c r="D29" s="292"/>
      <c r="E29" s="293"/>
      <c r="F29" s="294"/>
      <c r="G29" s="285"/>
      <c r="H29" s="286"/>
      <c r="I29" s="287"/>
      <c r="J29" s="295"/>
      <c r="K29" s="358"/>
      <c r="L29" s="296"/>
      <c r="M29" s="333">
        <v>0</v>
      </c>
      <c r="N29" s="290"/>
      <c r="O29" s="303"/>
      <c r="P29" s="304"/>
    </row>
    <row r="30" spans="1:20" ht="15.75" customHeight="1" thickTop="1" thickBot="1">
      <c r="A30" s="747"/>
      <c r="B30" s="760"/>
      <c r="C30" s="755"/>
      <c r="D30" s="756"/>
      <c r="E30" s="756"/>
      <c r="F30" s="756"/>
      <c r="G30" s="756"/>
      <c r="H30" s="756"/>
      <c r="I30" s="757"/>
      <c r="J30" s="297" t="s">
        <v>58</v>
      </c>
      <c r="K30" s="458" t="e">
        <f>M30/'生產管理報表 7-1(月)'!$B$9</f>
        <v>#DIV/0!</v>
      </c>
      <c r="L30" s="298" t="s">
        <v>59</v>
      </c>
      <c r="M30" s="336">
        <f>SUM(M25:M29)</f>
        <v>7632.3</v>
      </c>
      <c r="N30" s="732"/>
      <c r="O30" s="733"/>
      <c r="P30" s="734"/>
    </row>
    <row r="31" spans="1:20" ht="15.75" customHeight="1" thickTop="1">
      <c r="M31" s="331"/>
    </row>
    <row r="32" spans="1:20" ht="15.75" customHeight="1">
      <c r="A32" s="735" t="s">
        <v>191</v>
      </c>
      <c r="B32" s="736"/>
      <c r="C32" s="305" t="s">
        <v>47</v>
      </c>
      <c r="D32" s="737" t="s">
        <v>12</v>
      </c>
      <c r="E32" s="738"/>
      <c r="F32" s="739"/>
      <c r="G32" s="740" t="s">
        <v>53</v>
      </c>
      <c r="H32" s="741"/>
      <c r="I32" s="742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43" t="s">
        <v>51</v>
      </c>
      <c r="P32" s="744"/>
    </row>
    <row r="33" spans="1:16" ht="20.100000000000001" customHeight="1">
      <c r="A33" s="745">
        <v>7</v>
      </c>
      <c r="B33" s="748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51"/>
      <c r="P33" s="752"/>
    </row>
    <row r="34" spans="1:16" ht="20.100000000000001" customHeight="1">
      <c r="A34" s="746"/>
      <c r="B34" s="749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53"/>
      <c r="P34" s="754"/>
    </row>
    <row r="35" spans="1:16" ht="20.100000000000001" customHeight="1">
      <c r="A35" s="746"/>
      <c r="B35" s="749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53"/>
      <c r="P35" s="754"/>
    </row>
    <row r="36" spans="1:16" ht="20.100000000000001" customHeight="1">
      <c r="A36" s="746"/>
      <c r="B36" s="749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20.100000000000001" customHeight="1" thickBot="1">
      <c r="A37" s="746"/>
      <c r="B37" s="749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47"/>
      <c r="B38" s="750"/>
      <c r="C38" s="755"/>
      <c r="D38" s="756"/>
      <c r="E38" s="756"/>
      <c r="F38" s="756"/>
      <c r="G38" s="756"/>
      <c r="H38" s="756"/>
      <c r="I38" s="757"/>
      <c r="J38" s="297" t="s">
        <v>58</v>
      </c>
      <c r="K38" s="458" t="e">
        <f>M38/'生產管理報表 7-1(月)'!$B$9</f>
        <v>#DIV/0!</v>
      </c>
      <c r="L38" s="298" t="s">
        <v>59</v>
      </c>
      <c r="M38" s="336">
        <f>SUM(M33:M37)</f>
        <v>0</v>
      </c>
      <c r="N38" s="732"/>
      <c r="O38" s="733"/>
      <c r="P38" s="734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 codeName="工作表25">
    <tabColor rgb="FFFF0000"/>
    <outlinePr summaryBelow="0" summaryRight="0"/>
  </sheetPr>
  <dimension ref="A1:BW30"/>
  <sheetViews>
    <sheetView view="pageBreakPreview" topLeftCell="A10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3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706" t="s">
        <v>367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</row>
    <row r="2" spans="1:75" s="137" customFormat="1" ht="15.75" customHeight="1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</row>
    <row r="3" spans="1:75" ht="15.75" customHeight="1">
      <c r="A3" s="707" t="s">
        <v>439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</row>
    <row r="4" spans="1:75" s="137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</row>
    <row r="5" spans="1:75" ht="15.75" customHeight="1">
      <c r="A5" s="709" t="s">
        <v>191</v>
      </c>
      <c r="B5" s="729">
        <v>1</v>
      </c>
      <c r="C5" s="729"/>
      <c r="D5" s="729">
        <v>2</v>
      </c>
      <c r="E5" s="729"/>
      <c r="F5" s="729">
        <v>3</v>
      </c>
      <c r="G5" s="729"/>
      <c r="H5" s="712">
        <v>4</v>
      </c>
      <c r="I5" s="712"/>
      <c r="J5" s="712">
        <v>5</v>
      </c>
      <c r="K5" s="712"/>
      <c r="L5" s="712">
        <v>6</v>
      </c>
      <c r="M5" s="712"/>
      <c r="N5" s="712">
        <v>7</v>
      </c>
      <c r="O5" s="712"/>
      <c r="P5" s="712">
        <v>8</v>
      </c>
      <c r="Q5" s="712"/>
    </row>
    <row r="6" spans="1:75" ht="15.75" customHeight="1">
      <c r="A6" s="709"/>
      <c r="B6" s="730" t="s">
        <v>463</v>
      </c>
      <c r="C6" s="730"/>
      <c r="D6" s="730" t="s">
        <v>212</v>
      </c>
      <c r="E6" s="730"/>
      <c r="F6" s="730" t="s">
        <v>166</v>
      </c>
      <c r="G6" s="730"/>
      <c r="H6" s="709" t="s">
        <v>436</v>
      </c>
      <c r="I6" s="709"/>
      <c r="J6" s="709" t="s">
        <v>189</v>
      </c>
      <c r="K6" s="709"/>
      <c r="L6" s="709" t="s">
        <v>167</v>
      </c>
      <c r="M6" s="709"/>
      <c r="N6" s="709" t="s">
        <v>190</v>
      </c>
      <c r="O6" s="709"/>
      <c r="P6" s="791" t="s">
        <v>217</v>
      </c>
      <c r="Q6" s="709"/>
    </row>
    <row r="8" spans="1:75" s="237" customFormat="1" ht="15.75" customHeight="1">
      <c r="A8" s="712" t="s">
        <v>191</v>
      </c>
      <c r="B8" s="712"/>
      <c r="C8" s="236" t="s">
        <v>47</v>
      </c>
      <c r="D8" s="725" t="s">
        <v>12</v>
      </c>
      <c r="E8" s="725"/>
      <c r="F8" s="725"/>
      <c r="G8" s="519" t="s">
        <v>53</v>
      </c>
      <c r="H8" s="520"/>
      <c r="I8" s="721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716" t="s">
        <v>51</v>
      </c>
      <c r="P8" s="716"/>
    </row>
    <row r="9" spans="1:75" ht="24.95" customHeight="1">
      <c r="A9" s="712">
        <v>1</v>
      </c>
      <c r="B9" s="722" t="s">
        <v>464</v>
      </c>
      <c r="C9" s="238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>L9*J9</f>
        <v>0</v>
      </c>
      <c r="N9" s="245"/>
      <c r="O9" s="538"/>
      <c r="P9" s="539"/>
    </row>
    <row r="10" spans="1:75" ht="24.95" customHeight="1">
      <c r="A10" s="712"/>
      <c r="B10" s="722"/>
      <c r="C10" s="238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ref="M10:M13" si="0">L10*J10</f>
        <v>0</v>
      </c>
      <c r="N10" s="245"/>
      <c r="O10" s="789"/>
      <c r="P10" s="790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4.95" customHeight="1">
      <c r="A11" s="712"/>
      <c r="B11" s="722"/>
      <c r="C11" s="238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245"/>
      <c r="O11" s="789"/>
      <c r="P11" s="790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4.95" customHeight="1">
      <c r="A12" s="712"/>
      <c r="B12" s="722"/>
      <c r="C12" s="238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245"/>
      <c r="O12" s="789"/>
      <c r="P12" s="790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4.95" customHeight="1" thickBot="1">
      <c r="A13" s="712"/>
      <c r="B13" s="722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89"/>
      <c r="P13" s="790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>
      <c r="A14" s="712"/>
      <c r="B14" s="722"/>
      <c r="C14" s="718"/>
      <c r="D14" s="719"/>
      <c r="E14" s="719"/>
      <c r="F14" s="719"/>
      <c r="G14" s="719"/>
      <c r="H14" s="719"/>
      <c r="I14" s="720"/>
      <c r="J14" s="251" t="s">
        <v>58</v>
      </c>
      <c r="K14" s="341" t="e">
        <f>M14/'生產管理報表 7-1(月)'!$B$10</f>
        <v>#DIV/0!</v>
      </c>
      <c r="L14" s="251" t="s">
        <v>59</v>
      </c>
      <c r="M14" s="326">
        <f>SUM(M9:M13)</f>
        <v>0</v>
      </c>
      <c r="N14" s="542"/>
      <c r="O14" s="543"/>
      <c r="P14" s="544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712" t="s">
        <v>191</v>
      </c>
      <c r="B16" s="712"/>
      <c r="C16" s="254" t="s">
        <v>47</v>
      </c>
      <c r="D16" s="503" t="s">
        <v>12</v>
      </c>
      <c r="E16" s="504"/>
      <c r="F16" s="505"/>
      <c r="G16" s="519" t="s">
        <v>53</v>
      </c>
      <c r="H16" s="520"/>
      <c r="I16" s="721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525" t="s">
        <v>51</v>
      </c>
      <c r="P16" s="526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00000000000001" customHeight="1">
      <c r="A17" s="712">
        <v>2</v>
      </c>
      <c r="B17" s="722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527"/>
      <c r="P17" s="528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00000000000001" customHeight="1">
      <c r="A18" s="712"/>
      <c r="B18" s="722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527"/>
      <c r="P18" s="528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00000000000001" customHeight="1">
      <c r="A19" s="712"/>
      <c r="B19" s="722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527"/>
      <c r="P19" s="528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00000000000001" customHeight="1">
      <c r="A20" s="712"/>
      <c r="B20" s="722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527"/>
      <c r="P20" s="528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00000000000001" customHeight="1" thickBot="1">
      <c r="A21" s="712"/>
      <c r="B21" s="722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527"/>
      <c r="P21" s="528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>
      <c r="A22" s="712"/>
      <c r="B22" s="722"/>
      <c r="C22" s="718"/>
      <c r="D22" s="719"/>
      <c r="E22" s="719"/>
      <c r="F22" s="719"/>
      <c r="G22" s="719"/>
      <c r="H22" s="719"/>
      <c r="I22" s="720"/>
      <c r="J22" s="251" t="s">
        <v>58</v>
      </c>
      <c r="K22" s="341" t="e">
        <f>M22/'生產管理報表 7-1(月)'!$B$10</f>
        <v>#DIV/0!</v>
      </c>
      <c r="L22" s="251" t="s">
        <v>59</v>
      </c>
      <c r="M22" s="252">
        <f>SUM(M17:M21)</f>
        <v>0</v>
      </c>
      <c r="N22" s="529"/>
      <c r="O22" s="530"/>
      <c r="P22" s="531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712" t="s">
        <v>191</v>
      </c>
      <c r="B24" s="712"/>
      <c r="C24" s="254" t="s">
        <v>47</v>
      </c>
      <c r="D24" s="503" t="s">
        <v>12</v>
      </c>
      <c r="E24" s="504"/>
      <c r="F24" s="505"/>
      <c r="G24" s="519" t="s">
        <v>53</v>
      </c>
      <c r="H24" s="520"/>
      <c r="I24" s="721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507" t="s">
        <v>51</v>
      </c>
      <c r="P24" s="508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4.95" customHeight="1">
      <c r="A25" s="712">
        <v>3</v>
      </c>
      <c r="B25" s="722" t="s">
        <v>429</v>
      </c>
      <c r="C25" s="258">
        <v>1</v>
      </c>
      <c r="D25" s="239"/>
      <c r="E25" s="240"/>
      <c r="F25" s="241"/>
      <c r="G25" s="365"/>
      <c r="H25" s="366"/>
      <c r="I25" s="367"/>
      <c r="J25" s="271"/>
      <c r="K25" s="260"/>
      <c r="L25" s="259"/>
      <c r="M25" s="327">
        <f t="shared" ref="M25:M29" si="2">L25*J25</f>
        <v>0</v>
      </c>
      <c r="N25" s="272"/>
      <c r="O25" s="517"/>
      <c r="P25" s="518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4.95" customHeight="1">
      <c r="A26" s="712"/>
      <c r="B26" s="722"/>
      <c r="C26" s="258">
        <v>2</v>
      </c>
      <c r="D26" s="239"/>
      <c r="E26" s="240"/>
      <c r="F26" s="241"/>
      <c r="G26" s="365"/>
      <c r="H26" s="366"/>
      <c r="I26" s="367"/>
      <c r="J26" s="271"/>
      <c r="K26" s="260"/>
      <c r="L26" s="259"/>
      <c r="M26" s="327">
        <f t="shared" si="2"/>
        <v>0</v>
      </c>
      <c r="N26" s="272"/>
      <c r="O26" s="517"/>
      <c r="P26" s="518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4.95" customHeight="1">
      <c r="A27" s="712"/>
      <c r="B27" s="722"/>
      <c r="C27" s="258">
        <v>3</v>
      </c>
      <c r="D27" s="239"/>
      <c r="E27" s="240"/>
      <c r="F27" s="241"/>
      <c r="G27" s="365"/>
      <c r="H27" s="366"/>
      <c r="I27" s="367"/>
      <c r="J27" s="271"/>
      <c r="K27" s="260"/>
      <c r="L27" s="259"/>
      <c r="M27" s="327">
        <f t="shared" si="2"/>
        <v>0</v>
      </c>
      <c r="N27" s="272"/>
      <c r="O27" s="517"/>
      <c r="P27" s="518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4.95" customHeight="1">
      <c r="A28" s="712"/>
      <c r="B28" s="722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517"/>
      <c r="P28" s="518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4.95" customHeight="1" thickBot="1">
      <c r="A29" s="712"/>
      <c r="B29" s="722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517"/>
      <c r="P29" s="518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>
      <c r="A30" s="712"/>
      <c r="B30" s="722"/>
      <c r="C30" s="718"/>
      <c r="D30" s="719"/>
      <c r="E30" s="719"/>
      <c r="F30" s="719"/>
      <c r="G30" s="719"/>
      <c r="H30" s="719"/>
      <c r="I30" s="720"/>
      <c r="J30" s="276" t="s">
        <v>58</v>
      </c>
      <c r="K30" s="341" t="e">
        <f>M30/'生產管理報表 7-1(月)'!$B$10</f>
        <v>#DIV/0!</v>
      </c>
      <c r="L30" s="276" t="s">
        <v>59</v>
      </c>
      <c r="M30" s="328">
        <f>SUM(M25:M29)</f>
        <v>0</v>
      </c>
      <c r="N30" s="522"/>
      <c r="O30" s="523"/>
      <c r="P30" s="524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 codeName="工作表26">
    <tabColor rgb="FFFF0000"/>
    <outlinePr summaryBelow="0" summaryRight="0"/>
  </sheetPr>
  <dimension ref="A1:T156"/>
  <sheetViews>
    <sheetView view="pageBreakPreview" topLeftCell="A28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52" style="291" customWidth="1"/>
    <col min="17" max="16384" width="12.5703125" style="291"/>
  </cols>
  <sheetData>
    <row r="1" spans="1:20" s="136" customFormat="1" ht="15.75" customHeight="1">
      <c r="A1" s="706" t="s">
        <v>367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</row>
    <row r="2" spans="1:20" s="137" customFormat="1" ht="15.75" customHeight="1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</row>
    <row r="3" spans="1:20" s="136" customFormat="1" ht="15.75" customHeight="1">
      <c r="A3" s="707" t="s">
        <v>439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</row>
    <row r="4" spans="1:20" s="137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20" s="136" customFormat="1" ht="15.75" customHeight="1">
      <c r="A5" s="553" t="s">
        <v>191</v>
      </c>
      <c r="B5" s="501">
        <v>1</v>
      </c>
      <c r="C5" s="502"/>
      <c r="D5" s="501">
        <v>2</v>
      </c>
      <c r="E5" s="502"/>
      <c r="F5" s="501">
        <v>3</v>
      </c>
      <c r="G5" s="502"/>
      <c r="H5" s="555">
        <v>4</v>
      </c>
      <c r="I5" s="556"/>
      <c r="J5" s="555">
        <v>5</v>
      </c>
      <c r="K5" s="556"/>
      <c r="L5" s="555">
        <v>6</v>
      </c>
      <c r="M5" s="556"/>
      <c r="N5" s="555">
        <v>7</v>
      </c>
      <c r="O5" s="556"/>
      <c r="P5" s="329">
        <v>8</v>
      </c>
    </row>
    <row r="6" spans="1:20" s="136" customFormat="1" ht="15.75" customHeight="1">
      <c r="A6" s="554"/>
      <c r="B6" s="547" t="s">
        <v>463</v>
      </c>
      <c r="C6" s="548"/>
      <c r="D6" s="547" t="s">
        <v>212</v>
      </c>
      <c r="E6" s="548"/>
      <c r="F6" s="547" t="s">
        <v>166</v>
      </c>
      <c r="G6" s="548"/>
      <c r="H6" s="545" t="s">
        <v>436</v>
      </c>
      <c r="I6" s="546"/>
      <c r="J6" s="545" t="s">
        <v>189</v>
      </c>
      <c r="K6" s="546"/>
      <c r="L6" s="545" t="s">
        <v>167</v>
      </c>
      <c r="M6" s="546"/>
      <c r="N6" s="545" t="s">
        <v>190</v>
      </c>
      <c r="O6" s="546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735" t="s">
        <v>191</v>
      </c>
      <c r="B8" s="736"/>
      <c r="C8" s="277" t="s">
        <v>47</v>
      </c>
      <c r="D8" s="796" t="s">
        <v>12</v>
      </c>
      <c r="E8" s="797"/>
      <c r="F8" s="798"/>
      <c r="G8" s="799" t="s">
        <v>53</v>
      </c>
      <c r="H8" s="800"/>
      <c r="I8" s="801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43" t="s">
        <v>51</v>
      </c>
      <c r="P8" s="744"/>
      <c r="R8" s="342"/>
      <c r="S8" s="343"/>
    </row>
    <row r="9" spans="1:20" s="300" customFormat="1" ht="60" customHeight="1">
      <c r="A9" s="745">
        <v>4</v>
      </c>
      <c r="B9" s="779" t="s">
        <v>436</v>
      </c>
      <c r="C9" s="281">
        <v>1</v>
      </c>
      <c r="D9" s="390" t="s">
        <v>492</v>
      </c>
      <c r="E9" s="366"/>
      <c r="F9" s="395"/>
      <c r="G9" s="242" t="s">
        <v>496</v>
      </c>
      <c r="H9" s="243"/>
      <c r="I9" s="242"/>
      <c r="J9" s="314">
        <v>118.30999999999997</v>
      </c>
      <c r="K9" s="315">
        <v>2.1575867711129621E-3</v>
      </c>
      <c r="L9" s="316">
        <v>158.87999999999951</v>
      </c>
      <c r="M9" s="324">
        <f t="shared" ref="M9:M13" si="0">L9*J9</f>
        <v>18797.092799999937</v>
      </c>
      <c r="N9" s="316"/>
      <c r="O9" s="775" t="s">
        <v>635</v>
      </c>
      <c r="P9" s="776"/>
      <c r="R9" s="344"/>
      <c r="S9" s="344"/>
    </row>
    <row r="10" spans="1:20" s="300" customFormat="1" ht="60" customHeight="1">
      <c r="A10" s="746"/>
      <c r="B10" s="780"/>
      <c r="C10" s="281">
        <v>2</v>
      </c>
      <c r="D10" s="362" t="s">
        <v>364</v>
      </c>
      <c r="E10" s="240"/>
      <c r="F10" s="241"/>
      <c r="G10" s="242" t="s">
        <v>363</v>
      </c>
      <c r="H10" s="243"/>
      <c r="I10" s="242"/>
      <c r="J10" s="314">
        <v>426.69</v>
      </c>
      <c r="K10" s="315">
        <v>5.881531924374386E-4</v>
      </c>
      <c r="L10" s="316">
        <v>42.50999999999965</v>
      </c>
      <c r="M10" s="324">
        <f t="shared" si="0"/>
        <v>18138.59189999985</v>
      </c>
      <c r="N10" s="316"/>
      <c r="O10" s="775" t="s">
        <v>636</v>
      </c>
      <c r="P10" s="776"/>
      <c r="R10" s="344"/>
      <c r="S10" s="344"/>
    </row>
    <row r="11" spans="1:20" s="300" customFormat="1" ht="60" customHeight="1">
      <c r="A11" s="746"/>
      <c r="B11" s="780"/>
      <c r="C11" s="281">
        <v>3</v>
      </c>
      <c r="D11" s="362" t="s">
        <v>473</v>
      </c>
      <c r="E11" s="240"/>
      <c r="F11" s="241"/>
      <c r="G11" s="308" t="s">
        <v>480</v>
      </c>
      <c r="H11" s="307"/>
      <c r="I11" s="308"/>
      <c r="J11" s="314">
        <v>629</v>
      </c>
      <c r="K11" s="315">
        <v>3.9849747964609168E-3</v>
      </c>
      <c r="L11" s="316">
        <v>27.705999999999992</v>
      </c>
      <c r="M11" s="324">
        <f t="shared" si="0"/>
        <v>17427.073999999997</v>
      </c>
      <c r="N11" s="316"/>
      <c r="O11" s="775" t="s">
        <v>637</v>
      </c>
      <c r="P11" s="776"/>
      <c r="R11" s="344"/>
      <c r="S11" s="342"/>
    </row>
    <row r="12" spans="1:20" s="300" customFormat="1" ht="60" customHeight="1">
      <c r="A12" s="746"/>
      <c r="B12" s="780"/>
      <c r="C12" s="281">
        <v>4</v>
      </c>
      <c r="D12" s="396" t="s">
        <v>484</v>
      </c>
      <c r="E12" s="240"/>
      <c r="F12" s="241"/>
      <c r="G12" s="242" t="s">
        <v>483</v>
      </c>
      <c r="H12" s="243"/>
      <c r="I12" s="242"/>
      <c r="J12" s="314">
        <v>191.21</v>
      </c>
      <c r="K12" s="315">
        <v>2.32156952599689E-3</v>
      </c>
      <c r="L12" s="316">
        <v>78.710000000000321</v>
      </c>
      <c r="M12" s="324">
        <f t="shared" si="0"/>
        <v>15050.139100000062</v>
      </c>
      <c r="N12" s="316"/>
      <c r="O12" s="775" t="s">
        <v>638</v>
      </c>
      <c r="P12" s="776"/>
      <c r="R12" s="344"/>
      <c r="S12" s="342"/>
    </row>
    <row r="13" spans="1:20" s="300" customFormat="1" ht="60" customHeight="1" thickBot="1">
      <c r="A13" s="746"/>
      <c r="B13" s="780"/>
      <c r="C13" s="281">
        <v>5</v>
      </c>
      <c r="D13" s="396" t="s">
        <v>482</v>
      </c>
      <c r="E13" s="247"/>
      <c r="F13" s="248"/>
      <c r="G13" s="308" t="s">
        <v>514</v>
      </c>
      <c r="H13" s="307"/>
      <c r="I13" s="308"/>
      <c r="J13" s="318">
        <v>2465</v>
      </c>
      <c r="K13" s="266">
        <v>0</v>
      </c>
      <c r="L13" s="319">
        <v>5.4299999999999784</v>
      </c>
      <c r="M13" s="324">
        <f t="shared" si="0"/>
        <v>13384.949999999946</v>
      </c>
      <c r="N13" s="316"/>
      <c r="O13" s="775" t="s">
        <v>639</v>
      </c>
      <c r="P13" s="776"/>
      <c r="R13" s="345"/>
      <c r="S13" s="342"/>
      <c r="T13" s="291"/>
    </row>
    <row r="14" spans="1:20" ht="15.75" customHeight="1" thickTop="1" thickBot="1">
      <c r="A14" s="747"/>
      <c r="B14" s="781"/>
      <c r="C14" s="786"/>
      <c r="D14" s="787"/>
      <c r="E14" s="787"/>
      <c r="F14" s="787"/>
      <c r="G14" s="787"/>
      <c r="H14" s="787"/>
      <c r="I14" s="788"/>
      <c r="J14" s="297" t="s">
        <v>58</v>
      </c>
      <c r="K14" s="458" t="e">
        <f>M14/'生產管理報表 7-1(月)'!$B$10</f>
        <v>#DIV/0!</v>
      </c>
      <c r="L14" s="298" t="s">
        <v>59</v>
      </c>
      <c r="M14" s="336">
        <f>SUM(M9:M13)</f>
        <v>82797.847799999785</v>
      </c>
      <c r="N14" s="732"/>
      <c r="O14" s="733"/>
      <c r="P14" s="734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735" t="s">
        <v>191</v>
      </c>
      <c r="B16" s="736"/>
      <c r="C16" s="277" t="s">
        <v>47</v>
      </c>
      <c r="D16" s="763" t="s">
        <v>12</v>
      </c>
      <c r="E16" s="764"/>
      <c r="F16" s="765"/>
      <c r="G16" s="766" t="s">
        <v>53</v>
      </c>
      <c r="H16" s="767"/>
      <c r="I16" s="768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43" t="s">
        <v>51</v>
      </c>
      <c r="P16" s="744"/>
      <c r="S16" s="343"/>
      <c r="T16" s="300"/>
    </row>
    <row r="17" spans="1:20" s="300" customFormat="1" ht="50.1" customHeight="1">
      <c r="A17" s="745">
        <v>5</v>
      </c>
      <c r="B17" s="758" t="s">
        <v>215</v>
      </c>
      <c r="C17" s="281">
        <v>1</v>
      </c>
      <c r="D17" s="239" t="s">
        <v>342</v>
      </c>
      <c r="E17" s="240"/>
      <c r="F17" s="241"/>
      <c r="G17" s="308" t="s">
        <v>337</v>
      </c>
      <c r="H17" s="307"/>
      <c r="I17" s="308"/>
      <c r="J17" s="314">
        <v>147.43000000000004</v>
      </c>
      <c r="K17" s="315">
        <v>0</v>
      </c>
      <c r="L17" s="316">
        <v>513.49999999999909</v>
      </c>
      <c r="M17" s="324">
        <f t="shared" ref="M17:M19" si="1">L17*J17</f>
        <v>75705.304999999891</v>
      </c>
      <c r="N17" s="316"/>
      <c r="O17" s="794" t="s">
        <v>640</v>
      </c>
      <c r="P17" s="795"/>
      <c r="S17" s="342"/>
    </row>
    <row r="18" spans="1:20" s="300" customFormat="1" ht="20.100000000000001" customHeight="1">
      <c r="A18" s="746"/>
      <c r="B18" s="759"/>
      <c r="C18" s="281">
        <v>2</v>
      </c>
      <c r="D18" s="239"/>
      <c r="E18" s="240"/>
      <c r="F18" s="241"/>
      <c r="G18" s="285"/>
      <c r="H18" s="286"/>
      <c r="I18" s="287"/>
      <c r="J18" s="314"/>
      <c r="K18" s="315"/>
      <c r="L18" s="316"/>
      <c r="M18" s="324">
        <f t="shared" si="1"/>
        <v>0</v>
      </c>
      <c r="N18" s="316"/>
      <c r="O18" s="771"/>
      <c r="P18" s="772"/>
      <c r="S18" s="291"/>
      <c r="T18" s="291"/>
    </row>
    <row r="19" spans="1:20" ht="20.100000000000001" customHeight="1">
      <c r="A19" s="746"/>
      <c r="B19" s="759"/>
      <c r="C19" s="281">
        <v>3</v>
      </c>
      <c r="D19" s="282"/>
      <c r="E19" s="283"/>
      <c r="F19" s="284"/>
      <c r="G19" s="285"/>
      <c r="H19" s="286"/>
      <c r="I19" s="287"/>
      <c r="J19" s="288"/>
      <c r="K19" s="289"/>
      <c r="L19" s="290"/>
      <c r="M19" s="333">
        <f t="shared" si="1"/>
        <v>0</v>
      </c>
      <c r="N19" s="290"/>
      <c r="O19" s="753"/>
      <c r="P19" s="754"/>
    </row>
    <row r="20" spans="1:20" ht="20.100000000000001" customHeight="1">
      <c r="A20" s="746"/>
      <c r="B20" s="759"/>
      <c r="C20" s="281">
        <v>4</v>
      </c>
      <c r="D20" s="282"/>
      <c r="E20" s="283"/>
      <c r="F20" s="284"/>
      <c r="G20" s="285"/>
      <c r="H20" s="286"/>
      <c r="I20" s="287"/>
      <c r="J20" s="288"/>
      <c r="K20" s="289"/>
      <c r="L20" s="290"/>
      <c r="M20" s="334">
        <v>0</v>
      </c>
      <c r="N20" s="290"/>
      <c r="O20" s="301"/>
      <c r="P20" s="302"/>
    </row>
    <row r="21" spans="1:20" ht="20.100000000000001" customHeight="1" thickBot="1">
      <c r="A21" s="746"/>
      <c r="B21" s="759"/>
      <c r="C21" s="281">
        <v>5</v>
      </c>
      <c r="D21" s="292"/>
      <c r="E21" s="293"/>
      <c r="F21" s="294"/>
      <c r="G21" s="285"/>
      <c r="H21" s="286"/>
      <c r="I21" s="287"/>
      <c r="J21" s="295"/>
      <c r="K21" s="266"/>
      <c r="L21" s="296"/>
      <c r="M21" s="335">
        <v>0</v>
      </c>
      <c r="N21" s="290"/>
      <c r="O21" s="303"/>
      <c r="P21" s="304"/>
      <c r="R21" s="346"/>
    </row>
    <row r="22" spans="1:20" ht="15.75" customHeight="1" thickTop="1" thickBot="1">
      <c r="A22" s="747"/>
      <c r="B22" s="760"/>
      <c r="C22" s="755"/>
      <c r="D22" s="756"/>
      <c r="E22" s="756"/>
      <c r="F22" s="756"/>
      <c r="G22" s="756"/>
      <c r="H22" s="756"/>
      <c r="I22" s="757"/>
      <c r="J22" s="297" t="s">
        <v>58</v>
      </c>
      <c r="K22" s="458" t="e">
        <f>M22/'生產管理報表 7-1(月)'!$B$10</f>
        <v>#DIV/0!</v>
      </c>
      <c r="L22" s="298" t="s">
        <v>59</v>
      </c>
      <c r="M22" s="336">
        <f>SUM(M17:M21)</f>
        <v>75705.304999999891</v>
      </c>
      <c r="N22" s="732"/>
      <c r="O22" s="733"/>
      <c r="P22" s="734"/>
      <c r="R22" s="342"/>
    </row>
    <row r="23" spans="1:20" ht="15.75" customHeight="1" thickTop="1">
      <c r="M23" s="331"/>
      <c r="R23" s="342"/>
    </row>
    <row r="24" spans="1:20" ht="15.75" customHeight="1">
      <c r="A24" s="735" t="s">
        <v>191</v>
      </c>
      <c r="B24" s="736"/>
      <c r="C24" s="305" t="s">
        <v>47</v>
      </c>
      <c r="D24" s="737" t="s">
        <v>12</v>
      </c>
      <c r="E24" s="738"/>
      <c r="F24" s="739"/>
      <c r="G24" s="740" t="s">
        <v>53</v>
      </c>
      <c r="H24" s="741"/>
      <c r="I24" s="742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43" t="s">
        <v>51</v>
      </c>
      <c r="P24" s="744"/>
      <c r="R24" s="342"/>
    </row>
    <row r="25" spans="1:20" ht="60" customHeight="1">
      <c r="A25" s="745">
        <v>6</v>
      </c>
      <c r="B25" s="758" t="s">
        <v>216</v>
      </c>
      <c r="C25" s="281">
        <v>1</v>
      </c>
      <c r="D25" s="239" t="s">
        <v>344</v>
      </c>
      <c r="E25" s="283"/>
      <c r="F25" s="283"/>
      <c r="G25" s="364" t="s">
        <v>474</v>
      </c>
      <c r="H25" s="307"/>
      <c r="I25" s="308"/>
      <c r="J25" s="314">
        <v>605.77999999999986</v>
      </c>
      <c r="K25" s="315">
        <v>4.7114368167863572E-4</v>
      </c>
      <c r="L25" s="316">
        <v>39.460000000000164</v>
      </c>
      <c r="M25" s="324">
        <f t="shared" ref="M25:M28" si="2">L25*J25</f>
        <v>23904.078800000094</v>
      </c>
      <c r="N25" s="290"/>
      <c r="O25" s="792" t="s">
        <v>641</v>
      </c>
      <c r="P25" s="793"/>
    </row>
    <row r="26" spans="1:20" ht="60" customHeight="1">
      <c r="A26" s="746"/>
      <c r="B26" s="759"/>
      <c r="C26" s="281">
        <v>2</v>
      </c>
      <c r="D26" s="239" t="s">
        <v>342</v>
      </c>
      <c r="E26" s="283"/>
      <c r="F26" s="283"/>
      <c r="G26" s="364" t="s">
        <v>591</v>
      </c>
      <c r="H26" s="307"/>
      <c r="I26" s="308"/>
      <c r="J26" s="314">
        <v>39.389999999999993</v>
      </c>
      <c r="K26" s="315">
        <v>8.1836636593689052E-5</v>
      </c>
      <c r="L26" s="316">
        <v>512.42999999999927</v>
      </c>
      <c r="M26" s="324">
        <f t="shared" si="2"/>
        <v>20184.617699999966</v>
      </c>
      <c r="N26" s="290"/>
      <c r="O26" s="792" t="s">
        <v>642</v>
      </c>
      <c r="P26" s="793"/>
    </row>
    <row r="27" spans="1:20" ht="60" customHeight="1">
      <c r="A27" s="746"/>
      <c r="B27" s="759"/>
      <c r="C27" s="281">
        <v>3</v>
      </c>
      <c r="D27" s="239" t="s">
        <v>585</v>
      </c>
      <c r="E27" s="283"/>
      <c r="F27" s="283"/>
      <c r="G27" s="364" t="s">
        <v>596</v>
      </c>
      <c r="H27" s="307"/>
      <c r="I27" s="308"/>
      <c r="J27" s="314">
        <v>97.830000000000013</v>
      </c>
      <c r="K27" s="315">
        <v>0</v>
      </c>
      <c r="L27" s="316">
        <v>118.50999999999976</v>
      </c>
      <c r="M27" s="324">
        <f t="shared" si="2"/>
        <v>11593.833299999978</v>
      </c>
      <c r="N27" s="290"/>
      <c r="O27" s="792" t="s">
        <v>635</v>
      </c>
      <c r="P27" s="793"/>
    </row>
    <row r="28" spans="1:20" ht="60" customHeight="1">
      <c r="A28" s="746"/>
      <c r="B28" s="759"/>
      <c r="C28" s="281">
        <v>4</v>
      </c>
      <c r="D28" s="239" t="s">
        <v>478</v>
      </c>
      <c r="E28" s="283"/>
      <c r="F28" s="283"/>
      <c r="G28" s="364" t="s">
        <v>476</v>
      </c>
      <c r="H28" s="307"/>
      <c r="I28" s="308"/>
      <c r="J28" s="314">
        <v>407.74000000000007</v>
      </c>
      <c r="K28" s="315">
        <v>2.5199255844626594E-4</v>
      </c>
      <c r="L28" s="316">
        <v>23.02999999999988</v>
      </c>
      <c r="M28" s="324">
        <f t="shared" si="2"/>
        <v>9390.2521999999535</v>
      </c>
      <c r="N28" s="290"/>
      <c r="O28" s="792" t="s">
        <v>643</v>
      </c>
      <c r="P28" s="793"/>
    </row>
    <row r="29" spans="1:20" ht="60" customHeight="1" thickBot="1">
      <c r="A29" s="746"/>
      <c r="B29" s="759"/>
      <c r="C29" s="281">
        <v>5</v>
      </c>
      <c r="D29" s="246" t="s">
        <v>342</v>
      </c>
      <c r="E29" s="293"/>
      <c r="F29" s="293"/>
      <c r="G29" s="364" t="s">
        <v>470</v>
      </c>
      <c r="H29" s="307"/>
      <c r="I29" s="308"/>
      <c r="J29" s="318">
        <v>3.2199999999999998</v>
      </c>
      <c r="K29" s="266">
        <v>9.9399712173007363E-5</v>
      </c>
      <c r="L29" s="319">
        <v>1721</v>
      </c>
      <c r="M29" s="324">
        <f>L29*J29</f>
        <v>5541.62</v>
      </c>
      <c r="N29" s="290"/>
      <c r="O29" s="792" t="s">
        <v>644</v>
      </c>
      <c r="P29" s="793"/>
    </row>
    <row r="30" spans="1:20" ht="15.75" customHeight="1" thickTop="1" thickBot="1">
      <c r="A30" s="747"/>
      <c r="B30" s="760"/>
      <c r="C30" s="755"/>
      <c r="D30" s="756"/>
      <c r="E30" s="756"/>
      <c r="F30" s="756"/>
      <c r="G30" s="756"/>
      <c r="H30" s="756"/>
      <c r="I30" s="757"/>
      <c r="J30" s="297" t="s">
        <v>58</v>
      </c>
      <c r="K30" s="458" t="e">
        <f>M30/'生產管理報表 7-1(月)'!$B$10</f>
        <v>#DIV/0!</v>
      </c>
      <c r="L30" s="298" t="s">
        <v>59</v>
      </c>
      <c r="M30" s="336">
        <f>SUM(M25:M29)</f>
        <v>70614.401999999987</v>
      </c>
      <c r="N30" s="732"/>
      <c r="O30" s="733"/>
      <c r="P30" s="734"/>
    </row>
    <row r="31" spans="1:20" ht="15.75" customHeight="1" thickTop="1">
      <c r="M31" s="331"/>
    </row>
    <row r="32" spans="1:20" ht="15.75" customHeight="1">
      <c r="A32" s="735" t="s">
        <v>191</v>
      </c>
      <c r="B32" s="736"/>
      <c r="C32" s="305" t="s">
        <v>47</v>
      </c>
      <c r="D32" s="737" t="s">
        <v>12</v>
      </c>
      <c r="E32" s="738"/>
      <c r="F32" s="739"/>
      <c r="G32" s="740" t="s">
        <v>53</v>
      </c>
      <c r="H32" s="741"/>
      <c r="I32" s="742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43" t="s">
        <v>51</v>
      </c>
      <c r="P32" s="744"/>
    </row>
    <row r="33" spans="1:16" ht="15.75" customHeight="1">
      <c r="A33" s="745">
        <v>7</v>
      </c>
      <c r="B33" s="748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51"/>
      <c r="P33" s="752"/>
    </row>
    <row r="34" spans="1:16" ht="15.75" customHeight="1">
      <c r="A34" s="746"/>
      <c r="B34" s="749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53"/>
      <c r="P34" s="754"/>
    </row>
    <row r="35" spans="1:16" ht="15.75" customHeight="1">
      <c r="A35" s="746"/>
      <c r="B35" s="749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53"/>
      <c r="P35" s="754"/>
    </row>
    <row r="36" spans="1:16" ht="15.75" customHeight="1">
      <c r="A36" s="746"/>
      <c r="B36" s="749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15.75" customHeight="1" thickBot="1">
      <c r="A37" s="746"/>
      <c r="B37" s="749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47"/>
      <c r="B38" s="750"/>
      <c r="C38" s="755"/>
      <c r="D38" s="756"/>
      <c r="E38" s="756"/>
      <c r="F38" s="756"/>
      <c r="G38" s="756"/>
      <c r="H38" s="756"/>
      <c r="I38" s="757"/>
      <c r="J38" s="297" t="s">
        <v>58</v>
      </c>
      <c r="K38" s="458" t="e">
        <f>M38/'生產管理報表 7-1(月)'!$B$10</f>
        <v>#DIV/0!</v>
      </c>
      <c r="L38" s="298" t="s">
        <v>59</v>
      </c>
      <c r="M38" s="336">
        <f>SUM(M33:M37)</f>
        <v>0</v>
      </c>
      <c r="N38" s="732"/>
      <c r="O38" s="733"/>
      <c r="P38" s="734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7">
    <tabColor rgb="FF92D050"/>
    <outlinePr summaryBelow="0" summaryRight="0"/>
  </sheetPr>
  <dimension ref="A1:N59"/>
  <sheetViews>
    <sheetView view="pageBreakPreview" topLeftCell="A31" zoomScale="115" zoomScaleNormal="60" zoomScaleSheetLayoutView="115" workbookViewId="0">
      <selection activeCell="B38" sqref="B38"/>
    </sheetView>
  </sheetViews>
  <sheetFormatPr defaultColWidth="12.5703125" defaultRowHeight="15.75" customHeight="1"/>
  <cols>
    <col min="1" max="1" width="14.140625" style="136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706" t="s">
        <v>367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</row>
    <row r="2" spans="1:13" s="137" customFormat="1" ht="15.75" customHeight="1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</row>
    <row r="3" spans="1:13" ht="15.75" customHeight="1">
      <c r="A3" s="707" t="s">
        <v>461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</row>
    <row r="4" spans="1:13" s="137" customFormat="1" ht="15.75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13">
      <c r="A5" s="226" t="s">
        <v>428</v>
      </c>
      <c r="B5" s="227">
        <v>37624.281149999995</v>
      </c>
      <c r="E5" s="802" t="s">
        <v>462</v>
      </c>
      <c r="F5" s="802"/>
      <c r="G5" s="802"/>
      <c r="H5" s="802"/>
      <c r="I5" s="802"/>
      <c r="J5" s="802"/>
      <c r="K5" s="802"/>
      <c r="L5" s="802"/>
      <c r="M5" s="802"/>
    </row>
    <row r="6" spans="1:13" ht="14.25">
      <c r="A6" s="811" t="s">
        <v>197</v>
      </c>
      <c r="B6" s="814" t="s">
        <v>10</v>
      </c>
      <c r="C6" s="815"/>
      <c r="D6" s="710"/>
      <c r="E6" s="818" t="s">
        <v>197</v>
      </c>
      <c r="F6" s="501">
        <v>1</v>
      </c>
      <c r="G6" s="502"/>
      <c r="H6" s="501">
        <v>2</v>
      </c>
      <c r="I6" s="502"/>
      <c r="J6" s="501">
        <v>3</v>
      </c>
      <c r="K6" s="502"/>
      <c r="L6" s="501">
        <v>4</v>
      </c>
      <c r="M6" s="502"/>
    </row>
    <row r="7" spans="1:13" ht="31.35" customHeight="1">
      <c r="A7" s="812"/>
      <c r="B7" s="816"/>
      <c r="C7" s="817"/>
      <c r="D7" s="711"/>
      <c r="E7" s="819"/>
      <c r="F7" s="807" t="s">
        <v>463</v>
      </c>
      <c r="G7" s="808"/>
      <c r="H7" s="807" t="s">
        <v>240</v>
      </c>
      <c r="I7" s="808"/>
      <c r="J7" s="807" t="s">
        <v>166</v>
      </c>
      <c r="K7" s="808"/>
      <c r="L7" s="807" t="s">
        <v>436</v>
      </c>
      <c r="M7" s="808"/>
    </row>
    <row r="8" spans="1:13">
      <c r="A8" s="813"/>
      <c r="B8" s="155" t="s">
        <v>11</v>
      </c>
      <c r="C8" s="155" t="s">
        <v>41</v>
      </c>
      <c r="D8" s="711"/>
      <c r="E8" s="820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228" t="s">
        <v>242</v>
      </c>
      <c r="B9" s="140">
        <f>日別報廢率總表!G4</f>
        <v>75350.5579</v>
      </c>
      <c r="C9" s="231">
        <f>B9/($B$5*1000)</f>
        <v>2.0027108983050965E-3</v>
      </c>
      <c r="D9" s="711"/>
      <c r="E9" s="139" t="s">
        <v>242</v>
      </c>
      <c r="F9" s="142">
        <v>15963.451500000001</v>
      </c>
      <c r="G9" s="143">
        <v>0.75</v>
      </c>
      <c r="H9" s="142">
        <v>0</v>
      </c>
      <c r="I9" s="143">
        <v>0</v>
      </c>
      <c r="J9" s="142">
        <v>4456.5</v>
      </c>
      <c r="K9" s="143">
        <v>0.15</v>
      </c>
      <c r="L9" s="142">
        <v>0</v>
      </c>
      <c r="M9" s="143">
        <v>0</v>
      </c>
    </row>
    <row r="10" spans="1:13" ht="19.350000000000001" customHeight="1">
      <c r="A10" s="229" t="s">
        <v>243</v>
      </c>
      <c r="B10" s="145">
        <f>日別報廢率總表!H4</f>
        <v>201506.50119999994</v>
      </c>
      <c r="C10" s="141">
        <f>B10/($B$5*1000)</f>
        <v>5.3557568421476656E-3</v>
      </c>
      <c r="D10" s="711"/>
      <c r="E10" s="144" t="s">
        <v>243</v>
      </c>
      <c r="F10" s="142">
        <v>0</v>
      </c>
      <c r="G10" s="143">
        <v>0</v>
      </c>
      <c r="H10" s="142">
        <v>0</v>
      </c>
      <c r="I10" s="143">
        <v>0</v>
      </c>
      <c r="J10" s="142">
        <v>0</v>
      </c>
      <c r="K10" s="143">
        <v>0</v>
      </c>
      <c r="L10" s="142">
        <v>61035.200699999972</v>
      </c>
      <c r="M10" s="143">
        <v>0.7</v>
      </c>
    </row>
    <row r="11" spans="1:13" ht="14.25">
      <c r="A11" s="225" t="s">
        <v>424</v>
      </c>
      <c r="B11" s="398" t="s">
        <v>566</v>
      </c>
      <c r="C11" s="224"/>
      <c r="D11" s="711"/>
      <c r="E11" s="821" t="s">
        <v>197</v>
      </c>
      <c r="F11" s="501">
        <v>5</v>
      </c>
      <c r="G11" s="502"/>
      <c r="H11" s="501">
        <v>6</v>
      </c>
      <c r="I11" s="502"/>
      <c r="J11" s="501">
        <v>7</v>
      </c>
      <c r="K11" s="502"/>
      <c r="L11" s="805"/>
      <c r="M11" s="806"/>
    </row>
    <row r="12" spans="1:13" ht="31.35" customHeight="1">
      <c r="A12" s="136" t="s">
        <v>425</v>
      </c>
      <c r="B12" s="398" t="s">
        <v>566</v>
      </c>
      <c r="C12" s="224"/>
      <c r="D12" s="711"/>
      <c r="E12" s="819"/>
      <c r="F12" s="807" t="s">
        <v>189</v>
      </c>
      <c r="G12" s="808"/>
      <c r="H12" s="807" t="s">
        <v>167</v>
      </c>
      <c r="I12" s="808"/>
      <c r="J12" s="807" t="s">
        <v>190</v>
      </c>
      <c r="K12" s="808"/>
      <c r="L12" s="809"/>
      <c r="M12" s="810"/>
    </row>
    <row r="13" spans="1:13">
      <c r="D13" s="711"/>
      <c r="E13" s="820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11"/>
      <c r="E14" s="139" t="s">
        <v>242</v>
      </c>
      <c r="F14" s="142">
        <v>1054.2</v>
      </c>
      <c r="G14" s="143">
        <v>0.05</v>
      </c>
      <c r="H14" s="142">
        <v>2348.4</v>
      </c>
      <c r="I14" s="143">
        <v>0.05</v>
      </c>
      <c r="J14" s="142">
        <v>0</v>
      </c>
      <c r="K14" s="143">
        <v>0</v>
      </c>
      <c r="L14" s="142"/>
      <c r="M14" s="143"/>
    </row>
    <row r="15" spans="1:13" ht="19.350000000000001" customHeight="1">
      <c r="D15" s="711"/>
      <c r="E15" s="144" t="s">
        <v>243</v>
      </c>
      <c r="F15" s="142">
        <v>21192.504700000005</v>
      </c>
      <c r="G15" s="143">
        <v>0.1</v>
      </c>
      <c r="H15" s="142">
        <v>22518.722300000023</v>
      </c>
      <c r="I15" s="143">
        <v>0.2</v>
      </c>
      <c r="J15" s="142">
        <v>0</v>
      </c>
      <c r="K15" s="143">
        <v>0</v>
      </c>
      <c r="L15" s="142"/>
      <c r="M15" s="143"/>
    </row>
    <row r="16" spans="1:13" ht="15.75" customHeight="1">
      <c r="A16" s="226" t="s">
        <v>428</v>
      </c>
      <c r="B16" s="227">
        <v>38419.572549999997</v>
      </c>
      <c r="E16" s="802" t="s">
        <v>462</v>
      </c>
      <c r="F16" s="803"/>
      <c r="G16" s="803"/>
      <c r="H16" s="803"/>
      <c r="I16" s="803"/>
      <c r="J16" s="803"/>
      <c r="K16" s="803"/>
      <c r="L16" s="803"/>
      <c r="M16" s="803"/>
    </row>
    <row r="17" spans="1:13" ht="15.75" customHeight="1">
      <c r="A17" s="804" t="s">
        <v>197</v>
      </c>
      <c r="B17" s="709" t="s">
        <v>10</v>
      </c>
      <c r="C17" s="709"/>
      <c r="D17" s="710"/>
      <c r="E17" s="708" t="s">
        <v>197</v>
      </c>
      <c r="F17" s="712">
        <v>1</v>
      </c>
      <c r="G17" s="712"/>
      <c r="H17" s="712">
        <v>2</v>
      </c>
      <c r="I17" s="712"/>
      <c r="J17" s="712">
        <v>3</v>
      </c>
      <c r="K17" s="712"/>
      <c r="L17" s="712">
        <v>4</v>
      </c>
      <c r="M17" s="712"/>
    </row>
    <row r="18" spans="1:13" ht="31.35" customHeight="1">
      <c r="A18" s="804"/>
      <c r="B18" s="709"/>
      <c r="C18" s="709"/>
      <c r="D18" s="711"/>
      <c r="E18" s="708"/>
      <c r="F18" s="714" t="s">
        <v>463</v>
      </c>
      <c r="G18" s="714"/>
      <c r="H18" s="714" t="s">
        <v>240</v>
      </c>
      <c r="I18" s="714"/>
      <c r="J18" s="714" t="s">
        <v>166</v>
      </c>
      <c r="K18" s="714"/>
      <c r="L18" s="714" t="s">
        <v>436</v>
      </c>
      <c r="M18" s="714"/>
    </row>
    <row r="19" spans="1:13" ht="15.75" customHeight="1">
      <c r="A19" s="804"/>
      <c r="B19" s="155" t="s">
        <v>11</v>
      </c>
      <c r="C19" s="155" t="s">
        <v>41</v>
      </c>
      <c r="D19" s="711"/>
      <c r="E19" s="708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50000000000001" customHeight="1">
      <c r="A20" s="228" t="s">
        <v>242</v>
      </c>
      <c r="B20" s="140">
        <f>日別報廢率總表!G11</f>
        <v>77034.709600000002</v>
      </c>
      <c r="C20" s="231">
        <f>B20/($B$16*1000)</f>
        <v>2.0050902310208034E-3</v>
      </c>
      <c r="D20" s="711"/>
      <c r="E20" s="139" t="s">
        <v>242</v>
      </c>
      <c r="F20" s="142">
        <f>'報廢20大－原因別分析'!AD32</f>
        <v>17292.7084</v>
      </c>
      <c r="G20" s="143">
        <f>'報廢20大－原因別分析'!AD33</f>
        <v>0.75</v>
      </c>
      <c r="H20" s="142">
        <f>'報廢20大－原因別分析'!AE32</f>
        <v>0</v>
      </c>
      <c r="I20" s="143">
        <f>'報廢20大－原因別分析'!AE33</f>
        <v>0</v>
      </c>
      <c r="J20" s="142">
        <f>'報廢20大－原因別分析'!AF32</f>
        <v>4193.59</v>
      </c>
      <c r="K20" s="143">
        <f>'報廢20大－原因別分析'!AF33</f>
        <v>0.15</v>
      </c>
      <c r="L20" s="142">
        <f>'報廢20大－原因別分析'!AG32</f>
        <v>0</v>
      </c>
      <c r="M20" s="143">
        <f>'報廢20大－原因別分析'!AG33</f>
        <v>0</v>
      </c>
    </row>
    <row r="21" spans="1:13" ht="19.350000000000001" customHeight="1">
      <c r="A21" s="229" t="s">
        <v>243</v>
      </c>
      <c r="B21" s="145">
        <f>日別報廢率總表!H11</f>
        <v>234653.27559999999</v>
      </c>
      <c r="C21" s="141">
        <f>B21/($B$16*1000)</f>
        <v>6.1076493054319529E-3</v>
      </c>
      <c r="D21" s="711"/>
      <c r="E21" s="144" t="s">
        <v>243</v>
      </c>
      <c r="F21" s="142">
        <f>'超用20大－原因別分析'!AD32</f>
        <v>0</v>
      </c>
      <c r="G21" s="143">
        <f>'超用20大－原因別分析'!AD33</f>
        <v>0</v>
      </c>
      <c r="H21" s="142">
        <f>'超用20大－原因別分析'!AE32</f>
        <v>0</v>
      </c>
      <c r="I21" s="143">
        <f>'超用20大－原因別分析'!AE33</f>
        <v>0</v>
      </c>
      <c r="J21" s="142">
        <f>'超用20大－原因別分析'!AF32</f>
        <v>0</v>
      </c>
      <c r="K21" s="143">
        <f>'超用20大－原因別分析'!AF33</f>
        <v>0</v>
      </c>
      <c r="L21" s="142">
        <f>'超用20大－原因別分析'!AG32</f>
        <v>63568.978299999799</v>
      </c>
      <c r="M21" s="143">
        <f>'超用20大－原因別分析'!AG33</f>
        <v>0.75</v>
      </c>
    </row>
    <row r="22" spans="1:13" ht="15.75" customHeight="1">
      <c r="A22" s="225" t="s">
        <v>424</v>
      </c>
      <c r="B22" s="398" t="s">
        <v>567</v>
      </c>
      <c r="C22" s="224"/>
      <c r="D22" s="711"/>
      <c r="E22" s="708" t="s">
        <v>197</v>
      </c>
      <c r="F22" s="501">
        <v>5</v>
      </c>
      <c r="G22" s="502"/>
      <c r="H22" s="501">
        <v>6</v>
      </c>
      <c r="I22" s="502"/>
      <c r="J22" s="501">
        <v>7</v>
      </c>
      <c r="K22" s="502"/>
      <c r="L22" s="805"/>
      <c r="M22" s="806"/>
    </row>
    <row r="23" spans="1:13" ht="31.35" customHeight="1">
      <c r="A23" s="136" t="s">
        <v>425</v>
      </c>
      <c r="B23" s="398" t="s">
        <v>567</v>
      </c>
      <c r="C23" s="224"/>
      <c r="D23" s="711"/>
      <c r="E23" s="708"/>
      <c r="F23" s="807" t="s">
        <v>189</v>
      </c>
      <c r="G23" s="808"/>
      <c r="H23" s="807" t="s">
        <v>167</v>
      </c>
      <c r="I23" s="808"/>
      <c r="J23" s="807" t="s">
        <v>190</v>
      </c>
      <c r="K23" s="808"/>
      <c r="L23" s="809"/>
      <c r="M23" s="810"/>
    </row>
    <row r="24" spans="1:13" ht="15.75" customHeight="1">
      <c r="D24" s="711"/>
      <c r="E24" s="708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50000000000001" customHeight="1">
      <c r="D25" s="711"/>
      <c r="E25" s="139" t="s">
        <v>242</v>
      </c>
      <c r="F25" s="142">
        <f>'報廢20大－原因別分析'!AH32</f>
        <v>1157.0999999999999</v>
      </c>
      <c r="G25" s="143">
        <f>'報廢20大－原因別分析'!AH33</f>
        <v>0.05</v>
      </c>
      <c r="H25" s="142">
        <f>'報廢20大－原因別分析'!AI32</f>
        <v>2255.7000000000003</v>
      </c>
      <c r="I25" s="143">
        <f>'報廢20大－原因別分析'!AI33</f>
        <v>0.05</v>
      </c>
      <c r="J25" s="142">
        <f>'報廢20大－原因別分析'!AJ32</f>
        <v>0</v>
      </c>
      <c r="K25" s="143">
        <f>'報廢20大－原因別分析'!AJ33</f>
        <v>0</v>
      </c>
      <c r="L25" s="142"/>
      <c r="M25" s="143"/>
    </row>
    <row r="26" spans="1:13" ht="19.350000000000001" customHeight="1">
      <c r="D26" s="711"/>
      <c r="E26" s="144" t="s">
        <v>243</v>
      </c>
      <c r="F26" s="142">
        <f>'超用20大－原因別分析'!AH32</f>
        <v>22091.945799999929</v>
      </c>
      <c r="G26" s="143">
        <f>'超用20大－原因別分析'!AH33</f>
        <v>0.1</v>
      </c>
      <c r="H26" s="142">
        <f>'超用20大－原因別分析'!AI32</f>
        <v>18279.149400000002</v>
      </c>
      <c r="I26" s="143">
        <f>'超用20大－原因別分析'!AI33</f>
        <v>0.15</v>
      </c>
      <c r="J26" s="142">
        <f>'超用20大－原因別分析'!AJ32</f>
        <v>0</v>
      </c>
      <c r="K26" s="143">
        <f>'超用20大－原因別分析'!AJ33</f>
        <v>0</v>
      </c>
      <c r="L26" s="142"/>
      <c r="M26" s="143"/>
    </row>
    <row r="27" spans="1:13" ht="15.75" customHeight="1">
      <c r="A27" s="226" t="s">
        <v>428</v>
      </c>
      <c r="B27" s="227">
        <v>40956.337890000003</v>
      </c>
      <c r="E27" s="802" t="s">
        <v>462</v>
      </c>
      <c r="F27" s="803"/>
      <c r="G27" s="803"/>
      <c r="H27" s="803"/>
      <c r="I27" s="803"/>
      <c r="J27" s="803"/>
      <c r="K27" s="803"/>
      <c r="L27" s="803"/>
      <c r="M27" s="803"/>
    </row>
    <row r="28" spans="1:13" ht="15.75" customHeight="1">
      <c r="A28" s="804" t="s">
        <v>197</v>
      </c>
      <c r="B28" s="709" t="s">
        <v>10</v>
      </c>
      <c r="C28" s="709"/>
      <c r="D28" s="710"/>
      <c r="E28" s="708" t="s">
        <v>197</v>
      </c>
      <c r="F28" s="712">
        <v>1</v>
      </c>
      <c r="G28" s="712"/>
      <c r="H28" s="712">
        <v>2</v>
      </c>
      <c r="I28" s="712"/>
      <c r="J28" s="712">
        <v>3</v>
      </c>
      <c r="K28" s="712"/>
      <c r="L28" s="712">
        <v>4</v>
      </c>
      <c r="M28" s="712"/>
    </row>
    <row r="29" spans="1:13" ht="31.35" customHeight="1">
      <c r="A29" s="804"/>
      <c r="B29" s="709"/>
      <c r="C29" s="709"/>
      <c r="D29" s="711"/>
      <c r="E29" s="708"/>
      <c r="F29" s="714" t="s">
        <v>463</v>
      </c>
      <c r="G29" s="714"/>
      <c r="H29" s="714" t="s">
        <v>240</v>
      </c>
      <c r="I29" s="714"/>
      <c r="J29" s="714" t="s">
        <v>166</v>
      </c>
      <c r="K29" s="714"/>
      <c r="L29" s="714" t="s">
        <v>436</v>
      </c>
      <c r="M29" s="714"/>
    </row>
    <row r="30" spans="1:13" ht="15.75" customHeight="1">
      <c r="A30" s="804"/>
      <c r="B30" s="155" t="s">
        <v>11</v>
      </c>
      <c r="C30" s="155" t="s">
        <v>41</v>
      </c>
      <c r="D30" s="711"/>
      <c r="E30" s="708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50000000000001" customHeight="1">
      <c r="A31" s="228" t="s">
        <v>242</v>
      </c>
      <c r="B31" s="140">
        <f>日別報廢率總表!G18</f>
        <v>82404.169699999999</v>
      </c>
      <c r="C31" s="231">
        <f>B31/($B$27*1000)</f>
        <v>2.0120004362040385E-3</v>
      </c>
      <c r="D31" s="711"/>
      <c r="E31" s="139" t="s">
        <v>242</v>
      </c>
      <c r="F31" s="142">
        <f>'報廢20大－原因別分析'!AD54</f>
        <v>12003.257200000002</v>
      </c>
      <c r="G31" s="143">
        <f>'報廢20大－原因別分析'!AD55</f>
        <v>0.35</v>
      </c>
      <c r="H31" s="142">
        <f>'報廢20大－原因別分析'!AE54</f>
        <v>0</v>
      </c>
      <c r="I31" s="143">
        <f>'報廢20大－原因別分析'!AE55</f>
        <v>0</v>
      </c>
      <c r="J31" s="142">
        <f>'報廢20大－原因別分析'!AF54</f>
        <v>17333.218799999999</v>
      </c>
      <c r="K31" s="143">
        <f>'報廢20大－原因別分析'!AF55</f>
        <v>0.45</v>
      </c>
      <c r="L31" s="142">
        <f>'報廢20大－原因別分析'!AG54</f>
        <v>0</v>
      </c>
      <c r="M31" s="143">
        <f>'報廢20大－原因別分析'!AG55</f>
        <v>0</v>
      </c>
    </row>
    <row r="32" spans="1:13" ht="19.350000000000001" customHeight="1">
      <c r="A32" s="229" t="s">
        <v>243</v>
      </c>
      <c r="B32" s="145">
        <f>日別報廢率總表!H18</f>
        <v>255829.72526000004</v>
      </c>
      <c r="C32" s="141">
        <f>B32/($B$27*1000)</f>
        <v>6.2464013737532926E-3</v>
      </c>
      <c r="D32" s="711"/>
      <c r="E32" s="144" t="s">
        <v>243</v>
      </c>
      <c r="F32" s="142">
        <f>'超用20大－原因別分析'!AD54</f>
        <v>0</v>
      </c>
      <c r="G32" s="143">
        <f>'超用20大－原因別分析'!AD55</f>
        <v>0</v>
      </c>
      <c r="H32" s="142">
        <f>'超用20大－原因別分析'!AE54</f>
        <v>0</v>
      </c>
      <c r="I32" s="143">
        <f>'超用20大－原因別分析'!AD55</f>
        <v>0</v>
      </c>
      <c r="J32" s="142">
        <f>'超用20大－原因別分析'!AF54</f>
        <v>0</v>
      </c>
      <c r="K32" s="143">
        <f>'超用20大－原因別分析'!AF55</f>
        <v>0</v>
      </c>
      <c r="L32" s="142">
        <f>'超用20大－原因別分析'!AG54</f>
        <v>93055.681799999991</v>
      </c>
      <c r="M32" s="143">
        <f>'超用20大－原因別分析'!AG55</f>
        <v>0.75</v>
      </c>
    </row>
    <row r="33" spans="1:13" ht="15.75" customHeight="1">
      <c r="A33" s="225" t="s">
        <v>424</v>
      </c>
      <c r="B33" s="398" t="s">
        <v>699</v>
      </c>
      <c r="C33" s="224"/>
      <c r="D33" s="711"/>
      <c r="E33" s="708" t="s">
        <v>197</v>
      </c>
      <c r="F33" s="501"/>
      <c r="G33" s="502"/>
      <c r="H33" s="501"/>
      <c r="I33" s="502"/>
      <c r="J33" s="501"/>
      <c r="K33" s="502"/>
      <c r="L33" s="805"/>
      <c r="M33" s="806"/>
    </row>
    <row r="34" spans="1:13" ht="31.35" customHeight="1">
      <c r="A34" s="136" t="s">
        <v>425</v>
      </c>
      <c r="B34" s="398" t="s">
        <v>699</v>
      </c>
      <c r="C34" s="224"/>
      <c r="D34" s="711"/>
      <c r="E34" s="708"/>
      <c r="F34" s="807" t="s">
        <v>189</v>
      </c>
      <c r="G34" s="808"/>
      <c r="H34" s="807" t="s">
        <v>167</v>
      </c>
      <c r="I34" s="808"/>
      <c r="J34" s="807" t="s">
        <v>190</v>
      </c>
      <c r="K34" s="808"/>
      <c r="L34" s="809"/>
      <c r="M34" s="810"/>
    </row>
    <row r="35" spans="1:13" ht="15.75" customHeight="1">
      <c r="D35" s="711"/>
      <c r="E35" s="708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50000000000001" customHeight="1">
      <c r="D36" s="711"/>
      <c r="E36" s="139" t="s">
        <v>242</v>
      </c>
      <c r="F36" s="142">
        <f>'報廢20大－原因別分析'!AH54</f>
        <v>4197.3321000000014</v>
      </c>
      <c r="G36" s="143">
        <f>'報廢20大－原因別分析'!AH55</f>
        <v>0.05</v>
      </c>
      <c r="H36" s="142">
        <f>'報廢20大－原因別分析'!AI54</f>
        <v>5842.4750999999997</v>
      </c>
      <c r="I36" s="143">
        <f>'報廢20大－原因別分析'!AI55</f>
        <v>0.15</v>
      </c>
      <c r="J36" s="142">
        <f>'報廢20大－原因別分析'!AJ54</f>
        <v>0</v>
      </c>
      <c r="K36" s="143">
        <f>'報廢20大－原因別分析'!AJ55</f>
        <v>0</v>
      </c>
      <c r="L36" s="142"/>
      <c r="M36" s="143"/>
    </row>
    <row r="37" spans="1:13" ht="19.350000000000001" customHeight="1">
      <c r="D37" s="711"/>
      <c r="E37" s="144" t="s">
        <v>243</v>
      </c>
      <c r="F37" s="142">
        <f>'超用20大－原因別分析'!AH54</f>
        <v>16208.454199999993</v>
      </c>
      <c r="G37" s="143">
        <f>'超用20大－原因別分析'!AH55</f>
        <v>0.05</v>
      </c>
      <c r="H37" s="142">
        <f>'超用20大－原因別分析'!AI54</f>
        <v>25409.8969</v>
      </c>
      <c r="I37" s="143">
        <f>'超用20大－原因別分析'!AI55</f>
        <v>0.2</v>
      </c>
      <c r="J37" s="142">
        <f>'超用20大－原因別分析'!AJ54</f>
        <v>0</v>
      </c>
      <c r="K37" s="143">
        <f>'超用20大－原因別分析'!AJ55</f>
        <v>0</v>
      </c>
      <c r="L37" s="142"/>
      <c r="M37" s="143"/>
    </row>
    <row r="38" spans="1:13" ht="15.75" customHeight="1">
      <c r="A38" s="226" t="s">
        <v>428</v>
      </c>
      <c r="B38" s="227">
        <f>'生產管理報表(週) '!B6</f>
        <v>42516.57056</v>
      </c>
      <c r="E38" s="802" t="s">
        <v>462</v>
      </c>
      <c r="F38" s="803"/>
      <c r="G38" s="803"/>
      <c r="H38" s="803"/>
      <c r="I38" s="803"/>
      <c r="J38" s="803"/>
      <c r="K38" s="803"/>
      <c r="L38" s="803"/>
      <c r="M38" s="803"/>
    </row>
    <row r="39" spans="1:13" ht="15.75" customHeight="1">
      <c r="A39" s="804" t="s">
        <v>197</v>
      </c>
      <c r="B39" s="709" t="s">
        <v>10</v>
      </c>
      <c r="C39" s="709"/>
      <c r="D39" s="710"/>
      <c r="E39" s="708" t="s">
        <v>197</v>
      </c>
      <c r="F39" s="712">
        <v>1</v>
      </c>
      <c r="G39" s="712"/>
      <c r="H39" s="712">
        <v>2</v>
      </c>
      <c r="I39" s="712"/>
      <c r="J39" s="712">
        <v>3</v>
      </c>
      <c r="K39" s="712"/>
      <c r="L39" s="712">
        <v>4</v>
      </c>
      <c r="M39" s="712"/>
    </row>
    <row r="40" spans="1:13" ht="31.35" customHeight="1">
      <c r="A40" s="804"/>
      <c r="B40" s="709"/>
      <c r="C40" s="709"/>
      <c r="D40" s="711"/>
      <c r="E40" s="708"/>
      <c r="F40" s="714" t="s">
        <v>463</v>
      </c>
      <c r="G40" s="714"/>
      <c r="H40" s="714" t="s">
        <v>240</v>
      </c>
      <c r="I40" s="714"/>
      <c r="J40" s="714" t="s">
        <v>166</v>
      </c>
      <c r="K40" s="714"/>
      <c r="L40" s="714" t="s">
        <v>436</v>
      </c>
      <c r="M40" s="714"/>
    </row>
    <row r="41" spans="1:13" ht="15.75" customHeight="1">
      <c r="A41" s="804"/>
      <c r="B41" s="155" t="s">
        <v>11</v>
      </c>
      <c r="C41" s="155" t="s">
        <v>41</v>
      </c>
      <c r="D41" s="711"/>
      <c r="E41" s="708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50000000000001" customHeight="1">
      <c r="A42" s="228" t="s">
        <v>242</v>
      </c>
      <c r="B42" s="140">
        <f>日別報廢率總表!G25</f>
        <v>85594.078699999998</v>
      </c>
      <c r="C42" s="231">
        <f>B42/($B$38*1000)</f>
        <v>2.0131933872514106E-3</v>
      </c>
      <c r="D42" s="711"/>
      <c r="E42" s="139" t="s">
        <v>242</v>
      </c>
      <c r="F42" s="142">
        <f>'報廢20大－原因別分析'!AD76</f>
        <v>16691.254300000001</v>
      </c>
      <c r="G42" s="143">
        <f>'報廢20大－原因別分析'!AD77</f>
        <v>0.55000000000000004</v>
      </c>
      <c r="H42" s="142">
        <f>'報廢20大－原因別分析'!AE76</f>
        <v>0</v>
      </c>
      <c r="I42" s="143">
        <f>'報廢20大－原因別分析'!AE77</f>
        <v>0</v>
      </c>
      <c r="J42" s="142">
        <f>'報廢20大－原因別分析'!AF76</f>
        <v>13464.136</v>
      </c>
      <c r="K42" s="143">
        <f>'報廢20大－原因別分析'!AF77</f>
        <v>0.3</v>
      </c>
      <c r="L42" s="142">
        <f>'報廢20大－原因別分析'!AG76</f>
        <v>0</v>
      </c>
      <c r="M42" s="143">
        <f>'報廢20大－原因別分析'!AG77</f>
        <v>0</v>
      </c>
    </row>
    <row r="43" spans="1:13" ht="19.350000000000001" customHeight="1">
      <c r="A43" s="229" t="s">
        <v>243</v>
      </c>
      <c r="B43" s="145">
        <f>日別報廢率總表!H25</f>
        <v>262491.42059999995</v>
      </c>
      <c r="C43" s="141">
        <f>B43/($B$38*1000)</f>
        <v>6.1738615589789457E-3</v>
      </c>
      <c r="D43" s="711"/>
      <c r="E43" s="144" t="s">
        <v>243</v>
      </c>
      <c r="F43" s="142">
        <f>'超用20大－原因別分析'!AD76</f>
        <v>0</v>
      </c>
      <c r="G43" s="143">
        <f>'超用20大－原因別分析'!AD77</f>
        <v>0</v>
      </c>
      <c r="H43" s="142">
        <f>'超用20大－原因別分析'!AE76</f>
        <v>0</v>
      </c>
      <c r="I43" s="143">
        <f>'超用20大－原因別分析'!AE77</f>
        <v>0</v>
      </c>
      <c r="J43" s="142">
        <f>'超用20大－原因別分析'!AF76</f>
        <v>0</v>
      </c>
      <c r="K43" s="143">
        <f>'超用20大－原因別分析'!AF77</f>
        <v>0</v>
      </c>
      <c r="L43" s="142">
        <f>'超用20大－原因別分析'!AG76</f>
        <v>85694.064900000012</v>
      </c>
      <c r="M43" s="143">
        <f>'超用20大－原因別分析'!AG77</f>
        <v>0.7</v>
      </c>
    </row>
    <row r="44" spans="1:13" ht="15.75" customHeight="1">
      <c r="A44" s="225" t="s">
        <v>424</v>
      </c>
      <c r="B44" s="398" t="s">
        <v>700</v>
      </c>
      <c r="C44" s="224"/>
      <c r="D44" s="711"/>
      <c r="E44" s="708" t="s">
        <v>197</v>
      </c>
      <c r="F44" s="501">
        <v>5</v>
      </c>
      <c r="G44" s="502"/>
      <c r="H44" s="501">
        <v>6</v>
      </c>
      <c r="I44" s="502"/>
      <c r="J44" s="501">
        <v>7</v>
      </c>
      <c r="K44" s="502"/>
      <c r="L44" s="805"/>
      <c r="M44" s="806"/>
    </row>
    <row r="45" spans="1:13" ht="31.35" customHeight="1">
      <c r="A45" s="136" t="s">
        <v>425</v>
      </c>
      <c r="B45" s="398" t="s">
        <v>700</v>
      </c>
      <c r="C45" s="224"/>
      <c r="D45" s="711"/>
      <c r="E45" s="708"/>
      <c r="F45" s="807" t="s">
        <v>189</v>
      </c>
      <c r="G45" s="808"/>
      <c r="H45" s="807" t="s">
        <v>167</v>
      </c>
      <c r="I45" s="808"/>
      <c r="J45" s="807" t="s">
        <v>190</v>
      </c>
      <c r="K45" s="808"/>
      <c r="L45" s="809"/>
      <c r="M45" s="810"/>
    </row>
    <row r="46" spans="1:13" ht="15.75" customHeight="1">
      <c r="D46" s="711"/>
      <c r="E46" s="708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50000000000001" customHeight="1">
      <c r="D47" s="711"/>
      <c r="E47" s="139" t="s">
        <v>242</v>
      </c>
      <c r="F47" s="142">
        <f>'報廢20大－原因別分析'!AH76</f>
        <v>2979.5603000000001</v>
      </c>
      <c r="G47" s="143">
        <f>'報廢20大－原因別分析'!AH77</f>
        <v>0.05</v>
      </c>
      <c r="H47" s="142">
        <f>'報廢20大－原因別分析'!AI76</f>
        <v>4321.8522000000003</v>
      </c>
      <c r="I47" s="143">
        <f>'報廢20大－原因別分析'!AI77</f>
        <v>0.1</v>
      </c>
      <c r="J47" s="142">
        <f>'報廢20大－原因別分析'!AJ76</f>
        <v>0</v>
      </c>
      <c r="K47" s="143">
        <f>'報廢20大－原因別分析'!AJ77</f>
        <v>0</v>
      </c>
      <c r="L47" s="142"/>
      <c r="M47" s="143"/>
    </row>
    <row r="48" spans="1:13" ht="19.350000000000001" customHeight="1">
      <c r="D48" s="711"/>
      <c r="E48" s="144" t="s">
        <v>243</v>
      </c>
      <c r="F48" s="142">
        <f>'超用20大－原因別分析'!AH76</f>
        <v>17150.531899999991</v>
      </c>
      <c r="G48" s="143">
        <f>'超用20大－原因別分析'!AH77</f>
        <v>0.05</v>
      </c>
      <c r="H48" s="142">
        <f>'超用20大－原因別分析'!AI76</f>
        <v>31135.338600000017</v>
      </c>
      <c r="I48" s="143">
        <f>'超用20大－原因別分析'!AI77</f>
        <v>0.25</v>
      </c>
      <c r="J48" s="142">
        <f>'超用20大－原因別分析'!AJ76</f>
        <v>0</v>
      </c>
      <c r="K48" s="143">
        <f>'超用20大－原因別分析'!AJ77</f>
        <v>0</v>
      </c>
      <c r="L48" s="142"/>
      <c r="M48" s="143"/>
    </row>
    <row r="49" spans="1:14" ht="15.75" customHeight="1">
      <c r="A49" s="226" t="s">
        <v>428</v>
      </c>
      <c r="B49" s="227"/>
      <c r="E49" s="802" t="s">
        <v>462</v>
      </c>
      <c r="F49" s="803"/>
      <c r="G49" s="803"/>
      <c r="H49" s="803"/>
      <c r="I49" s="803"/>
      <c r="J49" s="803"/>
      <c r="K49" s="803"/>
      <c r="L49" s="803"/>
      <c r="M49" s="803"/>
      <c r="N49" s="469" t="s">
        <v>676</v>
      </c>
    </row>
    <row r="50" spans="1:14" ht="15.75" customHeight="1">
      <c r="A50" s="804" t="s">
        <v>197</v>
      </c>
      <c r="B50" s="709" t="s">
        <v>10</v>
      </c>
      <c r="C50" s="709"/>
      <c r="D50" s="710"/>
      <c r="E50" s="708" t="s">
        <v>197</v>
      </c>
      <c r="F50" s="712">
        <v>1</v>
      </c>
      <c r="G50" s="712"/>
      <c r="H50" s="712">
        <v>2</v>
      </c>
      <c r="I50" s="712"/>
      <c r="J50" s="712">
        <v>3</v>
      </c>
      <c r="K50" s="712"/>
      <c r="L50" s="712">
        <v>4</v>
      </c>
      <c r="M50" s="712"/>
    </row>
    <row r="51" spans="1:14" ht="31.35" customHeight="1">
      <c r="A51" s="804"/>
      <c r="B51" s="709"/>
      <c r="C51" s="709"/>
      <c r="D51" s="711"/>
      <c r="E51" s="708"/>
      <c r="F51" s="714" t="s">
        <v>463</v>
      </c>
      <c r="G51" s="714"/>
      <c r="H51" s="714" t="s">
        <v>240</v>
      </c>
      <c r="I51" s="714"/>
      <c r="J51" s="714" t="s">
        <v>166</v>
      </c>
      <c r="K51" s="714"/>
      <c r="L51" s="714" t="s">
        <v>436</v>
      </c>
      <c r="M51" s="714"/>
    </row>
    <row r="52" spans="1:14" ht="15.75" customHeight="1">
      <c r="A52" s="804"/>
      <c r="B52" s="155" t="s">
        <v>11</v>
      </c>
      <c r="C52" s="155" t="s">
        <v>41</v>
      </c>
      <c r="D52" s="711"/>
      <c r="E52" s="708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4" ht="19.350000000000001" customHeight="1">
      <c r="A53" s="228" t="s">
        <v>242</v>
      </c>
      <c r="B53" s="140">
        <f>日別報廢率總表!G32</f>
        <v>0</v>
      </c>
      <c r="C53" s="231" t="e">
        <f>B53/($B$49*1000)</f>
        <v>#DIV/0!</v>
      </c>
      <c r="D53" s="711"/>
      <c r="E53" s="139" t="s">
        <v>242</v>
      </c>
      <c r="F53" s="142">
        <f>'報廢20大－原因別分析'!AD98</f>
        <v>0</v>
      </c>
      <c r="G53" s="143">
        <f>'報廢20大－原因別分析'!AD99</f>
        <v>0</v>
      </c>
      <c r="H53" s="142">
        <f>'報廢20大－原因別分析'!AE98</f>
        <v>0</v>
      </c>
      <c r="I53" s="143">
        <f>'報廢20大－原因別分析'!AE99</f>
        <v>0</v>
      </c>
      <c r="J53" s="142">
        <f>'報廢20大－原因別分析'!AF98</f>
        <v>0</v>
      </c>
      <c r="K53" s="143">
        <f>'報廢20大－原因別分析'!AF99</f>
        <v>0</v>
      </c>
      <c r="L53" s="142">
        <f>'報廢20大－原因別分析'!AG98</f>
        <v>0</v>
      </c>
      <c r="M53" s="143">
        <f>'報廢20大－原因別分析'!AG99</f>
        <v>0</v>
      </c>
    </row>
    <row r="54" spans="1:14" ht="19.350000000000001" customHeight="1">
      <c r="A54" s="229" t="s">
        <v>243</v>
      </c>
      <c r="B54" s="145">
        <f>日別報廢率總表!H32</f>
        <v>0</v>
      </c>
      <c r="C54" s="141" t="e">
        <f>B54/($B$49*1000)</f>
        <v>#DIV/0!</v>
      </c>
      <c r="D54" s="711"/>
      <c r="E54" s="144" t="s">
        <v>243</v>
      </c>
      <c r="F54" s="142">
        <f>'超用20大－原因別分析'!AD98</f>
        <v>0</v>
      </c>
      <c r="G54" s="143">
        <f>'超用20大－原因別分析'!AD99</f>
        <v>0</v>
      </c>
      <c r="H54" s="142">
        <f>'超用20大－原因別分析'!AE98</f>
        <v>0</v>
      </c>
      <c r="I54" s="143">
        <f>'超用20大－原因別分析'!AE99</f>
        <v>0</v>
      </c>
      <c r="J54" s="142">
        <f>'超用20大－原因別分析'!AF98</f>
        <v>0</v>
      </c>
      <c r="K54" s="143">
        <f>'超用20大－原因別分析'!AF99</f>
        <v>0</v>
      </c>
      <c r="L54" s="142">
        <f>'超用20大－原因別分析'!AG98</f>
        <v>0</v>
      </c>
      <c r="M54" s="143">
        <f>'超用20大－原因別分析'!AG99</f>
        <v>0</v>
      </c>
    </row>
    <row r="55" spans="1:14" ht="15.75" customHeight="1">
      <c r="A55" s="225" t="s">
        <v>424</v>
      </c>
      <c r="B55" s="398" t="s">
        <v>701</v>
      </c>
      <c r="C55" s="224"/>
      <c r="D55" s="711"/>
      <c r="E55" s="708" t="s">
        <v>197</v>
      </c>
      <c r="F55" s="501">
        <v>5</v>
      </c>
      <c r="G55" s="502"/>
      <c r="H55" s="501">
        <v>6</v>
      </c>
      <c r="I55" s="502"/>
      <c r="J55" s="501">
        <v>7</v>
      </c>
      <c r="K55" s="502"/>
      <c r="L55" s="805"/>
      <c r="M55" s="806"/>
    </row>
    <row r="56" spans="1:14" ht="31.35" customHeight="1">
      <c r="A56" s="136" t="s">
        <v>425</v>
      </c>
      <c r="B56" s="398" t="s">
        <v>701</v>
      </c>
      <c r="C56" s="224"/>
      <c r="D56" s="711"/>
      <c r="E56" s="708"/>
      <c r="F56" s="807" t="s">
        <v>189</v>
      </c>
      <c r="G56" s="808"/>
      <c r="H56" s="807" t="s">
        <v>167</v>
      </c>
      <c r="I56" s="808"/>
      <c r="J56" s="807" t="s">
        <v>190</v>
      </c>
      <c r="K56" s="808"/>
      <c r="L56" s="809"/>
      <c r="M56" s="810"/>
    </row>
    <row r="57" spans="1:14" ht="15.75" customHeight="1">
      <c r="D57" s="711"/>
      <c r="E57" s="708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4" ht="19.350000000000001" customHeight="1">
      <c r="D58" s="711"/>
      <c r="E58" s="139" t="s">
        <v>242</v>
      </c>
      <c r="F58" s="142">
        <f>'報廢20大－原因別分析'!AH98</f>
        <v>0</v>
      </c>
      <c r="G58" s="143">
        <f>'報廢20大－原因別分析'!AH99</f>
        <v>0</v>
      </c>
      <c r="H58" s="142">
        <f>'報廢20大－原因別分析'!AI98</f>
        <v>0</v>
      </c>
      <c r="I58" s="143">
        <f>'報廢20大－原因別分析'!AI99</f>
        <v>0</v>
      </c>
      <c r="J58" s="142">
        <f>'報廢20大－原因別分析'!AJ98</f>
        <v>0</v>
      </c>
      <c r="K58" s="143">
        <f>'報廢20大－原因別分析'!AJ99</f>
        <v>0</v>
      </c>
      <c r="L58" s="142"/>
      <c r="M58" s="143"/>
    </row>
    <row r="59" spans="1:14" ht="19.350000000000001" customHeight="1">
      <c r="D59" s="711"/>
      <c r="E59" s="144" t="s">
        <v>243</v>
      </c>
      <c r="F59" s="142">
        <f>'超用20大－原因別分析'!AH98</f>
        <v>0</v>
      </c>
      <c r="G59" s="143">
        <f>'超用20大－原因別分析'!AH99</f>
        <v>0</v>
      </c>
      <c r="H59" s="142">
        <f>'超用20大－原因別分析'!AI98</f>
        <v>0</v>
      </c>
      <c r="I59" s="143">
        <f>'超用20大－原因別分析'!AI99</f>
        <v>0</v>
      </c>
      <c r="J59" s="142">
        <f>'超用20大－原因別分析'!AJ98</f>
        <v>0</v>
      </c>
      <c r="K59" s="143">
        <f>'超用20大－原因別分析'!AJ99</f>
        <v>0</v>
      </c>
      <c r="L59" s="142"/>
      <c r="M59" s="143"/>
    </row>
  </sheetData>
  <mergeCells count="112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8">
    <tabColor rgb="FF92D050"/>
    <outlinePr summaryBelow="0" summaryRight="0"/>
  </sheetPr>
  <dimension ref="A1:BW114"/>
  <sheetViews>
    <sheetView view="pageBreakPreview" topLeftCell="A55" zoomScaleNormal="60" zoomScaleSheetLayoutView="100" workbookViewId="0">
      <selection activeCell="N70" sqref="N70:P70"/>
    </sheetView>
  </sheetViews>
  <sheetFormatPr defaultColWidth="12.5703125" defaultRowHeight="15.75" customHeight="1"/>
  <cols>
    <col min="1" max="1" width="5.42578125" style="99" customWidth="1"/>
    <col min="2" max="2" width="11.42578125" style="132" customWidth="1"/>
    <col min="3" max="3" width="4" style="130" customWidth="1"/>
    <col min="4" max="9" width="9.5703125" style="99" customWidth="1"/>
    <col min="10" max="10" width="9.85546875" style="99" customWidth="1"/>
    <col min="11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557" t="s">
        <v>367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</row>
    <row r="2" spans="1:75" s="10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</row>
    <row r="3" spans="1:75" s="136" customFormat="1" ht="15.75" customHeight="1">
      <c r="A3" s="551" t="s">
        <v>613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R3" s="233"/>
      <c r="S3" s="233"/>
      <c r="T3" s="233"/>
      <c r="U3" s="233"/>
    </row>
    <row r="4" spans="1:75" s="137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75" s="136" customFormat="1" ht="15.75" customHeight="1">
      <c r="A5" s="553" t="s">
        <v>191</v>
      </c>
      <c r="B5" s="555">
        <v>1</v>
      </c>
      <c r="C5" s="556"/>
      <c r="D5" s="555">
        <v>2</v>
      </c>
      <c r="E5" s="556"/>
      <c r="F5" s="555">
        <v>3</v>
      </c>
      <c r="G5" s="556"/>
      <c r="H5" s="501">
        <v>4</v>
      </c>
      <c r="I5" s="502"/>
      <c r="J5" s="501">
        <v>5</v>
      </c>
      <c r="K5" s="502"/>
      <c r="L5" s="501">
        <v>6</v>
      </c>
      <c r="M5" s="502"/>
      <c r="N5" s="501">
        <v>7</v>
      </c>
      <c r="O5" s="502"/>
      <c r="P5" s="501">
        <v>8</v>
      </c>
      <c r="Q5" s="502"/>
      <c r="R5" s="233"/>
      <c r="S5" s="233"/>
      <c r="T5" s="233"/>
      <c r="U5" s="233"/>
    </row>
    <row r="6" spans="1:75" s="136" customFormat="1" ht="15.75" customHeight="1">
      <c r="A6" s="554"/>
      <c r="B6" s="545" t="s">
        <v>463</v>
      </c>
      <c r="C6" s="546"/>
      <c r="D6" s="545" t="s">
        <v>212</v>
      </c>
      <c r="E6" s="546"/>
      <c r="F6" s="545" t="s">
        <v>166</v>
      </c>
      <c r="G6" s="546"/>
      <c r="H6" s="547" t="s">
        <v>436</v>
      </c>
      <c r="I6" s="548"/>
      <c r="J6" s="547" t="s">
        <v>189</v>
      </c>
      <c r="K6" s="548"/>
      <c r="L6" s="547" t="s">
        <v>167</v>
      </c>
      <c r="M6" s="548"/>
      <c r="N6" s="547" t="s">
        <v>190</v>
      </c>
      <c r="O6" s="548"/>
      <c r="P6" s="549" t="s">
        <v>217</v>
      </c>
      <c r="Q6" s="550"/>
      <c r="R6" s="233"/>
      <c r="S6" s="233"/>
      <c r="T6" s="233"/>
      <c r="U6" s="233"/>
    </row>
    <row r="7" spans="1:75" s="136" customFormat="1" ht="15.75" customHeight="1">
      <c r="B7" s="234"/>
      <c r="C7" s="235"/>
      <c r="R7" s="233"/>
      <c r="S7" s="233"/>
      <c r="T7" s="233"/>
      <c r="U7" s="233"/>
    </row>
    <row r="8" spans="1:75" s="237" customFormat="1" ht="15.75" customHeight="1">
      <c r="A8" s="501" t="s">
        <v>191</v>
      </c>
      <c r="B8" s="502"/>
      <c r="C8" s="236" t="s">
        <v>47</v>
      </c>
      <c r="D8" s="532" t="s">
        <v>12</v>
      </c>
      <c r="E8" s="504"/>
      <c r="F8" s="506"/>
      <c r="G8" s="533" t="s">
        <v>53</v>
      </c>
      <c r="H8" s="534"/>
      <c r="I8" s="535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536" t="s">
        <v>51</v>
      </c>
      <c r="P8" s="537"/>
    </row>
    <row r="9" spans="1:75" s="136" customFormat="1" ht="50.1" customHeight="1">
      <c r="A9" s="509">
        <v>1</v>
      </c>
      <c r="B9" s="512" t="s">
        <v>464</v>
      </c>
      <c r="C9" s="238">
        <v>1</v>
      </c>
      <c r="D9" s="239" t="s">
        <v>344</v>
      </c>
      <c r="E9" s="240"/>
      <c r="F9" s="240"/>
      <c r="G9" s="308" t="s">
        <v>336</v>
      </c>
      <c r="H9" s="307"/>
      <c r="I9" s="308"/>
      <c r="J9" s="238">
        <v>141.66999999999999</v>
      </c>
      <c r="K9" s="244">
        <v>1.4505572262515478E-2</v>
      </c>
      <c r="L9" s="238">
        <v>8.1999999999999993</v>
      </c>
      <c r="M9" s="324">
        <f>L9*J9</f>
        <v>1161.6939999999997</v>
      </c>
      <c r="N9" s="245"/>
      <c r="O9" s="538" t="s">
        <v>479</v>
      </c>
      <c r="P9" s="539"/>
      <c r="R9" s="233"/>
      <c r="S9" s="407"/>
      <c r="T9" s="263"/>
      <c r="U9" s="233"/>
    </row>
    <row r="10" spans="1:75" s="136" customFormat="1" ht="50.1" customHeight="1">
      <c r="A10" s="510"/>
      <c r="B10" s="513"/>
      <c r="C10" s="238">
        <v>2</v>
      </c>
      <c r="D10" s="239" t="s">
        <v>355</v>
      </c>
      <c r="E10" s="240"/>
      <c r="F10" s="240"/>
      <c r="G10" s="308" t="s">
        <v>589</v>
      </c>
      <c r="H10" s="307"/>
      <c r="I10" s="308"/>
      <c r="J10" s="238">
        <v>189.18000000000004</v>
      </c>
      <c r="K10" s="244">
        <v>1.2543039842597145E-2</v>
      </c>
      <c r="L10" s="238">
        <v>6.1199999999999992</v>
      </c>
      <c r="M10" s="324">
        <f t="shared" ref="M10:M13" si="0">L10*J10</f>
        <v>1157.7816</v>
      </c>
      <c r="N10" s="245"/>
      <c r="O10" s="540" t="s">
        <v>579</v>
      </c>
      <c r="P10" s="516"/>
      <c r="R10" s="233"/>
      <c r="S10" s="408"/>
      <c r="T10" s="408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s="136" customFormat="1" ht="50.1" customHeight="1">
      <c r="A11" s="510"/>
      <c r="B11" s="513"/>
      <c r="C11" s="238">
        <v>3</v>
      </c>
      <c r="D11" s="239" t="s">
        <v>353</v>
      </c>
      <c r="E11" s="240"/>
      <c r="F11" s="240"/>
      <c r="G11" s="308" t="s">
        <v>361</v>
      </c>
      <c r="H11" s="307"/>
      <c r="I11" s="308"/>
      <c r="J11" s="238">
        <v>253.92000000000002</v>
      </c>
      <c r="K11" s="244">
        <v>1.9292050641632936E-2</v>
      </c>
      <c r="L11" s="238">
        <v>4.4799999999999995</v>
      </c>
      <c r="M11" s="324">
        <f t="shared" si="0"/>
        <v>1137.5616</v>
      </c>
      <c r="N11" s="245"/>
      <c r="O11" s="541" t="s">
        <v>518</v>
      </c>
      <c r="P11" s="518"/>
      <c r="R11" s="233"/>
      <c r="S11" s="407"/>
      <c r="T11" s="407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s="136" customFormat="1" ht="50.1" customHeight="1">
      <c r="A12" s="510"/>
      <c r="B12" s="513"/>
      <c r="C12" s="238">
        <v>4</v>
      </c>
      <c r="D12" s="239" t="s">
        <v>344</v>
      </c>
      <c r="E12" s="240"/>
      <c r="F12" s="240"/>
      <c r="G12" s="308" t="s">
        <v>494</v>
      </c>
      <c r="H12" s="307"/>
      <c r="I12" s="308"/>
      <c r="J12" s="238">
        <v>203.57999999999998</v>
      </c>
      <c r="K12" s="244">
        <v>2.9347768402059115E-2</v>
      </c>
      <c r="L12" s="238">
        <v>5.5299999999999994</v>
      </c>
      <c r="M12" s="324">
        <f t="shared" si="0"/>
        <v>1125.7973999999997</v>
      </c>
      <c r="N12" s="245"/>
      <c r="O12" s="541" t="s">
        <v>658</v>
      </c>
      <c r="P12" s="518"/>
      <c r="R12" s="233"/>
      <c r="S12" s="408"/>
      <c r="T12" s="408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s="136" customFormat="1" ht="50.1" customHeight="1" thickBot="1">
      <c r="A13" s="510"/>
      <c r="B13" s="513"/>
      <c r="C13" s="238">
        <v>5</v>
      </c>
      <c r="D13" s="246" t="s">
        <v>447</v>
      </c>
      <c r="E13" s="247"/>
      <c r="F13" s="247"/>
      <c r="G13" s="308" t="s">
        <v>448</v>
      </c>
      <c r="H13" s="307"/>
      <c r="I13" s="308"/>
      <c r="J13" s="249">
        <v>181.60999999999999</v>
      </c>
      <c r="K13" s="250">
        <v>1.3401655498620416E-2</v>
      </c>
      <c r="L13" s="249">
        <v>6.1199999999999992</v>
      </c>
      <c r="M13" s="325">
        <f t="shared" si="0"/>
        <v>1111.4531999999997</v>
      </c>
      <c r="N13" s="245"/>
      <c r="O13" s="541" t="s">
        <v>579</v>
      </c>
      <c r="P13" s="518"/>
      <c r="R13" s="233"/>
      <c r="S13" s="407"/>
      <c r="T13" s="407"/>
      <c r="U13" s="233"/>
      <c r="V13" s="409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s="136" customFormat="1" ht="15.75" customHeight="1" thickTop="1">
      <c r="A14" s="511"/>
      <c r="B14" s="514"/>
      <c r="C14" s="519"/>
      <c r="D14" s="520"/>
      <c r="E14" s="520"/>
      <c r="F14" s="520"/>
      <c r="G14" s="520"/>
      <c r="H14" s="520"/>
      <c r="I14" s="521"/>
      <c r="J14" s="251" t="s">
        <v>58</v>
      </c>
      <c r="K14" s="213">
        <f>M14/'生產管理報表 7-1 (週)'!$B$9</f>
        <v>7.5570612331192832E-2</v>
      </c>
      <c r="L14" s="251" t="s">
        <v>59</v>
      </c>
      <c r="M14" s="326">
        <f>SUM(M9:M13)</f>
        <v>5694.2877999999992</v>
      </c>
      <c r="N14" s="542"/>
      <c r="O14" s="543"/>
      <c r="P14" s="544"/>
      <c r="R14" s="233"/>
      <c r="S14" s="211"/>
      <c r="T14" s="21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s="136" customFormat="1" ht="15.75" customHeight="1"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R15" s="233"/>
      <c r="S15" s="263"/>
      <c r="T15" s="26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s="136" customFormat="1" ht="15.75" customHeight="1">
      <c r="A16" s="501" t="s">
        <v>191</v>
      </c>
      <c r="B16" s="502"/>
      <c r="C16" s="254" t="s">
        <v>47</v>
      </c>
      <c r="D16" s="503" t="s">
        <v>12</v>
      </c>
      <c r="E16" s="504"/>
      <c r="F16" s="505"/>
      <c r="G16" s="503" t="s">
        <v>53</v>
      </c>
      <c r="H16" s="504"/>
      <c r="I16" s="505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525" t="s">
        <v>51</v>
      </c>
      <c r="P16" s="526"/>
      <c r="R16" s="233"/>
      <c r="S16" s="211"/>
      <c r="T16" s="211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s="136" customFormat="1" ht="20.100000000000001" customHeight="1">
      <c r="A17" s="509">
        <v>2</v>
      </c>
      <c r="B17" s="512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527"/>
      <c r="P17" s="528"/>
      <c r="R17" s="233"/>
      <c r="S17" s="263"/>
      <c r="T17" s="26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s="136" customFormat="1" ht="20.100000000000001" customHeight="1">
      <c r="A18" s="510"/>
      <c r="B18" s="513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527"/>
      <c r="P18" s="528"/>
      <c r="R18" s="233"/>
      <c r="S18" s="211"/>
      <c r="T18" s="211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s="136" customFormat="1" ht="20.100000000000001" customHeight="1">
      <c r="A19" s="510"/>
      <c r="B19" s="513"/>
      <c r="C19" s="258">
        <v>3</v>
      </c>
      <c r="D19" s="239"/>
      <c r="E19" s="240"/>
      <c r="F19" s="241"/>
      <c r="G19" s="239"/>
      <c r="H19" s="240"/>
      <c r="I19" s="270"/>
      <c r="J19" s="259"/>
      <c r="K19" s="260"/>
      <c r="L19" s="259"/>
      <c r="M19" s="261">
        <f t="shared" si="1"/>
        <v>0</v>
      </c>
      <c r="N19" s="262"/>
      <c r="O19" s="527"/>
      <c r="P19" s="528"/>
      <c r="R19" s="233"/>
      <c r="S19" s="263"/>
      <c r="T19" s="26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s="136" customFormat="1" ht="20.100000000000001" customHeight="1">
      <c r="A20" s="510"/>
      <c r="B20" s="513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527"/>
      <c r="P20" s="528"/>
      <c r="R20" s="233"/>
      <c r="S20" s="211"/>
      <c r="T20" s="211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s="136" customFormat="1" ht="20.100000000000001" customHeight="1" thickBot="1">
      <c r="A21" s="510"/>
      <c r="B21" s="513"/>
      <c r="C21" s="264">
        <v>5</v>
      </c>
      <c r="D21" s="246"/>
      <c r="E21" s="247"/>
      <c r="F21" s="248"/>
      <c r="G21" s="239"/>
      <c r="H21" s="240"/>
      <c r="I21" s="241"/>
      <c r="J21" s="265"/>
      <c r="K21" s="266"/>
      <c r="L21" s="265"/>
      <c r="M21" s="267">
        <f t="shared" si="1"/>
        <v>0</v>
      </c>
      <c r="N21" s="268"/>
      <c r="O21" s="527"/>
      <c r="P21" s="528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s="136" customFormat="1" ht="15.75" customHeight="1" thickTop="1">
      <c r="A22" s="511"/>
      <c r="B22" s="514"/>
      <c r="C22" s="519"/>
      <c r="D22" s="520"/>
      <c r="E22" s="520"/>
      <c r="F22" s="520"/>
      <c r="G22" s="520"/>
      <c r="H22" s="520"/>
      <c r="I22" s="521"/>
      <c r="J22" s="251" t="s">
        <v>58</v>
      </c>
      <c r="K22" s="213">
        <f>M22/'生產管理報表 7-1 (週)'!$B$9</f>
        <v>0</v>
      </c>
      <c r="L22" s="251" t="s">
        <v>59</v>
      </c>
      <c r="M22" s="252">
        <f>SUM(M17:M21)</f>
        <v>0</v>
      </c>
      <c r="N22" s="529"/>
      <c r="O22" s="530"/>
      <c r="P22" s="531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s="136" customFormat="1" ht="15.75" customHeight="1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s="136" customFormat="1" ht="15.75" customHeight="1">
      <c r="A24" s="501" t="s">
        <v>191</v>
      </c>
      <c r="B24" s="502"/>
      <c r="C24" s="254" t="s">
        <v>47</v>
      </c>
      <c r="D24" s="503" t="s">
        <v>12</v>
      </c>
      <c r="E24" s="504"/>
      <c r="F24" s="505"/>
      <c r="G24" s="503" t="s">
        <v>53</v>
      </c>
      <c r="H24" s="504"/>
      <c r="I24" s="506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507" t="s">
        <v>51</v>
      </c>
      <c r="P24" s="508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s="136" customFormat="1" ht="50.1" customHeight="1">
      <c r="A25" s="509">
        <v>3</v>
      </c>
      <c r="B25" s="512" t="s">
        <v>429</v>
      </c>
      <c r="C25" s="258">
        <v>1</v>
      </c>
      <c r="D25" s="239" t="s">
        <v>342</v>
      </c>
      <c r="E25" s="240"/>
      <c r="F25" s="241"/>
      <c r="G25" s="248" t="s">
        <v>459</v>
      </c>
      <c r="H25" s="247"/>
      <c r="I25" s="248"/>
      <c r="J25" s="259">
        <v>2.4499999999999997</v>
      </c>
      <c r="K25" s="260">
        <v>4.5906498960413362E-3</v>
      </c>
      <c r="L25" s="259">
        <v>669</v>
      </c>
      <c r="M25" s="327">
        <f t="shared" ref="M25:M29" si="2">L25*J25</f>
        <v>1639.0499999999997</v>
      </c>
      <c r="N25" s="272"/>
      <c r="O25" s="515" t="s">
        <v>475</v>
      </c>
      <c r="P25" s="516"/>
      <c r="R25" s="233"/>
      <c r="S25" s="409"/>
      <c r="T25" s="409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s="136" customFormat="1" ht="50.1" customHeight="1">
      <c r="A26" s="510"/>
      <c r="B26" s="513"/>
      <c r="C26" s="258">
        <v>2</v>
      </c>
      <c r="D26" s="239" t="s">
        <v>342</v>
      </c>
      <c r="E26" s="240"/>
      <c r="F26" s="241"/>
      <c r="G26" s="248" t="s">
        <v>458</v>
      </c>
      <c r="H26" s="247"/>
      <c r="I26" s="248"/>
      <c r="J26" s="259">
        <v>1.17</v>
      </c>
      <c r="K26" s="260">
        <v>4.7437248432290495E-3</v>
      </c>
      <c r="L26" s="259">
        <v>1373</v>
      </c>
      <c r="M26" s="327">
        <f t="shared" si="2"/>
        <v>1606.4099999999999</v>
      </c>
      <c r="N26" s="272"/>
      <c r="O26" s="517" t="s">
        <v>578</v>
      </c>
      <c r="P26" s="518"/>
      <c r="R26" s="233"/>
      <c r="S26" s="409"/>
      <c r="T26" s="416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s="136" customFormat="1" ht="50.1" customHeight="1">
      <c r="A27" s="510"/>
      <c r="B27" s="513"/>
      <c r="C27" s="258">
        <v>3</v>
      </c>
      <c r="D27" s="239" t="s">
        <v>342</v>
      </c>
      <c r="E27" s="240"/>
      <c r="F27" s="241"/>
      <c r="G27" s="248" t="s">
        <v>568</v>
      </c>
      <c r="H27" s="247"/>
      <c r="I27" s="248"/>
      <c r="J27" s="259">
        <v>1.1599999999999999</v>
      </c>
      <c r="K27" s="260">
        <v>6.2600436524116758E-3</v>
      </c>
      <c r="L27" s="259">
        <v>1044</v>
      </c>
      <c r="M27" s="327">
        <f t="shared" si="2"/>
        <v>1211.04</v>
      </c>
      <c r="N27" s="272"/>
      <c r="O27" s="517" t="s">
        <v>657</v>
      </c>
      <c r="P27" s="518"/>
      <c r="R27" s="409"/>
      <c r="S27" s="409"/>
      <c r="T27" s="416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s="136" customFormat="1" ht="50.1" customHeight="1">
      <c r="A28" s="510"/>
      <c r="B28" s="513"/>
      <c r="C28" s="258">
        <v>4</v>
      </c>
      <c r="D28" s="239"/>
      <c r="E28" s="240"/>
      <c r="F28" s="241"/>
      <c r="G28" s="246"/>
      <c r="H28" s="247"/>
      <c r="I28" s="248"/>
      <c r="J28" s="271"/>
      <c r="K28" s="260"/>
      <c r="L28" s="259"/>
      <c r="M28" s="327">
        <f t="shared" si="2"/>
        <v>0</v>
      </c>
      <c r="N28" s="272"/>
      <c r="O28" s="517"/>
      <c r="P28" s="518"/>
      <c r="R28" s="233"/>
      <c r="S28" s="233"/>
      <c r="T28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s="136" customFormat="1" ht="30" customHeight="1" thickBot="1">
      <c r="A29" s="510"/>
      <c r="B29" s="513"/>
      <c r="C29" s="264">
        <v>5</v>
      </c>
      <c r="D29" s="246"/>
      <c r="E29" s="247"/>
      <c r="F29" s="248"/>
      <c r="G29" s="391"/>
      <c r="H29" s="392"/>
      <c r="I29" s="393"/>
      <c r="J29" s="274"/>
      <c r="K29" s="266"/>
      <c r="L29" s="275"/>
      <c r="M29" s="327">
        <f t="shared" si="2"/>
        <v>0</v>
      </c>
      <c r="N29" s="272"/>
      <c r="O29" s="517"/>
      <c r="P29" s="518"/>
      <c r="R29" s="233"/>
      <c r="S29" s="233"/>
      <c r="T29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s="136" customFormat="1" ht="15.75" customHeight="1" thickTop="1">
      <c r="A30" s="511"/>
      <c r="B30" s="514"/>
      <c r="C30" s="519"/>
      <c r="D30" s="520"/>
      <c r="E30" s="520"/>
      <c r="F30" s="520"/>
      <c r="G30" s="520"/>
      <c r="H30" s="520"/>
      <c r="I30" s="521"/>
      <c r="J30" s="276" t="s">
        <v>58</v>
      </c>
      <c r="K30" s="213">
        <f>M30/'生產管理報表 7-1 (週)'!$B$9</f>
        <v>5.9143556785795214E-2</v>
      </c>
      <c r="L30" s="276" t="s">
        <v>59</v>
      </c>
      <c r="M30" s="328">
        <f>SUM(M25:M29)</f>
        <v>4456.5</v>
      </c>
      <c r="N30" s="522"/>
      <c r="O30" s="523"/>
      <c r="P30" s="524"/>
      <c r="R30" s="233"/>
      <c r="S30" s="233"/>
      <c r="T30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s="136" customFormat="1" ht="15.75" customHeight="1">
      <c r="A31" s="551" t="s">
        <v>712</v>
      </c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R31" s="233"/>
      <c r="S31" s="233"/>
      <c r="T31" s="233"/>
      <c r="U31" s="233"/>
    </row>
    <row r="32" spans="1:36" s="137" customFormat="1" ht="15.75" customHeight="1">
      <c r="A32" s="552"/>
      <c r="B32" s="552"/>
      <c r="C32" s="552"/>
      <c r="D32" s="552"/>
      <c r="E32" s="552"/>
      <c r="F32" s="552"/>
      <c r="G32" s="552"/>
      <c r="H32" s="552"/>
      <c r="I32" s="552"/>
      <c r="J32" s="552"/>
      <c r="K32" s="552"/>
      <c r="L32" s="552"/>
      <c r="M32" s="552"/>
    </row>
    <row r="33" spans="1:75" s="136" customFormat="1" ht="15.75" customHeight="1">
      <c r="A33" s="553" t="s">
        <v>191</v>
      </c>
      <c r="B33" s="555">
        <v>1</v>
      </c>
      <c r="C33" s="556"/>
      <c r="D33" s="555">
        <v>2</v>
      </c>
      <c r="E33" s="556"/>
      <c r="F33" s="555">
        <v>3</v>
      </c>
      <c r="G33" s="556"/>
      <c r="H33" s="501">
        <v>4</v>
      </c>
      <c r="I33" s="502"/>
      <c r="J33" s="501">
        <v>5</v>
      </c>
      <c r="K33" s="502"/>
      <c r="L33" s="501">
        <v>6</v>
      </c>
      <c r="M33" s="502"/>
      <c r="N33" s="501">
        <v>7</v>
      </c>
      <c r="O33" s="502"/>
      <c r="P33" s="501">
        <v>8</v>
      </c>
      <c r="Q33" s="502"/>
      <c r="R33" s="233"/>
      <c r="S33" s="233"/>
      <c r="T33" s="233"/>
      <c r="U33" s="233"/>
    </row>
    <row r="34" spans="1:75" s="136" customFormat="1" ht="15.75" customHeight="1">
      <c r="A34" s="554"/>
      <c r="B34" s="545" t="s">
        <v>463</v>
      </c>
      <c r="C34" s="546"/>
      <c r="D34" s="545" t="s">
        <v>212</v>
      </c>
      <c r="E34" s="546"/>
      <c r="F34" s="545" t="s">
        <v>166</v>
      </c>
      <c r="G34" s="546"/>
      <c r="H34" s="547" t="s">
        <v>436</v>
      </c>
      <c r="I34" s="548"/>
      <c r="J34" s="547" t="s">
        <v>189</v>
      </c>
      <c r="K34" s="548"/>
      <c r="L34" s="547" t="s">
        <v>167</v>
      </c>
      <c r="M34" s="548"/>
      <c r="N34" s="547" t="s">
        <v>190</v>
      </c>
      <c r="O34" s="548"/>
      <c r="P34" s="549" t="s">
        <v>217</v>
      </c>
      <c r="Q34" s="550"/>
      <c r="R34" s="233"/>
      <c r="S34" s="233"/>
      <c r="T34" s="233"/>
      <c r="U34" s="233"/>
    </row>
    <row r="35" spans="1:75" s="136" customFormat="1" ht="15.75" customHeight="1">
      <c r="B35" s="234"/>
      <c r="C35" s="235"/>
      <c r="R35" s="233"/>
      <c r="S35" s="233"/>
      <c r="T35" s="233"/>
      <c r="U35" s="233"/>
    </row>
    <row r="36" spans="1:75" s="237" customFormat="1" ht="15.75" customHeight="1">
      <c r="A36" s="501" t="s">
        <v>191</v>
      </c>
      <c r="B36" s="502"/>
      <c r="C36" s="236" t="s">
        <v>47</v>
      </c>
      <c r="D36" s="532" t="s">
        <v>12</v>
      </c>
      <c r="E36" s="504"/>
      <c r="F36" s="506"/>
      <c r="G36" s="533" t="s">
        <v>53</v>
      </c>
      <c r="H36" s="534"/>
      <c r="I36" s="535"/>
      <c r="J36" s="236" t="s">
        <v>54</v>
      </c>
      <c r="K36" s="236" t="s">
        <v>55</v>
      </c>
      <c r="L36" s="236" t="s">
        <v>56</v>
      </c>
      <c r="M36" s="236" t="s">
        <v>11</v>
      </c>
      <c r="N36" s="236" t="s">
        <v>333</v>
      </c>
      <c r="O36" s="536" t="s">
        <v>51</v>
      </c>
      <c r="P36" s="537"/>
    </row>
    <row r="37" spans="1:75" s="136" customFormat="1" ht="50.1" customHeight="1">
      <c r="A37" s="509">
        <v>1</v>
      </c>
      <c r="B37" s="512" t="s">
        <v>464</v>
      </c>
      <c r="C37" s="238">
        <v>1</v>
      </c>
      <c r="D37" s="239" t="s">
        <v>344</v>
      </c>
      <c r="E37" s="240"/>
      <c r="F37" s="240"/>
      <c r="G37" s="364" t="s">
        <v>336</v>
      </c>
      <c r="H37" s="307"/>
      <c r="I37" s="308"/>
      <c r="J37" s="238">
        <v>141.66999999999999</v>
      </c>
      <c r="K37" s="244">
        <v>1.4741409061775873E-2</v>
      </c>
      <c r="L37" s="238">
        <v>8.9700000000000006</v>
      </c>
      <c r="M37" s="324">
        <f>L37*J37</f>
        <v>1270.7799</v>
      </c>
      <c r="N37" s="245"/>
      <c r="O37" s="538" t="s">
        <v>479</v>
      </c>
      <c r="P37" s="539"/>
      <c r="R37" s="233"/>
      <c r="S37" s="407"/>
      <c r="T37" s="263"/>
      <c r="U37" s="233"/>
    </row>
    <row r="38" spans="1:75" s="136" customFormat="1" ht="50.1" customHeight="1">
      <c r="A38" s="510"/>
      <c r="B38" s="513"/>
      <c r="C38" s="238">
        <v>2</v>
      </c>
      <c r="D38" s="239" t="s">
        <v>353</v>
      </c>
      <c r="E38" s="240"/>
      <c r="F38" s="240"/>
      <c r="G38" s="364" t="s">
        <v>361</v>
      </c>
      <c r="H38" s="307"/>
      <c r="I38" s="308"/>
      <c r="J38" s="238">
        <v>253.92000000000002</v>
      </c>
      <c r="K38" s="244">
        <v>2.0666000955151309E-2</v>
      </c>
      <c r="L38" s="238">
        <v>4.7600000000000007</v>
      </c>
      <c r="M38" s="324">
        <f t="shared" ref="M38:M41" si="3">L38*J38</f>
        <v>1208.6592000000003</v>
      </c>
      <c r="N38" s="245"/>
      <c r="O38" s="540" t="s">
        <v>518</v>
      </c>
      <c r="P38" s="516"/>
      <c r="R38" s="233"/>
      <c r="S38" s="408"/>
      <c r="T38" s="408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</row>
    <row r="39" spans="1:75" s="136" customFormat="1" ht="50.1" customHeight="1">
      <c r="A39" s="510"/>
      <c r="B39" s="513"/>
      <c r="C39" s="238">
        <v>3</v>
      </c>
      <c r="D39" s="239" t="s">
        <v>447</v>
      </c>
      <c r="E39" s="240"/>
      <c r="F39" s="240"/>
      <c r="G39" s="364" t="s">
        <v>448</v>
      </c>
      <c r="H39" s="307"/>
      <c r="I39" s="308"/>
      <c r="J39" s="238">
        <v>181.60999999999999</v>
      </c>
      <c r="K39" s="244">
        <v>1.4143237898718941E-2</v>
      </c>
      <c r="L39" s="238">
        <v>6.58</v>
      </c>
      <c r="M39" s="324">
        <f t="shared" si="3"/>
        <v>1194.9938</v>
      </c>
      <c r="N39" s="245"/>
      <c r="O39" s="541" t="s">
        <v>738</v>
      </c>
      <c r="P39" s="518"/>
      <c r="R39" s="233"/>
      <c r="S39" s="407"/>
      <c r="T39" s="407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</row>
    <row r="40" spans="1:75" s="136" customFormat="1" ht="50.1" customHeight="1">
      <c r="A40" s="510"/>
      <c r="B40" s="513"/>
      <c r="C40" s="238">
        <v>4</v>
      </c>
      <c r="D40" s="239" t="s">
        <v>441</v>
      </c>
      <c r="E40" s="240"/>
      <c r="F40" s="240"/>
      <c r="G40" s="364" t="s">
        <v>477</v>
      </c>
      <c r="H40" s="307"/>
      <c r="I40" s="308"/>
      <c r="J40" s="238">
        <v>160.49</v>
      </c>
      <c r="K40" s="244">
        <v>1.018253024687041E-2</v>
      </c>
      <c r="L40" s="238">
        <v>7.28</v>
      </c>
      <c r="M40" s="324">
        <f t="shared" si="3"/>
        <v>1168.3672000000001</v>
      </c>
      <c r="N40" s="245"/>
      <c r="O40" s="541" t="s">
        <v>739</v>
      </c>
      <c r="P40" s="518"/>
      <c r="R40" s="233"/>
      <c r="S40" s="408"/>
      <c r="T40" s="408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</row>
    <row r="41" spans="1:75" s="136" customFormat="1" ht="50.1" customHeight="1" thickBot="1">
      <c r="A41" s="510"/>
      <c r="B41" s="513"/>
      <c r="C41" s="238">
        <v>5</v>
      </c>
      <c r="D41" s="246" t="s">
        <v>353</v>
      </c>
      <c r="E41" s="247"/>
      <c r="F41" s="247"/>
      <c r="G41" s="500" t="s">
        <v>360</v>
      </c>
      <c r="H41" s="307"/>
      <c r="I41" s="308"/>
      <c r="J41" s="249">
        <v>183.65000000000003</v>
      </c>
      <c r="K41" s="250">
        <v>2.2197285829505212E-2</v>
      </c>
      <c r="L41" s="249">
        <v>6.33</v>
      </c>
      <c r="M41" s="325">
        <f t="shared" si="3"/>
        <v>1162.5045000000002</v>
      </c>
      <c r="N41" s="245"/>
      <c r="O41" s="541" t="s">
        <v>740</v>
      </c>
      <c r="P41" s="518"/>
      <c r="R41" s="233"/>
      <c r="S41" s="407"/>
      <c r="T41" s="407"/>
      <c r="U41" s="233"/>
      <c r="V41" s="409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</row>
    <row r="42" spans="1:75" s="136" customFormat="1" ht="15.75" customHeight="1" thickTop="1">
      <c r="A42" s="511"/>
      <c r="B42" s="514"/>
      <c r="C42" s="519"/>
      <c r="D42" s="520"/>
      <c r="E42" s="520"/>
      <c r="F42" s="520"/>
      <c r="G42" s="520"/>
      <c r="H42" s="520"/>
      <c r="I42" s="521"/>
      <c r="J42" s="251" t="s">
        <v>58</v>
      </c>
      <c r="K42" s="213">
        <f>M42/'生產管理報表 7-1 (週)'!$B$20</f>
        <v>7.7955828368567001E-2</v>
      </c>
      <c r="L42" s="251" t="s">
        <v>59</v>
      </c>
      <c r="M42" s="326">
        <f>SUM(M37:M41)</f>
        <v>6005.3046000000004</v>
      </c>
      <c r="N42" s="542"/>
      <c r="O42" s="543"/>
      <c r="P42" s="544"/>
      <c r="R42" s="233"/>
      <c r="S42" s="211"/>
      <c r="T42" s="211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spans="1:75" s="136" customFormat="1" ht="15.75" customHeight="1"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53"/>
      <c r="O43" s="253"/>
      <c r="P43" s="253"/>
      <c r="R43" s="233"/>
      <c r="S43" s="263"/>
      <c r="T43" s="26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</row>
    <row r="44" spans="1:75" s="136" customFormat="1" ht="15.75" customHeight="1">
      <c r="A44" s="501" t="s">
        <v>191</v>
      </c>
      <c r="B44" s="502"/>
      <c r="C44" s="254" t="s">
        <v>47</v>
      </c>
      <c r="D44" s="503" t="s">
        <v>12</v>
      </c>
      <c r="E44" s="504"/>
      <c r="F44" s="505"/>
      <c r="G44" s="503" t="s">
        <v>53</v>
      </c>
      <c r="H44" s="504"/>
      <c r="I44" s="505"/>
      <c r="J44" s="256" t="s">
        <v>54</v>
      </c>
      <c r="K44" s="256" t="s">
        <v>55</v>
      </c>
      <c r="L44" s="256" t="s">
        <v>56</v>
      </c>
      <c r="M44" s="256" t="s">
        <v>11</v>
      </c>
      <c r="N44" s="257" t="s">
        <v>333</v>
      </c>
      <c r="O44" s="525" t="s">
        <v>51</v>
      </c>
      <c r="P44" s="526"/>
      <c r="R44" s="233"/>
      <c r="S44" s="211"/>
      <c r="T44" s="211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</row>
    <row r="45" spans="1:75" s="136" customFormat="1" ht="20.100000000000001" customHeight="1">
      <c r="A45" s="509">
        <v>2</v>
      </c>
      <c r="B45" s="512" t="s">
        <v>213</v>
      </c>
      <c r="C45" s="258">
        <v>1</v>
      </c>
      <c r="D45" s="239"/>
      <c r="E45" s="240"/>
      <c r="F45" s="241"/>
      <c r="G45" s="239"/>
      <c r="H45" s="240"/>
      <c r="I45" s="241"/>
      <c r="J45" s="259"/>
      <c r="K45" s="260"/>
      <c r="L45" s="259"/>
      <c r="M45" s="261">
        <f t="shared" ref="M45:M49" si="4">L45*J45</f>
        <v>0</v>
      </c>
      <c r="N45" s="262"/>
      <c r="O45" s="527"/>
      <c r="P45" s="528"/>
      <c r="R45" s="233"/>
      <c r="S45" s="263"/>
      <c r="T45" s="26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</row>
    <row r="46" spans="1:75" s="136" customFormat="1" ht="20.100000000000001" customHeight="1">
      <c r="A46" s="510"/>
      <c r="B46" s="513"/>
      <c r="C46" s="258">
        <v>2</v>
      </c>
      <c r="D46" s="239"/>
      <c r="E46" s="240"/>
      <c r="F46" s="241"/>
      <c r="G46" s="239"/>
      <c r="H46" s="240"/>
      <c r="I46" s="241"/>
      <c r="J46" s="259"/>
      <c r="K46" s="260"/>
      <c r="L46" s="259"/>
      <c r="M46" s="261">
        <f t="shared" si="4"/>
        <v>0</v>
      </c>
      <c r="N46" s="262"/>
      <c r="O46" s="527"/>
      <c r="P46" s="528"/>
      <c r="R46" s="233"/>
      <c r="S46" s="211"/>
      <c r="T46" s="211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</row>
    <row r="47" spans="1:75" s="136" customFormat="1" ht="20.100000000000001" customHeight="1">
      <c r="A47" s="510"/>
      <c r="B47" s="513"/>
      <c r="C47" s="258">
        <v>3</v>
      </c>
      <c r="D47" s="239"/>
      <c r="E47" s="240"/>
      <c r="F47" s="241"/>
      <c r="G47" s="239"/>
      <c r="H47" s="240"/>
      <c r="I47" s="270"/>
      <c r="J47" s="259"/>
      <c r="K47" s="260"/>
      <c r="L47" s="259"/>
      <c r="M47" s="261">
        <f t="shared" si="4"/>
        <v>0</v>
      </c>
      <c r="N47" s="262"/>
      <c r="O47" s="527"/>
      <c r="P47" s="528"/>
      <c r="R47" s="233"/>
      <c r="S47" s="263"/>
      <c r="T47" s="26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</row>
    <row r="48" spans="1:75" s="136" customFormat="1" ht="20.100000000000001" customHeight="1">
      <c r="A48" s="510"/>
      <c r="B48" s="513"/>
      <c r="C48" s="258">
        <v>4</v>
      </c>
      <c r="D48" s="239"/>
      <c r="E48" s="240"/>
      <c r="F48" s="241"/>
      <c r="G48" s="239"/>
      <c r="H48" s="240"/>
      <c r="I48" s="241"/>
      <c r="J48" s="259"/>
      <c r="K48" s="260"/>
      <c r="L48" s="259"/>
      <c r="M48" s="261">
        <f t="shared" si="4"/>
        <v>0</v>
      </c>
      <c r="N48" s="262"/>
      <c r="O48" s="527"/>
      <c r="P48" s="528"/>
      <c r="R48" s="233"/>
      <c r="S48" s="211"/>
      <c r="T48" s="211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</row>
    <row r="49" spans="1:36" s="136" customFormat="1" ht="20.100000000000001" customHeight="1" thickBot="1">
      <c r="A49" s="510"/>
      <c r="B49" s="513"/>
      <c r="C49" s="264">
        <v>5</v>
      </c>
      <c r="D49" s="246"/>
      <c r="E49" s="247"/>
      <c r="F49" s="248"/>
      <c r="G49" s="239"/>
      <c r="H49" s="240"/>
      <c r="I49" s="241"/>
      <c r="J49" s="265"/>
      <c r="K49" s="266"/>
      <c r="L49" s="265"/>
      <c r="M49" s="267">
        <f t="shared" si="4"/>
        <v>0</v>
      </c>
      <c r="N49" s="268"/>
      <c r="O49" s="527"/>
      <c r="P49" s="528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</row>
    <row r="50" spans="1:36" s="136" customFormat="1" ht="15.75" customHeight="1" thickTop="1">
      <c r="A50" s="511"/>
      <c r="B50" s="514"/>
      <c r="C50" s="519"/>
      <c r="D50" s="520"/>
      <c r="E50" s="520"/>
      <c r="F50" s="520"/>
      <c r="G50" s="520"/>
      <c r="H50" s="520"/>
      <c r="I50" s="521"/>
      <c r="J50" s="251" t="s">
        <v>58</v>
      </c>
      <c r="K50" s="213">
        <f>M50/'生產管理報表 7-1 (週)'!$B$20</f>
        <v>0</v>
      </c>
      <c r="L50" s="251" t="s">
        <v>59</v>
      </c>
      <c r="M50" s="252">
        <f>SUM(M45:M49)</f>
        <v>0</v>
      </c>
      <c r="N50" s="529"/>
      <c r="O50" s="530"/>
      <c r="P50" s="531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</row>
    <row r="51" spans="1:36" s="136" customFormat="1" ht="15.75" customHeight="1">
      <c r="B51" s="234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69"/>
      <c r="O51" s="269"/>
      <c r="P51" s="269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</row>
    <row r="52" spans="1:36" s="136" customFormat="1" ht="15.75" customHeight="1">
      <c r="A52" s="501" t="s">
        <v>191</v>
      </c>
      <c r="B52" s="502"/>
      <c r="C52" s="254" t="s">
        <v>47</v>
      </c>
      <c r="D52" s="503" t="s">
        <v>12</v>
      </c>
      <c r="E52" s="504"/>
      <c r="F52" s="505"/>
      <c r="G52" s="503" t="s">
        <v>53</v>
      </c>
      <c r="H52" s="504"/>
      <c r="I52" s="506"/>
      <c r="J52" s="255" t="s">
        <v>54</v>
      </c>
      <c r="K52" s="256" t="s">
        <v>55</v>
      </c>
      <c r="L52" s="256" t="s">
        <v>56</v>
      </c>
      <c r="M52" s="256" t="s">
        <v>11</v>
      </c>
      <c r="N52" s="257" t="s">
        <v>333</v>
      </c>
      <c r="O52" s="507" t="s">
        <v>51</v>
      </c>
      <c r="P52" s="508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</row>
    <row r="53" spans="1:36" s="136" customFormat="1" ht="50.1" customHeight="1">
      <c r="A53" s="509">
        <v>3</v>
      </c>
      <c r="B53" s="512" t="s">
        <v>429</v>
      </c>
      <c r="C53" s="258">
        <v>1</v>
      </c>
      <c r="D53" s="239" t="s">
        <v>342</v>
      </c>
      <c r="E53" s="240"/>
      <c r="F53" s="241"/>
      <c r="G53" s="248" t="s">
        <v>459</v>
      </c>
      <c r="H53" s="247"/>
      <c r="I53" s="248"/>
      <c r="J53" s="259">
        <v>2.4499999999999997</v>
      </c>
      <c r="K53" s="260">
        <v>4.4559849161974726E-3</v>
      </c>
      <c r="L53" s="259">
        <v>683</v>
      </c>
      <c r="M53" s="327">
        <f t="shared" ref="M53:M57" si="5">L53*J53</f>
        <v>1673.35</v>
      </c>
      <c r="N53" s="272"/>
      <c r="O53" s="515" t="s">
        <v>475</v>
      </c>
      <c r="P53" s="516"/>
      <c r="R53" s="233"/>
      <c r="S53" s="409"/>
      <c r="T53" s="409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</row>
    <row r="54" spans="1:36" s="136" customFormat="1" ht="50.1" customHeight="1">
      <c r="A54" s="510"/>
      <c r="B54" s="513"/>
      <c r="C54" s="258">
        <v>2</v>
      </c>
      <c r="D54" s="239" t="s">
        <v>342</v>
      </c>
      <c r="E54" s="240"/>
      <c r="F54" s="241"/>
      <c r="G54" s="248" t="s">
        <v>458</v>
      </c>
      <c r="H54" s="247"/>
      <c r="I54" s="248"/>
      <c r="J54" s="259">
        <v>1.17</v>
      </c>
      <c r="K54" s="260">
        <v>3.6155643277209376E-3</v>
      </c>
      <c r="L54" s="259">
        <v>1122</v>
      </c>
      <c r="M54" s="327">
        <f t="shared" si="5"/>
        <v>1312.74</v>
      </c>
      <c r="N54" s="272"/>
      <c r="O54" s="517" t="s">
        <v>578</v>
      </c>
      <c r="P54" s="518"/>
      <c r="R54" s="233"/>
      <c r="S54" s="409"/>
      <c r="T54" s="416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</row>
    <row r="55" spans="1:36" s="136" customFormat="1" ht="50.1" customHeight="1">
      <c r="A55" s="510"/>
      <c r="B55" s="513"/>
      <c r="C55" s="258">
        <v>3</v>
      </c>
      <c r="D55" s="239" t="s">
        <v>542</v>
      </c>
      <c r="E55" s="240"/>
      <c r="F55" s="241"/>
      <c r="G55" s="248" t="s">
        <v>545</v>
      </c>
      <c r="H55" s="247"/>
      <c r="I55" s="248"/>
      <c r="J55" s="259">
        <v>16.099999999999998</v>
      </c>
      <c r="K55" s="260">
        <v>6.7904028972385691E-3</v>
      </c>
      <c r="L55" s="259">
        <v>75</v>
      </c>
      <c r="M55" s="327">
        <f t="shared" si="5"/>
        <v>1207.4999999999998</v>
      </c>
      <c r="N55" s="272"/>
      <c r="O55" s="517" t="s">
        <v>736</v>
      </c>
      <c r="P55" s="518"/>
      <c r="R55" s="409"/>
      <c r="S55" s="409"/>
      <c r="T55" s="416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</row>
    <row r="56" spans="1:36" s="136" customFormat="1" ht="50.1" customHeight="1">
      <c r="A56" s="510"/>
      <c r="B56" s="513"/>
      <c r="C56" s="258">
        <v>4</v>
      </c>
      <c r="D56" s="239"/>
      <c r="E56" s="240"/>
      <c r="F56" s="241"/>
      <c r="G56" s="246"/>
      <c r="H56" s="247"/>
      <c r="I56" s="248"/>
      <c r="J56" s="271"/>
      <c r="K56" s="260"/>
      <c r="L56" s="259"/>
      <c r="M56" s="327">
        <f t="shared" si="5"/>
        <v>0</v>
      </c>
      <c r="N56" s="272"/>
      <c r="O56" s="517"/>
      <c r="P56" s="518"/>
      <c r="R56" s="233"/>
      <c r="S56" s="233"/>
      <c r="T56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</row>
    <row r="57" spans="1:36" s="136" customFormat="1" ht="30" customHeight="1" thickBot="1">
      <c r="A57" s="510"/>
      <c r="B57" s="513"/>
      <c r="C57" s="264">
        <v>5</v>
      </c>
      <c r="D57" s="246"/>
      <c r="E57" s="247"/>
      <c r="F57" s="248"/>
      <c r="G57" s="391"/>
      <c r="H57" s="392"/>
      <c r="I57" s="393"/>
      <c r="J57" s="274"/>
      <c r="K57" s="266"/>
      <c r="L57" s="275"/>
      <c r="M57" s="327">
        <f t="shared" si="5"/>
        <v>0</v>
      </c>
      <c r="N57" s="272"/>
      <c r="O57" s="517"/>
      <c r="P57" s="518"/>
      <c r="R57" s="233"/>
      <c r="S57" s="233"/>
      <c r="T57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</row>
    <row r="58" spans="1:36" s="136" customFormat="1" ht="15.75" customHeight="1" thickTop="1">
      <c r="A58" s="511"/>
      <c r="B58" s="514"/>
      <c r="C58" s="519"/>
      <c r="D58" s="520"/>
      <c r="E58" s="520"/>
      <c r="F58" s="520"/>
      <c r="G58" s="520"/>
      <c r="H58" s="520"/>
      <c r="I58" s="521"/>
      <c r="J58" s="276" t="s">
        <v>58</v>
      </c>
      <c r="K58" s="213">
        <f>M58/'生產管理報表 7-1 (週)'!$B$20</f>
        <v>5.4437668705120942E-2</v>
      </c>
      <c r="L58" s="276" t="s">
        <v>59</v>
      </c>
      <c r="M58" s="328">
        <f>SUM(M53:M57)</f>
        <v>4193.59</v>
      </c>
      <c r="N58" s="522"/>
      <c r="O58" s="523"/>
      <c r="P58" s="524"/>
      <c r="R58" s="233"/>
      <c r="S58" s="233"/>
      <c r="T58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</row>
    <row r="59" spans="1:36" s="136" customFormat="1" ht="15.75" customHeight="1">
      <c r="A59" s="551" t="s">
        <v>772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R59" s="233"/>
      <c r="S59" s="233"/>
      <c r="T59" s="233"/>
      <c r="U59" s="233"/>
    </row>
    <row r="60" spans="1:36" s="137" customFormat="1" ht="15.75" customHeight="1">
      <c r="A60" s="552"/>
      <c r="B60" s="552"/>
      <c r="C60" s="552"/>
      <c r="D60" s="552"/>
      <c r="E60" s="552"/>
      <c r="F60" s="552"/>
      <c r="G60" s="552"/>
      <c r="H60" s="552"/>
      <c r="I60" s="552"/>
      <c r="J60" s="552"/>
      <c r="K60" s="552"/>
      <c r="L60" s="552"/>
      <c r="M60" s="552"/>
    </row>
    <row r="61" spans="1:36" s="136" customFormat="1" ht="15.75" customHeight="1">
      <c r="A61" s="553" t="s">
        <v>191</v>
      </c>
      <c r="B61" s="555">
        <v>1</v>
      </c>
      <c r="C61" s="556"/>
      <c r="D61" s="555">
        <v>2</v>
      </c>
      <c r="E61" s="556"/>
      <c r="F61" s="555">
        <v>3</v>
      </c>
      <c r="G61" s="556"/>
      <c r="H61" s="501">
        <v>4</v>
      </c>
      <c r="I61" s="502"/>
      <c r="J61" s="501">
        <v>5</v>
      </c>
      <c r="K61" s="502"/>
      <c r="L61" s="501">
        <v>6</v>
      </c>
      <c r="M61" s="502"/>
      <c r="N61" s="501">
        <v>7</v>
      </c>
      <c r="O61" s="502"/>
      <c r="P61" s="501">
        <v>8</v>
      </c>
      <c r="Q61" s="502"/>
      <c r="R61" s="233"/>
      <c r="S61" s="233"/>
      <c r="T61" s="233"/>
      <c r="U61" s="233"/>
    </row>
    <row r="62" spans="1:36" s="136" customFormat="1" ht="15.75" customHeight="1">
      <c r="A62" s="554"/>
      <c r="B62" s="545" t="s">
        <v>463</v>
      </c>
      <c r="C62" s="546"/>
      <c r="D62" s="545" t="s">
        <v>212</v>
      </c>
      <c r="E62" s="546"/>
      <c r="F62" s="545" t="s">
        <v>166</v>
      </c>
      <c r="G62" s="546"/>
      <c r="H62" s="547" t="s">
        <v>436</v>
      </c>
      <c r="I62" s="548"/>
      <c r="J62" s="547" t="s">
        <v>189</v>
      </c>
      <c r="K62" s="548"/>
      <c r="L62" s="547" t="s">
        <v>167</v>
      </c>
      <c r="M62" s="548"/>
      <c r="N62" s="547" t="s">
        <v>190</v>
      </c>
      <c r="O62" s="548"/>
      <c r="P62" s="549" t="s">
        <v>217</v>
      </c>
      <c r="Q62" s="550"/>
      <c r="R62" s="233"/>
      <c r="S62" s="233"/>
      <c r="T62" s="233"/>
      <c r="U62" s="233"/>
    </row>
    <row r="63" spans="1:36" s="136" customFormat="1" ht="15.75" customHeight="1">
      <c r="B63" s="234"/>
      <c r="C63" s="235"/>
      <c r="R63" s="233"/>
      <c r="S63" s="233"/>
      <c r="T63" s="233"/>
      <c r="U63" s="233"/>
    </row>
    <row r="64" spans="1:36" s="237" customFormat="1" ht="15.75" customHeight="1">
      <c r="A64" s="501" t="s">
        <v>191</v>
      </c>
      <c r="B64" s="502"/>
      <c r="C64" s="236" t="s">
        <v>47</v>
      </c>
      <c r="D64" s="532" t="s">
        <v>12</v>
      </c>
      <c r="E64" s="504"/>
      <c r="F64" s="506"/>
      <c r="G64" s="533" t="s">
        <v>53</v>
      </c>
      <c r="H64" s="534"/>
      <c r="I64" s="535"/>
      <c r="J64" s="236" t="s">
        <v>54</v>
      </c>
      <c r="K64" s="236" t="s">
        <v>55</v>
      </c>
      <c r="L64" s="236" t="s">
        <v>56</v>
      </c>
      <c r="M64" s="236" t="s">
        <v>11</v>
      </c>
      <c r="N64" s="236" t="s">
        <v>333</v>
      </c>
      <c r="O64" s="536" t="s">
        <v>51</v>
      </c>
      <c r="P64" s="537"/>
    </row>
    <row r="65" spans="1:75" s="136" customFormat="1" ht="50.1" customHeight="1">
      <c r="A65" s="509">
        <v>1</v>
      </c>
      <c r="B65" s="512" t="s">
        <v>464</v>
      </c>
      <c r="C65" s="238">
        <v>1</v>
      </c>
      <c r="D65" s="239" t="s">
        <v>342</v>
      </c>
      <c r="E65" s="240"/>
      <c r="F65" s="240"/>
      <c r="G65" s="364" t="s">
        <v>392</v>
      </c>
      <c r="H65" s="307"/>
      <c r="I65" s="308"/>
      <c r="J65" s="238">
        <v>127.84000000000002</v>
      </c>
      <c r="K65" s="244">
        <v>6.408659768830486E-3</v>
      </c>
      <c r="L65" s="238">
        <v>28.56</v>
      </c>
      <c r="M65" s="324">
        <f>L65*J65</f>
        <v>3651.1104000000005</v>
      </c>
      <c r="N65" s="245"/>
      <c r="O65" s="538" t="s">
        <v>739</v>
      </c>
      <c r="P65" s="539"/>
      <c r="R65" s="233"/>
      <c r="S65" s="407"/>
      <c r="T65" s="263"/>
      <c r="U65" s="233"/>
    </row>
    <row r="66" spans="1:75" s="136" customFormat="1" ht="50.1" customHeight="1">
      <c r="A66" s="510"/>
      <c r="B66" s="513"/>
      <c r="C66" s="238">
        <v>2</v>
      </c>
      <c r="D66" s="239" t="s">
        <v>342</v>
      </c>
      <c r="E66" s="240"/>
      <c r="F66" s="240"/>
      <c r="G66" s="364" t="s">
        <v>427</v>
      </c>
      <c r="H66" s="307"/>
      <c r="I66" s="308"/>
      <c r="J66" s="238">
        <v>157.87000000000003</v>
      </c>
      <c r="K66" s="244">
        <v>7.0194100114796057E-3</v>
      </c>
      <c r="L66" s="238">
        <v>13.33</v>
      </c>
      <c r="M66" s="324">
        <f t="shared" ref="M66:M69" si="6">L66*J66</f>
        <v>2104.4071000000004</v>
      </c>
      <c r="N66" s="245"/>
      <c r="O66" s="540" t="s">
        <v>738</v>
      </c>
      <c r="P66" s="516"/>
      <c r="R66" s="233"/>
      <c r="S66" s="408"/>
      <c r="T66" s="408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</row>
    <row r="67" spans="1:75" s="136" customFormat="1" ht="50.1" customHeight="1">
      <c r="A67" s="510"/>
      <c r="B67" s="513"/>
      <c r="C67" s="238">
        <v>3</v>
      </c>
      <c r="D67" s="239" t="s">
        <v>746</v>
      </c>
      <c r="E67" s="240"/>
      <c r="F67" s="240"/>
      <c r="G67" s="364" t="s">
        <v>748</v>
      </c>
      <c r="H67" s="307"/>
      <c r="I67" s="308"/>
      <c r="J67" s="238">
        <v>79.98</v>
      </c>
      <c r="K67" s="244">
        <v>2.2390958413211544E-2</v>
      </c>
      <c r="L67" s="238">
        <v>17.87</v>
      </c>
      <c r="M67" s="324">
        <f t="shared" si="6"/>
        <v>1429.2426</v>
      </c>
      <c r="N67" s="245"/>
      <c r="O67" s="541" t="s">
        <v>740</v>
      </c>
      <c r="P67" s="518"/>
      <c r="R67" s="233"/>
      <c r="S67" s="407"/>
      <c r="T67" s="407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</row>
    <row r="68" spans="1:75" s="136" customFormat="1" ht="50.1" customHeight="1">
      <c r="A68" s="510"/>
      <c r="B68" s="513"/>
      <c r="C68" s="238">
        <v>4</v>
      </c>
      <c r="D68" s="239" t="s">
        <v>441</v>
      </c>
      <c r="E68" s="240"/>
      <c r="F68" s="240"/>
      <c r="G68" s="364" t="s">
        <v>477</v>
      </c>
      <c r="H68" s="307"/>
      <c r="I68" s="308"/>
      <c r="J68" s="238">
        <v>160.49</v>
      </c>
      <c r="K68" s="244">
        <v>1.1874575660583893E-2</v>
      </c>
      <c r="L68" s="238">
        <v>8.57</v>
      </c>
      <c r="M68" s="324">
        <f t="shared" si="6"/>
        <v>1375.3993</v>
      </c>
      <c r="N68" s="245"/>
      <c r="O68" s="541" t="s">
        <v>739</v>
      </c>
      <c r="P68" s="518"/>
      <c r="R68" s="233"/>
      <c r="S68" s="408"/>
      <c r="T68" s="408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</row>
    <row r="69" spans="1:75" s="136" customFormat="1" ht="50.1" customHeight="1" thickBot="1">
      <c r="A69" s="510"/>
      <c r="B69" s="513"/>
      <c r="C69" s="238">
        <v>5</v>
      </c>
      <c r="D69" s="246" t="s">
        <v>542</v>
      </c>
      <c r="E69" s="247"/>
      <c r="F69" s="247"/>
      <c r="G69" s="364" t="s">
        <v>544</v>
      </c>
      <c r="H69" s="307"/>
      <c r="I69" s="308"/>
      <c r="J69" s="249">
        <v>139.97999999999999</v>
      </c>
      <c r="K69" s="250">
        <v>1.1300332290852229E-2</v>
      </c>
      <c r="L69" s="249">
        <v>9.25</v>
      </c>
      <c r="M69" s="325">
        <f t="shared" si="6"/>
        <v>1294.8149999999998</v>
      </c>
      <c r="N69" s="245"/>
      <c r="O69" s="541" t="s">
        <v>739</v>
      </c>
      <c r="P69" s="518"/>
      <c r="R69" s="233"/>
      <c r="S69" s="407"/>
      <c r="T69" s="407"/>
      <c r="U69" s="233"/>
      <c r="V69" s="409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</row>
    <row r="70" spans="1:75" s="136" customFormat="1" ht="15.75" customHeight="1" thickTop="1">
      <c r="A70" s="511"/>
      <c r="B70" s="514"/>
      <c r="C70" s="519"/>
      <c r="D70" s="520"/>
      <c r="E70" s="520"/>
      <c r="F70" s="520"/>
      <c r="G70" s="520"/>
      <c r="H70" s="520"/>
      <c r="I70" s="521"/>
      <c r="J70" s="251" t="s">
        <v>58</v>
      </c>
      <c r="K70" s="213">
        <f>M70/'生產管理報表 7-1 (週)'!$B$31</f>
        <v>0.11959315209264224</v>
      </c>
      <c r="L70" s="251" t="s">
        <v>59</v>
      </c>
      <c r="M70" s="326">
        <f>SUM(M65:M69)</f>
        <v>9854.974400000001</v>
      </c>
      <c r="N70" s="542"/>
      <c r="O70" s="543"/>
      <c r="P70" s="544"/>
      <c r="R70" s="233"/>
      <c r="S70" s="211"/>
      <c r="T70" s="211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</row>
    <row r="71" spans="1:75" s="136" customFormat="1" ht="15.75" customHeight="1">
      <c r="B71" s="234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53"/>
      <c r="O71" s="253"/>
      <c r="P71" s="253"/>
      <c r="R71" s="233"/>
      <c r="S71" s="263"/>
      <c r="T71" s="26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</row>
    <row r="72" spans="1:75" s="136" customFormat="1" ht="15.75" customHeight="1">
      <c r="A72" s="501" t="s">
        <v>191</v>
      </c>
      <c r="B72" s="502"/>
      <c r="C72" s="254" t="s">
        <v>47</v>
      </c>
      <c r="D72" s="503" t="s">
        <v>12</v>
      </c>
      <c r="E72" s="504"/>
      <c r="F72" s="505"/>
      <c r="G72" s="503" t="s">
        <v>53</v>
      </c>
      <c r="H72" s="504"/>
      <c r="I72" s="505"/>
      <c r="J72" s="256" t="s">
        <v>54</v>
      </c>
      <c r="K72" s="256" t="s">
        <v>55</v>
      </c>
      <c r="L72" s="256" t="s">
        <v>56</v>
      </c>
      <c r="M72" s="256" t="s">
        <v>11</v>
      </c>
      <c r="N72" s="257" t="s">
        <v>333</v>
      </c>
      <c r="O72" s="525" t="s">
        <v>51</v>
      </c>
      <c r="P72" s="526"/>
      <c r="R72" s="233"/>
      <c r="S72" s="211"/>
      <c r="T72" s="211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</row>
    <row r="73" spans="1:75" s="136" customFormat="1" ht="20.100000000000001" customHeight="1">
      <c r="A73" s="509">
        <v>2</v>
      </c>
      <c r="B73" s="512" t="s">
        <v>213</v>
      </c>
      <c r="C73" s="258">
        <v>1</v>
      </c>
      <c r="D73" s="239"/>
      <c r="E73" s="240"/>
      <c r="F73" s="241"/>
      <c r="G73" s="239"/>
      <c r="H73" s="240"/>
      <c r="I73" s="241"/>
      <c r="J73" s="259"/>
      <c r="K73" s="260"/>
      <c r="L73" s="259"/>
      <c r="M73" s="261">
        <f t="shared" ref="M73:M77" si="7">L73*J73</f>
        <v>0</v>
      </c>
      <c r="N73" s="262"/>
      <c r="O73" s="527"/>
      <c r="P73" s="528"/>
      <c r="R73" s="233"/>
      <c r="S73" s="263"/>
      <c r="T73" s="26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</row>
    <row r="74" spans="1:75" s="136" customFormat="1" ht="20.100000000000001" customHeight="1">
      <c r="A74" s="510"/>
      <c r="B74" s="513"/>
      <c r="C74" s="258">
        <v>2</v>
      </c>
      <c r="D74" s="239"/>
      <c r="E74" s="240"/>
      <c r="F74" s="241"/>
      <c r="G74" s="239"/>
      <c r="H74" s="240"/>
      <c r="I74" s="241"/>
      <c r="J74" s="259"/>
      <c r="K74" s="260"/>
      <c r="L74" s="259"/>
      <c r="M74" s="261">
        <f t="shared" si="7"/>
        <v>0</v>
      </c>
      <c r="N74" s="262"/>
      <c r="O74" s="527"/>
      <c r="P74" s="528"/>
      <c r="R74" s="233"/>
      <c r="S74" s="211"/>
      <c r="T74" s="211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</row>
    <row r="75" spans="1:75" s="136" customFormat="1" ht="20.100000000000001" customHeight="1">
      <c r="A75" s="510"/>
      <c r="B75" s="513"/>
      <c r="C75" s="258">
        <v>3</v>
      </c>
      <c r="D75" s="239"/>
      <c r="E75" s="240"/>
      <c r="F75" s="241"/>
      <c r="G75" s="239"/>
      <c r="H75" s="240"/>
      <c r="I75" s="270"/>
      <c r="J75" s="259"/>
      <c r="K75" s="260"/>
      <c r="L75" s="259"/>
      <c r="M75" s="261">
        <f t="shared" si="7"/>
        <v>0</v>
      </c>
      <c r="N75" s="262"/>
      <c r="O75" s="527"/>
      <c r="P75" s="528"/>
      <c r="R75" s="233"/>
      <c r="S75" s="263"/>
      <c r="T75" s="26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</row>
    <row r="76" spans="1:75" s="136" customFormat="1" ht="20.100000000000001" customHeight="1">
      <c r="A76" s="510"/>
      <c r="B76" s="513"/>
      <c r="C76" s="258">
        <v>4</v>
      </c>
      <c r="D76" s="239"/>
      <c r="E76" s="240"/>
      <c r="F76" s="241"/>
      <c r="G76" s="239"/>
      <c r="H76" s="240"/>
      <c r="I76" s="241"/>
      <c r="J76" s="259"/>
      <c r="K76" s="260"/>
      <c r="L76" s="259"/>
      <c r="M76" s="261">
        <f t="shared" si="7"/>
        <v>0</v>
      </c>
      <c r="N76" s="262"/>
      <c r="O76" s="527"/>
      <c r="P76" s="528"/>
      <c r="R76" s="233"/>
      <c r="S76" s="211"/>
      <c r="T76" s="211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</row>
    <row r="77" spans="1:75" s="136" customFormat="1" ht="20.100000000000001" customHeight="1" thickBot="1">
      <c r="A77" s="510"/>
      <c r="B77" s="513"/>
      <c r="C77" s="264">
        <v>5</v>
      </c>
      <c r="D77" s="246"/>
      <c r="E77" s="247"/>
      <c r="F77" s="248"/>
      <c r="G77" s="239"/>
      <c r="H77" s="240"/>
      <c r="I77" s="241"/>
      <c r="J77" s="265"/>
      <c r="K77" s="266"/>
      <c r="L77" s="265"/>
      <c r="M77" s="267">
        <f t="shared" si="7"/>
        <v>0</v>
      </c>
      <c r="N77" s="268"/>
      <c r="O77" s="527"/>
      <c r="P77" s="528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</row>
    <row r="78" spans="1:75" s="136" customFormat="1" ht="15.75" customHeight="1" thickTop="1">
      <c r="A78" s="511"/>
      <c r="B78" s="514"/>
      <c r="C78" s="519"/>
      <c r="D78" s="520"/>
      <c r="E78" s="520"/>
      <c r="F78" s="520"/>
      <c r="G78" s="520"/>
      <c r="H78" s="520"/>
      <c r="I78" s="521"/>
      <c r="J78" s="251" t="s">
        <v>58</v>
      </c>
      <c r="K78" s="213">
        <f>M78/'生產管理報表 7-1 (週)'!$B$31</f>
        <v>0</v>
      </c>
      <c r="L78" s="251" t="s">
        <v>59</v>
      </c>
      <c r="M78" s="252">
        <f>SUM(M73:M77)</f>
        <v>0</v>
      </c>
      <c r="N78" s="529"/>
      <c r="O78" s="530"/>
      <c r="P78" s="531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</row>
    <row r="79" spans="1:75" s="136" customFormat="1" ht="15.75" customHeight="1">
      <c r="B79" s="234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69"/>
      <c r="O79" s="269"/>
      <c r="P79" s="269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</row>
    <row r="80" spans="1:75" s="136" customFormat="1" ht="15.75" customHeight="1">
      <c r="A80" s="501" t="s">
        <v>191</v>
      </c>
      <c r="B80" s="502"/>
      <c r="C80" s="254" t="s">
        <v>47</v>
      </c>
      <c r="D80" s="503" t="s">
        <v>12</v>
      </c>
      <c r="E80" s="504"/>
      <c r="F80" s="505"/>
      <c r="G80" s="503" t="s">
        <v>53</v>
      </c>
      <c r="H80" s="504"/>
      <c r="I80" s="506"/>
      <c r="J80" s="255" t="s">
        <v>54</v>
      </c>
      <c r="K80" s="256" t="s">
        <v>55</v>
      </c>
      <c r="L80" s="256" t="s">
        <v>56</v>
      </c>
      <c r="M80" s="256" t="s">
        <v>11</v>
      </c>
      <c r="N80" s="257" t="s">
        <v>333</v>
      </c>
      <c r="O80" s="507" t="s">
        <v>51</v>
      </c>
      <c r="P80" s="508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</row>
    <row r="81" spans="1:75" s="136" customFormat="1" ht="50.1" customHeight="1">
      <c r="A81" s="509">
        <v>3</v>
      </c>
      <c r="B81" s="512" t="s">
        <v>429</v>
      </c>
      <c r="C81" s="258">
        <v>1</v>
      </c>
      <c r="D81" s="239" t="s">
        <v>342</v>
      </c>
      <c r="E81" s="240"/>
      <c r="F81" s="241"/>
      <c r="G81" s="248" t="s">
        <v>459</v>
      </c>
      <c r="H81" s="247"/>
      <c r="I81" s="248"/>
      <c r="J81" s="259">
        <v>2.4499999999999997</v>
      </c>
      <c r="K81" s="260">
        <v>1.0069453245798585E-2</v>
      </c>
      <c r="L81" s="259">
        <v>1589</v>
      </c>
      <c r="M81" s="327">
        <f t="shared" ref="M81:M85" si="8">L81*J81</f>
        <v>3893.0499999999997</v>
      </c>
      <c r="N81" s="272"/>
      <c r="O81" s="515" t="s">
        <v>475</v>
      </c>
      <c r="P81" s="516"/>
      <c r="R81" s="233"/>
      <c r="S81" s="409"/>
      <c r="T81" s="409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</row>
    <row r="82" spans="1:75" s="136" customFormat="1" ht="50.1" customHeight="1">
      <c r="A82" s="510"/>
      <c r="B82" s="513"/>
      <c r="C82" s="258">
        <v>2</v>
      </c>
      <c r="D82" s="239" t="s">
        <v>342</v>
      </c>
      <c r="E82" s="240"/>
      <c r="F82" s="241"/>
      <c r="G82" s="248" t="s">
        <v>458</v>
      </c>
      <c r="H82" s="247"/>
      <c r="I82" s="248"/>
      <c r="J82" s="259">
        <v>1.17</v>
      </c>
      <c r="K82" s="260">
        <v>1.0841300693422987E-2</v>
      </c>
      <c r="L82" s="259">
        <v>3302</v>
      </c>
      <c r="M82" s="327">
        <f t="shared" si="8"/>
        <v>3863.3399999999997</v>
      </c>
      <c r="N82" s="272"/>
      <c r="O82" s="517" t="s">
        <v>578</v>
      </c>
      <c r="P82" s="518"/>
      <c r="R82" s="233"/>
      <c r="S82" s="409"/>
      <c r="T82" s="416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</row>
    <row r="83" spans="1:75" s="136" customFormat="1" ht="50.1" customHeight="1">
      <c r="A83" s="510"/>
      <c r="B83" s="513"/>
      <c r="C83" s="258">
        <v>3</v>
      </c>
      <c r="D83" s="239" t="s">
        <v>697</v>
      </c>
      <c r="E83" s="240"/>
      <c r="F83" s="241"/>
      <c r="G83" s="248" t="s">
        <v>747</v>
      </c>
      <c r="H83" s="247"/>
      <c r="I83" s="248"/>
      <c r="J83" s="259">
        <v>24.59</v>
      </c>
      <c r="K83" s="260">
        <v>5.9556170612365938E-3</v>
      </c>
      <c r="L83" s="259">
        <v>120.5</v>
      </c>
      <c r="M83" s="327">
        <f t="shared" si="8"/>
        <v>2963.0949999999998</v>
      </c>
      <c r="N83" s="272"/>
      <c r="O83" s="517" t="s">
        <v>777</v>
      </c>
      <c r="P83" s="518"/>
      <c r="R83" s="409"/>
      <c r="S83" s="409"/>
      <c r="T83" s="416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</row>
    <row r="84" spans="1:75" s="136" customFormat="1" ht="50.1" customHeight="1">
      <c r="A84" s="510"/>
      <c r="B84" s="513"/>
      <c r="C84" s="258">
        <v>4</v>
      </c>
      <c r="D84" s="239" t="s">
        <v>478</v>
      </c>
      <c r="E84" s="240"/>
      <c r="F84" s="241"/>
      <c r="G84" s="248" t="s">
        <v>476</v>
      </c>
      <c r="H84" s="247"/>
      <c r="I84" s="248"/>
      <c r="J84" s="271">
        <v>407.74000000000007</v>
      </c>
      <c r="K84" s="260">
        <v>2.7987334686750713E-3</v>
      </c>
      <c r="L84" s="259">
        <v>3.3499999999999996</v>
      </c>
      <c r="M84" s="327">
        <f t="shared" si="8"/>
        <v>1365.9290000000001</v>
      </c>
      <c r="N84" s="272"/>
      <c r="O84" s="517" t="s">
        <v>778</v>
      </c>
      <c r="P84" s="518"/>
      <c r="R84" s="233"/>
      <c r="S84" s="233"/>
      <c r="T84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</row>
    <row r="85" spans="1:75" s="136" customFormat="1" ht="50.1" customHeight="1" thickBot="1">
      <c r="A85" s="510"/>
      <c r="B85" s="513"/>
      <c r="C85" s="264">
        <v>5</v>
      </c>
      <c r="D85" s="246" t="s">
        <v>356</v>
      </c>
      <c r="E85" s="247"/>
      <c r="F85" s="248"/>
      <c r="G85" s="393" t="s">
        <v>516</v>
      </c>
      <c r="H85" s="392"/>
      <c r="I85" s="393"/>
      <c r="J85" s="274">
        <v>122.06999999999996</v>
      </c>
      <c r="K85" s="266">
        <v>1.5921115921115919E-2</v>
      </c>
      <c r="L85" s="275">
        <v>9.93</v>
      </c>
      <c r="M85" s="327">
        <f t="shared" si="8"/>
        <v>1212.1550999999997</v>
      </c>
      <c r="N85" s="272"/>
      <c r="O85" s="517" t="s">
        <v>739</v>
      </c>
      <c r="P85" s="518"/>
      <c r="R85" s="233"/>
      <c r="S85" s="233"/>
      <c r="T85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</row>
    <row r="86" spans="1:75" s="136" customFormat="1" ht="15.75" customHeight="1" thickTop="1">
      <c r="A86" s="511"/>
      <c r="B86" s="514"/>
      <c r="C86" s="519"/>
      <c r="D86" s="520"/>
      <c r="E86" s="520"/>
      <c r="F86" s="520"/>
      <c r="G86" s="520"/>
      <c r="H86" s="520"/>
      <c r="I86" s="521"/>
      <c r="J86" s="276" t="s">
        <v>58</v>
      </c>
      <c r="K86" s="213">
        <f>M86/'生產管理報表 7-1 (週)'!$B$31</f>
        <v>0.16137009994046453</v>
      </c>
      <c r="L86" s="276" t="s">
        <v>59</v>
      </c>
      <c r="M86" s="328">
        <f>SUM(M81:M85)</f>
        <v>13297.569099999999</v>
      </c>
      <c r="N86" s="522"/>
      <c r="O86" s="523"/>
      <c r="P86" s="524"/>
      <c r="R86" s="233"/>
      <c r="S86" s="233"/>
      <c r="T86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</row>
    <row r="87" spans="1:75" s="136" customFormat="1" ht="15.75" customHeight="1">
      <c r="A87" s="551" t="s">
        <v>773</v>
      </c>
      <c r="B87" s="551"/>
      <c r="C87" s="551"/>
      <c r="D87" s="551"/>
      <c r="E87" s="551"/>
      <c r="F87" s="551"/>
      <c r="G87" s="551"/>
      <c r="H87" s="551"/>
      <c r="I87" s="551"/>
      <c r="J87" s="551"/>
      <c r="K87" s="551"/>
      <c r="L87" s="551"/>
      <c r="M87" s="551"/>
      <c r="R87" s="233"/>
      <c r="S87" s="233"/>
      <c r="T87" s="233"/>
      <c r="U87" s="233"/>
    </row>
    <row r="88" spans="1:75" s="137" customFormat="1" ht="15.75" customHeight="1">
      <c r="A88" s="552"/>
      <c r="B88" s="552"/>
      <c r="C88" s="552"/>
      <c r="D88" s="552"/>
      <c r="E88" s="552"/>
      <c r="F88" s="552"/>
      <c r="G88" s="552"/>
      <c r="H88" s="552"/>
      <c r="I88" s="552"/>
      <c r="J88" s="552"/>
      <c r="K88" s="552"/>
      <c r="L88" s="552"/>
      <c r="M88" s="552"/>
    </row>
    <row r="89" spans="1:75" s="136" customFormat="1" ht="15.75" customHeight="1">
      <c r="A89" s="553" t="s">
        <v>191</v>
      </c>
      <c r="B89" s="555">
        <v>1</v>
      </c>
      <c r="C89" s="556"/>
      <c r="D89" s="555">
        <v>2</v>
      </c>
      <c r="E89" s="556"/>
      <c r="F89" s="555">
        <v>3</v>
      </c>
      <c r="G89" s="556"/>
      <c r="H89" s="501">
        <v>4</v>
      </c>
      <c r="I89" s="502"/>
      <c r="J89" s="501">
        <v>5</v>
      </c>
      <c r="K89" s="502"/>
      <c r="L89" s="501">
        <v>6</v>
      </c>
      <c r="M89" s="502"/>
      <c r="N89" s="501">
        <v>7</v>
      </c>
      <c r="O89" s="502"/>
      <c r="P89" s="501">
        <v>8</v>
      </c>
      <c r="Q89" s="502"/>
      <c r="R89" s="233"/>
      <c r="S89" s="233"/>
      <c r="T89" s="233"/>
      <c r="U89" s="233"/>
    </row>
    <row r="90" spans="1:75" s="136" customFormat="1" ht="15.75" customHeight="1">
      <c r="A90" s="554"/>
      <c r="B90" s="545" t="s">
        <v>463</v>
      </c>
      <c r="C90" s="546"/>
      <c r="D90" s="545" t="s">
        <v>212</v>
      </c>
      <c r="E90" s="546"/>
      <c r="F90" s="545" t="s">
        <v>166</v>
      </c>
      <c r="G90" s="546"/>
      <c r="H90" s="547" t="s">
        <v>436</v>
      </c>
      <c r="I90" s="548"/>
      <c r="J90" s="547" t="s">
        <v>189</v>
      </c>
      <c r="K90" s="548"/>
      <c r="L90" s="547" t="s">
        <v>167</v>
      </c>
      <c r="M90" s="548"/>
      <c r="N90" s="547" t="s">
        <v>190</v>
      </c>
      <c r="O90" s="548"/>
      <c r="P90" s="549" t="s">
        <v>217</v>
      </c>
      <c r="Q90" s="550"/>
      <c r="R90" s="233"/>
      <c r="S90" s="233"/>
      <c r="T90" s="233"/>
      <c r="U90" s="233"/>
    </row>
    <row r="91" spans="1:75" s="136" customFormat="1" ht="15.75" customHeight="1">
      <c r="B91" s="234"/>
      <c r="C91" s="235"/>
      <c r="R91" s="233"/>
      <c r="S91" s="233"/>
      <c r="T91" s="233"/>
      <c r="U91" s="233"/>
    </row>
    <row r="92" spans="1:75" s="237" customFormat="1" ht="15.75" customHeight="1">
      <c r="A92" s="501" t="s">
        <v>191</v>
      </c>
      <c r="B92" s="502"/>
      <c r="C92" s="236" t="s">
        <v>47</v>
      </c>
      <c r="D92" s="532" t="s">
        <v>12</v>
      </c>
      <c r="E92" s="504"/>
      <c r="F92" s="506"/>
      <c r="G92" s="533" t="s">
        <v>53</v>
      </c>
      <c r="H92" s="534"/>
      <c r="I92" s="535"/>
      <c r="J92" s="236" t="s">
        <v>54</v>
      </c>
      <c r="K92" s="236" t="s">
        <v>55</v>
      </c>
      <c r="L92" s="236" t="s">
        <v>56</v>
      </c>
      <c r="M92" s="236" t="s">
        <v>11</v>
      </c>
      <c r="N92" s="236" t="s">
        <v>333</v>
      </c>
      <c r="O92" s="536" t="s">
        <v>51</v>
      </c>
      <c r="P92" s="537"/>
    </row>
    <row r="93" spans="1:75" s="136" customFormat="1" ht="50.1" customHeight="1">
      <c r="A93" s="509">
        <v>1</v>
      </c>
      <c r="B93" s="512" t="s">
        <v>464</v>
      </c>
      <c r="C93" s="238">
        <v>1</v>
      </c>
      <c r="D93" s="239"/>
      <c r="E93" s="240"/>
      <c r="F93" s="240"/>
      <c r="G93" s="364"/>
      <c r="H93" s="307"/>
      <c r="I93" s="308"/>
      <c r="J93" s="238"/>
      <c r="K93" s="244"/>
      <c r="L93" s="238"/>
      <c r="M93" s="324">
        <f>L93*J93</f>
        <v>0</v>
      </c>
      <c r="N93" s="245"/>
      <c r="O93" s="538"/>
      <c r="P93" s="539"/>
      <c r="R93" s="233"/>
      <c r="S93" s="407"/>
      <c r="T93" s="263"/>
      <c r="U93" s="233"/>
    </row>
    <row r="94" spans="1:75" s="136" customFormat="1" ht="50.1" customHeight="1">
      <c r="A94" s="510"/>
      <c r="B94" s="513"/>
      <c r="C94" s="238">
        <v>2</v>
      </c>
      <c r="D94" s="239"/>
      <c r="E94" s="240"/>
      <c r="F94" s="240"/>
      <c r="G94" s="364"/>
      <c r="H94" s="307"/>
      <c r="I94" s="308"/>
      <c r="J94" s="238"/>
      <c r="K94" s="244"/>
      <c r="L94" s="238"/>
      <c r="M94" s="324">
        <f t="shared" ref="M94:M97" si="9">L94*J94</f>
        <v>0</v>
      </c>
      <c r="N94" s="245"/>
      <c r="O94" s="540"/>
      <c r="P94" s="516"/>
      <c r="R94" s="233"/>
      <c r="S94" s="408"/>
      <c r="T94" s="408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  <c r="BS94" s="233"/>
      <c r="BT94" s="233"/>
      <c r="BU94" s="233"/>
      <c r="BV94" s="233"/>
      <c r="BW94" s="233"/>
    </row>
    <row r="95" spans="1:75" s="136" customFormat="1" ht="50.1" customHeight="1">
      <c r="A95" s="510"/>
      <c r="B95" s="513"/>
      <c r="C95" s="238">
        <v>3</v>
      </c>
      <c r="D95" s="239"/>
      <c r="E95" s="240"/>
      <c r="F95" s="240"/>
      <c r="G95" s="364"/>
      <c r="H95" s="307"/>
      <c r="I95" s="308"/>
      <c r="J95" s="238"/>
      <c r="K95" s="244"/>
      <c r="L95" s="238"/>
      <c r="M95" s="324">
        <f t="shared" si="9"/>
        <v>0</v>
      </c>
      <c r="N95" s="245"/>
      <c r="O95" s="541"/>
      <c r="P95" s="518"/>
      <c r="R95" s="233"/>
      <c r="S95" s="407"/>
      <c r="T95" s="407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  <c r="BS95" s="233"/>
      <c r="BT95" s="233"/>
      <c r="BU95" s="233"/>
      <c r="BV95" s="233"/>
      <c r="BW95" s="233"/>
    </row>
    <row r="96" spans="1:75" s="136" customFormat="1" ht="50.1" customHeight="1">
      <c r="A96" s="510"/>
      <c r="B96" s="513"/>
      <c r="C96" s="238">
        <v>4</v>
      </c>
      <c r="D96" s="239"/>
      <c r="E96" s="240"/>
      <c r="F96" s="240"/>
      <c r="G96" s="364"/>
      <c r="H96" s="307"/>
      <c r="I96" s="308"/>
      <c r="J96" s="238"/>
      <c r="K96" s="244"/>
      <c r="L96" s="238"/>
      <c r="M96" s="324">
        <f t="shared" si="9"/>
        <v>0</v>
      </c>
      <c r="N96" s="245"/>
      <c r="O96" s="541"/>
      <c r="P96" s="518"/>
      <c r="R96" s="233"/>
      <c r="S96" s="408"/>
      <c r="T96" s="408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  <c r="BS96" s="233"/>
      <c r="BT96" s="233"/>
      <c r="BU96" s="233"/>
      <c r="BV96" s="233"/>
      <c r="BW96" s="233"/>
    </row>
    <row r="97" spans="1:75" s="136" customFormat="1" ht="50.1" customHeight="1" thickBot="1">
      <c r="A97" s="510"/>
      <c r="B97" s="513"/>
      <c r="C97" s="238">
        <v>5</v>
      </c>
      <c r="D97" s="246"/>
      <c r="E97" s="247"/>
      <c r="F97" s="247"/>
      <c r="G97" s="500"/>
      <c r="H97" s="307"/>
      <c r="I97" s="308"/>
      <c r="J97" s="249"/>
      <c r="K97" s="250"/>
      <c r="L97" s="249"/>
      <c r="M97" s="325">
        <f t="shared" si="9"/>
        <v>0</v>
      </c>
      <c r="N97" s="245"/>
      <c r="O97" s="541"/>
      <c r="P97" s="518"/>
      <c r="R97" s="233"/>
      <c r="S97" s="407"/>
      <c r="T97" s="407"/>
      <c r="U97" s="233"/>
      <c r="V97" s="409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3"/>
      <c r="BQ97" s="233"/>
      <c r="BR97" s="233"/>
      <c r="BS97" s="233"/>
      <c r="BT97" s="233"/>
      <c r="BU97" s="233"/>
      <c r="BV97" s="233"/>
      <c r="BW97" s="233"/>
    </row>
    <row r="98" spans="1:75" s="136" customFormat="1" ht="15.75" customHeight="1" thickTop="1">
      <c r="A98" s="511"/>
      <c r="B98" s="514"/>
      <c r="C98" s="519"/>
      <c r="D98" s="520"/>
      <c r="E98" s="520"/>
      <c r="F98" s="520"/>
      <c r="G98" s="520"/>
      <c r="H98" s="520"/>
      <c r="I98" s="521"/>
      <c r="J98" s="251" t="s">
        <v>58</v>
      </c>
      <c r="K98" s="213">
        <f>M98/'生產管理報表 7-1 (週)'!$B$42</f>
        <v>0</v>
      </c>
      <c r="L98" s="251" t="s">
        <v>59</v>
      </c>
      <c r="M98" s="326">
        <f>SUM(M93:M97)</f>
        <v>0</v>
      </c>
      <c r="N98" s="542"/>
      <c r="O98" s="543"/>
      <c r="P98" s="544"/>
      <c r="R98" s="233"/>
      <c r="S98" s="211"/>
      <c r="T98" s="211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3"/>
      <c r="BQ98" s="233"/>
      <c r="BR98" s="233"/>
      <c r="BS98" s="233"/>
      <c r="BT98" s="233"/>
      <c r="BU98" s="233"/>
      <c r="BV98" s="233"/>
      <c r="BW98" s="233"/>
    </row>
    <row r="99" spans="1:75" s="136" customFormat="1" ht="15.75" customHeight="1">
      <c r="B99" s="234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53"/>
      <c r="O99" s="253"/>
      <c r="P99" s="253"/>
      <c r="R99" s="233"/>
      <c r="S99" s="263"/>
      <c r="T99" s="26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  <c r="BL99" s="233"/>
      <c r="BM99" s="233"/>
      <c r="BN99" s="233"/>
      <c r="BO99" s="233"/>
      <c r="BP99" s="233"/>
      <c r="BQ99" s="233"/>
      <c r="BR99" s="233"/>
      <c r="BS99" s="233"/>
      <c r="BT99" s="233"/>
      <c r="BU99" s="233"/>
      <c r="BV99" s="233"/>
      <c r="BW99" s="233"/>
    </row>
    <row r="100" spans="1:75" s="136" customFormat="1" ht="15.75" customHeight="1">
      <c r="A100" s="501" t="s">
        <v>191</v>
      </c>
      <c r="B100" s="502"/>
      <c r="C100" s="254" t="s">
        <v>47</v>
      </c>
      <c r="D100" s="503" t="s">
        <v>12</v>
      </c>
      <c r="E100" s="504"/>
      <c r="F100" s="505"/>
      <c r="G100" s="503" t="s">
        <v>53</v>
      </c>
      <c r="H100" s="504"/>
      <c r="I100" s="505"/>
      <c r="J100" s="256" t="s">
        <v>54</v>
      </c>
      <c r="K100" s="256" t="s">
        <v>55</v>
      </c>
      <c r="L100" s="256" t="s">
        <v>56</v>
      </c>
      <c r="M100" s="256" t="s">
        <v>11</v>
      </c>
      <c r="N100" s="257" t="s">
        <v>333</v>
      </c>
      <c r="O100" s="525" t="s">
        <v>51</v>
      </c>
      <c r="P100" s="526"/>
      <c r="R100" s="233"/>
      <c r="S100" s="211"/>
      <c r="T100" s="211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</row>
    <row r="101" spans="1:75" s="136" customFormat="1" ht="20.100000000000001" customHeight="1">
      <c r="A101" s="509">
        <v>2</v>
      </c>
      <c r="B101" s="512" t="s">
        <v>213</v>
      </c>
      <c r="C101" s="258">
        <v>1</v>
      </c>
      <c r="D101" s="239"/>
      <c r="E101" s="240"/>
      <c r="F101" s="241"/>
      <c r="G101" s="239"/>
      <c r="H101" s="240"/>
      <c r="I101" s="241"/>
      <c r="J101" s="259"/>
      <c r="K101" s="260"/>
      <c r="L101" s="259"/>
      <c r="M101" s="261">
        <f t="shared" ref="M101:M105" si="10">L101*J101</f>
        <v>0</v>
      </c>
      <c r="N101" s="262"/>
      <c r="O101" s="527"/>
      <c r="P101" s="528"/>
      <c r="R101" s="233"/>
      <c r="S101" s="263"/>
      <c r="T101" s="26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</row>
    <row r="102" spans="1:75" s="136" customFormat="1" ht="20.100000000000001" customHeight="1">
      <c r="A102" s="510"/>
      <c r="B102" s="513"/>
      <c r="C102" s="258">
        <v>2</v>
      </c>
      <c r="D102" s="239"/>
      <c r="E102" s="240"/>
      <c r="F102" s="241"/>
      <c r="G102" s="239"/>
      <c r="H102" s="240"/>
      <c r="I102" s="241"/>
      <c r="J102" s="259"/>
      <c r="K102" s="260"/>
      <c r="L102" s="259"/>
      <c r="M102" s="261">
        <f t="shared" si="10"/>
        <v>0</v>
      </c>
      <c r="N102" s="262"/>
      <c r="O102" s="527"/>
      <c r="P102" s="528"/>
      <c r="R102" s="233"/>
      <c r="S102" s="211"/>
      <c r="T102" s="211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</row>
    <row r="103" spans="1:75" s="136" customFormat="1" ht="20.100000000000001" customHeight="1">
      <c r="A103" s="510"/>
      <c r="B103" s="513"/>
      <c r="C103" s="258">
        <v>3</v>
      </c>
      <c r="D103" s="239"/>
      <c r="E103" s="240"/>
      <c r="F103" s="241"/>
      <c r="G103" s="239"/>
      <c r="H103" s="240"/>
      <c r="I103" s="270"/>
      <c r="J103" s="259"/>
      <c r="K103" s="260"/>
      <c r="L103" s="259"/>
      <c r="M103" s="261">
        <f t="shared" si="10"/>
        <v>0</v>
      </c>
      <c r="N103" s="262"/>
      <c r="O103" s="527"/>
      <c r="P103" s="528"/>
      <c r="R103" s="233"/>
      <c r="S103" s="263"/>
      <c r="T103" s="26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</row>
    <row r="104" spans="1:75" s="136" customFormat="1" ht="20.100000000000001" customHeight="1">
      <c r="A104" s="510"/>
      <c r="B104" s="513"/>
      <c r="C104" s="258">
        <v>4</v>
      </c>
      <c r="D104" s="239"/>
      <c r="E104" s="240"/>
      <c r="F104" s="241"/>
      <c r="G104" s="239"/>
      <c r="H104" s="240"/>
      <c r="I104" s="241"/>
      <c r="J104" s="259"/>
      <c r="K104" s="260"/>
      <c r="L104" s="259"/>
      <c r="M104" s="261">
        <f t="shared" si="10"/>
        <v>0</v>
      </c>
      <c r="N104" s="262"/>
      <c r="O104" s="527"/>
      <c r="P104" s="528"/>
      <c r="R104" s="233"/>
      <c r="S104" s="211"/>
      <c r="T104" s="211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</row>
    <row r="105" spans="1:75" s="136" customFormat="1" ht="20.100000000000001" customHeight="1" thickBot="1">
      <c r="A105" s="510"/>
      <c r="B105" s="513"/>
      <c r="C105" s="264">
        <v>5</v>
      </c>
      <c r="D105" s="246"/>
      <c r="E105" s="247"/>
      <c r="F105" s="248"/>
      <c r="G105" s="239"/>
      <c r="H105" s="240"/>
      <c r="I105" s="241"/>
      <c r="J105" s="265"/>
      <c r="K105" s="266"/>
      <c r="L105" s="265"/>
      <c r="M105" s="267">
        <f t="shared" si="10"/>
        <v>0</v>
      </c>
      <c r="N105" s="268"/>
      <c r="O105" s="527"/>
      <c r="P105" s="528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</row>
    <row r="106" spans="1:75" s="136" customFormat="1" ht="15.75" customHeight="1" thickTop="1">
      <c r="A106" s="511"/>
      <c r="B106" s="514"/>
      <c r="C106" s="519"/>
      <c r="D106" s="520"/>
      <c r="E106" s="520"/>
      <c r="F106" s="520"/>
      <c r="G106" s="520"/>
      <c r="H106" s="520"/>
      <c r="I106" s="521"/>
      <c r="J106" s="251" t="s">
        <v>58</v>
      </c>
      <c r="K106" s="213">
        <f>M106/'生產管理報表 7-1 (週)'!$B$42</f>
        <v>0</v>
      </c>
      <c r="L106" s="251" t="s">
        <v>59</v>
      </c>
      <c r="M106" s="252">
        <f>SUM(M101:M105)</f>
        <v>0</v>
      </c>
      <c r="N106" s="529"/>
      <c r="O106" s="530"/>
      <c r="P106" s="531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</row>
    <row r="107" spans="1:75" s="136" customFormat="1" ht="15.75" customHeight="1">
      <c r="B107" s="234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69"/>
      <c r="O107" s="269"/>
      <c r="P107" s="269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</row>
    <row r="108" spans="1:75" s="136" customFormat="1" ht="15.75" customHeight="1">
      <c r="A108" s="501" t="s">
        <v>191</v>
      </c>
      <c r="B108" s="502"/>
      <c r="C108" s="254" t="s">
        <v>47</v>
      </c>
      <c r="D108" s="503" t="s">
        <v>12</v>
      </c>
      <c r="E108" s="504"/>
      <c r="F108" s="505"/>
      <c r="G108" s="503" t="s">
        <v>53</v>
      </c>
      <c r="H108" s="504"/>
      <c r="I108" s="506"/>
      <c r="J108" s="255" t="s">
        <v>54</v>
      </c>
      <c r="K108" s="256" t="s">
        <v>55</v>
      </c>
      <c r="L108" s="256" t="s">
        <v>56</v>
      </c>
      <c r="M108" s="256" t="s">
        <v>11</v>
      </c>
      <c r="N108" s="257" t="s">
        <v>333</v>
      </c>
      <c r="O108" s="507" t="s">
        <v>51</v>
      </c>
      <c r="P108" s="508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</row>
    <row r="109" spans="1:75" s="136" customFormat="1" ht="50.1" customHeight="1">
      <c r="A109" s="509">
        <v>3</v>
      </c>
      <c r="B109" s="512" t="s">
        <v>429</v>
      </c>
      <c r="C109" s="258">
        <v>1</v>
      </c>
      <c r="D109" s="239"/>
      <c r="E109" s="240"/>
      <c r="F109" s="241"/>
      <c r="G109" s="248"/>
      <c r="H109" s="247"/>
      <c r="I109" s="248"/>
      <c r="J109" s="259"/>
      <c r="K109" s="260"/>
      <c r="L109" s="259"/>
      <c r="M109" s="327">
        <f t="shared" ref="M109:M113" si="11">L109*J109</f>
        <v>0</v>
      </c>
      <c r="N109" s="272"/>
      <c r="O109" s="515"/>
      <c r="P109" s="516"/>
      <c r="R109" s="233"/>
      <c r="S109" s="409"/>
      <c r="T109" s="409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</row>
    <row r="110" spans="1:75" s="136" customFormat="1" ht="50.1" customHeight="1">
      <c r="A110" s="510"/>
      <c r="B110" s="513"/>
      <c r="C110" s="258">
        <v>2</v>
      </c>
      <c r="D110" s="239"/>
      <c r="E110" s="240"/>
      <c r="F110" s="241"/>
      <c r="G110" s="248"/>
      <c r="H110" s="247"/>
      <c r="I110" s="248"/>
      <c r="J110" s="259"/>
      <c r="K110" s="260"/>
      <c r="L110" s="259"/>
      <c r="M110" s="327">
        <f t="shared" si="11"/>
        <v>0</v>
      </c>
      <c r="N110" s="272"/>
      <c r="O110" s="517"/>
      <c r="P110" s="518"/>
      <c r="R110" s="233"/>
      <c r="S110" s="409"/>
      <c r="T110" s="416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</row>
    <row r="111" spans="1:75" s="136" customFormat="1" ht="50.1" customHeight="1">
      <c r="A111" s="510"/>
      <c r="B111" s="513"/>
      <c r="C111" s="258">
        <v>3</v>
      </c>
      <c r="D111" s="239"/>
      <c r="E111" s="240"/>
      <c r="F111" s="241"/>
      <c r="G111" s="248"/>
      <c r="H111" s="247"/>
      <c r="I111" s="248"/>
      <c r="J111" s="259"/>
      <c r="K111" s="260"/>
      <c r="L111" s="259"/>
      <c r="M111" s="327">
        <f t="shared" si="11"/>
        <v>0</v>
      </c>
      <c r="N111" s="272"/>
      <c r="O111" s="517"/>
      <c r="P111" s="518"/>
      <c r="R111" s="409"/>
      <c r="S111" s="409"/>
      <c r="T111" s="416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</row>
    <row r="112" spans="1:75" s="136" customFormat="1" ht="50.1" customHeight="1">
      <c r="A112" s="510"/>
      <c r="B112" s="513"/>
      <c r="C112" s="258">
        <v>4</v>
      </c>
      <c r="D112" s="239"/>
      <c r="E112" s="240"/>
      <c r="F112" s="241"/>
      <c r="G112" s="246"/>
      <c r="H112" s="247"/>
      <c r="I112" s="248"/>
      <c r="J112" s="271"/>
      <c r="K112" s="260"/>
      <c r="L112" s="259"/>
      <c r="M112" s="327">
        <f t="shared" si="11"/>
        <v>0</v>
      </c>
      <c r="N112" s="272"/>
      <c r="O112" s="517"/>
      <c r="P112" s="518"/>
      <c r="R112" s="233"/>
      <c r="S112" s="233"/>
      <c r="T112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</row>
    <row r="113" spans="1:36" s="136" customFormat="1" ht="50.1" customHeight="1" thickBot="1">
      <c r="A113" s="510"/>
      <c r="B113" s="513"/>
      <c r="C113" s="264">
        <v>5</v>
      </c>
      <c r="D113" s="246"/>
      <c r="E113" s="247"/>
      <c r="F113" s="248"/>
      <c r="G113" s="391"/>
      <c r="H113" s="392"/>
      <c r="I113" s="393"/>
      <c r="J113" s="274"/>
      <c r="K113" s="266"/>
      <c r="L113" s="275"/>
      <c r="M113" s="327">
        <f t="shared" si="11"/>
        <v>0</v>
      </c>
      <c r="N113" s="272"/>
      <c r="O113" s="517"/>
      <c r="P113" s="518"/>
      <c r="R113" s="233"/>
      <c r="S113" s="233"/>
      <c r="T11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</row>
    <row r="114" spans="1:36" s="136" customFormat="1" ht="15.75" customHeight="1" thickTop="1">
      <c r="A114" s="511"/>
      <c r="B114" s="514"/>
      <c r="C114" s="519"/>
      <c r="D114" s="520"/>
      <c r="E114" s="520"/>
      <c r="F114" s="520"/>
      <c r="G114" s="520"/>
      <c r="H114" s="520"/>
      <c r="I114" s="521"/>
      <c r="J114" s="276" t="s">
        <v>58</v>
      </c>
      <c r="K114" s="213">
        <f>M114/'生產管理報表 7-1 (週)'!$B$42</f>
        <v>0</v>
      </c>
      <c r="L114" s="276" t="s">
        <v>59</v>
      </c>
      <c r="M114" s="328">
        <f>SUM(M109:M113)</f>
        <v>0</v>
      </c>
      <c r="N114" s="522"/>
      <c r="O114" s="523"/>
      <c r="P114" s="524"/>
      <c r="R114" s="233"/>
      <c r="S114" s="233"/>
      <c r="T114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</row>
  </sheetData>
  <mergeCells count="229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L34:M34"/>
    <mergeCell ref="N34:O34"/>
    <mergeCell ref="P34:Q34"/>
    <mergeCell ref="A36:B36"/>
    <mergeCell ref="D36:F36"/>
    <mergeCell ref="G36:I36"/>
    <mergeCell ref="O36:P36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1" manualBreakCount="1">
    <brk id="58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9">
    <tabColor rgb="FF92D050"/>
    <outlinePr summaryBelow="0" summaryRight="0"/>
  </sheetPr>
  <dimension ref="A1:U147"/>
  <sheetViews>
    <sheetView view="pageBreakPreview" topLeftCell="A88" zoomScale="91" zoomScaleNormal="60" zoomScaleSheetLayoutView="91" workbookViewId="0">
      <selection activeCell="S99" sqref="S99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557" t="s">
        <v>367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</row>
    <row r="2" spans="1:21" s="10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</row>
    <row r="3" spans="1:21" s="136" customFormat="1" ht="15.75" customHeight="1">
      <c r="A3" s="824" t="s">
        <v>613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496"/>
      <c r="O3" s="496"/>
      <c r="P3" s="497"/>
      <c r="R3" s="233"/>
      <c r="S3" s="233"/>
      <c r="T3" s="233"/>
      <c r="U3" s="233"/>
    </row>
    <row r="4" spans="1:21" s="137" customFormat="1" ht="15.75" customHeight="1">
      <c r="A4" s="825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  <c r="N4" s="498"/>
      <c r="O4" s="498"/>
      <c r="P4" s="499"/>
    </row>
    <row r="5" spans="1:21" s="136" customFormat="1" ht="15.75" customHeight="1">
      <c r="A5" s="553" t="s">
        <v>191</v>
      </c>
      <c r="B5" s="501">
        <v>1</v>
      </c>
      <c r="C5" s="502"/>
      <c r="D5" s="501">
        <v>2</v>
      </c>
      <c r="E5" s="502"/>
      <c r="F5" s="501">
        <v>3</v>
      </c>
      <c r="G5" s="502"/>
      <c r="H5" s="555">
        <v>4</v>
      </c>
      <c r="I5" s="556"/>
      <c r="J5" s="555">
        <v>5</v>
      </c>
      <c r="K5" s="556"/>
      <c r="L5" s="555">
        <v>6</v>
      </c>
      <c r="M5" s="556"/>
      <c r="N5" s="555">
        <v>7</v>
      </c>
      <c r="O5" s="556"/>
      <c r="P5" s="329">
        <v>8</v>
      </c>
    </row>
    <row r="6" spans="1:21" s="136" customFormat="1" ht="15.75" customHeight="1">
      <c r="A6" s="554"/>
      <c r="B6" s="547" t="s">
        <v>463</v>
      </c>
      <c r="C6" s="548"/>
      <c r="D6" s="547" t="s">
        <v>212</v>
      </c>
      <c r="E6" s="548"/>
      <c r="F6" s="547" t="s">
        <v>166</v>
      </c>
      <c r="G6" s="548"/>
      <c r="H6" s="545" t="s">
        <v>436</v>
      </c>
      <c r="I6" s="546"/>
      <c r="J6" s="545" t="s">
        <v>189</v>
      </c>
      <c r="K6" s="546"/>
      <c r="L6" s="545" t="s">
        <v>167</v>
      </c>
      <c r="M6" s="546"/>
      <c r="N6" s="545" t="s">
        <v>190</v>
      </c>
      <c r="O6" s="546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735" t="s">
        <v>191</v>
      </c>
      <c r="B8" s="736"/>
      <c r="C8" s="277" t="s">
        <v>47</v>
      </c>
      <c r="D8" s="763" t="s">
        <v>12</v>
      </c>
      <c r="E8" s="764"/>
      <c r="F8" s="765"/>
      <c r="G8" s="766" t="s">
        <v>53</v>
      </c>
      <c r="H8" s="767"/>
      <c r="I8" s="768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43" t="s">
        <v>51</v>
      </c>
      <c r="P8" s="744"/>
      <c r="R8" s="211"/>
      <c r="S8" s="263"/>
    </row>
    <row r="9" spans="1:21" s="300" customFormat="1" ht="20.100000000000001" customHeight="1">
      <c r="A9" s="745">
        <v>4</v>
      </c>
      <c r="B9" s="779" t="s">
        <v>436</v>
      </c>
      <c r="C9" s="281">
        <v>1</v>
      </c>
      <c r="D9" s="239"/>
      <c r="E9" s="240"/>
      <c r="F9" s="241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538"/>
      <c r="P9" s="539"/>
      <c r="R9" s="317"/>
      <c r="S9" s="263"/>
    </row>
    <row r="10" spans="1:21" s="300" customFormat="1" ht="20.100000000000001" customHeight="1">
      <c r="A10" s="746"/>
      <c r="B10" s="780"/>
      <c r="C10" s="281">
        <v>2</v>
      </c>
      <c r="D10" s="239"/>
      <c r="E10" s="240"/>
      <c r="F10" s="241"/>
      <c r="G10" s="356"/>
      <c r="H10" s="307"/>
      <c r="I10" s="308"/>
      <c r="J10" s="314"/>
      <c r="K10" s="315"/>
      <c r="L10" s="316"/>
      <c r="M10" s="324">
        <f t="shared" si="0"/>
        <v>0</v>
      </c>
      <c r="N10" s="316"/>
      <c r="O10" s="775"/>
      <c r="P10" s="776"/>
      <c r="R10" s="317"/>
      <c r="S10" s="211"/>
      <c r="T10" s="338"/>
    </row>
    <row r="11" spans="1:21" s="300" customFormat="1" ht="20.100000000000001" customHeight="1">
      <c r="A11" s="746"/>
      <c r="B11" s="780"/>
      <c r="C11" s="281">
        <v>3</v>
      </c>
      <c r="D11" s="239"/>
      <c r="E11" s="240"/>
      <c r="F11" s="241"/>
      <c r="G11" s="356"/>
      <c r="H11" s="307"/>
      <c r="I11" s="308"/>
      <c r="J11" s="314"/>
      <c r="K11" s="315"/>
      <c r="L11" s="316"/>
      <c r="M11" s="324">
        <f t="shared" si="0"/>
        <v>0</v>
      </c>
      <c r="N11" s="316"/>
      <c r="O11" s="538"/>
      <c r="P11" s="539"/>
      <c r="R11" s="317"/>
      <c r="S11" s="263"/>
    </row>
    <row r="12" spans="1:21" s="300" customFormat="1" ht="20.100000000000001" customHeight="1">
      <c r="A12" s="746"/>
      <c r="B12" s="780"/>
      <c r="C12" s="281">
        <v>4</v>
      </c>
      <c r="D12" s="239"/>
      <c r="E12" s="240"/>
      <c r="F12" s="241"/>
      <c r="G12" s="356"/>
      <c r="H12" s="307"/>
      <c r="I12" s="308"/>
      <c r="J12" s="314"/>
      <c r="K12" s="315"/>
      <c r="L12" s="316"/>
      <c r="M12" s="324">
        <f t="shared" si="0"/>
        <v>0</v>
      </c>
      <c r="N12" s="316"/>
      <c r="O12" s="538"/>
      <c r="P12" s="539"/>
      <c r="R12" s="317"/>
      <c r="S12" s="211"/>
      <c r="T12" s="338"/>
    </row>
    <row r="13" spans="1:21" s="300" customFormat="1" ht="20.100000000000001" customHeight="1" thickBot="1">
      <c r="A13" s="746"/>
      <c r="B13" s="780"/>
      <c r="C13" s="281">
        <v>5</v>
      </c>
      <c r="D13" s="239"/>
      <c r="E13" s="247"/>
      <c r="F13" s="248"/>
      <c r="G13" s="356"/>
      <c r="H13" s="307"/>
      <c r="I13" s="308"/>
      <c r="J13" s="405"/>
      <c r="K13" s="399"/>
      <c r="L13" s="319"/>
      <c r="M13" s="324">
        <f t="shared" si="0"/>
        <v>0</v>
      </c>
      <c r="N13" s="316"/>
      <c r="O13" s="538"/>
      <c r="P13" s="539"/>
      <c r="R13" s="320"/>
      <c r="S13" s="263"/>
      <c r="T13" s="291"/>
    </row>
    <row r="14" spans="1:21" s="291" customFormat="1" ht="15.75" customHeight="1" thickTop="1" thickBot="1">
      <c r="A14" s="747"/>
      <c r="B14" s="781"/>
      <c r="C14" s="786"/>
      <c r="D14" s="787"/>
      <c r="E14" s="787"/>
      <c r="F14" s="787"/>
      <c r="G14" s="787"/>
      <c r="H14" s="787"/>
      <c r="I14" s="788"/>
      <c r="J14" s="351" t="s">
        <v>58</v>
      </c>
      <c r="K14" s="213">
        <f>M14/'生產管理報表 7-1 (週)'!$B$9</f>
        <v>0</v>
      </c>
      <c r="L14" s="352" t="s">
        <v>59</v>
      </c>
      <c r="M14" s="406">
        <f>SUM(M9:M13)</f>
        <v>0</v>
      </c>
      <c r="N14" s="732"/>
      <c r="O14" s="733"/>
      <c r="P14" s="734"/>
      <c r="R14" s="211"/>
      <c r="S14" s="211"/>
    </row>
    <row r="15" spans="1:21" s="291" customFormat="1" ht="15.75" customHeight="1" thickTop="1">
      <c r="B15" s="299"/>
      <c r="C15" s="300"/>
      <c r="M15" s="331"/>
      <c r="S15" s="263"/>
    </row>
    <row r="16" spans="1:21" s="291" customFormat="1" ht="15.75" customHeight="1">
      <c r="A16" s="735" t="s">
        <v>191</v>
      </c>
      <c r="B16" s="736"/>
      <c r="C16" s="277" t="s">
        <v>47</v>
      </c>
      <c r="D16" s="763" t="s">
        <v>12</v>
      </c>
      <c r="E16" s="764"/>
      <c r="F16" s="765"/>
      <c r="G16" s="766" t="s">
        <v>53</v>
      </c>
      <c r="H16" s="767"/>
      <c r="I16" s="768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43" t="s">
        <v>51</v>
      </c>
      <c r="P16" s="744"/>
      <c r="S16" s="211"/>
      <c r="T16" s="338"/>
    </row>
    <row r="17" spans="1:20" s="300" customFormat="1" ht="39.950000000000003" customHeight="1">
      <c r="A17" s="745">
        <v>5</v>
      </c>
      <c r="B17" s="758" t="s">
        <v>215</v>
      </c>
      <c r="C17" s="281">
        <v>1</v>
      </c>
      <c r="D17" s="239" t="s">
        <v>352</v>
      </c>
      <c r="E17" s="240"/>
      <c r="F17" s="241"/>
      <c r="G17" s="308" t="s">
        <v>645</v>
      </c>
      <c r="H17" s="307"/>
      <c r="I17" s="308"/>
      <c r="J17" s="314">
        <v>105</v>
      </c>
      <c r="K17" s="315">
        <v>1.5639603713627017E-2</v>
      </c>
      <c r="L17" s="316">
        <v>10.040000000000001</v>
      </c>
      <c r="M17" s="324">
        <f>L17*J17</f>
        <v>1054.2</v>
      </c>
      <c r="N17" s="316"/>
      <c r="O17" s="775" t="s">
        <v>656</v>
      </c>
      <c r="P17" s="776"/>
      <c r="R17" s="414"/>
      <c r="S17" s="407"/>
    </row>
    <row r="18" spans="1:20" s="300" customFormat="1" ht="20.100000000000001" customHeight="1">
      <c r="A18" s="746"/>
      <c r="B18" s="759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75"/>
      <c r="P18" s="776"/>
      <c r="S18" s="211"/>
      <c r="T18" s="339"/>
    </row>
    <row r="19" spans="1:20" s="291" customFormat="1" ht="20.100000000000001" customHeight="1">
      <c r="A19" s="746"/>
      <c r="B19" s="759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71"/>
      <c r="P19" s="772"/>
    </row>
    <row r="20" spans="1:20" s="291" customFormat="1" ht="20.100000000000001" customHeight="1">
      <c r="A20" s="746"/>
      <c r="B20" s="759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75"/>
      <c r="P20" s="776"/>
    </row>
    <row r="21" spans="1:20" s="291" customFormat="1" ht="20.100000000000001" customHeight="1" thickBot="1">
      <c r="A21" s="746"/>
      <c r="B21" s="759"/>
      <c r="C21" s="281">
        <v>5</v>
      </c>
      <c r="D21" s="246"/>
      <c r="E21" s="293"/>
      <c r="F21" s="294"/>
      <c r="G21" s="356"/>
      <c r="H21" s="307"/>
      <c r="I21" s="308"/>
      <c r="J21" s="405"/>
      <c r="K21" s="399"/>
      <c r="L21" s="319"/>
      <c r="M21" s="324">
        <f t="shared" si="1"/>
        <v>0</v>
      </c>
      <c r="N21" s="290"/>
      <c r="O21" s="822"/>
      <c r="P21" s="823"/>
      <c r="R21" s="212"/>
    </row>
    <row r="22" spans="1:20" s="291" customFormat="1" ht="15.75" customHeight="1" thickTop="1" thickBot="1">
      <c r="A22" s="747"/>
      <c r="B22" s="760"/>
      <c r="C22" s="755"/>
      <c r="D22" s="756"/>
      <c r="E22" s="756"/>
      <c r="F22" s="756"/>
      <c r="G22" s="756"/>
      <c r="H22" s="756"/>
      <c r="I22" s="757"/>
      <c r="J22" s="351" t="s">
        <v>58</v>
      </c>
      <c r="K22" s="213">
        <f>M22/'生產管理報表 7-1 (週)'!$B$9</f>
        <v>1.3990606431860274E-2</v>
      </c>
      <c r="L22" s="352" t="s">
        <v>59</v>
      </c>
      <c r="M22" s="406">
        <f>SUM(M17:M21)</f>
        <v>1054.2</v>
      </c>
      <c r="N22" s="732"/>
      <c r="O22" s="733"/>
      <c r="P22" s="734"/>
      <c r="R22" s="211"/>
    </row>
    <row r="23" spans="1:20" s="291" customFormat="1" ht="15.75" customHeight="1" thickTop="1">
      <c r="B23" s="299"/>
      <c r="C23" s="300"/>
      <c r="M23" s="331"/>
      <c r="R23" s="211"/>
    </row>
    <row r="24" spans="1:20" s="291" customFormat="1" ht="15.75" customHeight="1">
      <c r="A24" s="735" t="s">
        <v>191</v>
      </c>
      <c r="B24" s="736"/>
      <c r="C24" s="305" t="s">
        <v>47</v>
      </c>
      <c r="D24" s="737" t="s">
        <v>12</v>
      </c>
      <c r="E24" s="738"/>
      <c r="F24" s="739"/>
      <c r="G24" s="740" t="s">
        <v>53</v>
      </c>
      <c r="H24" s="741"/>
      <c r="I24" s="742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43" t="s">
        <v>51</v>
      </c>
      <c r="P24" s="744"/>
      <c r="R24" s="211"/>
      <c r="S24" s="2"/>
    </row>
    <row r="25" spans="1:20" s="291" customFormat="1" ht="39.950000000000003" customHeight="1">
      <c r="A25" s="745">
        <v>6</v>
      </c>
      <c r="B25" s="758" t="s">
        <v>216</v>
      </c>
      <c r="C25" s="281">
        <v>1</v>
      </c>
      <c r="D25" s="340"/>
      <c r="E25" s="283"/>
      <c r="F25" s="284"/>
      <c r="G25" s="460"/>
      <c r="H25" s="243"/>
      <c r="I25" s="242"/>
      <c r="J25" s="314"/>
      <c r="K25" s="315"/>
      <c r="L25" s="316"/>
      <c r="M25" s="324">
        <f t="shared" ref="M25" si="2">L25*J25</f>
        <v>0</v>
      </c>
      <c r="N25" s="290"/>
      <c r="O25" s="771"/>
      <c r="P25" s="772"/>
      <c r="R25" s="339"/>
      <c r="S25" s="415"/>
    </row>
    <row r="26" spans="1:20" s="291" customFormat="1" ht="20.100000000000001" customHeight="1">
      <c r="A26" s="746"/>
      <c r="B26" s="759"/>
      <c r="C26" s="281">
        <v>2</v>
      </c>
      <c r="D26" s="282"/>
      <c r="E26" s="283"/>
      <c r="F26" s="284"/>
      <c r="G26" s="285"/>
      <c r="H26" s="286"/>
      <c r="I26" s="287"/>
      <c r="J26" s="288"/>
      <c r="K26" s="289"/>
      <c r="L26" s="290"/>
      <c r="M26" s="333">
        <v>0</v>
      </c>
      <c r="N26" s="290"/>
      <c r="O26" s="301"/>
      <c r="P26" s="302"/>
      <c r="S26" s="2"/>
    </row>
    <row r="27" spans="1:20" s="291" customFormat="1" ht="20.100000000000001" customHeight="1">
      <c r="A27" s="746"/>
      <c r="B27" s="759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  <c r="S27" s="2"/>
    </row>
    <row r="28" spans="1:20" s="291" customFormat="1" ht="20.100000000000001" customHeight="1">
      <c r="A28" s="746"/>
      <c r="B28" s="759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  <c r="R28" s="2"/>
      <c r="S28" s="2"/>
    </row>
    <row r="29" spans="1:20" s="291" customFormat="1" ht="20.100000000000001" customHeight="1" thickBot="1">
      <c r="A29" s="746"/>
      <c r="B29" s="759"/>
      <c r="C29" s="281">
        <v>5</v>
      </c>
      <c r="D29" s="292"/>
      <c r="E29" s="293"/>
      <c r="F29" s="294"/>
      <c r="G29" s="285"/>
      <c r="H29" s="286"/>
      <c r="I29" s="287"/>
      <c r="J29" s="405"/>
      <c r="K29" s="399"/>
      <c r="L29" s="319"/>
      <c r="M29" s="324">
        <v>0</v>
      </c>
      <c r="N29" s="290"/>
      <c r="O29" s="303"/>
      <c r="P29" s="304"/>
      <c r="R29" s="2"/>
      <c r="S29" s="2"/>
    </row>
    <row r="30" spans="1:20" s="291" customFormat="1" ht="15.75" customHeight="1" thickTop="1" thickBot="1">
      <c r="A30" s="747"/>
      <c r="B30" s="760"/>
      <c r="C30" s="755"/>
      <c r="D30" s="756"/>
      <c r="E30" s="756"/>
      <c r="F30" s="756"/>
      <c r="G30" s="756"/>
      <c r="H30" s="756"/>
      <c r="I30" s="757"/>
      <c r="J30" s="351" t="s">
        <v>58</v>
      </c>
      <c r="K30" s="213">
        <f>M30/'生產管理報表 7-1 (週)'!$B$9</f>
        <v>0</v>
      </c>
      <c r="L30" s="352" t="s">
        <v>59</v>
      </c>
      <c r="M30" s="406">
        <f>SUM(M25:M29)</f>
        <v>0</v>
      </c>
      <c r="N30" s="732"/>
      <c r="O30" s="733"/>
      <c r="P30" s="734"/>
      <c r="R30" s="2"/>
      <c r="S30" s="2"/>
    </row>
    <row r="31" spans="1:20" s="291" customFormat="1" ht="15.75" customHeight="1" thickTop="1">
      <c r="B31" s="299"/>
      <c r="C31" s="300"/>
      <c r="M31" s="331"/>
      <c r="R31" s="2"/>
      <c r="S31" s="2"/>
    </row>
    <row r="32" spans="1:20" s="291" customFormat="1" ht="15.75" customHeight="1">
      <c r="A32" s="735" t="s">
        <v>191</v>
      </c>
      <c r="B32" s="736"/>
      <c r="C32" s="305" t="s">
        <v>47</v>
      </c>
      <c r="D32" s="737" t="s">
        <v>12</v>
      </c>
      <c r="E32" s="738"/>
      <c r="F32" s="739"/>
      <c r="G32" s="740" t="s">
        <v>53</v>
      </c>
      <c r="H32" s="741"/>
      <c r="I32" s="742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43" t="s">
        <v>51</v>
      </c>
      <c r="P32" s="744"/>
      <c r="R32" s="2"/>
      <c r="S32" s="2"/>
    </row>
    <row r="33" spans="1:21" s="291" customFormat="1" ht="20.100000000000001" customHeight="1">
      <c r="A33" s="745">
        <v>7</v>
      </c>
      <c r="B33" s="748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51"/>
      <c r="P33" s="752"/>
      <c r="R33" s="2"/>
      <c r="S33" s="2"/>
    </row>
    <row r="34" spans="1:21" s="291" customFormat="1" ht="20.100000000000001" customHeight="1">
      <c r="A34" s="746"/>
      <c r="B34" s="749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53"/>
      <c r="P34" s="754"/>
      <c r="R34" s="2"/>
      <c r="S34" s="2"/>
    </row>
    <row r="35" spans="1:21" s="291" customFormat="1" ht="20.100000000000001" customHeight="1">
      <c r="A35" s="746"/>
      <c r="B35" s="749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53"/>
      <c r="P35" s="754"/>
      <c r="R35" s="2"/>
      <c r="S35" s="2"/>
    </row>
    <row r="36" spans="1:21" s="291" customFormat="1" ht="20.100000000000001" customHeight="1">
      <c r="A36" s="746"/>
      <c r="B36" s="749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  <c r="R36" s="2"/>
      <c r="S36" s="2"/>
    </row>
    <row r="37" spans="1:21" s="291" customFormat="1" ht="20.100000000000001" customHeight="1" thickBot="1">
      <c r="A37" s="746"/>
      <c r="B37" s="749"/>
      <c r="C37" s="281">
        <v>5</v>
      </c>
      <c r="D37" s="292"/>
      <c r="E37" s="293"/>
      <c r="F37" s="294"/>
      <c r="G37" s="285"/>
      <c r="H37" s="286"/>
      <c r="I37" s="287"/>
      <c r="J37" s="405"/>
      <c r="K37" s="399"/>
      <c r="L37" s="319"/>
      <c r="M37" s="335">
        <v>0</v>
      </c>
      <c r="N37" s="290"/>
      <c r="O37" s="303"/>
      <c r="P37" s="304"/>
      <c r="R37" s="2"/>
      <c r="S37" s="2"/>
    </row>
    <row r="38" spans="1:21" s="291" customFormat="1" ht="15.75" customHeight="1" thickTop="1" thickBot="1">
      <c r="A38" s="747"/>
      <c r="B38" s="750"/>
      <c r="C38" s="755"/>
      <c r="D38" s="756"/>
      <c r="E38" s="756"/>
      <c r="F38" s="756"/>
      <c r="G38" s="756"/>
      <c r="H38" s="756"/>
      <c r="I38" s="757"/>
      <c r="J38" s="351" t="s">
        <v>58</v>
      </c>
      <c r="K38" s="213">
        <f>M38/'生產管理報表 7-1 (週)'!$B$9</f>
        <v>0</v>
      </c>
      <c r="L38" s="352" t="s">
        <v>59</v>
      </c>
      <c r="M38" s="406">
        <f>SUM(M33:M37)</f>
        <v>0</v>
      </c>
      <c r="N38" s="732"/>
      <c r="O38" s="733"/>
      <c r="P38" s="734"/>
      <c r="R38" s="2"/>
      <c r="S38" s="2"/>
      <c r="T38" s="2"/>
    </row>
    <row r="39" spans="1:21" s="136" customFormat="1" ht="15.75" customHeight="1" thickTop="1">
      <c r="A39" s="824" t="s">
        <v>712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496"/>
      <c r="O39" s="496"/>
      <c r="P39" s="497"/>
      <c r="R39" s="233"/>
      <c r="S39" s="233"/>
      <c r="T39" s="233"/>
      <c r="U39" s="233"/>
    </row>
    <row r="40" spans="1:21" s="137" customFormat="1" ht="15.75" customHeight="1">
      <c r="A40" s="825"/>
      <c r="B40" s="552"/>
      <c r="C40" s="552"/>
      <c r="D40" s="552"/>
      <c r="E40" s="552"/>
      <c r="F40" s="552"/>
      <c r="G40" s="552"/>
      <c r="H40" s="552"/>
      <c r="I40" s="552"/>
      <c r="J40" s="552"/>
      <c r="K40" s="552"/>
      <c r="L40" s="552"/>
      <c r="M40" s="552"/>
      <c r="N40" s="498"/>
      <c r="O40" s="498"/>
      <c r="P40" s="499"/>
    </row>
    <row r="41" spans="1:21" s="136" customFormat="1" ht="15.75" customHeight="1">
      <c r="A41" s="553" t="s">
        <v>191</v>
      </c>
      <c r="B41" s="501">
        <v>1</v>
      </c>
      <c r="C41" s="502"/>
      <c r="D41" s="501">
        <v>2</v>
      </c>
      <c r="E41" s="502"/>
      <c r="F41" s="501">
        <v>3</v>
      </c>
      <c r="G41" s="502"/>
      <c r="H41" s="555">
        <v>4</v>
      </c>
      <c r="I41" s="556"/>
      <c r="J41" s="555">
        <v>5</v>
      </c>
      <c r="K41" s="556"/>
      <c r="L41" s="555">
        <v>6</v>
      </c>
      <c r="M41" s="556"/>
      <c r="N41" s="555">
        <v>7</v>
      </c>
      <c r="O41" s="556"/>
      <c r="P41" s="329">
        <v>8</v>
      </c>
    </row>
    <row r="42" spans="1:21" s="136" customFormat="1" ht="15.75" customHeight="1">
      <c r="A42" s="554"/>
      <c r="B42" s="547" t="s">
        <v>463</v>
      </c>
      <c r="C42" s="548"/>
      <c r="D42" s="547" t="s">
        <v>212</v>
      </c>
      <c r="E42" s="548"/>
      <c r="F42" s="547" t="s">
        <v>166</v>
      </c>
      <c r="G42" s="548"/>
      <c r="H42" s="545" t="s">
        <v>436</v>
      </c>
      <c r="I42" s="546"/>
      <c r="J42" s="545" t="s">
        <v>189</v>
      </c>
      <c r="K42" s="546"/>
      <c r="L42" s="545" t="s">
        <v>167</v>
      </c>
      <c r="M42" s="546"/>
      <c r="N42" s="545" t="s">
        <v>190</v>
      </c>
      <c r="O42" s="546"/>
      <c r="P42" s="330" t="s">
        <v>217</v>
      </c>
    </row>
    <row r="43" spans="1:21" s="136" customFormat="1" ht="15.75" customHeight="1">
      <c r="B43" s="234"/>
      <c r="C43" s="235"/>
    </row>
    <row r="44" spans="1:21" s="280" customFormat="1" ht="15.75" customHeight="1">
      <c r="A44" s="735" t="s">
        <v>191</v>
      </c>
      <c r="B44" s="736"/>
      <c r="C44" s="277" t="s">
        <v>47</v>
      </c>
      <c r="D44" s="763" t="s">
        <v>12</v>
      </c>
      <c r="E44" s="764"/>
      <c r="F44" s="765"/>
      <c r="G44" s="766" t="s">
        <v>53</v>
      </c>
      <c r="H44" s="767"/>
      <c r="I44" s="768"/>
      <c r="J44" s="278" t="s">
        <v>54</v>
      </c>
      <c r="K44" s="278" t="s">
        <v>55</v>
      </c>
      <c r="L44" s="278" t="s">
        <v>56</v>
      </c>
      <c r="M44" s="279" t="s">
        <v>11</v>
      </c>
      <c r="N44" s="279" t="s">
        <v>333</v>
      </c>
      <c r="O44" s="743" t="s">
        <v>51</v>
      </c>
      <c r="P44" s="744"/>
      <c r="R44" s="211"/>
      <c r="S44" s="263"/>
    </row>
    <row r="45" spans="1:21" s="300" customFormat="1" ht="20.100000000000001" customHeight="1">
      <c r="A45" s="745">
        <v>4</v>
      </c>
      <c r="B45" s="779" t="s">
        <v>436</v>
      </c>
      <c r="C45" s="281">
        <v>1</v>
      </c>
      <c r="D45" s="239"/>
      <c r="E45" s="240"/>
      <c r="F45" s="241"/>
      <c r="G45" s="356"/>
      <c r="H45" s="307"/>
      <c r="I45" s="308"/>
      <c r="J45" s="314"/>
      <c r="K45" s="315"/>
      <c r="L45" s="316"/>
      <c r="M45" s="324">
        <f t="shared" ref="M45:M49" si="4">L45*J45</f>
        <v>0</v>
      </c>
      <c r="N45" s="316"/>
      <c r="O45" s="538"/>
      <c r="P45" s="539"/>
      <c r="R45" s="317"/>
      <c r="S45" s="263"/>
    </row>
    <row r="46" spans="1:21" s="300" customFormat="1" ht="20.100000000000001" customHeight="1">
      <c r="A46" s="746"/>
      <c r="B46" s="780"/>
      <c r="C46" s="281">
        <v>2</v>
      </c>
      <c r="D46" s="239"/>
      <c r="E46" s="240"/>
      <c r="F46" s="241"/>
      <c r="G46" s="356"/>
      <c r="H46" s="307"/>
      <c r="I46" s="308"/>
      <c r="J46" s="314"/>
      <c r="K46" s="315"/>
      <c r="L46" s="316"/>
      <c r="M46" s="324">
        <f t="shared" si="4"/>
        <v>0</v>
      </c>
      <c r="N46" s="316"/>
      <c r="O46" s="775"/>
      <c r="P46" s="776"/>
      <c r="R46" s="317"/>
      <c r="S46" s="211"/>
      <c r="T46" s="338"/>
    </row>
    <row r="47" spans="1:21" s="300" customFormat="1" ht="20.100000000000001" customHeight="1">
      <c r="A47" s="746"/>
      <c r="B47" s="780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316"/>
      <c r="O47" s="538"/>
      <c r="P47" s="539"/>
      <c r="R47" s="317"/>
      <c r="S47" s="263"/>
    </row>
    <row r="48" spans="1:21" s="300" customFormat="1" ht="20.100000000000001" customHeight="1">
      <c r="A48" s="746"/>
      <c r="B48" s="780"/>
      <c r="C48" s="281">
        <v>4</v>
      </c>
      <c r="D48" s="239"/>
      <c r="E48" s="240"/>
      <c r="F48" s="241"/>
      <c r="G48" s="356"/>
      <c r="H48" s="307"/>
      <c r="I48" s="308"/>
      <c r="J48" s="314"/>
      <c r="K48" s="315"/>
      <c r="L48" s="316"/>
      <c r="M48" s="324">
        <f t="shared" si="4"/>
        <v>0</v>
      </c>
      <c r="N48" s="316"/>
      <c r="O48" s="538"/>
      <c r="P48" s="539"/>
      <c r="R48" s="317"/>
      <c r="S48" s="211"/>
      <c r="T48" s="338"/>
    </row>
    <row r="49" spans="1:20" s="300" customFormat="1" ht="20.100000000000001" customHeight="1" thickBot="1">
      <c r="A49" s="746"/>
      <c r="B49" s="780"/>
      <c r="C49" s="281">
        <v>5</v>
      </c>
      <c r="D49" s="239"/>
      <c r="E49" s="247"/>
      <c r="F49" s="248"/>
      <c r="G49" s="356"/>
      <c r="H49" s="307"/>
      <c r="I49" s="308"/>
      <c r="J49" s="405"/>
      <c r="K49" s="399"/>
      <c r="L49" s="319"/>
      <c r="M49" s="324">
        <f t="shared" si="4"/>
        <v>0</v>
      </c>
      <c r="N49" s="316"/>
      <c r="O49" s="538"/>
      <c r="P49" s="539"/>
      <c r="R49" s="320"/>
      <c r="S49" s="263"/>
      <c r="T49" s="291"/>
    </row>
    <row r="50" spans="1:20" s="291" customFormat="1" ht="15.75" customHeight="1" thickTop="1" thickBot="1">
      <c r="A50" s="747"/>
      <c r="B50" s="781"/>
      <c r="C50" s="786"/>
      <c r="D50" s="787"/>
      <c r="E50" s="787"/>
      <c r="F50" s="787"/>
      <c r="G50" s="787"/>
      <c r="H50" s="787"/>
      <c r="I50" s="788"/>
      <c r="J50" s="351" t="s">
        <v>58</v>
      </c>
      <c r="K50" s="213">
        <f>M50/'生產管理報表 7-1 (週)'!$B$20</f>
        <v>0</v>
      </c>
      <c r="L50" s="352" t="s">
        <v>59</v>
      </c>
      <c r="M50" s="406">
        <f>SUM(M45:M49)</f>
        <v>0</v>
      </c>
      <c r="N50" s="732"/>
      <c r="O50" s="733"/>
      <c r="P50" s="734"/>
      <c r="R50" s="211"/>
      <c r="S50" s="211"/>
    </row>
    <row r="51" spans="1:20" s="291" customFormat="1" ht="15.75" customHeight="1" thickTop="1">
      <c r="B51" s="299"/>
      <c r="C51" s="300"/>
      <c r="M51" s="331"/>
      <c r="S51" s="263"/>
    </row>
    <row r="52" spans="1:20" s="291" customFormat="1" ht="15.75" customHeight="1">
      <c r="A52" s="735" t="s">
        <v>191</v>
      </c>
      <c r="B52" s="736"/>
      <c r="C52" s="277" t="s">
        <v>47</v>
      </c>
      <c r="D52" s="763" t="s">
        <v>12</v>
      </c>
      <c r="E52" s="764"/>
      <c r="F52" s="765"/>
      <c r="G52" s="766" t="s">
        <v>53</v>
      </c>
      <c r="H52" s="767"/>
      <c r="I52" s="768"/>
      <c r="J52" s="278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43" t="s">
        <v>51</v>
      </c>
      <c r="P52" s="744"/>
      <c r="S52" s="211"/>
      <c r="T52" s="338"/>
    </row>
    <row r="53" spans="1:20" s="300" customFormat="1" ht="39.950000000000003" customHeight="1">
      <c r="A53" s="745">
        <v>5</v>
      </c>
      <c r="B53" s="758" t="s">
        <v>215</v>
      </c>
      <c r="C53" s="281">
        <v>1</v>
      </c>
      <c r="D53" s="239" t="s">
        <v>352</v>
      </c>
      <c r="E53" s="240"/>
      <c r="F53" s="241"/>
      <c r="G53" s="308" t="s">
        <v>645</v>
      </c>
      <c r="H53" s="307"/>
      <c r="I53" s="308"/>
      <c r="J53" s="314">
        <v>105</v>
      </c>
      <c r="K53" s="315">
        <v>1.5911059774761763E-2</v>
      </c>
      <c r="L53" s="316">
        <v>11.02</v>
      </c>
      <c r="M53" s="324">
        <f>L53*J53</f>
        <v>1157.0999999999999</v>
      </c>
      <c r="N53" s="316"/>
      <c r="O53" s="775" t="s">
        <v>735</v>
      </c>
      <c r="P53" s="776"/>
      <c r="R53" s="338"/>
      <c r="S53" s="407"/>
    </row>
    <row r="54" spans="1:20" s="300" customFormat="1" ht="20.100000000000001" customHeight="1">
      <c r="A54" s="746"/>
      <c r="B54" s="759"/>
      <c r="C54" s="281">
        <v>2</v>
      </c>
      <c r="D54" s="239"/>
      <c r="E54" s="240"/>
      <c r="F54" s="241"/>
      <c r="G54" s="356"/>
      <c r="H54" s="307"/>
      <c r="I54" s="308"/>
      <c r="J54" s="314"/>
      <c r="K54" s="315"/>
      <c r="L54" s="316"/>
      <c r="M54" s="324">
        <f t="shared" ref="M54:M57" si="5">L54*J54</f>
        <v>0</v>
      </c>
      <c r="N54" s="316"/>
      <c r="O54" s="775"/>
      <c r="P54" s="776"/>
      <c r="S54" s="211"/>
      <c r="T54" s="339"/>
    </row>
    <row r="55" spans="1:20" s="291" customFormat="1" ht="20.100000000000001" customHeight="1">
      <c r="A55" s="746"/>
      <c r="B55" s="759"/>
      <c r="C55" s="281">
        <v>3</v>
      </c>
      <c r="D55" s="239"/>
      <c r="E55" s="283"/>
      <c r="F55" s="284"/>
      <c r="G55" s="356"/>
      <c r="H55" s="307"/>
      <c r="I55" s="308"/>
      <c r="J55" s="314"/>
      <c r="K55" s="315"/>
      <c r="L55" s="316"/>
      <c r="M55" s="324">
        <f t="shared" si="5"/>
        <v>0</v>
      </c>
      <c r="N55" s="290"/>
      <c r="O55" s="771"/>
      <c r="P55" s="772"/>
    </row>
    <row r="56" spans="1:20" s="291" customFormat="1" ht="20.100000000000001" customHeight="1">
      <c r="A56" s="746"/>
      <c r="B56" s="759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75"/>
      <c r="P56" s="776"/>
    </row>
    <row r="57" spans="1:20" s="291" customFormat="1" ht="20.100000000000001" customHeight="1" thickBot="1">
      <c r="A57" s="746"/>
      <c r="B57" s="759"/>
      <c r="C57" s="281">
        <v>5</v>
      </c>
      <c r="D57" s="246"/>
      <c r="E57" s="293"/>
      <c r="F57" s="294"/>
      <c r="G57" s="356"/>
      <c r="H57" s="307"/>
      <c r="I57" s="308"/>
      <c r="J57" s="405"/>
      <c r="K57" s="399"/>
      <c r="L57" s="319"/>
      <c r="M57" s="324">
        <f t="shared" si="5"/>
        <v>0</v>
      </c>
      <c r="N57" s="290"/>
      <c r="O57" s="822"/>
      <c r="P57" s="823"/>
      <c r="R57" s="212"/>
    </row>
    <row r="58" spans="1:20" s="291" customFormat="1" ht="15.75" customHeight="1" thickTop="1" thickBot="1">
      <c r="A58" s="747"/>
      <c r="B58" s="760"/>
      <c r="C58" s="755"/>
      <c r="D58" s="756"/>
      <c r="E58" s="756"/>
      <c r="F58" s="756"/>
      <c r="G58" s="756"/>
      <c r="H58" s="756"/>
      <c r="I58" s="757"/>
      <c r="J58" s="351" t="s">
        <v>58</v>
      </c>
      <c r="K58" s="213">
        <f>M58/'生產管理報表 7-1 (週)'!$B$20</f>
        <v>1.5020501875170305E-2</v>
      </c>
      <c r="L58" s="352" t="s">
        <v>59</v>
      </c>
      <c r="M58" s="406">
        <f>SUM(M53:M57)</f>
        <v>1157.0999999999999</v>
      </c>
      <c r="N58" s="732"/>
      <c r="O58" s="733"/>
      <c r="P58" s="734"/>
      <c r="R58" s="211"/>
    </row>
    <row r="59" spans="1:20" s="291" customFormat="1" ht="15.75" customHeight="1" thickTop="1">
      <c r="B59" s="299"/>
      <c r="C59" s="300"/>
      <c r="M59" s="331"/>
      <c r="R59" s="211"/>
    </row>
    <row r="60" spans="1:20" s="291" customFormat="1" ht="15.75" customHeight="1">
      <c r="A60" s="735" t="s">
        <v>191</v>
      </c>
      <c r="B60" s="736"/>
      <c r="C60" s="305" t="s">
        <v>47</v>
      </c>
      <c r="D60" s="737" t="s">
        <v>12</v>
      </c>
      <c r="E60" s="738"/>
      <c r="F60" s="739"/>
      <c r="G60" s="740" t="s">
        <v>53</v>
      </c>
      <c r="H60" s="741"/>
      <c r="I60" s="742"/>
      <c r="J60" s="306" t="s">
        <v>54</v>
      </c>
      <c r="K60" s="278" t="s">
        <v>55</v>
      </c>
      <c r="L60" s="278" t="s">
        <v>56</v>
      </c>
      <c r="M60" s="332" t="s">
        <v>11</v>
      </c>
      <c r="N60" s="279" t="s">
        <v>333</v>
      </c>
      <c r="O60" s="743" t="s">
        <v>51</v>
      </c>
      <c r="P60" s="744"/>
      <c r="R60" s="211"/>
      <c r="S60" s="2"/>
    </row>
    <row r="61" spans="1:20" s="291" customFormat="1" ht="39.950000000000003" customHeight="1">
      <c r="A61" s="745">
        <v>6</v>
      </c>
      <c r="B61" s="758" t="s">
        <v>216</v>
      </c>
      <c r="C61" s="281">
        <v>1</v>
      </c>
      <c r="D61" s="340" t="s">
        <v>569</v>
      </c>
      <c r="E61" s="283"/>
      <c r="F61" s="284"/>
      <c r="G61" s="242" t="s">
        <v>335</v>
      </c>
      <c r="H61" s="243"/>
      <c r="I61" s="242"/>
      <c r="J61" s="314">
        <v>15.450000000000001</v>
      </c>
      <c r="K61" s="315">
        <v>3.4974248412983589E-3</v>
      </c>
      <c r="L61" s="316">
        <v>146</v>
      </c>
      <c r="M61" s="324">
        <f t="shared" ref="M61" si="6">L61*J61</f>
        <v>2255.7000000000003</v>
      </c>
      <c r="N61" s="290"/>
      <c r="O61" s="771" t="s">
        <v>737</v>
      </c>
      <c r="P61" s="772"/>
      <c r="R61" s="339"/>
      <c r="S61" s="415"/>
    </row>
    <row r="62" spans="1:20" s="291" customFormat="1" ht="20.100000000000001" customHeight="1">
      <c r="A62" s="746"/>
      <c r="B62" s="759"/>
      <c r="C62" s="281">
        <v>2</v>
      </c>
      <c r="D62" s="282"/>
      <c r="E62" s="283"/>
      <c r="F62" s="284"/>
      <c r="G62" s="285"/>
      <c r="H62" s="286"/>
      <c r="I62" s="287"/>
      <c r="J62" s="288"/>
      <c r="K62" s="289"/>
      <c r="L62" s="290"/>
      <c r="M62" s="333">
        <v>0</v>
      </c>
      <c r="N62" s="290"/>
      <c r="O62" s="301"/>
      <c r="P62" s="302"/>
      <c r="S62" s="2"/>
    </row>
    <row r="63" spans="1:20" s="291" customFormat="1" ht="20.100000000000001" customHeight="1">
      <c r="A63" s="746"/>
      <c r="B63" s="759"/>
      <c r="C63" s="281">
        <v>3</v>
      </c>
      <c r="D63" s="282"/>
      <c r="E63" s="283"/>
      <c r="F63" s="284"/>
      <c r="G63" s="285"/>
      <c r="H63" s="286"/>
      <c r="I63" s="287"/>
      <c r="J63" s="288"/>
      <c r="K63" s="289"/>
      <c r="L63" s="290"/>
      <c r="M63" s="333">
        <v>0</v>
      </c>
      <c r="N63" s="290"/>
      <c r="O63" s="301"/>
      <c r="P63" s="302"/>
      <c r="S63" s="2"/>
    </row>
    <row r="64" spans="1:20" s="291" customFormat="1" ht="20.100000000000001" customHeight="1">
      <c r="A64" s="746"/>
      <c r="B64" s="759"/>
      <c r="C64" s="281">
        <v>4</v>
      </c>
      <c r="D64" s="282"/>
      <c r="E64" s="283"/>
      <c r="F64" s="284"/>
      <c r="G64" s="285"/>
      <c r="H64" s="286"/>
      <c r="I64" s="287"/>
      <c r="J64" s="288"/>
      <c r="K64" s="289"/>
      <c r="L64" s="290"/>
      <c r="M64" s="333">
        <v>0</v>
      </c>
      <c r="N64" s="290"/>
      <c r="O64" s="301"/>
      <c r="P64" s="302"/>
      <c r="R64" s="2"/>
      <c r="S64" s="2"/>
    </row>
    <row r="65" spans="1:21" s="291" customFormat="1" ht="20.100000000000001" customHeight="1" thickBot="1">
      <c r="A65" s="746"/>
      <c r="B65" s="759"/>
      <c r="C65" s="281">
        <v>5</v>
      </c>
      <c r="D65" s="292"/>
      <c r="E65" s="293"/>
      <c r="F65" s="294"/>
      <c r="G65" s="285"/>
      <c r="H65" s="286"/>
      <c r="I65" s="287"/>
      <c r="J65" s="405"/>
      <c r="K65" s="399"/>
      <c r="L65" s="319"/>
      <c r="M65" s="324">
        <v>0</v>
      </c>
      <c r="N65" s="290"/>
      <c r="O65" s="303"/>
      <c r="P65" s="304"/>
      <c r="R65" s="2"/>
      <c r="S65" s="2"/>
    </row>
    <row r="66" spans="1:21" s="291" customFormat="1" ht="15.75" customHeight="1" thickTop="1" thickBot="1">
      <c r="A66" s="747"/>
      <c r="B66" s="760"/>
      <c r="C66" s="755"/>
      <c r="D66" s="756"/>
      <c r="E66" s="756"/>
      <c r="F66" s="756"/>
      <c r="G66" s="756"/>
      <c r="H66" s="756"/>
      <c r="I66" s="757"/>
      <c r="J66" s="351" t="s">
        <v>58</v>
      </c>
      <c r="K66" s="213">
        <f>M66/'生產管理報表 7-1 (週)'!$B$20</f>
        <v>2.9281605807468379E-2</v>
      </c>
      <c r="L66" s="352" t="s">
        <v>59</v>
      </c>
      <c r="M66" s="406">
        <f>SUM(M61:M65)</f>
        <v>2255.7000000000003</v>
      </c>
      <c r="N66" s="732"/>
      <c r="O66" s="733"/>
      <c r="P66" s="734"/>
      <c r="R66" s="2"/>
      <c r="S66" s="2"/>
    </row>
    <row r="67" spans="1:21" s="291" customFormat="1" ht="15.75" customHeight="1" thickTop="1">
      <c r="B67" s="299"/>
      <c r="C67" s="300"/>
      <c r="M67" s="331"/>
      <c r="R67" s="2"/>
      <c r="S67" s="2"/>
    </row>
    <row r="68" spans="1:21" s="291" customFormat="1" ht="15.75" customHeight="1">
      <c r="A68" s="735" t="s">
        <v>191</v>
      </c>
      <c r="B68" s="736"/>
      <c r="C68" s="305" t="s">
        <v>47</v>
      </c>
      <c r="D68" s="737" t="s">
        <v>12</v>
      </c>
      <c r="E68" s="738"/>
      <c r="F68" s="739"/>
      <c r="G68" s="740" t="s">
        <v>53</v>
      </c>
      <c r="H68" s="741"/>
      <c r="I68" s="742"/>
      <c r="J68" s="306" t="s">
        <v>54</v>
      </c>
      <c r="K68" s="278" t="s">
        <v>55</v>
      </c>
      <c r="L68" s="278" t="s">
        <v>56</v>
      </c>
      <c r="M68" s="332" t="s">
        <v>11</v>
      </c>
      <c r="N68" s="279" t="s">
        <v>333</v>
      </c>
      <c r="O68" s="743" t="s">
        <v>51</v>
      </c>
      <c r="P68" s="744"/>
      <c r="R68" s="2"/>
      <c r="S68" s="2"/>
    </row>
    <row r="69" spans="1:21" s="291" customFormat="1" ht="20.100000000000001" customHeight="1">
      <c r="A69" s="745">
        <v>7</v>
      </c>
      <c r="B69" s="748" t="s">
        <v>249</v>
      </c>
      <c r="C69" s="281">
        <v>1</v>
      </c>
      <c r="D69" s="282"/>
      <c r="E69" s="283"/>
      <c r="F69" s="284"/>
      <c r="G69" s="285"/>
      <c r="H69" s="286"/>
      <c r="I69" s="287"/>
      <c r="J69" s="288"/>
      <c r="K69" s="289"/>
      <c r="L69" s="290"/>
      <c r="M69" s="333">
        <f t="shared" ref="M69:M71" si="7">L69*J69</f>
        <v>0</v>
      </c>
      <c r="N69" s="290"/>
      <c r="O69" s="751"/>
      <c r="P69" s="752"/>
      <c r="R69" s="2"/>
      <c r="S69" s="2"/>
    </row>
    <row r="70" spans="1:21" s="291" customFormat="1" ht="20.100000000000001" customHeight="1">
      <c r="A70" s="746"/>
      <c r="B70" s="749"/>
      <c r="C70" s="281">
        <v>2</v>
      </c>
      <c r="D70" s="282"/>
      <c r="E70" s="283"/>
      <c r="F70" s="284"/>
      <c r="G70" s="285"/>
      <c r="H70" s="286"/>
      <c r="I70" s="287"/>
      <c r="J70" s="288"/>
      <c r="K70" s="289"/>
      <c r="L70" s="290"/>
      <c r="M70" s="333">
        <f t="shared" si="7"/>
        <v>0</v>
      </c>
      <c r="N70" s="290"/>
      <c r="O70" s="753"/>
      <c r="P70" s="754"/>
      <c r="R70" s="2"/>
      <c r="S70" s="2"/>
    </row>
    <row r="71" spans="1:21" s="291" customFormat="1" ht="20.100000000000001" customHeight="1">
      <c r="A71" s="746"/>
      <c r="B71" s="749"/>
      <c r="C71" s="281">
        <v>3</v>
      </c>
      <c r="D71" s="282"/>
      <c r="E71" s="283"/>
      <c r="F71" s="284"/>
      <c r="G71" s="285"/>
      <c r="H71" s="286"/>
      <c r="I71" s="287"/>
      <c r="J71" s="288"/>
      <c r="K71" s="289"/>
      <c r="L71" s="290"/>
      <c r="M71" s="333">
        <f t="shared" si="7"/>
        <v>0</v>
      </c>
      <c r="N71" s="290"/>
      <c r="O71" s="753"/>
      <c r="P71" s="754"/>
      <c r="R71" s="2"/>
      <c r="S71" s="2"/>
    </row>
    <row r="72" spans="1:21" s="291" customFormat="1" ht="20.100000000000001" customHeight="1">
      <c r="A72" s="746"/>
      <c r="B72" s="749"/>
      <c r="C72" s="281">
        <v>4</v>
      </c>
      <c r="D72" s="282"/>
      <c r="E72" s="283"/>
      <c r="F72" s="284"/>
      <c r="G72" s="285"/>
      <c r="H72" s="286"/>
      <c r="I72" s="287"/>
      <c r="J72" s="288"/>
      <c r="K72" s="289"/>
      <c r="L72" s="290"/>
      <c r="M72" s="334">
        <v>0</v>
      </c>
      <c r="N72" s="290"/>
      <c r="O72" s="301"/>
      <c r="P72" s="302"/>
      <c r="R72" s="2"/>
      <c r="S72" s="2"/>
    </row>
    <row r="73" spans="1:21" s="291" customFormat="1" ht="20.100000000000001" customHeight="1" thickBot="1">
      <c r="A73" s="746"/>
      <c r="B73" s="749"/>
      <c r="C73" s="281">
        <v>5</v>
      </c>
      <c r="D73" s="292"/>
      <c r="E73" s="293"/>
      <c r="F73" s="294"/>
      <c r="G73" s="285"/>
      <c r="H73" s="286"/>
      <c r="I73" s="287"/>
      <c r="J73" s="405"/>
      <c r="K73" s="399"/>
      <c r="L73" s="319"/>
      <c r="M73" s="335">
        <v>0</v>
      </c>
      <c r="N73" s="290"/>
      <c r="O73" s="303"/>
      <c r="P73" s="304"/>
      <c r="R73" s="2"/>
      <c r="S73" s="2"/>
    </row>
    <row r="74" spans="1:21" s="291" customFormat="1" ht="15.75" customHeight="1" thickTop="1" thickBot="1">
      <c r="A74" s="747"/>
      <c r="B74" s="750"/>
      <c r="C74" s="755"/>
      <c r="D74" s="756"/>
      <c r="E74" s="756"/>
      <c r="F74" s="756"/>
      <c r="G74" s="756"/>
      <c r="H74" s="756"/>
      <c r="I74" s="757"/>
      <c r="J74" s="351" t="s">
        <v>58</v>
      </c>
      <c r="K74" s="213">
        <f>M74/'生產管理報表 7-1 (週)'!$B$20</f>
        <v>0</v>
      </c>
      <c r="L74" s="352" t="s">
        <v>59</v>
      </c>
      <c r="M74" s="406">
        <f>SUM(M69:M73)</f>
        <v>0</v>
      </c>
      <c r="N74" s="732"/>
      <c r="O74" s="733"/>
      <c r="P74" s="734"/>
      <c r="R74" s="2"/>
      <c r="S74" s="2"/>
      <c r="T74" s="2"/>
    </row>
    <row r="75" spans="1:21" s="136" customFormat="1" ht="15.75" customHeight="1" thickTop="1">
      <c r="A75" s="824" t="s">
        <v>772</v>
      </c>
      <c r="B75" s="551"/>
      <c r="C75" s="551"/>
      <c r="D75" s="551"/>
      <c r="E75" s="551"/>
      <c r="F75" s="551"/>
      <c r="G75" s="551"/>
      <c r="H75" s="551"/>
      <c r="I75" s="551"/>
      <c r="J75" s="551"/>
      <c r="K75" s="551"/>
      <c r="L75" s="551"/>
      <c r="M75" s="551"/>
      <c r="N75" s="496"/>
      <c r="O75" s="496"/>
      <c r="P75" s="497"/>
      <c r="R75" s="233"/>
      <c r="S75" s="233"/>
      <c r="T75" s="233"/>
      <c r="U75" s="233"/>
    </row>
    <row r="76" spans="1:21" s="137" customFormat="1" ht="15.75" customHeight="1">
      <c r="A76" s="825"/>
      <c r="B76" s="552"/>
      <c r="C76" s="552"/>
      <c r="D76" s="552"/>
      <c r="E76" s="552"/>
      <c r="F76" s="552"/>
      <c r="G76" s="552"/>
      <c r="H76" s="552"/>
      <c r="I76" s="552"/>
      <c r="J76" s="552"/>
      <c r="K76" s="552"/>
      <c r="L76" s="552"/>
      <c r="M76" s="552"/>
      <c r="N76" s="498"/>
      <c r="O76" s="498"/>
      <c r="P76" s="499"/>
    </row>
    <row r="77" spans="1:21" s="136" customFormat="1" ht="15.75" customHeight="1">
      <c r="A77" s="553" t="s">
        <v>191</v>
      </c>
      <c r="B77" s="501">
        <v>1</v>
      </c>
      <c r="C77" s="502"/>
      <c r="D77" s="501">
        <v>2</v>
      </c>
      <c r="E77" s="502"/>
      <c r="F77" s="501">
        <v>3</v>
      </c>
      <c r="G77" s="502"/>
      <c r="H77" s="555">
        <v>4</v>
      </c>
      <c r="I77" s="556"/>
      <c r="J77" s="555">
        <v>5</v>
      </c>
      <c r="K77" s="556"/>
      <c r="L77" s="555">
        <v>6</v>
      </c>
      <c r="M77" s="556"/>
      <c r="N77" s="555">
        <v>7</v>
      </c>
      <c r="O77" s="556"/>
      <c r="P77" s="329">
        <v>8</v>
      </c>
    </row>
    <row r="78" spans="1:21" s="136" customFormat="1" ht="15.75" customHeight="1">
      <c r="A78" s="554"/>
      <c r="B78" s="547" t="s">
        <v>463</v>
      </c>
      <c r="C78" s="548"/>
      <c r="D78" s="547" t="s">
        <v>212</v>
      </c>
      <c r="E78" s="548"/>
      <c r="F78" s="547" t="s">
        <v>166</v>
      </c>
      <c r="G78" s="548"/>
      <c r="H78" s="545" t="s">
        <v>436</v>
      </c>
      <c r="I78" s="546"/>
      <c r="J78" s="545" t="s">
        <v>189</v>
      </c>
      <c r="K78" s="546"/>
      <c r="L78" s="545" t="s">
        <v>167</v>
      </c>
      <c r="M78" s="546"/>
      <c r="N78" s="545" t="s">
        <v>190</v>
      </c>
      <c r="O78" s="546"/>
      <c r="P78" s="330" t="s">
        <v>217</v>
      </c>
    </row>
    <row r="79" spans="1:21" s="136" customFormat="1" ht="15.75" customHeight="1">
      <c r="B79" s="234"/>
      <c r="C79" s="235"/>
    </row>
    <row r="80" spans="1:21" s="280" customFormat="1" ht="15.75" customHeight="1">
      <c r="A80" s="735" t="s">
        <v>191</v>
      </c>
      <c r="B80" s="736"/>
      <c r="C80" s="277" t="s">
        <v>47</v>
      </c>
      <c r="D80" s="763" t="s">
        <v>12</v>
      </c>
      <c r="E80" s="764"/>
      <c r="F80" s="765"/>
      <c r="G80" s="766" t="s">
        <v>53</v>
      </c>
      <c r="H80" s="767"/>
      <c r="I80" s="768"/>
      <c r="J80" s="278" t="s">
        <v>54</v>
      </c>
      <c r="K80" s="278" t="s">
        <v>55</v>
      </c>
      <c r="L80" s="278" t="s">
        <v>56</v>
      </c>
      <c r="M80" s="279" t="s">
        <v>11</v>
      </c>
      <c r="N80" s="279" t="s">
        <v>333</v>
      </c>
      <c r="O80" s="743" t="s">
        <v>51</v>
      </c>
      <c r="P80" s="744"/>
      <c r="R80" s="211"/>
      <c r="S80" s="263"/>
    </row>
    <row r="81" spans="1:20" s="300" customFormat="1" ht="20.100000000000001" customHeight="1">
      <c r="A81" s="745">
        <v>4</v>
      </c>
      <c r="B81" s="779" t="s">
        <v>436</v>
      </c>
      <c r="C81" s="281">
        <v>1</v>
      </c>
      <c r="D81" s="239"/>
      <c r="E81" s="240"/>
      <c r="F81" s="241"/>
      <c r="G81" s="356"/>
      <c r="H81" s="307"/>
      <c r="I81" s="308"/>
      <c r="J81" s="314"/>
      <c r="K81" s="315"/>
      <c r="L81" s="316"/>
      <c r="M81" s="324">
        <f t="shared" ref="M81:M85" si="8">L81*J81</f>
        <v>0</v>
      </c>
      <c r="N81" s="316"/>
      <c r="O81" s="538"/>
      <c r="P81" s="539"/>
      <c r="R81" s="317"/>
      <c r="S81" s="263"/>
    </row>
    <row r="82" spans="1:20" s="300" customFormat="1" ht="20.100000000000001" customHeight="1">
      <c r="A82" s="746"/>
      <c r="B82" s="780"/>
      <c r="C82" s="281">
        <v>2</v>
      </c>
      <c r="D82" s="239"/>
      <c r="E82" s="240"/>
      <c r="F82" s="241"/>
      <c r="G82" s="356"/>
      <c r="H82" s="307"/>
      <c r="I82" s="308"/>
      <c r="J82" s="314"/>
      <c r="K82" s="315"/>
      <c r="L82" s="316"/>
      <c r="M82" s="324">
        <f t="shared" si="8"/>
        <v>0</v>
      </c>
      <c r="N82" s="316"/>
      <c r="O82" s="775"/>
      <c r="P82" s="776"/>
      <c r="R82" s="317"/>
      <c r="S82" s="211"/>
      <c r="T82" s="338"/>
    </row>
    <row r="83" spans="1:20" s="300" customFormat="1" ht="20.100000000000001" customHeight="1">
      <c r="A83" s="746"/>
      <c r="B83" s="780"/>
      <c r="C83" s="281">
        <v>3</v>
      </c>
      <c r="D83" s="239"/>
      <c r="E83" s="240"/>
      <c r="F83" s="241"/>
      <c r="G83" s="356"/>
      <c r="H83" s="307"/>
      <c r="I83" s="308"/>
      <c r="J83" s="314"/>
      <c r="K83" s="315"/>
      <c r="L83" s="316"/>
      <c r="M83" s="324">
        <f t="shared" si="8"/>
        <v>0</v>
      </c>
      <c r="N83" s="316"/>
      <c r="O83" s="538"/>
      <c r="P83" s="539"/>
      <c r="R83" s="317"/>
      <c r="S83" s="263"/>
    </row>
    <row r="84" spans="1:20" s="300" customFormat="1" ht="20.100000000000001" customHeight="1">
      <c r="A84" s="746"/>
      <c r="B84" s="780"/>
      <c r="C84" s="281">
        <v>4</v>
      </c>
      <c r="D84" s="239"/>
      <c r="E84" s="240"/>
      <c r="F84" s="241"/>
      <c r="G84" s="356"/>
      <c r="H84" s="307"/>
      <c r="I84" s="308"/>
      <c r="J84" s="314"/>
      <c r="K84" s="315"/>
      <c r="L84" s="316"/>
      <c r="M84" s="324">
        <f t="shared" si="8"/>
        <v>0</v>
      </c>
      <c r="N84" s="316"/>
      <c r="O84" s="538"/>
      <c r="P84" s="539"/>
      <c r="R84" s="317"/>
      <c r="S84" s="211"/>
      <c r="T84" s="338"/>
    </row>
    <row r="85" spans="1:20" s="300" customFormat="1" ht="20.100000000000001" customHeight="1" thickBot="1">
      <c r="A85" s="746"/>
      <c r="B85" s="780"/>
      <c r="C85" s="281">
        <v>5</v>
      </c>
      <c r="D85" s="239"/>
      <c r="E85" s="247"/>
      <c r="F85" s="248"/>
      <c r="G85" s="356"/>
      <c r="H85" s="307"/>
      <c r="I85" s="308"/>
      <c r="J85" s="405"/>
      <c r="K85" s="399"/>
      <c r="L85" s="319"/>
      <c r="M85" s="324">
        <f t="shared" si="8"/>
        <v>0</v>
      </c>
      <c r="N85" s="316"/>
      <c r="O85" s="538"/>
      <c r="P85" s="539"/>
      <c r="R85" s="320"/>
      <c r="S85" s="263"/>
      <c r="T85" s="291"/>
    </row>
    <row r="86" spans="1:20" s="291" customFormat="1" ht="15.75" customHeight="1" thickTop="1" thickBot="1">
      <c r="A86" s="747"/>
      <c r="B86" s="781"/>
      <c r="C86" s="786"/>
      <c r="D86" s="787"/>
      <c r="E86" s="787"/>
      <c r="F86" s="787"/>
      <c r="G86" s="787"/>
      <c r="H86" s="787"/>
      <c r="I86" s="788"/>
      <c r="J86" s="351" t="s">
        <v>58</v>
      </c>
      <c r="K86" s="213">
        <f>M86/'生產管理報表 7-1 (週)'!$B$31</f>
        <v>0</v>
      </c>
      <c r="L86" s="352" t="s">
        <v>59</v>
      </c>
      <c r="M86" s="406">
        <f>SUM(M81:M85)</f>
        <v>0</v>
      </c>
      <c r="N86" s="732"/>
      <c r="O86" s="733"/>
      <c r="P86" s="734"/>
      <c r="R86" s="211"/>
      <c r="S86" s="211"/>
    </row>
    <row r="87" spans="1:20" s="291" customFormat="1" ht="15.75" customHeight="1" thickTop="1">
      <c r="B87" s="299"/>
      <c r="C87" s="300"/>
      <c r="M87" s="331"/>
      <c r="S87" s="263"/>
    </row>
    <row r="88" spans="1:20" s="291" customFormat="1" ht="15.75" customHeight="1">
      <c r="A88" s="735" t="s">
        <v>191</v>
      </c>
      <c r="B88" s="736"/>
      <c r="C88" s="277" t="s">
        <v>47</v>
      </c>
      <c r="D88" s="763" t="s">
        <v>12</v>
      </c>
      <c r="E88" s="764"/>
      <c r="F88" s="765"/>
      <c r="G88" s="766" t="s">
        <v>53</v>
      </c>
      <c r="H88" s="767"/>
      <c r="I88" s="768"/>
      <c r="J88" s="278" t="s">
        <v>54</v>
      </c>
      <c r="K88" s="278" t="s">
        <v>55</v>
      </c>
      <c r="L88" s="278" t="s">
        <v>56</v>
      </c>
      <c r="M88" s="332" t="s">
        <v>11</v>
      </c>
      <c r="N88" s="279" t="s">
        <v>333</v>
      </c>
      <c r="O88" s="743" t="s">
        <v>51</v>
      </c>
      <c r="P88" s="744"/>
      <c r="S88" s="211"/>
      <c r="T88" s="338"/>
    </row>
    <row r="89" spans="1:20" s="300" customFormat="1" ht="39.950000000000003" customHeight="1">
      <c r="A89" s="745">
        <v>5</v>
      </c>
      <c r="B89" s="758" t="s">
        <v>215</v>
      </c>
      <c r="C89" s="281">
        <v>1</v>
      </c>
      <c r="D89" s="239" t="s">
        <v>342</v>
      </c>
      <c r="E89" s="240"/>
      <c r="F89" s="241"/>
      <c r="G89" s="308" t="s">
        <v>337</v>
      </c>
      <c r="H89" s="307"/>
      <c r="I89" s="308"/>
      <c r="J89" s="314">
        <v>147.43000000000004</v>
      </c>
      <c r="K89" s="315">
        <v>5.5734681771998753E-3</v>
      </c>
      <c r="L89" s="316">
        <v>28.470000000000002</v>
      </c>
      <c r="M89" s="324">
        <f>L89*J89</f>
        <v>4197.3321000000014</v>
      </c>
      <c r="N89" s="316"/>
      <c r="O89" s="775" t="s">
        <v>776</v>
      </c>
      <c r="P89" s="776"/>
      <c r="R89" s="338"/>
      <c r="S89" s="407"/>
    </row>
    <row r="90" spans="1:20" s="300" customFormat="1" ht="20.100000000000001" customHeight="1">
      <c r="A90" s="746"/>
      <c r="B90" s="759"/>
      <c r="C90" s="281">
        <v>2</v>
      </c>
      <c r="D90" s="239"/>
      <c r="E90" s="240"/>
      <c r="F90" s="241"/>
      <c r="G90" s="356"/>
      <c r="H90" s="307"/>
      <c r="I90" s="308"/>
      <c r="J90" s="314"/>
      <c r="K90" s="315"/>
      <c r="L90" s="316"/>
      <c r="M90" s="324">
        <f t="shared" ref="M90:M93" si="9">L90*J90</f>
        <v>0</v>
      </c>
      <c r="N90" s="316"/>
      <c r="O90" s="775"/>
      <c r="P90" s="776"/>
      <c r="S90" s="211"/>
      <c r="T90" s="339"/>
    </row>
    <row r="91" spans="1:20" s="291" customFormat="1" ht="20.100000000000001" customHeight="1">
      <c r="A91" s="746"/>
      <c r="B91" s="759"/>
      <c r="C91" s="281">
        <v>3</v>
      </c>
      <c r="D91" s="239"/>
      <c r="E91" s="283"/>
      <c r="F91" s="284"/>
      <c r="G91" s="356"/>
      <c r="H91" s="307"/>
      <c r="I91" s="308"/>
      <c r="J91" s="314"/>
      <c r="K91" s="315"/>
      <c r="L91" s="316"/>
      <c r="M91" s="324">
        <f t="shared" si="9"/>
        <v>0</v>
      </c>
      <c r="N91" s="290"/>
      <c r="O91" s="771"/>
      <c r="P91" s="772"/>
    </row>
    <row r="92" spans="1:20" s="291" customFormat="1" ht="20.100000000000001" customHeight="1">
      <c r="A92" s="746"/>
      <c r="B92" s="759"/>
      <c r="C92" s="281">
        <v>4</v>
      </c>
      <c r="D92" s="239"/>
      <c r="E92" s="283"/>
      <c r="F92" s="284"/>
      <c r="G92" s="356"/>
      <c r="H92" s="307"/>
      <c r="I92" s="308"/>
      <c r="J92" s="314"/>
      <c r="K92" s="315"/>
      <c r="L92" s="316"/>
      <c r="M92" s="324">
        <f t="shared" si="9"/>
        <v>0</v>
      </c>
      <c r="N92" s="290"/>
      <c r="O92" s="775"/>
      <c r="P92" s="776"/>
    </row>
    <row r="93" spans="1:20" s="291" customFormat="1" ht="20.100000000000001" customHeight="1" thickBot="1">
      <c r="A93" s="746"/>
      <c r="B93" s="759"/>
      <c r="C93" s="281">
        <v>5</v>
      </c>
      <c r="D93" s="246"/>
      <c r="E93" s="293"/>
      <c r="F93" s="294"/>
      <c r="G93" s="356"/>
      <c r="H93" s="307"/>
      <c r="I93" s="308"/>
      <c r="J93" s="405"/>
      <c r="K93" s="399"/>
      <c r="L93" s="319"/>
      <c r="M93" s="324">
        <f t="shared" si="9"/>
        <v>0</v>
      </c>
      <c r="N93" s="290"/>
      <c r="O93" s="822"/>
      <c r="P93" s="823"/>
      <c r="R93" s="212"/>
    </row>
    <row r="94" spans="1:20" s="291" customFormat="1" ht="15.75" customHeight="1" thickTop="1" thickBot="1">
      <c r="A94" s="747"/>
      <c r="B94" s="760"/>
      <c r="C94" s="755"/>
      <c r="D94" s="756"/>
      <c r="E94" s="756"/>
      <c r="F94" s="756"/>
      <c r="G94" s="756"/>
      <c r="H94" s="756"/>
      <c r="I94" s="757"/>
      <c r="J94" s="351" t="s">
        <v>58</v>
      </c>
      <c r="K94" s="213">
        <f>M94/'生產管理報表 7-1 (週)'!$B$31</f>
        <v>5.0935918841009835E-2</v>
      </c>
      <c r="L94" s="352" t="s">
        <v>59</v>
      </c>
      <c r="M94" s="406">
        <f>SUM(M89:M93)</f>
        <v>4197.3321000000014</v>
      </c>
      <c r="N94" s="732"/>
      <c r="O94" s="733"/>
      <c r="P94" s="734"/>
      <c r="R94" s="211"/>
    </row>
    <row r="95" spans="1:20" s="291" customFormat="1" ht="15.75" customHeight="1" thickTop="1">
      <c r="B95" s="299"/>
      <c r="C95" s="300"/>
      <c r="M95" s="331"/>
      <c r="R95" s="211"/>
    </row>
    <row r="96" spans="1:20" s="291" customFormat="1" ht="15.75" customHeight="1">
      <c r="A96" s="735" t="s">
        <v>191</v>
      </c>
      <c r="B96" s="736"/>
      <c r="C96" s="305" t="s">
        <v>47</v>
      </c>
      <c r="D96" s="737" t="s">
        <v>12</v>
      </c>
      <c r="E96" s="738"/>
      <c r="F96" s="739"/>
      <c r="G96" s="740" t="s">
        <v>53</v>
      </c>
      <c r="H96" s="741"/>
      <c r="I96" s="742"/>
      <c r="J96" s="306" t="s">
        <v>54</v>
      </c>
      <c r="K96" s="278" t="s">
        <v>55</v>
      </c>
      <c r="L96" s="278" t="s">
        <v>56</v>
      </c>
      <c r="M96" s="332" t="s">
        <v>11</v>
      </c>
      <c r="N96" s="279" t="s">
        <v>333</v>
      </c>
      <c r="O96" s="743" t="s">
        <v>51</v>
      </c>
      <c r="P96" s="744"/>
      <c r="R96" s="211"/>
      <c r="S96" s="2"/>
    </row>
    <row r="97" spans="1:21" s="291" customFormat="1" ht="50.1" customHeight="1">
      <c r="A97" s="745">
        <v>6</v>
      </c>
      <c r="B97" s="758" t="s">
        <v>216</v>
      </c>
      <c r="C97" s="281">
        <v>1</v>
      </c>
      <c r="D97" s="340" t="s">
        <v>569</v>
      </c>
      <c r="E97" s="283"/>
      <c r="F97" s="284"/>
      <c r="G97" s="242" t="s">
        <v>335</v>
      </c>
      <c r="H97" s="243"/>
      <c r="I97" s="242"/>
      <c r="J97" s="314">
        <v>15.450000000000001</v>
      </c>
      <c r="K97" s="315">
        <v>2.8347036446189715E-3</v>
      </c>
      <c r="L97" s="316">
        <v>231</v>
      </c>
      <c r="M97" s="324">
        <f t="shared" ref="M97" si="10">L97*J97</f>
        <v>3568.9500000000003</v>
      </c>
      <c r="N97" s="290"/>
      <c r="O97" s="775" t="s">
        <v>737</v>
      </c>
      <c r="P97" s="776"/>
      <c r="R97" s="339"/>
      <c r="S97" s="415"/>
    </row>
    <row r="98" spans="1:21" s="291" customFormat="1" ht="50.1" customHeight="1">
      <c r="A98" s="746"/>
      <c r="B98" s="759"/>
      <c r="C98" s="281">
        <v>2</v>
      </c>
      <c r="D98" s="282" t="s">
        <v>342</v>
      </c>
      <c r="E98" s="283"/>
      <c r="F98" s="284"/>
      <c r="G98" s="287" t="s">
        <v>591</v>
      </c>
      <c r="H98" s="286"/>
      <c r="I98" s="287"/>
      <c r="J98" s="288">
        <v>39.389999999999993</v>
      </c>
      <c r="K98" s="289">
        <v>1.3729333428187573E-3</v>
      </c>
      <c r="L98" s="290">
        <v>33.58</v>
      </c>
      <c r="M98" s="333">
        <v>0</v>
      </c>
      <c r="N98" s="290"/>
      <c r="O98" s="775" t="s">
        <v>779</v>
      </c>
      <c r="P98" s="776"/>
      <c r="S98" s="2"/>
    </row>
    <row r="99" spans="1:21" s="291" customFormat="1" ht="50.1" customHeight="1">
      <c r="A99" s="746"/>
      <c r="B99" s="759"/>
      <c r="C99" s="281">
        <v>3</v>
      </c>
      <c r="D99" s="282" t="s">
        <v>620</v>
      </c>
      <c r="E99" s="283"/>
      <c r="F99" s="284"/>
      <c r="G99" s="287" t="s">
        <v>647</v>
      </c>
      <c r="H99" s="286"/>
      <c r="I99" s="287"/>
      <c r="J99" s="288">
        <v>62.43</v>
      </c>
      <c r="K99" s="289">
        <v>5.8805586337643692E-3</v>
      </c>
      <c r="L99" s="290">
        <v>15.23</v>
      </c>
      <c r="M99" s="333">
        <v>0</v>
      </c>
      <c r="N99" s="290"/>
      <c r="O99" s="775" t="s">
        <v>779</v>
      </c>
      <c r="P99" s="776"/>
      <c r="S99" s="2"/>
    </row>
    <row r="100" spans="1:21" s="291" customFormat="1" ht="20.100000000000001" customHeight="1">
      <c r="A100" s="746"/>
      <c r="B100" s="759"/>
      <c r="C100" s="281">
        <v>4</v>
      </c>
      <c r="D100" s="282"/>
      <c r="E100" s="283"/>
      <c r="F100" s="284"/>
      <c r="G100" s="285"/>
      <c r="H100" s="286"/>
      <c r="I100" s="287"/>
      <c r="J100" s="288"/>
      <c r="K100" s="289"/>
      <c r="L100" s="290"/>
      <c r="M100" s="333">
        <v>0</v>
      </c>
      <c r="N100" s="290"/>
      <c r="O100" s="301"/>
      <c r="P100" s="302"/>
      <c r="R100" s="2"/>
      <c r="S100" s="2"/>
    </row>
    <row r="101" spans="1:21" s="291" customFormat="1" ht="20.100000000000001" customHeight="1" thickBot="1">
      <c r="A101" s="746"/>
      <c r="B101" s="759"/>
      <c r="C101" s="281">
        <v>5</v>
      </c>
      <c r="D101" s="292"/>
      <c r="E101" s="293"/>
      <c r="F101" s="294"/>
      <c r="G101" s="285"/>
      <c r="H101" s="286"/>
      <c r="I101" s="287"/>
      <c r="J101" s="405"/>
      <c r="K101" s="399"/>
      <c r="L101" s="319"/>
      <c r="M101" s="324">
        <v>0</v>
      </c>
      <c r="N101" s="290"/>
      <c r="O101" s="303"/>
      <c r="P101" s="304"/>
      <c r="R101" s="2"/>
      <c r="S101" s="2"/>
    </row>
    <row r="102" spans="1:21" s="291" customFormat="1" ht="15.75" customHeight="1" thickTop="1" thickBot="1">
      <c r="A102" s="747"/>
      <c r="B102" s="760"/>
      <c r="C102" s="755"/>
      <c r="D102" s="756"/>
      <c r="E102" s="756"/>
      <c r="F102" s="756"/>
      <c r="G102" s="756"/>
      <c r="H102" s="756"/>
      <c r="I102" s="757"/>
      <c r="J102" s="351" t="s">
        <v>58</v>
      </c>
      <c r="K102" s="213">
        <f>M102/'生產管理報表 7-1 (週)'!$B$31</f>
        <v>4.3310308361738159E-2</v>
      </c>
      <c r="L102" s="352" t="s">
        <v>59</v>
      </c>
      <c r="M102" s="406">
        <f>SUM(M97:M101)</f>
        <v>3568.9500000000003</v>
      </c>
      <c r="N102" s="732"/>
      <c r="O102" s="733"/>
      <c r="P102" s="734"/>
      <c r="R102" s="2"/>
      <c r="S102" s="2"/>
    </row>
    <row r="103" spans="1:21" s="291" customFormat="1" ht="15.75" customHeight="1" thickTop="1">
      <c r="B103" s="299"/>
      <c r="C103" s="300"/>
      <c r="M103" s="331"/>
      <c r="R103" s="2"/>
      <c r="S103" s="2"/>
    </row>
    <row r="104" spans="1:21" s="291" customFormat="1" ht="15.75" customHeight="1">
      <c r="A104" s="735" t="s">
        <v>191</v>
      </c>
      <c r="B104" s="736"/>
      <c r="C104" s="305" t="s">
        <v>47</v>
      </c>
      <c r="D104" s="737" t="s">
        <v>12</v>
      </c>
      <c r="E104" s="738"/>
      <c r="F104" s="739"/>
      <c r="G104" s="740" t="s">
        <v>53</v>
      </c>
      <c r="H104" s="741"/>
      <c r="I104" s="742"/>
      <c r="J104" s="306" t="s">
        <v>54</v>
      </c>
      <c r="K104" s="278" t="s">
        <v>55</v>
      </c>
      <c r="L104" s="278" t="s">
        <v>56</v>
      </c>
      <c r="M104" s="332" t="s">
        <v>11</v>
      </c>
      <c r="N104" s="279" t="s">
        <v>333</v>
      </c>
      <c r="O104" s="743" t="s">
        <v>51</v>
      </c>
      <c r="P104" s="744"/>
      <c r="R104" s="2"/>
      <c r="S104" s="2"/>
    </row>
    <row r="105" spans="1:21" s="291" customFormat="1" ht="20.100000000000001" customHeight="1">
      <c r="A105" s="745">
        <v>7</v>
      </c>
      <c r="B105" s="748" t="s">
        <v>249</v>
      </c>
      <c r="C105" s="281">
        <v>1</v>
      </c>
      <c r="D105" s="282"/>
      <c r="E105" s="283"/>
      <c r="F105" s="284"/>
      <c r="G105" s="285"/>
      <c r="H105" s="286"/>
      <c r="I105" s="287"/>
      <c r="J105" s="288"/>
      <c r="K105" s="289"/>
      <c r="L105" s="290"/>
      <c r="M105" s="333">
        <f t="shared" ref="M105:M107" si="11">L105*J105</f>
        <v>0</v>
      </c>
      <c r="N105" s="290"/>
      <c r="O105" s="751"/>
      <c r="P105" s="752"/>
      <c r="R105" s="2"/>
      <c r="S105" s="2"/>
    </row>
    <row r="106" spans="1:21" s="291" customFormat="1" ht="20.100000000000001" customHeight="1">
      <c r="A106" s="746"/>
      <c r="B106" s="749"/>
      <c r="C106" s="281">
        <v>2</v>
      </c>
      <c r="D106" s="282"/>
      <c r="E106" s="283"/>
      <c r="F106" s="284"/>
      <c r="G106" s="285"/>
      <c r="H106" s="286"/>
      <c r="I106" s="287"/>
      <c r="J106" s="288"/>
      <c r="K106" s="289"/>
      <c r="L106" s="290"/>
      <c r="M106" s="333">
        <f t="shared" si="11"/>
        <v>0</v>
      </c>
      <c r="N106" s="290"/>
      <c r="O106" s="753"/>
      <c r="P106" s="754"/>
      <c r="R106" s="2"/>
      <c r="S106" s="2"/>
    </row>
    <row r="107" spans="1:21" s="291" customFormat="1" ht="20.100000000000001" customHeight="1">
      <c r="A107" s="746"/>
      <c r="B107" s="749"/>
      <c r="C107" s="281">
        <v>3</v>
      </c>
      <c r="D107" s="282"/>
      <c r="E107" s="283"/>
      <c r="F107" s="284"/>
      <c r="G107" s="285"/>
      <c r="H107" s="286"/>
      <c r="I107" s="287"/>
      <c r="J107" s="288"/>
      <c r="K107" s="289"/>
      <c r="L107" s="290"/>
      <c r="M107" s="333">
        <f t="shared" si="11"/>
        <v>0</v>
      </c>
      <c r="N107" s="290"/>
      <c r="O107" s="753"/>
      <c r="P107" s="754"/>
      <c r="R107" s="2"/>
      <c r="S107" s="2"/>
    </row>
    <row r="108" spans="1:21" s="291" customFormat="1" ht="20.100000000000001" customHeight="1">
      <c r="A108" s="746"/>
      <c r="B108" s="749"/>
      <c r="C108" s="281">
        <v>4</v>
      </c>
      <c r="D108" s="282"/>
      <c r="E108" s="283"/>
      <c r="F108" s="284"/>
      <c r="G108" s="285"/>
      <c r="H108" s="286"/>
      <c r="I108" s="287"/>
      <c r="J108" s="288"/>
      <c r="K108" s="289"/>
      <c r="L108" s="290"/>
      <c r="M108" s="334">
        <v>0</v>
      </c>
      <c r="N108" s="290"/>
      <c r="O108" s="301"/>
      <c r="P108" s="302"/>
      <c r="R108" s="2"/>
      <c r="S108" s="2"/>
    </row>
    <row r="109" spans="1:21" s="291" customFormat="1" ht="20.100000000000001" customHeight="1" thickBot="1">
      <c r="A109" s="746"/>
      <c r="B109" s="749"/>
      <c r="C109" s="281">
        <v>5</v>
      </c>
      <c r="D109" s="292"/>
      <c r="E109" s="293"/>
      <c r="F109" s="294"/>
      <c r="G109" s="285"/>
      <c r="H109" s="286"/>
      <c r="I109" s="287"/>
      <c r="J109" s="405"/>
      <c r="K109" s="399"/>
      <c r="L109" s="319"/>
      <c r="M109" s="335">
        <v>0</v>
      </c>
      <c r="N109" s="290"/>
      <c r="O109" s="303"/>
      <c r="P109" s="304"/>
      <c r="R109" s="2"/>
      <c r="S109" s="2"/>
    </row>
    <row r="110" spans="1:21" s="291" customFormat="1" ht="15.75" customHeight="1" thickTop="1" thickBot="1">
      <c r="A110" s="747"/>
      <c r="B110" s="750"/>
      <c r="C110" s="755"/>
      <c r="D110" s="756"/>
      <c r="E110" s="756"/>
      <c r="F110" s="756"/>
      <c r="G110" s="756"/>
      <c r="H110" s="756"/>
      <c r="I110" s="757"/>
      <c r="J110" s="351" t="s">
        <v>58</v>
      </c>
      <c r="K110" s="213">
        <f>M110/'生產管理報表 7-1 (週)'!$B$31</f>
        <v>0</v>
      </c>
      <c r="L110" s="352" t="s">
        <v>59</v>
      </c>
      <c r="M110" s="406">
        <f>SUM(M105:M109)</f>
        <v>0</v>
      </c>
      <c r="N110" s="732"/>
      <c r="O110" s="733"/>
      <c r="P110" s="734"/>
      <c r="R110" s="2"/>
      <c r="S110" s="2"/>
      <c r="T110" s="2"/>
    </row>
    <row r="111" spans="1:21" s="136" customFormat="1" ht="15.75" customHeight="1" thickTop="1">
      <c r="A111" s="824" t="s">
        <v>773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496"/>
      <c r="O111" s="496"/>
      <c r="P111" s="497"/>
      <c r="R111" s="233"/>
      <c r="S111" s="233"/>
      <c r="T111" s="233"/>
      <c r="U111" s="233"/>
    </row>
    <row r="112" spans="1:21" s="137" customFormat="1" ht="15.75" customHeight="1">
      <c r="A112" s="825"/>
      <c r="B112" s="552"/>
      <c r="C112" s="552"/>
      <c r="D112" s="552"/>
      <c r="E112" s="552"/>
      <c r="F112" s="552"/>
      <c r="G112" s="552"/>
      <c r="H112" s="552"/>
      <c r="I112" s="552"/>
      <c r="J112" s="552"/>
      <c r="K112" s="552"/>
      <c r="L112" s="552"/>
      <c r="M112" s="552"/>
      <c r="N112" s="498"/>
      <c r="O112" s="498"/>
      <c r="P112" s="499"/>
    </row>
    <row r="113" spans="1:20" s="136" customFormat="1" ht="15.75" customHeight="1">
      <c r="A113" s="553" t="s">
        <v>191</v>
      </c>
      <c r="B113" s="501">
        <v>1</v>
      </c>
      <c r="C113" s="502"/>
      <c r="D113" s="501">
        <v>2</v>
      </c>
      <c r="E113" s="502"/>
      <c r="F113" s="501">
        <v>3</v>
      </c>
      <c r="G113" s="502"/>
      <c r="H113" s="555">
        <v>4</v>
      </c>
      <c r="I113" s="556"/>
      <c r="J113" s="555">
        <v>5</v>
      </c>
      <c r="K113" s="556"/>
      <c r="L113" s="555">
        <v>6</v>
      </c>
      <c r="M113" s="556"/>
      <c r="N113" s="555">
        <v>7</v>
      </c>
      <c r="O113" s="556"/>
      <c r="P113" s="329">
        <v>8</v>
      </c>
    </row>
    <row r="114" spans="1:20" s="136" customFormat="1" ht="15.75" customHeight="1">
      <c r="A114" s="554"/>
      <c r="B114" s="547" t="s">
        <v>463</v>
      </c>
      <c r="C114" s="548"/>
      <c r="D114" s="547" t="s">
        <v>212</v>
      </c>
      <c r="E114" s="548"/>
      <c r="F114" s="547" t="s">
        <v>166</v>
      </c>
      <c r="G114" s="548"/>
      <c r="H114" s="545" t="s">
        <v>436</v>
      </c>
      <c r="I114" s="546"/>
      <c r="J114" s="545" t="s">
        <v>189</v>
      </c>
      <c r="K114" s="546"/>
      <c r="L114" s="545" t="s">
        <v>167</v>
      </c>
      <c r="M114" s="546"/>
      <c r="N114" s="545" t="s">
        <v>190</v>
      </c>
      <c r="O114" s="546"/>
      <c r="P114" s="330" t="s">
        <v>217</v>
      </c>
    </row>
    <row r="115" spans="1:20" s="136" customFormat="1" ht="15.75" customHeight="1">
      <c r="B115" s="234"/>
      <c r="C115" s="235"/>
    </row>
    <row r="116" spans="1:20" s="280" customFormat="1" ht="15.75" customHeight="1">
      <c r="A116" s="735" t="s">
        <v>191</v>
      </c>
      <c r="B116" s="736"/>
      <c r="C116" s="277" t="s">
        <v>47</v>
      </c>
      <c r="D116" s="763" t="s">
        <v>12</v>
      </c>
      <c r="E116" s="764"/>
      <c r="F116" s="765"/>
      <c r="G116" s="766" t="s">
        <v>53</v>
      </c>
      <c r="H116" s="767"/>
      <c r="I116" s="768"/>
      <c r="J116" s="278" t="s">
        <v>54</v>
      </c>
      <c r="K116" s="278" t="s">
        <v>55</v>
      </c>
      <c r="L116" s="278" t="s">
        <v>56</v>
      </c>
      <c r="M116" s="279" t="s">
        <v>11</v>
      </c>
      <c r="N116" s="279" t="s">
        <v>333</v>
      </c>
      <c r="O116" s="743" t="s">
        <v>51</v>
      </c>
      <c r="P116" s="744"/>
      <c r="R116" s="211"/>
      <c r="S116" s="263"/>
    </row>
    <row r="117" spans="1:20" s="300" customFormat="1" ht="20.100000000000001" customHeight="1">
      <c r="A117" s="745">
        <v>4</v>
      </c>
      <c r="B117" s="779" t="s">
        <v>436</v>
      </c>
      <c r="C117" s="281">
        <v>1</v>
      </c>
      <c r="D117" s="239"/>
      <c r="E117" s="240"/>
      <c r="F117" s="241"/>
      <c r="G117" s="356"/>
      <c r="H117" s="307"/>
      <c r="I117" s="308"/>
      <c r="J117" s="314"/>
      <c r="K117" s="315"/>
      <c r="L117" s="316"/>
      <c r="M117" s="324">
        <f t="shared" ref="M117:M121" si="12">L117*J117</f>
        <v>0</v>
      </c>
      <c r="N117" s="316"/>
      <c r="O117" s="538"/>
      <c r="P117" s="539"/>
      <c r="R117" s="317"/>
      <c r="S117" s="263"/>
    </row>
    <row r="118" spans="1:20" s="300" customFormat="1" ht="20.100000000000001" customHeight="1">
      <c r="A118" s="746"/>
      <c r="B118" s="780"/>
      <c r="C118" s="281">
        <v>2</v>
      </c>
      <c r="D118" s="239"/>
      <c r="E118" s="240"/>
      <c r="F118" s="241"/>
      <c r="G118" s="356"/>
      <c r="H118" s="307"/>
      <c r="I118" s="308"/>
      <c r="J118" s="314"/>
      <c r="K118" s="315"/>
      <c r="L118" s="316"/>
      <c r="M118" s="324">
        <f t="shared" si="12"/>
        <v>0</v>
      </c>
      <c r="N118" s="316"/>
      <c r="O118" s="775"/>
      <c r="P118" s="776"/>
      <c r="R118" s="317"/>
      <c r="S118" s="211"/>
      <c r="T118" s="338"/>
    </row>
    <row r="119" spans="1:20" s="300" customFormat="1" ht="20.100000000000001" customHeight="1">
      <c r="A119" s="746"/>
      <c r="B119" s="780"/>
      <c r="C119" s="281">
        <v>3</v>
      </c>
      <c r="D119" s="239"/>
      <c r="E119" s="240"/>
      <c r="F119" s="241"/>
      <c r="G119" s="356"/>
      <c r="H119" s="307"/>
      <c r="I119" s="308"/>
      <c r="J119" s="314"/>
      <c r="K119" s="315"/>
      <c r="L119" s="316"/>
      <c r="M119" s="324">
        <f t="shared" si="12"/>
        <v>0</v>
      </c>
      <c r="N119" s="316"/>
      <c r="O119" s="538"/>
      <c r="P119" s="539"/>
      <c r="R119" s="317"/>
      <c r="S119" s="263"/>
    </row>
    <row r="120" spans="1:20" s="300" customFormat="1" ht="20.100000000000001" customHeight="1">
      <c r="A120" s="746"/>
      <c r="B120" s="780"/>
      <c r="C120" s="281">
        <v>4</v>
      </c>
      <c r="D120" s="239"/>
      <c r="E120" s="240"/>
      <c r="F120" s="241"/>
      <c r="G120" s="356"/>
      <c r="H120" s="307"/>
      <c r="I120" s="308"/>
      <c r="J120" s="314"/>
      <c r="K120" s="315"/>
      <c r="L120" s="316"/>
      <c r="M120" s="324">
        <f t="shared" si="12"/>
        <v>0</v>
      </c>
      <c r="N120" s="316"/>
      <c r="O120" s="538"/>
      <c r="P120" s="539"/>
      <c r="R120" s="317"/>
      <c r="S120" s="211"/>
      <c r="T120" s="338"/>
    </row>
    <row r="121" spans="1:20" s="300" customFormat="1" ht="20.100000000000001" customHeight="1" thickBot="1">
      <c r="A121" s="746"/>
      <c r="B121" s="780"/>
      <c r="C121" s="281">
        <v>5</v>
      </c>
      <c r="D121" s="239"/>
      <c r="E121" s="247"/>
      <c r="F121" s="248"/>
      <c r="G121" s="356"/>
      <c r="H121" s="307"/>
      <c r="I121" s="308"/>
      <c r="J121" s="405"/>
      <c r="K121" s="399"/>
      <c r="L121" s="319"/>
      <c r="M121" s="324">
        <f t="shared" si="12"/>
        <v>0</v>
      </c>
      <c r="N121" s="316"/>
      <c r="O121" s="538"/>
      <c r="P121" s="539"/>
      <c r="R121" s="320"/>
      <c r="S121" s="263"/>
      <c r="T121" s="291"/>
    </row>
    <row r="122" spans="1:20" s="291" customFormat="1" ht="15.75" customHeight="1" thickTop="1" thickBot="1">
      <c r="A122" s="747"/>
      <c r="B122" s="781"/>
      <c r="C122" s="786"/>
      <c r="D122" s="787"/>
      <c r="E122" s="787"/>
      <c r="F122" s="787"/>
      <c r="G122" s="787"/>
      <c r="H122" s="787"/>
      <c r="I122" s="788"/>
      <c r="J122" s="351" t="s">
        <v>58</v>
      </c>
      <c r="K122" s="213">
        <f>M122/'生產管理報表 7-1 (週)'!$B$42</f>
        <v>0</v>
      </c>
      <c r="L122" s="352" t="s">
        <v>59</v>
      </c>
      <c r="M122" s="406">
        <f>SUM(M117:M121)</f>
        <v>0</v>
      </c>
      <c r="N122" s="732"/>
      <c r="O122" s="733"/>
      <c r="P122" s="734"/>
      <c r="R122" s="211"/>
      <c r="S122" s="211"/>
    </row>
    <row r="123" spans="1:20" s="291" customFormat="1" ht="15.75" customHeight="1" thickTop="1">
      <c r="B123" s="299"/>
      <c r="C123" s="300"/>
      <c r="M123" s="331"/>
      <c r="S123" s="263"/>
    </row>
    <row r="124" spans="1:20" s="291" customFormat="1" ht="15.75" customHeight="1">
      <c r="A124" s="735" t="s">
        <v>191</v>
      </c>
      <c r="B124" s="736"/>
      <c r="C124" s="277" t="s">
        <v>47</v>
      </c>
      <c r="D124" s="763" t="s">
        <v>12</v>
      </c>
      <c r="E124" s="764"/>
      <c r="F124" s="765"/>
      <c r="G124" s="766" t="s">
        <v>53</v>
      </c>
      <c r="H124" s="767"/>
      <c r="I124" s="768"/>
      <c r="J124" s="278" t="s">
        <v>54</v>
      </c>
      <c r="K124" s="278" t="s">
        <v>55</v>
      </c>
      <c r="L124" s="278" t="s">
        <v>56</v>
      </c>
      <c r="M124" s="332" t="s">
        <v>11</v>
      </c>
      <c r="N124" s="279" t="s">
        <v>333</v>
      </c>
      <c r="O124" s="743" t="s">
        <v>51</v>
      </c>
      <c r="P124" s="744"/>
      <c r="S124" s="211"/>
      <c r="T124" s="338"/>
    </row>
    <row r="125" spans="1:20" s="300" customFormat="1" ht="39.950000000000003" customHeight="1">
      <c r="A125" s="745">
        <v>5</v>
      </c>
      <c r="B125" s="758" t="s">
        <v>215</v>
      </c>
      <c r="C125" s="281">
        <v>1</v>
      </c>
      <c r="D125" s="239"/>
      <c r="E125" s="240"/>
      <c r="F125" s="241"/>
      <c r="G125" s="308"/>
      <c r="H125" s="307"/>
      <c r="I125" s="308"/>
      <c r="J125" s="314"/>
      <c r="K125" s="315"/>
      <c r="L125" s="316"/>
      <c r="M125" s="324">
        <f>L125*J125</f>
        <v>0</v>
      </c>
      <c r="N125" s="316"/>
      <c r="O125" s="775"/>
      <c r="P125" s="776"/>
      <c r="R125" s="338"/>
      <c r="S125" s="407"/>
    </row>
    <row r="126" spans="1:20" s="300" customFormat="1" ht="20.100000000000001" customHeight="1">
      <c r="A126" s="746"/>
      <c r="B126" s="759"/>
      <c r="C126" s="281">
        <v>2</v>
      </c>
      <c r="D126" s="239"/>
      <c r="E126" s="240"/>
      <c r="F126" s="241"/>
      <c r="G126" s="356"/>
      <c r="H126" s="307"/>
      <c r="I126" s="308"/>
      <c r="J126" s="314"/>
      <c r="K126" s="315"/>
      <c r="L126" s="316"/>
      <c r="M126" s="324">
        <f t="shared" ref="M126:M129" si="13">L126*J126</f>
        <v>0</v>
      </c>
      <c r="N126" s="316"/>
      <c r="O126" s="775"/>
      <c r="P126" s="776"/>
      <c r="S126" s="211"/>
      <c r="T126" s="339"/>
    </row>
    <row r="127" spans="1:20" s="291" customFormat="1" ht="20.100000000000001" customHeight="1">
      <c r="A127" s="746"/>
      <c r="B127" s="759"/>
      <c r="C127" s="281">
        <v>3</v>
      </c>
      <c r="D127" s="239"/>
      <c r="E127" s="283"/>
      <c r="F127" s="284"/>
      <c r="G127" s="356"/>
      <c r="H127" s="307"/>
      <c r="I127" s="308"/>
      <c r="J127" s="314"/>
      <c r="K127" s="315"/>
      <c r="L127" s="316"/>
      <c r="M127" s="324">
        <f t="shared" si="13"/>
        <v>0</v>
      </c>
      <c r="N127" s="290"/>
      <c r="O127" s="771"/>
      <c r="P127" s="772"/>
    </row>
    <row r="128" spans="1:20" s="291" customFormat="1" ht="20.100000000000001" customHeight="1">
      <c r="A128" s="746"/>
      <c r="B128" s="759"/>
      <c r="C128" s="281">
        <v>4</v>
      </c>
      <c r="D128" s="239"/>
      <c r="E128" s="283"/>
      <c r="F128" s="284"/>
      <c r="G128" s="356"/>
      <c r="H128" s="307"/>
      <c r="I128" s="308"/>
      <c r="J128" s="314"/>
      <c r="K128" s="315"/>
      <c r="L128" s="316"/>
      <c r="M128" s="324">
        <f t="shared" si="13"/>
        <v>0</v>
      </c>
      <c r="N128" s="290"/>
      <c r="O128" s="775"/>
      <c r="P128" s="776"/>
    </row>
    <row r="129" spans="1:19" s="291" customFormat="1" ht="20.100000000000001" customHeight="1" thickBot="1">
      <c r="A129" s="746"/>
      <c r="B129" s="759"/>
      <c r="C129" s="281">
        <v>5</v>
      </c>
      <c r="D129" s="246"/>
      <c r="E129" s="293"/>
      <c r="F129" s="294"/>
      <c r="G129" s="356"/>
      <c r="H129" s="307"/>
      <c r="I129" s="308"/>
      <c r="J129" s="405"/>
      <c r="K129" s="399"/>
      <c r="L129" s="319"/>
      <c r="M129" s="324">
        <f t="shared" si="13"/>
        <v>0</v>
      </c>
      <c r="N129" s="290"/>
      <c r="O129" s="822"/>
      <c r="P129" s="823"/>
      <c r="R129" s="212"/>
    </row>
    <row r="130" spans="1:19" s="291" customFormat="1" ht="15.75" customHeight="1" thickTop="1" thickBot="1">
      <c r="A130" s="747"/>
      <c r="B130" s="760"/>
      <c r="C130" s="755"/>
      <c r="D130" s="756"/>
      <c r="E130" s="756"/>
      <c r="F130" s="756"/>
      <c r="G130" s="756"/>
      <c r="H130" s="756"/>
      <c r="I130" s="757"/>
      <c r="J130" s="351" t="s">
        <v>58</v>
      </c>
      <c r="K130" s="213">
        <f>M130/'生產管理報表 7-1 (週)'!$B$42</f>
        <v>0</v>
      </c>
      <c r="L130" s="352" t="s">
        <v>59</v>
      </c>
      <c r="M130" s="406">
        <f>SUM(M125:M129)</f>
        <v>0</v>
      </c>
      <c r="N130" s="732"/>
      <c r="O130" s="733"/>
      <c r="P130" s="734"/>
      <c r="R130" s="211"/>
    </row>
    <row r="131" spans="1:19" s="291" customFormat="1" ht="15.75" customHeight="1" thickTop="1">
      <c r="B131" s="299"/>
      <c r="C131" s="300"/>
      <c r="M131" s="331"/>
      <c r="R131" s="211"/>
    </row>
    <row r="132" spans="1:19" s="291" customFormat="1" ht="15.75" customHeight="1">
      <c r="A132" s="735" t="s">
        <v>191</v>
      </c>
      <c r="B132" s="736"/>
      <c r="C132" s="305" t="s">
        <v>47</v>
      </c>
      <c r="D132" s="737" t="s">
        <v>12</v>
      </c>
      <c r="E132" s="738"/>
      <c r="F132" s="739"/>
      <c r="G132" s="740" t="s">
        <v>53</v>
      </c>
      <c r="H132" s="741"/>
      <c r="I132" s="742"/>
      <c r="J132" s="306" t="s">
        <v>54</v>
      </c>
      <c r="K132" s="278" t="s">
        <v>55</v>
      </c>
      <c r="L132" s="278" t="s">
        <v>56</v>
      </c>
      <c r="M132" s="332" t="s">
        <v>11</v>
      </c>
      <c r="N132" s="279" t="s">
        <v>333</v>
      </c>
      <c r="O132" s="743" t="s">
        <v>51</v>
      </c>
      <c r="P132" s="744"/>
      <c r="R132" s="211"/>
      <c r="S132" s="2"/>
    </row>
    <row r="133" spans="1:19" s="291" customFormat="1" ht="39.950000000000003" customHeight="1">
      <c r="A133" s="745">
        <v>6</v>
      </c>
      <c r="B133" s="758" t="s">
        <v>216</v>
      </c>
      <c r="C133" s="281">
        <v>1</v>
      </c>
      <c r="D133" s="340"/>
      <c r="E133" s="283"/>
      <c r="F133" s="284"/>
      <c r="G133" s="242"/>
      <c r="H133" s="243"/>
      <c r="I133" s="242"/>
      <c r="J133" s="314"/>
      <c r="K133" s="315"/>
      <c r="L133" s="316"/>
      <c r="M133" s="324">
        <f t="shared" ref="M133" si="14">L133*J133</f>
        <v>0</v>
      </c>
      <c r="N133" s="290"/>
      <c r="O133" s="771"/>
      <c r="P133" s="772"/>
      <c r="R133" s="339"/>
      <c r="S133" s="415"/>
    </row>
    <row r="134" spans="1:19" s="291" customFormat="1" ht="20.100000000000001" customHeight="1">
      <c r="A134" s="746"/>
      <c r="B134" s="759"/>
      <c r="C134" s="281">
        <v>2</v>
      </c>
      <c r="D134" s="282"/>
      <c r="E134" s="283"/>
      <c r="F134" s="284"/>
      <c r="G134" s="285"/>
      <c r="H134" s="286"/>
      <c r="I134" s="287"/>
      <c r="J134" s="288"/>
      <c r="K134" s="289"/>
      <c r="L134" s="290"/>
      <c r="M134" s="333">
        <v>0</v>
      </c>
      <c r="N134" s="290"/>
      <c r="O134" s="301"/>
      <c r="P134" s="302"/>
      <c r="S134" s="2"/>
    </row>
    <row r="135" spans="1:19" s="291" customFormat="1" ht="20.100000000000001" customHeight="1">
      <c r="A135" s="746"/>
      <c r="B135" s="759"/>
      <c r="C135" s="281">
        <v>3</v>
      </c>
      <c r="D135" s="282"/>
      <c r="E135" s="283"/>
      <c r="F135" s="284"/>
      <c r="G135" s="285"/>
      <c r="H135" s="286"/>
      <c r="I135" s="287"/>
      <c r="J135" s="288"/>
      <c r="K135" s="289"/>
      <c r="L135" s="290"/>
      <c r="M135" s="333">
        <v>0</v>
      </c>
      <c r="N135" s="290"/>
      <c r="O135" s="301"/>
      <c r="P135" s="302"/>
      <c r="S135" s="2"/>
    </row>
    <row r="136" spans="1:19" s="291" customFormat="1" ht="20.100000000000001" customHeight="1">
      <c r="A136" s="746"/>
      <c r="B136" s="759"/>
      <c r="C136" s="281">
        <v>4</v>
      </c>
      <c r="D136" s="282"/>
      <c r="E136" s="283"/>
      <c r="F136" s="284"/>
      <c r="G136" s="285"/>
      <c r="H136" s="286"/>
      <c r="I136" s="287"/>
      <c r="J136" s="288"/>
      <c r="K136" s="289"/>
      <c r="L136" s="290"/>
      <c r="M136" s="333">
        <v>0</v>
      </c>
      <c r="N136" s="290"/>
      <c r="O136" s="301"/>
      <c r="P136" s="302"/>
      <c r="R136" s="2"/>
      <c r="S136" s="2"/>
    </row>
    <row r="137" spans="1:19" s="291" customFormat="1" ht="20.100000000000001" customHeight="1" thickBot="1">
      <c r="A137" s="746"/>
      <c r="B137" s="759"/>
      <c r="C137" s="281">
        <v>5</v>
      </c>
      <c r="D137" s="292"/>
      <c r="E137" s="293"/>
      <c r="F137" s="294"/>
      <c r="G137" s="285"/>
      <c r="H137" s="286"/>
      <c r="I137" s="287"/>
      <c r="J137" s="405"/>
      <c r="K137" s="399"/>
      <c r="L137" s="319"/>
      <c r="M137" s="324">
        <v>0</v>
      </c>
      <c r="N137" s="290"/>
      <c r="O137" s="303"/>
      <c r="P137" s="304"/>
      <c r="R137" s="2"/>
      <c r="S137" s="2"/>
    </row>
    <row r="138" spans="1:19" s="291" customFormat="1" ht="15.75" customHeight="1" thickTop="1" thickBot="1">
      <c r="A138" s="747"/>
      <c r="B138" s="760"/>
      <c r="C138" s="755"/>
      <c r="D138" s="756"/>
      <c r="E138" s="756"/>
      <c r="F138" s="756"/>
      <c r="G138" s="756"/>
      <c r="H138" s="756"/>
      <c r="I138" s="757"/>
      <c r="J138" s="351" t="s">
        <v>58</v>
      </c>
      <c r="K138" s="213">
        <f>M138/'生產管理報表 7-1 (週)'!$B$42</f>
        <v>0</v>
      </c>
      <c r="L138" s="352" t="s">
        <v>59</v>
      </c>
      <c r="M138" s="406">
        <f>SUM(M133:M137)</f>
        <v>0</v>
      </c>
      <c r="N138" s="732"/>
      <c r="O138" s="733"/>
      <c r="P138" s="734"/>
      <c r="R138" s="2"/>
      <c r="S138" s="2"/>
    </row>
    <row r="139" spans="1:19" s="291" customFormat="1" ht="15.75" customHeight="1" thickTop="1">
      <c r="B139" s="299"/>
      <c r="C139" s="300"/>
      <c r="M139" s="331"/>
      <c r="R139" s="2"/>
      <c r="S139" s="2"/>
    </row>
    <row r="140" spans="1:19" s="291" customFormat="1" ht="15.75" customHeight="1">
      <c r="A140" s="735" t="s">
        <v>191</v>
      </c>
      <c r="B140" s="736"/>
      <c r="C140" s="305" t="s">
        <v>47</v>
      </c>
      <c r="D140" s="737" t="s">
        <v>12</v>
      </c>
      <c r="E140" s="738"/>
      <c r="F140" s="739"/>
      <c r="G140" s="740" t="s">
        <v>53</v>
      </c>
      <c r="H140" s="741"/>
      <c r="I140" s="742"/>
      <c r="J140" s="306" t="s">
        <v>54</v>
      </c>
      <c r="K140" s="278" t="s">
        <v>55</v>
      </c>
      <c r="L140" s="278" t="s">
        <v>56</v>
      </c>
      <c r="M140" s="332" t="s">
        <v>11</v>
      </c>
      <c r="N140" s="279" t="s">
        <v>333</v>
      </c>
      <c r="O140" s="743" t="s">
        <v>51</v>
      </c>
      <c r="P140" s="744"/>
      <c r="R140" s="2"/>
      <c r="S140" s="2"/>
    </row>
    <row r="141" spans="1:19" s="291" customFormat="1" ht="20.100000000000001" customHeight="1">
      <c r="A141" s="745">
        <v>7</v>
      </c>
      <c r="B141" s="748" t="s">
        <v>249</v>
      </c>
      <c r="C141" s="281">
        <v>1</v>
      </c>
      <c r="D141" s="282"/>
      <c r="E141" s="283"/>
      <c r="F141" s="284"/>
      <c r="G141" s="285"/>
      <c r="H141" s="286"/>
      <c r="I141" s="287"/>
      <c r="J141" s="288"/>
      <c r="K141" s="289"/>
      <c r="L141" s="290"/>
      <c r="M141" s="333">
        <f t="shared" ref="M141:M143" si="15">L141*J141</f>
        <v>0</v>
      </c>
      <c r="N141" s="290"/>
      <c r="O141" s="751"/>
      <c r="P141" s="752"/>
      <c r="R141" s="2"/>
      <c r="S141" s="2"/>
    </row>
    <row r="142" spans="1:19" s="291" customFormat="1" ht="20.100000000000001" customHeight="1">
      <c r="A142" s="746"/>
      <c r="B142" s="749"/>
      <c r="C142" s="281">
        <v>2</v>
      </c>
      <c r="D142" s="282"/>
      <c r="E142" s="283"/>
      <c r="F142" s="284"/>
      <c r="G142" s="285"/>
      <c r="H142" s="286"/>
      <c r="I142" s="287"/>
      <c r="J142" s="288"/>
      <c r="K142" s="289"/>
      <c r="L142" s="290"/>
      <c r="M142" s="333">
        <f t="shared" si="15"/>
        <v>0</v>
      </c>
      <c r="N142" s="290"/>
      <c r="O142" s="753"/>
      <c r="P142" s="754"/>
      <c r="R142" s="2"/>
      <c r="S142" s="2"/>
    </row>
    <row r="143" spans="1:19" s="291" customFormat="1" ht="20.100000000000001" customHeight="1">
      <c r="A143" s="746"/>
      <c r="B143" s="749"/>
      <c r="C143" s="281">
        <v>3</v>
      </c>
      <c r="D143" s="282"/>
      <c r="E143" s="283"/>
      <c r="F143" s="284"/>
      <c r="G143" s="285"/>
      <c r="H143" s="286"/>
      <c r="I143" s="287"/>
      <c r="J143" s="288"/>
      <c r="K143" s="289"/>
      <c r="L143" s="290"/>
      <c r="M143" s="333">
        <f t="shared" si="15"/>
        <v>0</v>
      </c>
      <c r="N143" s="290"/>
      <c r="O143" s="753"/>
      <c r="P143" s="754"/>
      <c r="R143" s="2"/>
      <c r="S143" s="2"/>
    </row>
    <row r="144" spans="1:19" s="291" customFormat="1" ht="20.100000000000001" customHeight="1">
      <c r="A144" s="746"/>
      <c r="B144" s="749"/>
      <c r="C144" s="281">
        <v>4</v>
      </c>
      <c r="D144" s="282"/>
      <c r="E144" s="283"/>
      <c r="F144" s="284"/>
      <c r="G144" s="285"/>
      <c r="H144" s="286"/>
      <c r="I144" s="287"/>
      <c r="J144" s="288"/>
      <c r="K144" s="289"/>
      <c r="L144" s="290"/>
      <c r="M144" s="334">
        <v>0</v>
      </c>
      <c r="N144" s="290"/>
      <c r="O144" s="301"/>
      <c r="P144" s="302"/>
      <c r="R144" s="2"/>
      <c r="S144" s="2"/>
    </row>
    <row r="145" spans="1:20" s="291" customFormat="1" ht="20.100000000000001" customHeight="1" thickBot="1">
      <c r="A145" s="746"/>
      <c r="B145" s="749"/>
      <c r="C145" s="281">
        <v>5</v>
      </c>
      <c r="D145" s="292"/>
      <c r="E145" s="293"/>
      <c r="F145" s="294"/>
      <c r="G145" s="285"/>
      <c r="H145" s="286"/>
      <c r="I145" s="287"/>
      <c r="J145" s="405"/>
      <c r="K145" s="399"/>
      <c r="L145" s="319"/>
      <c r="M145" s="335">
        <v>0</v>
      </c>
      <c r="N145" s="290"/>
      <c r="O145" s="303"/>
      <c r="P145" s="304"/>
      <c r="R145" s="2"/>
      <c r="S145" s="2"/>
    </row>
    <row r="146" spans="1:20" s="291" customFormat="1" ht="15.75" customHeight="1" thickTop="1" thickBot="1">
      <c r="A146" s="747"/>
      <c r="B146" s="750"/>
      <c r="C146" s="755"/>
      <c r="D146" s="756"/>
      <c r="E146" s="756"/>
      <c r="F146" s="756"/>
      <c r="G146" s="756"/>
      <c r="H146" s="756"/>
      <c r="I146" s="757"/>
      <c r="J146" s="351" t="s">
        <v>58</v>
      </c>
      <c r="K146" s="213">
        <f>M146/'生產管理報表 7-1 (週)'!$B$42</f>
        <v>0</v>
      </c>
      <c r="L146" s="352" t="s">
        <v>59</v>
      </c>
      <c r="M146" s="406">
        <f>SUM(M141:M145)</f>
        <v>0</v>
      </c>
      <c r="N146" s="732"/>
      <c r="O146" s="733"/>
      <c r="P146" s="734"/>
      <c r="R146" s="2"/>
      <c r="S146" s="2"/>
      <c r="T146" s="2"/>
    </row>
    <row r="147" spans="1:20" ht="15.75" customHeight="1" thickTop="1"/>
  </sheetData>
  <mergeCells count="251"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8" max="15" man="1"/>
    <brk id="74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 codeName="工作表30">
    <tabColor rgb="FF92D050"/>
    <outlinePr summaryBelow="0" summaryRight="0"/>
  </sheetPr>
  <dimension ref="A1:BW31"/>
  <sheetViews>
    <sheetView view="pageBreakPreview" topLeftCell="A4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3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706" t="s">
        <v>367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</row>
    <row r="2" spans="1:75" s="137" customFormat="1" ht="15.75" customHeight="1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</row>
    <row r="3" spans="1:75" ht="15.75" customHeight="1">
      <c r="A3" s="707" t="s">
        <v>439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</row>
    <row r="4" spans="1:75" s="137" customFormat="1" ht="15.75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75" ht="15.75" customHeight="1">
      <c r="A5" s="709" t="s">
        <v>191</v>
      </c>
      <c r="B5" s="729">
        <v>1</v>
      </c>
      <c r="C5" s="729"/>
      <c r="D5" s="729">
        <v>2</v>
      </c>
      <c r="E5" s="729"/>
      <c r="F5" s="729">
        <v>3</v>
      </c>
      <c r="G5" s="729"/>
      <c r="H5" s="712">
        <v>4</v>
      </c>
      <c r="I5" s="712"/>
      <c r="J5" s="712">
        <v>5</v>
      </c>
      <c r="K5" s="712"/>
      <c r="L5" s="712">
        <v>6</v>
      </c>
      <c r="M5" s="712"/>
      <c r="N5" s="712">
        <v>7</v>
      </c>
      <c r="O5" s="712"/>
      <c r="P5" s="712">
        <v>8</v>
      </c>
      <c r="Q5" s="712"/>
    </row>
    <row r="6" spans="1:75" ht="15.75" customHeight="1">
      <c r="A6" s="709"/>
      <c r="B6" s="730" t="s">
        <v>463</v>
      </c>
      <c r="C6" s="730"/>
      <c r="D6" s="730" t="s">
        <v>212</v>
      </c>
      <c r="E6" s="730"/>
      <c r="F6" s="730" t="s">
        <v>166</v>
      </c>
      <c r="G6" s="730"/>
      <c r="H6" s="709" t="s">
        <v>436</v>
      </c>
      <c r="I6" s="709"/>
      <c r="J6" s="709" t="s">
        <v>189</v>
      </c>
      <c r="K6" s="709"/>
      <c r="L6" s="709" t="s">
        <v>167</v>
      </c>
      <c r="M6" s="709"/>
      <c r="N6" s="709" t="s">
        <v>190</v>
      </c>
      <c r="O6" s="709"/>
      <c r="P6" s="791" t="s">
        <v>217</v>
      </c>
      <c r="Q6" s="791"/>
    </row>
    <row r="8" spans="1:75" s="237" customFormat="1" ht="15.75" customHeight="1">
      <c r="A8" s="501" t="s">
        <v>191</v>
      </c>
      <c r="B8" s="502"/>
      <c r="C8" s="236" t="s">
        <v>47</v>
      </c>
      <c r="D8" s="532" t="s">
        <v>12</v>
      </c>
      <c r="E8" s="504"/>
      <c r="F8" s="506"/>
      <c r="G8" s="533" t="s">
        <v>53</v>
      </c>
      <c r="H8" s="534"/>
      <c r="I8" s="535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536" t="s">
        <v>51</v>
      </c>
      <c r="P8" s="537"/>
    </row>
    <row r="9" spans="1:75" ht="20.100000000000001" customHeight="1">
      <c r="A9" s="509">
        <v>1</v>
      </c>
      <c r="B9" s="512" t="s">
        <v>464</v>
      </c>
      <c r="C9" s="238">
        <v>1</v>
      </c>
      <c r="D9" s="239"/>
      <c r="E9" s="240"/>
      <c r="F9" s="240"/>
      <c r="G9" s="239"/>
      <c r="H9" s="240"/>
      <c r="I9" s="241"/>
      <c r="J9" s="238"/>
      <c r="K9" s="244"/>
      <c r="L9" s="238"/>
      <c r="M9" s="324">
        <f>L9*J9</f>
        <v>0</v>
      </c>
      <c r="N9" s="245"/>
      <c r="O9" s="538"/>
      <c r="P9" s="539"/>
      <c r="S9" s="343"/>
      <c r="T9" s="342"/>
    </row>
    <row r="10" spans="1:75" ht="20.100000000000001" customHeight="1">
      <c r="A10" s="510"/>
      <c r="B10" s="513"/>
      <c r="C10" s="238">
        <v>2</v>
      </c>
      <c r="D10" s="239"/>
      <c r="E10" s="240"/>
      <c r="F10" s="241"/>
      <c r="G10" s="239"/>
      <c r="H10" s="240"/>
      <c r="I10" s="241"/>
      <c r="J10" s="238"/>
      <c r="K10" s="244"/>
      <c r="L10" s="238"/>
      <c r="M10" s="324">
        <f t="shared" ref="M10:M13" si="0">L10*J10</f>
        <v>0</v>
      </c>
      <c r="N10" s="245"/>
      <c r="O10" s="541"/>
      <c r="P10" s="518"/>
      <c r="S10" s="342"/>
      <c r="T10" s="342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0.100000000000001" customHeight="1">
      <c r="A11" s="510"/>
      <c r="B11" s="513"/>
      <c r="C11" s="238">
        <v>3</v>
      </c>
      <c r="D11" s="239"/>
      <c r="E11" s="240"/>
      <c r="F11" s="241"/>
      <c r="G11" s="239"/>
      <c r="H11" s="240"/>
      <c r="I11" s="241"/>
      <c r="J11" s="238"/>
      <c r="K11" s="244"/>
      <c r="L11" s="238"/>
      <c r="M11" s="324">
        <f t="shared" si="0"/>
        <v>0</v>
      </c>
      <c r="N11" s="245"/>
      <c r="O11" s="541"/>
      <c r="P11" s="518"/>
      <c r="S11" s="343"/>
      <c r="T11" s="342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0.100000000000001" customHeight="1">
      <c r="A12" s="510"/>
      <c r="B12" s="513"/>
      <c r="C12" s="238">
        <v>4</v>
      </c>
      <c r="D12" s="239"/>
      <c r="E12" s="240"/>
      <c r="F12" s="241"/>
      <c r="G12" s="239"/>
      <c r="H12" s="240"/>
      <c r="I12" s="241"/>
      <c r="J12" s="238"/>
      <c r="K12" s="244"/>
      <c r="L12" s="238"/>
      <c r="M12" s="324">
        <f t="shared" si="0"/>
        <v>0</v>
      </c>
      <c r="N12" s="245"/>
      <c r="O12" s="541"/>
      <c r="P12" s="518"/>
      <c r="S12" s="342"/>
      <c r="T12" s="342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0.100000000000001" customHeight="1" thickBot="1">
      <c r="A13" s="510"/>
      <c r="B13" s="513"/>
      <c r="C13" s="238">
        <v>5</v>
      </c>
      <c r="D13" s="246"/>
      <c r="E13" s="247"/>
      <c r="F13" s="248"/>
      <c r="G13" s="239"/>
      <c r="H13" s="240"/>
      <c r="I13" s="270"/>
      <c r="J13" s="249"/>
      <c r="K13" s="250"/>
      <c r="L13" s="249"/>
      <c r="M13" s="325">
        <f t="shared" si="0"/>
        <v>0</v>
      </c>
      <c r="N13" s="245"/>
      <c r="O13" s="541"/>
      <c r="P13" s="518"/>
      <c r="S13" s="343"/>
      <c r="T13" s="342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 thickBot="1">
      <c r="A14" s="511"/>
      <c r="B14" s="514"/>
      <c r="C14" s="519"/>
      <c r="D14" s="520"/>
      <c r="E14" s="520"/>
      <c r="F14" s="520"/>
      <c r="G14" s="520"/>
      <c r="H14" s="520"/>
      <c r="I14" s="521"/>
      <c r="J14" s="348" t="s">
        <v>58</v>
      </c>
      <c r="K14" s="349">
        <f>M14/'生產管理報表 7-1 (週)'!$B$21</f>
        <v>0</v>
      </c>
      <c r="L14" s="348" t="s">
        <v>59</v>
      </c>
      <c r="M14" s="326">
        <f>SUM(M9:M13)</f>
        <v>0</v>
      </c>
      <c r="N14" s="542"/>
      <c r="O14" s="543"/>
      <c r="P14" s="544"/>
      <c r="S14" s="342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 thickTop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S15" s="34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501" t="s">
        <v>191</v>
      </c>
      <c r="B16" s="502"/>
      <c r="C16" s="254" t="s">
        <v>47</v>
      </c>
      <c r="D16" s="503" t="s">
        <v>12</v>
      </c>
      <c r="E16" s="504"/>
      <c r="F16" s="505"/>
      <c r="G16" s="503" t="s">
        <v>53</v>
      </c>
      <c r="H16" s="504"/>
      <c r="I16" s="505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525" t="s">
        <v>51</v>
      </c>
      <c r="P16" s="526"/>
      <c r="S16" s="342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00000000000001" customHeight="1">
      <c r="A17" s="509">
        <v>2</v>
      </c>
      <c r="B17" s="512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527"/>
      <c r="P17" s="528"/>
      <c r="S17" s="34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00000000000001" customHeight="1">
      <c r="A18" s="510"/>
      <c r="B18" s="513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527"/>
      <c r="P18" s="528"/>
      <c r="S18" s="342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00000000000001" customHeight="1">
      <c r="A19" s="510"/>
      <c r="B19" s="513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527"/>
      <c r="P19" s="528"/>
      <c r="S19" s="34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00000000000001" customHeight="1">
      <c r="A20" s="510"/>
      <c r="B20" s="513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527"/>
      <c r="P20" s="528"/>
      <c r="S20" s="342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00000000000001" customHeight="1" thickBot="1">
      <c r="A21" s="510"/>
      <c r="B21" s="513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527"/>
      <c r="P21" s="528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 thickBot="1">
      <c r="A22" s="511"/>
      <c r="B22" s="514"/>
      <c r="C22" s="519"/>
      <c r="D22" s="520"/>
      <c r="E22" s="520"/>
      <c r="F22" s="520"/>
      <c r="G22" s="520"/>
      <c r="H22" s="520"/>
      <c r="I22" s="521"/>
      <c r="J22" s="348" t="s">
        <v>58</v>
      </c>
      <c r="K22" s="349">
        <f>M22/'生產管理報表 7-1 (週)'!$B$21</f>
        <v>0</v>
      </c>
      <c r="L22" s="348" t="s">
        <v>59</v>
      </c>
      <c r="M22" s="252">
        <f>SUM(M17:M21)</f>
        <v>0</v>
      </c>
      <c r="N22" s="529"/>
      <c r="O22" s="530"/>
      <c r="P22" s="531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 thickTop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501" t="s">
        <v>191</v>
      </c>
      <c r="B24" s="502"/>
      <c r="C24" s="254" t="s">
        <v>47</v>
      </c>
      <c r="D24" s="503" t="s">
        <v>12</v>
      </c>
      <c r="E24" s="504"/>
      <c r="F24" s="505"/>
      <c r="G24" s="503" t="s">
        <v>53</v>
      </c>
      <c r="H24" s="504"/>
      <c r="I24" s="506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507" t="s">
        <v>51</v>
      </c>
      <c r="P24" s="508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0.100000000000001" customHeight="1">
      <c r="A25" s="509">
        <v>3</v>
      </c>
      <c r="B25" s="512" t="s">
        <v>429</v>
      </c>
      <c r="C25" s="258">
        <v>1</v>
      </c>
      <c r="D25" s="239"/>
      <c r="E25" s="240"/>
      <c r="F25" s="241"/>
      <c r="G25" s="239"/>
      <c r="H25" s="240"/>
      <c r="I25" s="241"/>
      <c r="J25" s="259"/>
      <c r="K25" s="260"/>
      <c r="L25" s="259"/>
      <c r="M25" s="327">
        <f t="shared" ref="M25:M29" si="2">L25*J25</f>
        <v>0</v>
      </c>
      <c r="N25" s="272"/>
      <c r="O25" s="517"/>
      <c r="P25" s="518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0.100000000000001" customHeight="1">
      <c r="A26" s="510"/>
      <c r="B26" s="513"/>
      <c r="C26" s="258">
        <v>2</v>
      </c>
      <c r="D26" s="239"/>
      <c r="E26" s="240"/>
      <c r="F26" s="241"/>
      <c r="G26" s="239"/>
      <c r="H26" s="240"/>
      <c r="I26" s="241"/>
      <c r="J26" s="259"/>
      <c r="K26" s="260"/>
      <c r="L26" s="259"/>
      <c r="M26" s="327">
        <f t="shared" si="2"/>
        <v>0</v>
      </c>
      <c r="N26" s="272"/>
      <c r="O26" s="517"/>
      <c r="P26" s="518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0.100000000000001" customHeight="1">
      <c r="A27" s="510"/>
      <c r="B27" s="513"/>
      <c r="C27" s="258">
        <v>3</v>
      </c>
      <c r="D27" s="239"/>
      <c r="E27" s="240"/>
      <c r="F27" s="241"/>
      <c r="G27" s="239"/>
      <c r="H27" s="240"/>
      <c r="I27" s="241"/>
      <c r="J27" s="259"/>
      <c r="K27" s="260"/>
      <c r="L27" s="259"/>
      <c r="M27" s="327">
        <f t="shared" si="2"/>
        <v>0</v>
      </c>
      <c r="N27" s="272"/>
      <c r="O27" s="517"/>
      <c r="P27" s="518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0.100000000000001" customHeight="1">
      <c r="A28" s="510"/>
      <c r="B28" s="513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517"/>
      <c r="P28" s="518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0.100000000000001" customHeight="1" thickBot="1">
      <c r="A29" s="510"/>
      <c r="B29" s="513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517"/>
      <c r="P29" s="518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 thickBot="1">
      <c r="A30" s="511"/>
      <c r="B30" s="514"/>
      <c r="C30" s="519"/>
      <c r="D30" s="520"/>
      <c r="E30" s="520"/>
      <c r="F30" s="520"/>
      <c r="G30" s="520"/>
      <c r="H30" s="520"/>
      <c r="I30" s="521"/>
      <c r="J30" s="350" t="s">
        <v>58</v>
      </c>
      <c r="K30" s="349">
        <f>M30/'生產管理報表 7-1 (週)'!$B$21</f>
        <v>0</v>
      </c>
      <c r="L30" s="350" t="s">
        <v>59</v>
      </c>
      <c r="M30" s="328">
        <f>SUM(M25:M29)</f>
        <v>0</v>
      </c>
      <c r="N30" s="522"/>
      <c r="O30" s="523"/>
      <c r="P30" s="524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 codeName="工作表31">
    <tabColor rgb="FF92D050"/>
    <outlinePr summaryBelow="0" summaryRight="0"/>
  </sheetPr>
  <dimension ref="A1:T115"/>
  <sheetViews>
    <sheetView view="pageBreakPreview" topLeftCell="A86" zoomScaleNormal="60" zoomScaleSheetLayoutView="100" workbookViewId="0">
      <selection activeCell="K78" sqref="K78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35.42578125" style="291" customWidth="1"/>
    <col min="17" max="17" width="12.5703125" style="291"/>
    <col min="18" max="18" width="27.42578125" style="291" bestFit="1" customWidth="1"/>
    <col min="19" max="16384" width="12.5703125" style="291"/>
  </cols>
  <sheetData>
    <row r="1" spans="1:20" s="136" customFormat="1" ht="15.75" customHeight="1">
      <c r="A1" s="706" t="s">
        <v>367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</row>
    <row r="2" spans="1:20" s="137" customFormat="1" ht="15.75" customHeight="1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</row>
    <row r="3" spans="1:20" s="136" customFormat="1" ht="15.75" customHeight="1">
      <c r="A3" s="707" t="s">
        <v>614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</row>
    <row r="4" spans="1:20" s="137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20" s="136" customFormat="1" ht="15.75" customHeight="1">
      <c r="A5" s="553" t="s">
        <v>191</v>
      </c>
      <c r="B5" s="501">
        <v>1</v>
      </c>
      <c r="C5" s="502"/>
      <c r="D5" s="501">
        <v>2</v>
      </c>
      <c r="E5" s="502"/>
      <c r="F5" s="501">
        <v>3</v>
      </c>
      <c r="G5" s="502"/>
      <c r="H5" s="555">
        <v>4</v>
      </c>
      <c r="I5" s="556"/>
      <c r="J5" s="555">
        <v>5</v>
      </c>
      <c r="K5" s="556"/>
      <c r="L5" s="555">
        <v>6</v>
      </c>
      <c r="M5" s="556"/>
      <c r="N5" s="555">
        <v>7</v>
      </c>
      <c r="O5" s="556"/>
      <c r="P5" s="329">
        <v>8</v>
      </c>
    </row>
    <row r="6" spans="1:20" s="136" customFormat="1" ht="15.75" customHeight="1">
      <c r="A6" s="554"/>
      <c r="B6" s="547" t="s">
        <v>463</v>
      </c>
      <c r="C6" s="548"/>
      <c r="D6" s="547" t="s">
        <v>212</v>
      </c>
      <c r="E6" s="548"/>
      <c r="F6" s="547" t="s">
        <v>166</v>
      </c>
      <c r="G6" s="548"/>
      <c r="H6" s="545" t="s">
        <v>436</v>
      </c>
      <c r="I6" s="546"/>
      <c r="J6" s="545" t="s">
        <v>189</v>
      </c>
      <c r="K6" s="546"/>
      <c r="L6" s="545" t="s">
        <v>167</v>
      </c>
      <c r="M6" s="546"/>
      <c r="N6" s="545" t="s">
        <v>190</v>
      </c>
      <c r="O6" s="546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735" t="s">
        <v>191</v>
      </c>
      <c r="B8" s="736"/>
      <c r="C8" s="277" t="s">
        <v>47</v>
      </c>
      <c r="D8" s="763" t="s">
        <v>12</v>
      </c>
      <c r="E8" s="764"/>
      <c r="F8" s="765"/>
      <c r="G8" s="766" t="s">
        <v>53</v>
      </c>
      <c r="H8" s="767"/>
      <c r="I8" s="768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43" t="s">
        <v>51</v>
      </c>
      <c r="P8" s="744"/>
      <c r="R8" s="342"/>
      <c r="S8" s="343"/>
    </row>
    <row r="9" spans="1:20" s="300" customFormat="1" ht="60" customHeight="1">
      <c r="A9" s="745">
        <v>4</v>
      </c>
      <c r="B9" s="779" t="s">
        <v>436</v>
      </c>
      <c r="C9" s="281">
        <v>1</v>
      </c>
      <c r="D9" s="239" t="s">
        <v>585</v>
      </c>
      <c r="E9" s="240"/>
      <c r="F9" s="241"/>
      <c r="G9" s="308" t="s">
        <v>596</v>
      </c>
      <c r="H9" s="307"/>
      <c r="I9" s="308"/>
      <c r="J9" s="314">
        <v>97.830000000000013</v>
      </c>
      <c r="K9" s="315">
        <v>0</v>
      </c>
      <c r="L9" s="316">
        <v>78.710000000000491</v>
      </c>
      <c r="M9" s="324">
        <f t="shared" ref="M9:M13" si="0">L9*J9</f>
        <v>7700.1993000000493</v>
      </c>
      <c r="N9" s="316"/>
      <c r="O9" s="775" t="s">
        <v>617</v>
      </c>
      <c r="P9" s="776"/>
      <c r="R9" s="410"/>
      <c r="S9" s="343"/>
    </row>
    <row r="10" spans="1:20" s="300" customFormat="1" ht="60" customHeight="1">
      <c r="A10" s="746"/>
      <c r="B10" s="780"/>
      <c r="C10" s="281">
        <v>2</v>
      </c>
      <c r="D10" s="239" t="s">
        <v>364</v>
      </c>
      <c r="E10" s="240"/>
      <c r="F10" s="241"/>
      <c r="G10" s="308" t="s">
        <v>363</v>
      </c>
      <c r="H10" s="307"/>
      <c r="I10" s="308"/>
      <c r="J10" s="314">
        <v>426.69</v>
      </c>
      <c r="K10" s="315">
        <v>1.2594458438287155E-3</v>
      </c>
      <c r="L10" s="316">
        <v>15.640000000000155</v>
      </c>
      <c r="M10" s="324">
        <f t="shared" si="0"/>
        <v>6673.4316000000663</v>
      </c>
      <c r="N10" s="316"/>
      <c r="O10" s="775" t="s">
        <v>602</v>
      </c>
      <c r="P10" s="776"/>
      <c r="R10" s="410"/>
      <c r="S10" s="411"/>
      <c r="T10" s="338"/>
    </row>
    <row r="11" spans="1:20" s="300" customFormat="1" ht="60" customHeight="1">
      <c r="A11" s="746"/>
      <c r="B11" s="780"/>
      <c r="C11" s="281">
        <v>3</v>
      </c>
      <c r="D11" s="239" t="s">
        <v>492</v>
      </c>
      <c r="E11" s="240"/>
      <c r="F11" s="241"/>
      <c r="G11" s="308" t="s">
        <v>496</v>
      </c>
      <c r="H11" s="307"/>
      <c r="I11" s="308"/>
      <c r="J11" s="314">
        <v>118.30999999999997</v>
      </c>
      <c r="K11" s="315">
        <v>0</v>
      </c>
      <c r="L11" s="316">
        <v>49.349999999999909</v>
      </c>
      <c r="M11" s="324">
        <f t="shared" si="0"/>
        <v>5838.5984999999882</v>
      </c>
      <c r="N11" s="316"/>
      <c r="O11" s="782" t="s">
        <v>617</v>
      </c>
      <c r="P11" s="783"/>
      <c r="R11" s="410"/>
      <c r="S11" s="412"/>
    </row>
    <row r="12" spans="1:20" s="300" customFormat="1" ht="60" customHeight="1">
      <c r="A12" s="746"/>
      <c r="B12" s="780"/>
      <c r="C12" s="281">
        <v>4</v>
      </c>
      <c r="D12" s="239" t="s">
        <v>484</v>
      </c>
      <c r="E12" s="240"/>
      <c r="F12" s="241"/>
      <c r="G12" s="308" t="s">
        <v>483</v>
      </c>
      <c r="H12" s="307"/>
      <c r="I12" s="308"/>
      <c r="J12" s="314">
        <v>191.21</v>
      </c>
      <c r="K12" s="315">
        <v>2.2162742724653498E-4</v>
      </c>
      <c r="L12" s="316">
        <v>30.060000000000162</v>
      </c>
      <c r="M12" s="324">
        <f t="shared" si="0"/>
        <v>5747.7726000000312</v>
      </c>
      <c r="N12" s="316"/>
      <c r="O12" s="782" t="s">
        <v>602</v>
      </c>
      <c r="P12" s="783"/>
      <c r="R12" s="410"/>
      <c r="S12" s="411"/>
      <c r="T12" s="338"/>
    </row>
    <row r="13" spans="1:20" s="300" customFormat="1" ht="60" customHeight="1" thickBot="1">
      <c r="A13" s="746"/>
      <c r="B13" s="780"/>
      <c r="C13" s="281">
        <v>5</v>
      </c>
      <c r="D13" s="239" t="s">
        <v>473</v>
      </c>
      <c r="E13" s="247"/>
      <c r="F13" s="248"/>
      <c r="G13" s="308" t="s">
        <v>480</v>
      </c>
      <c r="H13" s="307"/>
      <c r="I13" s="308"/>
      <c r="J13" s="318">
        <v>629</v>
      </c>
      <c r="K13" s="250">
        <v>0</v>
      </c>
      <c r="L13" s="319">
        <v>8.3300000000000125</v>
      </c>
      <c r="M13" s="324">
        <f t="shared" si="0"/>
        <v>5239.5700000000079</v>
      </c>
      <c r="N13" s="316"/>
      <c r="O13" s="782" t="s">
        <v>660</v>
      </c>
      <c r="P13" s="783"/>
      <c r="R13" s="413"/>
      <c r="S13" s="412"/>
      <c r="T13" s="291"/>
    </row>
    <row r="14" spans="1:20" ht="15.75" customHeight="1" thickTop="1" thickBot="1">
      <c r="A14" s="747"/>
      <c r="B14" s="781"/>
      <c r="C14" s="786"/>
      <c r="D14" s="787"/>
      <c r="E14" s="787"/>
      <c r="F14" s="787"/>
      <c r="G14" s="787"/>
      <c r="H14" s="787"/>
      <c r="I14" s="788"/>
      <c r="J14" s="351" t="s">
        <v>58</v>
      </c>
      <c r="K14" s="349">
        <f>M14/'生產管理報表 7-1 (週)'!$B$10</f>
        <v>0.15483159011844405</v>
      </c>
      <c r="L14" s="352" t="s">
        <v>59</v>
      </c>
      <c r="M14" s="353">
        <f>SUM(M9:M13)</f>
        <v>31199.572000000146</v>
      </c>
      <c r="N14" s="732"/>
      <c r="O14" s="733"/>
      <c r="P14" s="734"/>
      <c r="R14" s="342"/>
      <c r="S14" s="342"/>
    </row>
    <row r="15" spans="1:20" ht="15.75" customHeight="1" thickTop="1">
      <c r="M15" s="331"/>
      <c r="S15" s="343"/>
    </row>
    <row r="16" spans="1:20" ht="15.75" customHeight="1">
      <c r="A16" s="735" t="s">
        <v>191</v>
      </c>
      <c r="B16" s="736"/>
      <c r="C16" s="277" t="s">
        <v>47</v>
      </c>
      <c r="D16" s="763" t="s">
        <v>12</v>
      </c>
      <c r="E16" s="764"/>
      <c r="F16" s="765"/>
      <c r="G16" s="766" t="s">
        <v>53</v>
      </c>
      <c r="H16" s="767"/>
      <c r="I16" s="768"/>
      <c r="J16" s="394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43" t="s">
        <v>51</v>
      </c>
      <c r="P16" s="744"/>
      <c r="S16" s="342"/>
      <c r="T16" s="338"/>
    </row>
    <row r="17" spans="1:20" s="300" customFormat="1" ht="60" customHeight="1">
      <c r="A17" s="745">
        <v>5</v>
      </c>
      <c r="B17" s="758" t="s">
        <v>215</v>
      </c>
      <c r="C17" s="281">
        <v>1</v>
      </c>
      <c r="D17" s="239" t="s">
        <v>342</v>
      </c>
      <c r="E17" s="240"/>
      <c r="F17" s="241"/>
      <c r="G17" s="308" t="s">
        <v>337</v>
      </c>
      <c r="H17" s="307"/>
      <c r="I17" s="308"/>
      <c r="J17" s="314">
        <v>147.43000000000004</v>
      </c>
      <c r="K17" s="315">
        <v>0</v>
      </c>
      <c r="L17" s="316">
        <v>105.28999999999905</v>
      </c>
      <c r="M17" s="324">
        <f>L17*J17</f>
        <v>15522.904699999865</v>
      </c>
      <c r="N17" s="316"/>
      <c r="O17" s="794" t="s">
        <v>580</v>
      </c>
      <c r="P17" s="795"/>
      <c r="S17" s="412"/>
      <c r="T17" s="338"/>
    </row>
    <row r="18" spans="1:20" s="300" customFormat="1" ht="60" customHeight="1">
      <c r="A18" s="746"/>
      <c r="B18" s="759"/>
      <c r="C18" s="281">
        <v>2</v>
      </c>
      <c r="D18" s="239" t="s">
        <v>582</v>
      </c>
      <c r="E18" s="240"/>
      <c r="F18" s="241"/>
      <c r="G18" s="308" t="s">
        <v>594</v>
      </c>
      <c r="H18" s="307"/>
      <c r="I18" s="308"/>
      <c r="J18" s="314">
        <v>760</v>
      </c>
      <c r="K18" s="315">
        <v>1.7814537935422301E-3</v>
      </c>
      <c r="L18" s="316">
        <v>7.4599999999999245</v>
      </c>
      <c r="M18" s="324">
        <f t="shared" ref="M18:M21" si="1">L18*J18</f>
        <v>5669.5999999999422</v>
      </c>
      <c r="N18" s="316"/>
      <c r="O18" s="771" t="s">
        <v>659</v>
      </c>
      <c r="P18" s="772"/>
      <c r="S18" s="342"/>
      <c r="T18" s="339"/>
    </row>
    <row r="19" spans="1:20" ht="24.95" customHeight="1">
      <c r="A19" s="746"/>
      <c r="B19" s="759"/>
      <c r="C19" s="281">
        <v>3</v>
      </c>
      <c r="D19" s="239"/>
      <c r="E19" s="240"/>
      <c r="F19" s="241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53"/>
      <c r="P19" s="754"/>
    </row>
    <row r="20" spans="1:20" ht="24.95" customHeight="1">
      <c r="A20" s="746"/>
      <c r="B20" s="759"/>
      <c r="C20" s="281">
        <v>4</v>
      </c>
      <c r="D20" s="282"/>
      <c r="E20" s="283"/>
      <c r="F20" s="284"/>
      <c r="G20" s="356"/>
      <c r="H20" s="307"/>
      <c r="I20" s="308"/>
      <c r="J20" s="288"/>
      <c r="K20" s="289"/>
      <c r="L20" s="290"/>
      <c r="M20" s="324">
        <f t="shared" si="1"/>
        <v>0</v>
      </c>
      <c r="N20" s="290"/>
      <c r="O20" s="301"/>
      <c r="P20" s="302"/>
    </row>
    <row r="21" spans="1:20" ht="24.95" customHeight="1" thickBot="1">
      <c r="A21" s="746"/>
      <c r="B21" s="759"/>
      <c r="C21" s="281">
        <v>5</v>
      </c>
      <c r="D21" s="292"/>
      <c r="E21" s="293"/>
      <c r="F21" s="294"/>
      <c r="G21" s="356"/>
      <c r="H21" s="307"/>
      <c r="I21" s="308"/>
      <c r="J21" s="295"/>
      <c r="K21" s="250"/>
      <c r="L21" s="296"/>
      <c r="M21" s="324">
        <f t="shared" si="1"/>
        <v>0</v>
      </c>
      <c r="N21" s="290"/>
      <c r="O21" s="303"/>
      <c r="P21" s="304"/>
      <c r="R21" s="346"/>
    </row>
    <row r="22" spans="1:20" ht="15.75" customHeight="1" thickTop="1" thickBot="1">
      <c r="A22" s="747"/>
      <c r="B22" s="760"/>
      <c r="C22" s="755"/>
      <c r="D22" s="756"/>
      <c r="E22" s="756"/>
      <c r="F22" s="756"/>
      <c r="G22" s="756"/>
      <c r="H22" s="756"/>
      <c r="I22" s="757"/>
      <c r="J22" s="351" t="s">
        <v>58</v>
      </c>
      <c r="K22" s="349">
        <f>M22/'生產管理報表 7-1 (週)'!$B$10</f>
        <v>0.1051703273780023</v>
      </c>
      <c r="L22" s="352" t="s">
        <v>59</v>
      </c>
      <c r="M22" s="353">
        <f>SUM(M17:M21)</f>
        <v>21192.504699999809</v>
      </c>
      <c r="N22" s="732"/>
      <c r="O22" s="733"/>
      <c r="P22" s="734"/>
      <c r="R22" s="342"/>
    </row>
    <row r="23" spans="1:20" ht="15.75" customHeight="1" thickTop="1">
      <c r="K23" s="291" t="s">
        <v>468</v>
      </c>
      <c r="M23" s="331"/>
      <c r="R23" s="342"/>
    </row>
    <row r="24" spans="1:20" ht="24.95" customHeight="1">
      <c r="A24" s="735" t="s">
        <v>191</v>
      </c>
      <c r="B24" s="736"/>
      <c r="C24" s="305" t="s">
        <v>47</v>
      </c>
      <c r="D24" s="737" t="s">
        <v>12</v>
      </c>
      <c r="E24" s="738"/>
      <c r="F24" s="739"/>
      <c r="G24" s="740" t="s">
        <v>53</v>
      </c>
      <c r="H24" s="741"/>
      <c r="I24" s="742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43" t="s">
        <v>51</v>
      </c>
      <c r="P24" s="744"/>
      <c r="R24" s="342"/>
    </row>
    <row r="25" spans="1:20" ht="54.95" customHeight="1">
      <c r="A25" s="745">
        <v>6</v>
      </c>
      <c r="B25" s="758" t="s">
        <v>216</v>
      </c>
      <c r="C25" s="281">
        <v>1</v>
      </c>
      <c r="D25" s="347" t="s">
        <v>342</v>
      </c>
      <c r="E25" s="283"/>
      <c r="F25" s="284"/>
      <c r="G25" s="308" t="s">
        <v>591</v>
      </c>
      <c r="H25" s="307"/>
      <c r="I25" s="308"/>
      <c r="J25" s="314">
        <v>39.389999999999993</v>
      </c>
      <c r="K25" s="315">
        <v>3.0681044680805361E-5</v>
      </c>
      <c r="L25" s="316">
        <v>230.09000000000088</v>
      </c>
      <c r="M25" s="324">
        <f t="shared" ref="M25:M29" si="2">L25*J25</f>
        <v>9063.2451000000328</v>
      </c>
      <c r="N25" s="290"/>
      <c r="O25" s="784" t="s">
        <v>618</v>
      </c>
      <c r="P25" s="785"/>
      <c r="R25" s="339"/>
      <c r="S25" s="339"/>
    </row>
    <row r="26" spans="1:20" ht="54.95" customHeight="1">
      <c r="A26" s="746"/>
      <c r="B26" s="759"/>
      <c r="C26" s="281">
        <v>2</v>
      </c>
      <c r="D26" s="239" t="s">
        <v>344</v>
      </c>
      <c r="E26" s="283"/>
      <c r="F26" s="284"/>
      <c r="G26" s="308" t="s">
        <v>474</v>
      </c>
      <c r="H26" s="307"/>
      <c r="I26" s="308"/>
      <c r="J26" s="314">
        <v>605.77999999999986</v>
      </c>
      <c r="K26" s="315">
        <v>9.1822831302699397E-4</v>
      </c>
      <c r="L26" s="316">
        <v>8.209999999999873</v>
      </c>
      <c r="M26" s="324">
        <f t="shared" si="2"/>
        <v>4973.453799999922</v>
      </c>
      <c r="N26" s="290"/>
      <c r="O26" s="784" t="s">
        <v>581</v>
      </c>
      <c r="P26" s="785"/>
      <c r="R26" s="339"/>
      <c r="S26" s="339"/>
    </row>
    <row r="27" spans="1:20" ht="54.95" customHeight="1">
      <c r="A27" s="746"/>
      <c r="B27" s="759"/>
      <c r="C27" s="281">
        <v>3</v>
      </c>
      <c r="D27" s="239" t="s">
        <v>478</v>
      </c>
      <c r="E27" s="283"/>
      <c r="F27" s="284"/>
      <c r="G27" s="308" t="s">
        <v>476</v>
      </c>
      <c r="H27" s="307"/>
      <c r="I27" s="308"/>
      <c r="J27" s="314">
        <v>407.74000000000007</v>
      </c>
      <c r="K27" s="315">
        <v>4.3030031376064545E-4</v>
      </c>
      <c r="L27" s="316">
        <v>11.380000000000127</v>
      </c>
      <c r="M27" s="324">
        <f t="shared" si="2"/>
        <v>4640.0812000000524</v>
      </c>
      <c r="N27" s="290"/>
      <c r="O27" s="784" t="s">
        <v>603</v>
      </c>
      <c r="P27" s="785"/>
      <c r="R27" s="339"/>
    </row>
    <row r="28" spans="1:20" ht="54.95" customHeight="1">
      <c r="A28" s="746"/>
      <c r="B28" s="759"/>
      <c r="C28" s="281">
        <v>4</v>
      </c>
      <c r="D28" s="239" t="s">
        <v>620</v>
      </c>
      <c r="E28" s="283"/>
      <c r="F28" s="284"/>
      <c r="G28" s="308" t="s">
        <v>647</v>
      </c>
      <c r="H28" s="307"/>
      <c r="I28" s="308"/>
      <c r="J28" s="314">
        <v>62.43</v>
      </c>
      <c r="K28" s="315">
        <v>7.5554063129617188E-4</v>
      </c>
      <c r="L28" s="316">
        <v>61.539999999999125</v>
      </c>
      <c r="M28" s="324">
        <f t="shared" si="2"/>
        <v>3841.9421999999454</v>
      </c>
      <c r="N28" s="290"/>
      <c r="O28" s="784" t="s">
        <v>618</v>
      </c>
      <c r="P28" s="785"/>
      <c r="R28" s="339"/>
      <c r="S28" s="339"/>
    </row>
    <row r="29" spans="1:20" ht="54.95" customHeight="1" thickBot="1">
      <c r="A29" s="746"/>
      <c r="B29" s="759"/>
      <c r="C29" s="281">
        <v>5</v>
      </c>
      <c r="D29" s="246"/>
      <c r="E29" s="293"/>
      <c r="F29" s="294"/>
      <c r="G29" s="356"/>
      <c r="H29" s="307"/>
      <c r="I29" s="308"/>
      <c r="J29" s="318"/>
      <c r="K29" s="250"/>
      <c r="L29" s="319"/>
      <c r="M29" s="324">
        <f t="shared" si="2"/>
        <v>0</v>
      </c>
      <c r="N29" s="290"/>
      <c r="O29" s="784"/>
      <c r="P29" s="785"/>
    </row>
    <row r="30" spans="1:20" ht="15.75" customHeight="1" thickTop="1" thickBot="1">
      <c r="A30" s="747"/>
      <c r="B30" s="760"/>
      <c r="C30" s="755"/>
      <c r="D30" s="756"/>
      <c r="E30" s="756"/>
      <c r="F30" s="756"/>
      <c r="G30" s="756"/>
      <c r="H30" s="756"/>
      <c r="I30" s="757"/>
      <c r="J30" s="351" t="s">
        <v>58</v>
      </c>
      <c r="K30" s="349">
        <f>M30/'生產管理報表 7-1 (週)'!$B$10</f>
        <v>0.11175184009398086</v>
      </c>
      <c r="L30" s="352" t="s">
        <v>59</v>
      </c>
      <c r="M30" s="353">
        <f>SUM(M25:M29)</f>
        <v>22518.722299999954</v>
      </c>
      <c r="N30" s="732"/>
      <c r="O30" s="733"/>
      <c r="P30" s="734"/>
    </row>
    <row r="31" spans="1:20" s="136" customFormat="1" ht="15.75" customHeight="1" thickTop="1">
      <c r="A31" s="707" t="s">
        <v>713</v>
      </c>
      <c r="B31" s="707"/>
      <c r="C31" s="707"/>
      <c r="D31" s="707"/>
      <c r="E31" s="707"/>
      <c r="F31" s="707"/>
      <c r="G31" s="707"/>
      <c r="H31" s="707"/>
      <c r="I31" s="707"/>
      <c r="J31" s="707"/>
      <c r="K31" s="707"/>
      <c r="L31" s="707"/>
      <c r="M31" s="707"/>
    </row>
    <row r="32" spans="1:20" s="137" customFormat="1" ht="15.75" customHeight="1">
      <c r="A32" s="552"/>
      <c r="B32" s="552"/>
      <c r="C32" s="552"/>
      <c r="D32" s="552"/>
      <c r="E32" s="552"/>
      <c r="F32" s="552"/>
      <c r="G32" s="552"/>
      <c r="H32" s="552"/>
      <c r="I32" s="552"/>
      <c r="J32" s="552"/>
      <c r="K32" s="552"/>
      <c r="L32" s="552"/>
      <c r="M32" s="552"/>
    </row>
    <row r="33" spans="1:20" s="136" customFormat="1" ht="15.75" customHeight="1">
      <c r="A33" s="553" t="s">
        <v>191</v>
      </c>
      <c r="B33" s="501">
        <v>1</v>
      </c>
      <c r="C33" s="502"/>
      <c r="D33" s="501">
        <v>2</v>
      </c>
      <c r="E33" s="502"/>
      <c r="F33" s="501">
        <v>3</v>
      </c>
      <c r="G33" s="502"/>
      <c r="H33" s="555">
        <v>4</v>
      </c>
      <c r="I33" s="556"/>
      <c r="J33" s="555">
        <v>5</v>
      </c>
      <c r="K33" s="556"/>
      <c r="L33" s="555">
        <v>6</v>
      </c>
      <c r="M33" s="556"/>
      <c r="N33" s="555">
        <v>7</v>
      </c>
      <c r="O33" s="556"/>
      <c r="P33" s="329">
        <v>8</v>
      </c>
    </row>
    <row r="34" spans="1:20" s="136" customFormat="1" ht="15.75" customHeight="1">
      <c r="A34" s="554"/>
      <c r="B34" s="547" t="s">
        <v>463</v>
      </c>
      <c r="C34" s="548"/>
      <c r="D34" s="547" t="s">
        <v>212</v>
      </c>
      <c r="E34" s="548"/>
      <c r="F34" s="547" t="s">
        <v>166</v>
      </c>
      <c r="G34" s="548"/>
      <c r="H34" s="545" t="s">
        <v>436</v>
      </c>
      <c r="I34" s="546"/>
      <c r="J34" s="545" t="s">
        <v>189</v>
      </c>
      <c r="K34" s="546"/>
      <c r="L34" s="545" t="s">
        <v>167</v>
      </c>
      <c r="M34" s="546"/>
      <c r="N34" s="545" t="s">
        <v>190</v>
      </c>
      <c r="O34" s="546"/>
      <c r="P34" s="330" t="s">
        <v>217</v>
      </c>
    </row>
    <row r="35" spans="1:20" s="136" customFormat="1" ht="15.75" customHeight="1">
      <c r="B35" s="234"/>
      <c r="C35" s="235"/>
    </row>
    <row r="36" spans="1:20" s="280" customFormat="1" ht="15.75" customHeight="1">
      <c r="A36" s="735" t="s">
        <v>191</v>
      </c>
      <c r="B36" s="736"/>
      <c r="C36" s="277" t="s">
        <v>47</v>
      </c>
      <c r="D36" s="763" t="s">
        <v>12</v>
      </c>
      <c r="E36" s="764"/>
      <c r="F36" s="765"/>
      <c r="G36" s="766" t="s">
        <v>53</v>
      </c>
      <c r="H36" s="767"/>
      <c r="I36" s="768"/>
      <c r="J36" s="278" t="s">
        <v>54</v>
      </c>
      <c r="K36" s="278" t="s">
        <v>55</v>
      </c>
      <c r="L36" s="278" t="s">
        <v>56</v>
      </c>
      <c r="M36" s="279" t="s">
        <v>11</v>
      </c>
      <c r="N36" s="279" t="s">
        <v>333</v>
      </c>
      <c r="O36" s="743" t="s">
        <v>51</v>
      </c>
      <c r="P36" s="744"/>
      <c r="R36" s="342"/>
      <c r="S36" s="343"/>
    </row>
    <row r="37" spans="1:20" s="300" customFormat="1" ht="60" customHeight="1">
      <c r="A37" s="745">
        <v>4</v>
      </c>
      <c r="B37" s="779" t="s">
        <v>436</v>
      </c>
      <c r="C37" s="281">
        <v>1</v>
      </c>
      <c r="D37" s="239" t="s">
        <v>342</v>
      </c>
      <c r="E37" s="240"/>
      <c r="F37" s="241"/>
      <c r="G37" s="308" t="s">
        <v>427</v>
      </c>
      <c r="H37" s="307"/>
      <c r="I37" s="308"/>
      <c r="J37" s="314">
        <v>157.87000000000003</v>
      </c>
      <c r="K37" s="315">
        <v>1.5777231990371011E-3</v>
      </c>
      <c r="L37" s="316">
        <v>40.870000000000118</v>
      </c>
      <c r="M37" s="324">
        <f t="shared" ref="M37:M41" si="3">L37*J37</f>
        <v>6452.1469000000197</v>
      </c>
      <c r="N37" s="316"/>
      <c r="O37" s="775" t="s">
        <v>617</v>
      </c>
      <c r="P37" s="776"/>
      <c r="R37" s="410"/>
      <c r="S37" s="343"/>
    </row>
    <row r="38" spans="1:20" s="300" customFormat="1" ht="60" customHeight="1">
      <c r="A38" s="746"/>
      <c r="B38" s="780"/>
      <c r="C38" s="281">
        <v>2</v>
      </c>
      <c r="D38" s="239" t="s">
        <v>492</v>
      </c>
      <c r="E38" s="240"/>
      <c r="F38" s="241"/>
      <c r="G38" s="308" t="s">
        <v>496</v>
      </c>
      <c r="H38" s="307"/>
      <c r="I38" s="308"/>
      <c r="J38" s="314">
        <v>118.30999999999997</v>
      </c>
      <c r="K38" s="315">
        <v>1.2250873995278931E-3</v>
      </c>
      <c r="L38" s="316">
        <v>53.929999999999836</v>
      </c>
      <c r="M38" s="324">
        <f t="shared" si="3"/>
        <v>6380.4582999999793</v>
      </c>
      <c r="N38" s="316"/>
      <c r="O38" s="775" t="s">
        <v>617</v>
      </c>
      <c r="P38" s="776"/>
      <c r="R38" s="410"/>
      <c r="S38" s="411"/>
      <c r="T38" s="338"/>
    </row>
    <row r="39" spans="1:20" s="300" customFormat="1" ht="60" customHeight="1">
      <c r="A39" s="746"/>
      <c r="B39" s="780"/>
      <c r="C39" s="281">
        <v>3</v>
      </c>
      <c r="D39" s="239" t="s">
        <v>585</v>
      </c>
      <c r="E39" s="240"/>
      <c r="F39" s="241"/>
      <c r="G39" s="308" t="s">
        <v>596</v>
      </c>
      <c r="H39" s="307"/>
      <c r="I39" s="308"/>
      <c r="J39" s="314">
        <v>97.83</v>
      </c>
      <c r="K39" s="315">
        <v>0</v>
      </c>
      <c r="L39" s="316">
        <v>63.879999999999882</v>
      </c>
      <c r="M39" s="324">
        <f t="shared" si="3"/>
        <v>6249.3803999999882</v>
      </c>
      <c r="N39" s="316"/>
      <c r="O39" s="782" t="s">
        <v>617</v>
      </c>
      <c r="P39" s="783"/>
      <c r="R39" s="410"/>
      <c r="S39" s="412"/>
    </row>
    <row r="40" spans="1:20" s="300" customFormat="1" ht="60" customHeight="1">
      <c r="A40" s="746"/>
      <c r="B40" s="780"/>
      <c r="C40" s="281">
        <v>4</v>
      </c>
      <c r="D40" s="239" t="s">
        <v>342</v>
      </c>
      <c r="E40" s="240"/>
      <c r="F40" s="241"/>
      <c r="G40" s="308" t="s">
        <v>392</v>
      </c>
      <c r="H40" s="307"/>
      <c r="I40" s="308"/>
      <c r="J40" s="314">
        <v>127.84000000000002</v>
      </c>
      <c r="K40" s="315">
        <v>1.2453774322378041E-3</v>
      </c>
      <c r="L40" s="316">
        <v>47.649999999998727</v>
      </c>
      <c r="M40" s="324">
        <f t="shared" si="3"/>
        <v>6091.5759999998381</v>
      </c>
      <c r="N40" s="316"/>
      <c r="O40" s="782" t="s">
        <v>739</v>
      </c>
      <c r="P40" s="783"/>
      <c r="R40" s="410"/>
      <c r="S40" s="411"/>
      <c r="T40" s="338"/>
    </row>
    <row r="41" spans="1:20" s="300" customFormat="1" ht="60" customHeight="1" thickBot="1">
      <c r="A41" s="746"/>
      <c r="B41" s="780"/>
      <c r="C41" s="281">
        <v>5</v>
      </c>
      <c r="D41" s="239" t="s">
        <v>473</v>
      </c>
      <c r="E41" s="247"/>
      <c r="F41" s="248"/>
      <c r="G41" s="308" t="s">
        <v>480</v>
      </c>
      <c r="H41" s="307"/>
      <c r="I41" s="308"/>
      <c r="J41" s="318">
        <v>629</v>
      </c>
      <c r="K41" s="250">
        <v>5.8856677728382698E-3</v>
      </c>
      <c r="L41" s="319">
        <v>6.6800000000000068</v>
      </c>
      <c r="M41" s="324">
        <f t="shared" si="3"/>
        <v>4201.7200000000039</v>
      </c>
      <c r="N41" s="316"/>
      <c r="O41" s="782" t="s">
        <v>660</v>
      </c>
      <c r="P41" s="783"/>
      <c r="R41" s="413"/>
      <c r="S41" s="412"/>
      <c r="T41" s="291"/>
    </row>
    <row r="42" spans="1:20" ht="15.75" customHeight="1" thickTop="1" thickBot="1">
      <c r="A42" s="747"/>
      <c r="B42" s="781"/>
      <c r="C42" s="786"/>
      <c r="D42" s="787"/>
      <c r="E42" s="787"/>
      <c r="F42" s="787"/>
      <c r="G42" s="787"/>
      <c r="H42" s="787"/>
      <c r="I42" s="788"/>
      <c r="J42" s="351" t="s">
        <v>58</v>
      </c>
      <c r="K42" s="349">
        <f>M42/'生產管理報表 7-1 (週)'!$B$21</f>
        <v>0.1251859004520107</v>
      </c>
      <c r="L42" s="352" t="s">
        <v>59</v>
      </c>
      <c r="M42" s="353">
        <f>SUM(M37:M41)</f>
        <v>29375.281599999827</v>
      </c>
      <c r="N42" s="732"/>
      <c r="O42" s="733"/>
      <c r="P42" s="734"/>
      <c r="R42" s="342"/>
      <c r="S42" s="342"/>
    </row>
    <row r="43" spans="1:20" ht="15.75" customHeight="1" thickTop="1">
      <c r="M43" s="331"/>
      <c r="S43" s="343"/>
    </row>
    <row r="44" spans="1:20" ht="15.75" customHeight="1">
      <c r="A44" s="735" t="s">
        <v>191</v>
      </c>
      <c r="B44" s="736"/>
      <c r="C44" s="277" t="s">
        <v>47</v>
      </c>
      <c r="D44" s="763" t="s">
        <v>12</v>
      </c>
      <c r="E44" s="764"/>
      <c r="F44" s="765"/>
      <c r="G44" s="766" t="s">
        <v>53</v>
      </c>
      <c r="H44" s="767"/>
      <c r="I44" s="768"/>
      <c r="J44" s="394" t="s">
        <v>54</v>
      </c>
      <c r="K44" s="278" t="s">
        <v>55</v>
      </c>
      <c r="L44" s="278" t="s">
        <v>56</v>
      </c>
      <c r="M44" s="332" t="s">
        <v>11</v>
      </c>
      <c r="N44" s="279" t="s">
        <v>333</v>
      </c>
      <c r="O44" s="743" t="s">
        <v>51</v>
      </c>
      <c r="P44" s="744"/>
      <c r="S44" s="342"/>
      <c r="T44" s="338"/>
    </row>
    <row r="45" spans="1:20" s="300" customFormat="1" ht="60" customHeight="1">
      <c r="A45" s="745">
        <v>5</v>
      </c>
      <c r="B45" s="758" t="s">
        <v>215</v>
      </c>
      <c r="C45" s="281">
        <v>1</v>
      </c>
      <c r="D45" s="239" t="s">
        <v>342</v>
      </c>
      <c r="E45" s="240"/>
      <c r="F45" s="241"/>
      <c r="G45" s="308" t="s">
        <v>337</v>
      </c>
      <c r="H45" s="307"/>
      <c r="I45" s="308"/>
      <c r="J45" s="314">
        <v>147.43000000000004</v>
      </c>
      <c r="K45" s="315">
        <v>0</v>
      </c>
      <c r="L45" s="316">
        <v>130.05999999999949</v>
      </c>
      <c r="M45" s="324">
        <f>L45*J45</f>
        <v>19174.745799999928</v>
      </c>
      <c r="N45" s="316"/>
      <c r="O45" s="794" t="s">
        <v>580</v>
      </c>
      <c r="P45" s="795"/>
      <c r="S45" s="412"/>
      <c r="T45" s="338"/>
    </row>
    <row r="46" spans="1:20" s="300" customFormat="1" ht="60" customHeight="1">
      <c r="A46" s="746"/>
      <c r="B46" s="759"/>
      <c r="C46" s="281">
        <v>2</v>
      </c>
      <c r="D46" s="239" t="s">
        <v>542</v>
      </c>
      <c r="E46" s="240"/>
      <c r="F46" s="241"/>
      <c r="G46" s="308" t="s">
        <v>570</v>
      </c>
      <c r="H46" s="307"/>
      <c r="I46" s="308"/>
      <c r="J46" s="314">
        <v>130</v>
      </c>
      <c r="K46" s="315">
        <v>3.3272974196468991E-2</v>
      </c>
      <c r="L46" s="316">
        <v>22.439999999999998</v>
      </c>
      <c r="M46" s="324">
        <f t="shared" ref="M46:M49" si="4">L46*J46</f>
        <v>2917.2</v>
      </c>
      <c r="N46" s="316"/>
      <c r="O46" s="771" t="s">
        <v>741</v>
      </c>
      <c r="P46" s="772"/>
      <c r="S46" s="342"/>
      <c r="T46" s="339"/>
    </row>
    <row r="47" spans="1:20" ht="24.95" customHeight="1">
      <c r="A47" s="746"/>
      <c r="B47" s="759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290"/>
      <c r="O47" s="753"/>
      <c r="P47" s="754"/>
    </row>
    <row r="48" spans="1:20" ht="24.95" customHeight="1">
      <c r="A48" s="746"/>
      <c r="B48" s="759"/>
      <c r="C48" s="281">
        <v>4</v>
      </c>
      <c r="D48" s="282"/>
      <c r="E48" s="283"/>
      <c r="F48" s="284"/>
      <c r="G48" s="356"/>
      <c r="H48" s="307"/>
      <c r="I48" s="308"/>
      <c r="J48" s="288"/>
      <c r="K48" s="289"/>
      <c r="L48" s="290"/>
      <c r="M48" s="324">
        <f t="shared" si="4"/>
        <v>0</v>
      </c>
      <c r="N48" s="290"/>
      <c r="O48" s="301"/>
      <c r="P48" s="302"/>
    </row>
    <row r="49" spans="1:19" ht="24.95" customHeight="1" thickBot="1">
      <c r="A49" s="746"/>
      <c r="B49" s="759"/>
      <c r="C49" s="281">
        <v>5</v>
      </c>
      <c r="D49" s="292"/>
      <c r="E49" s="293"/>
      <c r="F49" s="294"/>
      <c r="G49" s="356"/>
      <c r="H49" s="307"/>
      <c r="I49" s="308"/>
      <c r="J49" s="295"/>
      <c r="K49" s="250"/>
      <c r="L49" s="296"/>
      <c r="M49" s="324">
        <f t="shared" si="4"/>
        <v>0</v>
      </c>
      <c r="N49" s="290"/>
      <c r="O49" s="303"/>
      <c r="P49" s="304"/>
      <c r="R49" s="346"/>
    </row>
    <row r="50" spans="1:19" ht="15.75" customHeight="1" thickTop="1" thickBot="1">
      <c r="A50" s="747"/>
      <c r="B50" s="760"/>
      <c r="C50" s="755"/>
      <c r="D50" s="756"/>
      <c r="E50" s="756"/>
      <c r="F50" s="756"/>
      <c r="G50" s="756"/>
      <c r="H50" s="756"/>
      <c r="I50" s="757"/>
      <c r="J50" s="351" t="s">
        <v>58</v>
      </c>
      <c r="K50" s="349">
        <f>M50/'生產管理報表 7-1 (週)'!$B$21</f>
        <v>9.4147186922968015E-2</v>
      </c>
      <c r="L50" s="352" t="s">
        <v>59</v>
      </c>
      <c r="M50" s="353">
        <f>SUM(M45:M49)</f>
        <v>22091.945799999929</v>
      </c>
      <c r="N50" s="732"/>
      <c r="O50" s="733"/>
      <c r="P50" s="734"/>
      <c r="R50" s="342"/>
    </row>
    <row r="51" spans="1:19" ht="15.75" customHeight="1" thickTop="1">
      <c r="K51" s="291" t="s">
        <v>468</v>
      </c>
      <c r="M51" s="331"/>
      <c r="R51" s="342"/>
    </row>
    <row r="52" spans="1:19" ht="24.95" customHeight="1">
      <c r="A52" s="735" t="s">
        <v>191</v>
      </c>
      <c r="B52" s="736"/>
      <c r="C52" s="305" t="s">
        <v>47</v>
      </c>
      <c r="D52" s="737" t="s">
        <v>12</v>
      </c>
      <c r="E52" s="738"/>
      <c r="F52" s="739"/>
      <c r="G52" s="740" t="s">
        <v>53</v>
      </c>
      <c r="H52" s="741"/>
      <c r="I52" s="742"/>
      <c r="J52" s="306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43" t="s">
        <v>51</v>
      </c>
      <c r="P52" s="744"/>
      <c r="R52" s="342"/>
    </row>
    <row r="53" spans="1:19" ht="54.95" customHeight="1">
      <c r="A53" s="745">
        <v>6</v>
      </c>
      <c r="B53" s="758" t="s">
        <v>216</v>
      </c>
      <c r="C53" s="281">
        <v>1</v>
      </c>
      <c r="D53" s="347" t="s">
        <v>342</v>
      </c>
      <c r="E53" s="283"/>
      <c r="F53" s="284"/>
      <c r="G53" s="308" t="s">
        <v>591</v>
      </c>
      <c r="H53" s="307"/>
      <c r="I53" s="308"/>
      <c r="J53" s="314">
        <v>39.389999999999993</v>
      </c>
      <c r="K53" s="315">
        <v>0</v>
      </c>
      <c r="L53" s="316">
        <v>259.96000000000276</v>
      </c>
      <c r="M53" s="324">
        <f t="shared" ref="M53:M57" si="5">L53*J53</f>
        <v>10239.824400000107</v>
      </c>
      <c r="N53" s="290"/>
      <c r="O53" s="784" t="s">
        <v>618</v>
      </c>
      <c r="P53" s="785"/>
      <c r="R53" s="339"/>
      <c r="S53" s="339"/>
    </row>
    <row r="54" spans="1:19" ht="54.95" customHeight="1">
      <c r="A54" s="746"/>
      <c r="B54" s="759"/>
      <c r="C54" s="281">
        <v>2</v>
      </c>
      <c r="D54" s="239" t="s">
        <v>478</v>
      </c>
      <c r="E54" s="283"/>
      <c r="F54" s="284"/>
      <c r="G54" s="308" t="s">
        <v>476</v>
      </c>
      <c r="H54" s="307"/>
      <c r="I54" s="308"/>
      <c r="J54" s="314">
        <v>407.74000000000007</v>
      </c>
      <c r="K54" s="315">
        <v>5.7122805872224442E-4</v>
      </c>
      <c r="L54" s="316">
        <v>12.1099999999999</v>
      </c>
      <c r="M54" s="324">
        <f t="shared" si="5"/>
        <v>4937.7313999999596</v>
      </c>
      <c r="N54" s="290"/>
      <c r="O54" s="784" t="s">
        <v>603</v>
      </c>
      <c r="P54" s="785"/>
      <c r="R54" s="339"/>
      <c r="S54" s="339"/>
    </row>
    <row r="55" spans="1:19" ht="54.95" customHeight="1">
      <c r="A55" s="746"/>
      <c r="B55" s="759"/>
      <c r="C55" s="281">
        <v>3</v>
      </c>
      <c r="D55" s="239" t="s">
        <v>344</v>
      </c>
      <c r="E55" s="283"/>
      <c r="F55" s="284"/>
      <c r="G55" s="308" t="s">
        <v>474</v>
      </c>
      <c r="H55" s="307"/>
      <c r="I55" s="308"/>
      <c r="J55" s="314">
        <v>605.77999999999986</v>
      </c>
      <c r="K55" s="315">
        <v>9.6311719760413129E-4</v>
      </c>
      <c r="L55" s="316">
        <v>5.1199999999998909</v>
      </c>
      <c r="M55" s="324">
        <f t="shared" si="5"/>
        <v>3101.5935999999333</v>
      </c>
      <c r="N55" s="290"/>
      <c r="O55" s="784" t="s">
        <v>581</v>
      </c>
      <c r="P55" s="785"/>
      <c r="R55" s="339"/>
    </row>
    <row r="56" spans="1:19" ht="54.95" customHeight="1">
      <c r="A56" s="746"/>
      <c r="B56" s="759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84"/>
      <c r="P56" s="785"/>
      <c r="R56" s="339"/>
      <c r="S56" s="339"/>
    </row>
    <row r="57" spans="1:19" ht="54.95" customHeight="1" thickBot="1">
      <c r="A57" s="746"/>
      <c r="B57" s="759"/>
      <c r="C57" s="281">
        <v>5</v>
      </c>
      <c r="D57" s="246"/>
      <c r="E57" s="293"/>
      <c r="F57" s="294"/>
      <c r="G57" s="356"/>
      <c r="H57" s="307"/>
      <c r="I57" s="308"/>
      <c r="J57" s="318"/>
      <c r="K57" s="250"/>
      <c r="L57" s="319"/>
      <c r="M57" s="324">
        <f t="shared" si="5"/>
        <v>0</v>
      </c>
      <c r="N57" s="290"/>
      <c r="O57" s="784"/>
      <c r="P57" s="785"/>
    </row>
    <row r="58" spans="1:19" ht="15.75" customHeight="1" thickTop="1" thickBot="1">
      <c r="A58" s="747"/>
      <c r="B58" s="760"/>
      <c r="C58" s="755"/>
      <c r="D58" s="756"/>
      <c r="E58" s="756"/>
      <c r="F58" s="756"/>
      <c r="G58" s="756"/>
      <c r="H58" s="756"/>
      <c r="I58" s="757"/>
      <c r="J58" s="351" t="s">
        <v>58</v>
      </c>
      <c r="K58" s="349">
        <f>M58/'生產管理報表 7-1 (週)'!$B$21</f>
        <v>7.7898547775482246E-2</v>
      </c>
      <c r="L58" s="352" t="s">
        <v>59</v>
      </c>
      <c r="M58" s="353">
        <f>SUM(M53:M57)</f>
        <v>18279.149400000002</v>
      </c>
      <c r="N58" s="732"/>
      <c r="O58" s="733"/>
      <c r="P58" s="734"/>
    </row>
    <row r="59" spans="1:19" s="136" customFormat="1" ht="15.75" customHeight="1" thickTop="1">
      <c r="A59" s="707" t="s">
        <v>774</v>
      </c>
      <c r="B59" s="707"/>
      <c r="C59" s="707"/>
      <c r="D59" s="707"/>
      <c r="E59" s="707"/>
      <c r="F59" s="707"/>
      <c r="G59" s="707"/>
      <c r="H59" s="707"/>
      <c r="I59" s="707"/>
      <c r="J59" s="707"/>
      <c r="K59" s="707"/>
      <c r="L59" s="707"/>
      <c r="M59" s="707"/>
    </row>
    <row r="60" spans="1:19" s="137" customFormat="1" ht="15.75" customHeight="1">
      <c r="A60" s="552"/>
      <c r="B60" s="552"/>
      <c r="C60" s="552"/>
      <c r="D60" s="552"/>
      <c r="E60" s="552"/>
      <c r="F60" s="552"/>
      <c r="G60" s="552"/>
      <c r="H60" s="552"/>
      <c r="I60" s="552"/>
      <c r="J60" s="552"/>
      <c r="K60" s="552"/>
      <c r="L60" s="552"/>
      <c r="M60" s="552"/>
    </row>
    <row r="61" spans="1:19" s="136" customFormat="1" ht="15.75" customHeight="1">
      <c r="A61" s="553" t="s">
        <v>191</v>
      </c>
      <c r="B61" s="501">
        <v>1</v>
      </c>
      <c r="C61" s="502"/>
      <c r="D61" s="501">
        <v>2</v>
      </c>
      <c r="E61" s="502"/>
      <c r="F61" s="501">
        <v>3</v>
      </c>
      <c r="G61" s="502"/>
      <c r="H61" s="555">
        <v>4</v>
      </c>
      <c r="I61" s="556"/>
      <c r="J61" s="555">
        <v>5</v>
      </c>
      <c r="K61" s="556"/>
      <c r="L61" s="555">
        <v>6</v>
      </c>
      <c r="M61" s="556"/>
      <c r="N61" s="555">
        <v>7</v>
      </c>
      <c r="O61" s="556"/>
      <c r="P61" s="329">
        <v>8</v>
      </c>
    </row>
    <row r="62" spans="1:19" s="136" customFormat="1" ht="15.75" customHeight="1">
      <c r="A62" s="554"/>
      <c r="B62" s="547" t="s">
        <v>463</v>
      </c>
      <c r="C62" s="548"/>
      <c r="D62" s="547" t="s">
        <v>212</v>
      </c>
      <c r="E62" s="548"/>
      <c r="F62" s="547" t="s">
        <v>166</v>
      </c>
      <c r="G62" s="548"/>
      <c r="H62" s="545" t="s">
        <v>436</v>
      </c>
      <c r="I62" s="546"/>
      <c r="J62" s="545" t="s">
        <v>189</v>
      </c>
      <c r="K62" s="546"/>
      <c r="L62" s="545" t="s">
        <v>167</v>
      </c>
      <c r="M62" s="546"/>
      <c r="N62" s="545" t="s">
        <v>190</v>
      </c>
      <c r="O62" s="546"/>
      <c r="P62" s="330" t="s">
        <v>217</v>
      </c>
    </row>
    <row r="63" spans="1:19" s="136" customFormat="1" ht="15.75" customHeight="1">
      <c r="B63" s="234"/>
      <c r="C63" s="235"/>
    </row>
    <row r="64" spans="1:19" s="280" customFormat="1" ht="15.75" customHeight="1">
      <c r="A64" s="735" t="s">
        <v>191</v>
      </c>
      <c r="B64" s="736"/>
      <c r="C64" s="277" t="s">
        <v>47</v>
      </c>
      <c r="D64" s="763" t="s">
        <v>12</v>
      </c>
      <c r="E64" s="764"/>
      <c r="F64" s="765"/>
      <c r="G64" s="766" t="s">
        <v>53</v>
      </c>
      <c r="H64" s="767"/>
      <c r="I64" s="768"/>
      <c r="J64" s="278" t="s">
        <v>54</v>
      </c>
      <c r="K64" s="278" t="s">
        <v>55</v>
      </c>
      <c r="L64" s="278" t="s">
        <v>56</v>
      </c>
      <c r="M64" s="279" t="s">
        <v>11</v>
      </c>
      <c r="N64" s="279" t="s">
        <v>333</v>
      </c>
      <c r="O64" s="743" t="s">
        <v>51</v>
      </c>
      <c r="P64" s="744"/>
      <c r="R64" s="342"/>
      <c r="S64" s="343"/>
    </row>
    <row r="65" spans="1:20" s="300" customFormat="1" ht="60" customHeight="1">
      <c r="A65" s="745">
        <v>4</v>
      </c>
      <c r="B65" s="779" t="s">
        <v>436</v>
      </c>
      <c r="C65" s="281">
        <v>1</v>
      </c>
      <c r="D65" s="239"/>
      <c r="E65" s="240"/>
      <c r="F65" s="241"/>
      <c r="G65" s="308"/>
      <c r="H65" s="307"/>
      <c r="I65" s="308"/>
      <c r="J65" s="314"/>
      <c r="K65" s="315"/>
      <c r="L65" s="316"/>
      <c r="M65" s="324">
        <f t="shared" ref="M65:M69" si="6">L65*J65</f>
        <v>0</v>
      </c>
      <c r="N65" s="316"/>
      <c r="O65" s="775"/>
      <c r="P65" s="776"/>
      <c r="R65" s="410"/>
      <c r="S65" s="343"/>
    </row>
    <row r="66" spans="1:20" s="300" customFormat="1" ht="60" customHeight="1">
      <c r="A66" s="746"/>
      <c r="B66" s="780"/>
      <c r="C66" s="281">
        <v>2</v>
      </c>
      <c r="D66" s="239"/>
      <c r="E66" s="240"/>
      <c r="F66" s="241"/>
      <c r="G66" s="308"/>
      <c r="H66" s="307"/>
      <c r="I66" s="308"/>
      <c r="J66" s="314"/>
      <c r="K66" s="315"/>
      <c r="L66" s="316"/>
      <c r="M66" s="324">
        <f t="shared" si="6"/>
        <v>0</v>
      </c>
      <c r="N66" s="316"/>
      <c r="O66" s="775"/>
      <c r="P66" s="776"/>
      <c r="R66" s="410"/>
      <c r="S66" s="411"/>
      <c r="T66" s="338"/>
    </row>
    <row r="67" spans="1:20" s="300" customFormat="1" ht="60" customHeight="1">
      <c r="A67" s="746"/>
      <c r="B67" s="780"/>
      <c r="C67" s="281">
        <v>3</v>
      </c>
      <c r="D67" s="239"/>
      <c r="E67" s="240"/>
      <c r="F67" s="241"/>
      <c r="G67" s="308"/>
      <c r="H67" s="307"/>
      <c r="I67" s="308"/>
      <c r="J67" s="314"/>
      <c r="K67" s="315"/>
      <c r="L67" s="316"/>
      <c r="M67" s="324">
        <f t="shared" si="6"/>
        <v>0</v>
      </c>
      <c r="N67" s="316"/>
      <c r="O67" s="782"/>
      <c r="P67" s="783"/>
      <c r="R67" s="410"/>
      <c r="S67" s="412"/>
    </row>
    <row r="68" spans="1:20" s="300" customFormat="1" ht="60" customHeight="1">
      <c r="A68" s="746"/>
      <c r="B68" s="780"/>
      <c r="C68" s="281">
        <v>4</v>
      </c>
      <c r="D68" s="239"/>
      <c r="E68" s="240"/>
      <c r="F68" s="241"/>
      <c r="G68" s="308"/>
      <c r="H68" s="307"/>
      <c r="I68" s="308"/>
      <c r="J68" s="314"/>
      <c r="K68" s="315"/>
      <c r="L68" s="316"/>
      <c r="M68" s="324">
        <f t="shared" si="6"/>
        <v>0</v>
      </c>
      <c r="N68" s="316"/>
      <c r="O68" s="782"/>
      <c r="P68" s="783"/>
      <c r="R68" s="410"/>
      <c r="S68" s="411"/>
      <c r="T68" s="338"/>
    </row>
    <row r="69" spans="1:20" s="300" customFormat="1" ht="60" customHeight="1" thickBot="1">
      <c r="A69" s="746"/>
      <c r="B69" s="780"/>
      <c r="C69" s="281">
        <v>5</v>
      </c>
      <c r="D69" s="239"/>
      <c r="E69" s="247"/>
      <c r="F69" s="248"/>
      <c r="G69" s="308"/>
      <c r="H69" s="307"/>
      <c r="I69" s="308"/>
      <c r="J69" s="318"/>
      <c r="K69" s="250"/>
      <c r="L69" s="319"/>
      <c r="M69" s="324">
        <f t="shared" si="6"/>
        <v>0</v>
      </c>
      <c r="N69" s="316"/>
      <c r="O69" s="782"/>
      <c r="P69" s="783"/>
      <c r="R69" s="413"/>
      <c r="S69" s="412"/>
      <c r="T69" s="291"/>
    </row>
    <row r="70" spans="1:20" ht="15.75" customHeight="1" thickTop="1" thickBot="1">
      <c r="A70" s="747"/>
      <c r="B70" s="781"/>
      <c r="C70" s="786"/>
      <c r="D70" s="787"/>
      <c r="E70" s="787"/>
      <c r="F70" s="787"/>
      <c r="G70" s="787"/>
      <c r="H70" s="787"/>
      <c r="I70" s="788"/>
      <c r="J70" s="351" t="s">
        <v>58</v>
      </c>
      <c r="K70" s="349">
        <f>M70/'生產管理報表 7-1 (週)'!$B$32</f>
        <v>0</v>
      </c>
      <c r="L70" s="352" t="s">
        <v>59</v>
      </c>
      <c r="M70" s="353">
        <f>SUM(M65:M69)</f>
        <v>0</v>
      </c>
      <c r="N70" s="732"/>
      <c r="O70" s="733"/>
      <c r="P70" s="734"/>
      <c r="R70" s="342"/>
      <c r="S70" s="342"/>
    </row>
    <row r="71" spans="1:20" ht="15.75" customHeight="1" thickTop="1">
      <c r="M71" s="331"/>
      <c r="S71" s="343"/>
    </row>
    <row r="72" spans="1:20" ht="15.75" customHeight="1">
      <c r="A72" s="735" t="s">
        <v>191</v>
      </c>
      <c r="B72" s="736"/>
      <c r="C72" s="277" t="s">
        <v>47</v>
      </c>
      <c r="D72" s="763" t="s">
        <v>12</v>
      </c>
      <c r="E72" s="764"/>
      <c r="F72" s="765"/>
      <c r="G72" s="766" t="s">
        <v>53</v>
      </c>
      <c r="H72" s="767"/>
      <c r="I72" s="768"/>
      <c r="J72" s="394" t="s">
        <v>54</v>
      </c>
      <c r="K72" s="278" t="s">
        <v>55</v>
      </c>
      <c r="L72" s="278" t="s">
        <v>56</v>
      </c>
      <c r="M72" s="332" t="s">
        <v>11</v>
      </c>
      <c r="N72" s="279" t="s">
        <v>333</v>
      </c>
      <c r="O72" s="743" t="s">
        <v>51</v>
      </c>
      <c r="P72" s="744"/>
      <c r="S72" s="342"/>
      <c r="T72" s="338"/>
    </row>
    <row r="73" spans="1:20" s="300" customFormat="1" ht="60" customHeight="1">
      <c r="A73" s="745">
        <v>5</v>
      </c>
      <c r="B73" s="758" t="s">
        <v>215</v>
      </c>
      <c r="C73" s="281">
        <v>1</v>
      </c>
      <c r="D73" s="239"/>
      <c r="E73" s="240"/>
      <c r="F73" s="241"/>
      <c r="G73" s="308"/>
      <c r="H73" s="307"/>
      <c r="I73" s="308"/>
      <c r="J73" s="314"/>
      <c r="K73" s="315"/>
      <c r="L73" s="316"/>
      <c r="M73" s="324">
        <f>L73*J73</f>
        <v>0</v>
      </c>
      <c r="N73" s="316"/>
      <c r="O73" s="794"/>
      <c r="P73" s="795"/>
      <c r="S73" s="412"/>
      <c r="T73" s="338"/>
    </row>
    <row r="74" spans="1:20" s="300" customFormat="1" ht="60" customHeight="1">
      <c r="A74" s="746"/>
      <c r="B74" s="759"/>
      <c r="C74" s="281">
        <v>2</v>
      </c>
      <c r="D74" s="239"/>
      <c r="E74" s="240"/>
      <c r="F74" s="241"/>
      <c r="G74" s="308"/>
      <c r="H74" s="307"/>
      <c r="I74" s="308"/>
      <c r="J74" s="314"/>
      <c r="K74" s="315"/>
      <c r="L74" s="316"/>
      <c r="M74" s="324">
        <f t="shared" ref="M74:M77" si="7">L74*J74</f>
        <v>0</v>
      </c>
      <c r="N74" s="316"/>
      <c r="O74" s="771"/>
      <c r="P74" s="772"/>
      <c r="S74" s="342"/>
      <c r="T74" s="339"/>
    </row>
    <row r="75" spans="1:20" ht="24.95" customHeight="1">
      <c r="A75" s="746"/>
      <c r="B75" s="759"/>
      <c r="C75" s="281">
        <v>3</v>
      </c>
      <c r="D75" s="239"/>
      <c r="E75" s="240"/>
      <c r="F75" s="241"/>
      <c r="G75" s="356"/>
      <c r="H75" s="307"/>
      <c r="I75" s="308"/>
      <c r="J75" s="314"/>
      <c r="K75" s="315"/>
      <c r="L75" s="316"/>
      <c r="M75" s="324">
        <f t="shared" si="7"/>
        <v>0</v>
      </c>
      <c r="N75" s="290"/>
      <c r="O75" s="753"/>
      <c r="P75" s="754"/>
    </row>
    <row r="76" spans="1:20" ht="24.95" customHeight="1">
      <c r="A76" s="746"/>
      <c r="B76" s="759"/>
      <c r="C76" s="281">
        <v>4</v>
      </c>
      <c r="D76" s="282"/>
      <c r="E76" s="283"/>
      <c r="F76" s="284"/>
      <c r="G76" s="356"/>
      <c r="H76" s="307"/>
      <c r="I76" s="308"/>
      <c r="J76" s="288"/>
      <c r="K76" s="289"/>
      <c r="L76" s="290"/>
      <c r="M76" s="324">
        <f t="shared" si="7"/>
        <v>0</v>
      </c>
      <c r="N76" s="290"/>
      <c r="O76" s="301"/>
      <c r="P76" s="302"/>
    </row>
    <row r="77" spans="1:20" ht="24.95" customHeight="1" thickBot="1">
      <c r="A77" s="746"/>
      <c r="B77" s="759"/>
      <c r="C77" s="281">
        <v>5</v>
      </c>
      <c r="D77" s="292"/>
      <c r="E77" s="293"/>
      <c r="F77" s="294"/>
      <c r="G77" s="356"/>
      <c r="H77" s="307"/>
      <c r="I77" s="308"/>
      <c r="J77" s="295"/>
      <c r="K77" s="250"/>
      <c r="L77" s="296"/>
      <c r="M77" s="324">
        <f t="shared" si="7"/>
        <v>0</v>
      </c>
      <c r="N77" s="290"/>
      <c r="O77" s="303"/>
      <c r="P77" s="304"/>
      <c r="R77" s="346"/>
    </row>
    <row r="78" spans="1:20" ht="15.75" customHeight="1" thickTop="1" thickBot="1">
      <c r="A78" s="747"/>
      <c r="B78" s="760"/>
      <c r="C78" s="755"/>
      <c r="D78" s="756"/>
      <c r="E78" s="756"/>
      <c r="F78" s="756"/>
      <c r="G78" s="756"/>
      <c r="H78" s="756"/>
      <c r="I78" s="757"/>
      <c r="J78" s="351" t="s">
        <v>58</v>
      </c>
      <c r="K78" s="349">
        <f>M78/'生產管理報表 7-1 (週)'!$B$32</f>
        <v>0</v>
      </c>
      <c r="L78" s="352" t="s">
        <v>59</v>
      </c>
      <c r="M78" s="353">
        <f>SUM(M73:M77)</f>
        <v>0</v>
      </c>
      <c r="N78" s="732"/>
      <c r="O78" s="733"/>
      <c r="P78" s="734"/>
      <c r="R78" s="342"/>
    </row>
    <row r="79" spans="1:20" ht="15.75" customHeight="1" thickTop="1">
      <c r="K79" s="291" t="s">
        <v>468</v>
      </c>
      <c r="M79" s="331"/>
      <c r="R79" s="342"/>
    </row>
    <row r="80" spans="1:20" ht="24.95" customHeight="1">
      <c r="A80" s="735" t="s">
        <v>191</v>
      </c>
      <c r="B80" s="736"/>
      <c r="C80" s="305" t="s">
        <v>47</v>
      </c>
      <c r="D80" s="737" t="s">
        <v>12</v>
      </c>
      <c r="E80" s="738"/>
      <c r="F80" s="739"/>
      <c r="G80" s="740" t="s">
        <v>53</v>
      </c>
      <c r="H80" s="741"/>
      <c r="I80" s="742"/>
      <c r="J80" s="306" t="s">
        <v>54</v>
      </c>
      <c r="K80" s="278" t="s">
        <v>55</v>
      </c>
      <c r="L80" s="278" t="s">
        <v>56</v>
      </c>
      <c r="M80" s="332" t="s">
        <v>11</v>
      </c>
      <c r="N80" s="279" t="s">
        <v>333</v>
      </c>
      <c r="O80" s="743" t="s">
        <v>51</v>
      </c>
      <c r="P80" s="744"/>
      <c r="R80" s="342"/>
    </row>
    <row r="81" spans="1:20" ht="54.95" customHeight="1">
      <c r="A81" s="745">
        <v>6</v>
      </c>
      <c r="B81" s="758" t="s">
        <v>216</v>
      </c>
      <c r="C81" s="281">
        <v>1</v>
      </c>
      <c r="D81" s="347"/>
      <c r="E81" s="283"/>
      <c r="F81" s="284"/>
      <c r="G81" s="308"/>
      <c r="H81" s="307"/>
      <c r="I81" s="308"/>
      <c r="J81" s="314"/>
      <c r="K81" s="315"/>
      <c r="L81" s="316"/>
      <c r="M81" s="324">
        <f t="shared" ref="M81:M85" si="8">L81*J81</f>
        <v>0</v>
      </c>
      <c r="N81" s="290"/>
      <c r="O81" s="784"/>
      <c r="P81" s="785"/>
      <c r="R81" s="339"/>
      <c r="S81" s="339"/>
    </row>
    <row r="82" spans="1:20" ht="54.95" customHeight="1">
      <c r="A82" s="746"/>
      <c r="B82" s="759"/>
      <c r="C82" s="281">
        <v>2</v>
      </c>
      <c r="D82" s="239"/>
      <c r="E82" s="283"/>
      <c r="F82" s="284"/>
      <c r="G82" s="308"/>
      <c r="H82" s="307"/>
      <c r="I82" s="308"/>
      <c r="J82" s="314"/>
      <c r="K82" s="315"/>
      <c r="L82" s="316"/>
      <c r="M82" s="324">
        <f t="shared" si="8"/>
        <v>0</v>
      </c>
      <c r="N82" s="290"/>
      <c r="O82" s="784"/>
      <c r="P82" s="785"/>
      <c r="R82" s="339"/>
      <c r="S82" s="339"/>
    </row>
    <row r="83" spans="1:20" ht="54.95" customHeight="1">
      <c r="A83" s="746"/>
      <c r="B83" s="759"/>
      <c r="C83" s="281">
        <v>3</v>
      </c>
      <c r="D83" s="239"/>
      <c r="E83" s="283"/>
      <c r="F83" s="284"/>
      <c r="G83" s="308"/>
      <c r="H83" s="307"/>
      <c r="I83" s="308"/>
      <c r="J83" s="314"/>
      <c r="K83" s="315"/>
      <c r="L83" s="316"/>
      <c r="M83" s="324">
        <f t="shared" si="8"/>
        <v>0</v>
      </c>
      <c r="N83" s="290"/>
      <c r="O83" s="784"/>
      <c r="P83" s="785"/>
      <c r="R83" s="339"/>
    </row>
    <row r="84" spans="1:20" ht="54.95" customHeight="1">
      <c r="A84" s="746"/>
      <c r="B84" s="759"/>
      <c r="C84" s="281">
        <v>4</v>
      </c>
      <c r="D84" s="239"/>
      <c r="E84" s="283"/>
      <c r="F84" s="284"/>
      <c r="G84" s="356"/>
      <c r="H84" s="307"/>
      <c r="I84" s="308"/>
      <c r="J84" s="314"/>
      <c r="K84" s="315"/>
      <c r="L84" s="316"/>
      <c r="M84" s="324">
        <f t="shared" si="8"/>
        <v>0</v>
      </c>
      <c r="N84" s="290"/>
      <c r="O84" s="784"/>
      <c r="P84" s="785"/>
      <c r="R84" s="339"/>
      <c r="S84" s="339"/>
    </row>
    <row r="85" spans="1:20" ht="54.95" customHeight="1" thickBot="1">
      <c r="A85" s="746"/>
      <c r="B85" s="759"/>
      <c r="C85" s="281">
        <v>5</v>
      </c>
      <c r="D85" s="246"/>
      <c r="E85" s="293"/>
      <c r="F85" s="294"/>
      <c r="G85" s="356"/>
      <c r="H85" s="307"/>
      <c r="I85" s="308"/>
      <c r="J85" s="318"/>
      <c r="K85" s="250"/>
      <c r="L85" s="319"/>
      <c r="M85" s="324">
        <f t="shared" si="8"/>
        <v>0</v>
      </c>
      <c r="N85" s="290"/>
      <c r="O85" s="784"/>
      <c r="P85" s="785"/>
    </row>
    <row r="86" spans="1:20" ht="15.75" customHeight="1" thickTop="1" thickBot="1">
      <c r="A86" s="747"/>
      <c r="B86" s="760"/>
      <c r="C86" s="755"/>
      <c r="D86" s="756"/>
      <c r="E86" s="756"/>
      <c r="F86" s="756"/>
      <c r="G86" s="756"/>
      <c r="H86" s="756"/>
      <c r="I86" s="757"/>
      <c r="J86" s="351" t="s">
        <v>58</v>
      </c>
      <c r="K86" s="349">
        <f>M86/'生產管理報表 7-1 (週)'!$B$32</f>
        <v>0</v>
      </c>
      <c r="L86" s="352" t="s">
        <v>59</v>
      </c>
      <c r="M86" s="353">
        <f>SUM(M81:M85)</f>
        <v>0</v>
      </c>
      <c r="N86" s="732"/>
      <c r="O86" s="733"/>
      <c r="P86" s="734"/>
    </row>
    <row r="87" spans="1:20" s="136" customFormat="1" ht="15.75" customHeight="1" thickTop="1">
      <c r="A87" s="707" t="s">
        <v>775</v>
      </c>
      <c r="B87" s="707"/>
      <c r="C87" s="707"/>
      <c r="D87" s="707"/>
      <c r="E87" s="707"/>
      <c r="F87" s="707"/>
      <c r="G87" s="707"/>
      <c r="H87" s="707"/>
      <c r="I87" s="707"/>
      <c r="J87" s="707"/>
      <c r="K87" s="707"/>
      <c r="L87" s="707"/>
      <c r="M87" s="707"/>
    </row>
    <row r="88" spans="1:20" s="137" customFormat="1" ht="15.75" customHeight="1">
      <c r="A88" s="552"/>
      <c r="B88" s="552"/>
      <c r="C88" s="552"/>
      <c r="D88" s="552"/>
      <c r="E88" s="552"/>
      <c r="F88" s="552"/>
      <c r="G88" s="552"/>
      <c r="H88" s="552"/>
      <c r="I88" s="552"/>
      <c r="J88" s="552"/>
      <c r="K88" s="552"/>
      <c r="L88" s="552"/>
      <c r="M88" s="552"/>
    </row>
    <row r="89" spans="1:20" s="136" customFormat="1" ht="15.75" customHeight="1">
      <c r="A89" s="553" t="s">
        <v>191</v>
      </c>
      <c r="B89" s="501">
        <v>1</v>
      </c>
      <c r="C89" s="502"/>
      <c r="D89" s="501">
        <v>2</v>
      </c>
      <c r="E89" s="502"/>
      <c r="F89" s="501">
        <v>3</v>
      </c>
      <c r="G89" s="502"/>
      <c r="H89" s="555">
        <v>4</v>
      </c>
      <c r="I89" s="556"/>
      <c r="J89" s="555">
        <v>5</v>
      </c>
      <c r="K89" s="556"/>
      <c r="L89" s="555">
        <v>6</v>
      </c>
      <c r="M89" s="556"/>
      <c r="N89" s="555">
        <v>7</v>
      </c>
      <c r="O89" s="556"/>
      <c r="P89" s="329">
        <v>8</v>
      </c>
    </row>
    <row r="90" spans="1:20" s="136" customFormat="1" ht="15.75" customHeight="1">
      <c r="A90" s="554"/>
      <c r="B90" s="547" t="s">
        <v>463</v>
      </c>
      <c r="C90" s="548"/>
      <c r="D90" s="547" t="s">
        <v>212</v>
      </c>
      <c r="E90" s="548"/>
      <c r="F90" s="547" t="s">
        <v>166</v>
      </c>
      <c r="G90" s="548"/>
      <c r="H90" s="545" t="s">
        <v>436</v>
      </c>
      <c r="I90" s="546"/>
      <c r="J90" s="545" t="s">
        <v>189</v>
      </c>
      <c r="K90" s="546"/>
      <c r="L90" s="545" t="s">
        <v>167</v>
      </c>
      <c r="M90" s="546"/>
      <c r="N90" s="545" t="s">
        <v>190</v>
      </c>
      <c r="O90" s="546"/>
      <c r="P90" s="330" t="s">
        <v>217</v>
      </c>
    </row>
    <row r="91" spans="1:20" s="136" customFormat="1" ht="15.75" customHeight="1">
      <c r="B91" s="234"/>
      <c r="C91" s="235"/>
    </row>
    <row r="92" spans="1:20" s="280" customFormat="1" ht="15.75" customHeight="1">
      <c r="A92" s="735" t="s">
        <v>191</v>
      </c>
      <c r="B92" s="736"/>
      <c r="C92" s="277" t="s">
        <v>47</v>
      </c>
      <c r="D92" s="763" t="s">
        <v>12</v>
      </c>
      <c r="E92" s="764"/>
      <c r="F92" s="765"/>
      <c r="G92" s="766" t="s">
        <v>53</v>
      </c>
      <c r="H92" s="767"/>
      <c r="I92" s="768"/>
      <c r="J92" s="278" t="s">
        <v>54</v>
      </c>
      <c r="K92" s="278" t="s">
        <v>55</v>
      </c>
      <c r="L92" s="278" t="s">
        <v>56</v>
      </c>
      <c r="M92" s="279" t="s">
        <v>11</v>
      </c>
      <c r="N92" s="279" t="s">
        <v>333</v>
      </c>
      <c r="O92" s="743" t="s">
        <v>51</v>
      </c>
      <c r="P92" s="744"/>
      <c r="R92" s="342"/>
      <c r="S92" s="343"/>
    </row>
    <row r="93" spans="1:20" s="300" customFormat="1" ht="60" customHeight="1">
      <c r="A93" s="745">
        <v>4</v>
      </c>
      <c r="B93" s="779" t="s">
        <v>436</v>
      </c>
      <c r="C93" s="281">
        <v>1</v>
      </c>
      <c r="D93" s="239"/>
      <c r="E93" s="240"/>
      <c r="F93" s="241"/>
      <c r="G93" s="308"/>
      <c r="H93" s="307"/>
      <c r="I93" s="308"/>
      <c r="J93" s="314"/>
      <c r="K93" s="315"/>
      <c r="L93" s="316"/>
      <c r="M93" s="324">
        <f t="shared" ref="M93:M97" si="9">L93*J93</f>
        <v>0</v>
      </c>
      <c r="N93" s="316"/>
      <c r="O93" s="775"/>
      <c r="P93" s="776"/>
      <c r="R93" s="410"/>
      <c r="S93" s="343"/>
    </row>
    <row r="94" spans="1:20" s="300" customFormat="1" ht="60" customHeight="1">
      <c r="A94" s="746"/>
      <c r="B94" s="780"/>
      <c r="C94" s="281">
        <v>2</v>
      </c>
      <c r="D94" s="239"/>
      <c r="E94" s="240"/>
      <c r="F94" s="241"/>
      <c r="G94" s="308"/>
      <c r="H94" s="307"/>
      <c r="I94" s="308"/>
      <c r="J94" s="314"/>
      <c r="K94" s="315"/>
      <c r="L94" s="316"/>
      <c r="M94" s="324">
        <f t="shared" si="9"/>
        <v>0</v>
      </c>
      <c r="N94" s="316"/>
      <c r="O94" s="775"/>
      <c r="P94" s="776"/>
      <c r="R94" s="410"/>
      <c r="S94" s="411"/>
      <c r="T94" s="338"/>
    </row>
    <row r="95" spans="1:20" s="300" customFormat="1" ht="60" customHeight="1">
      <c r="A95" s="746"/>
      <c r="B95" s="780"/>
      <c r="C95" s="281">
        <v>3</v>
      </c>
      <c r="D95" s="239"/>
      <c r="E95" s="240"/>
      <c r="F95" s="241"/>
      <c r="G95" s="308"/>
      <c r="H95" s="307"/>
      <c r="I95" s="308"/>
      <c r="J95" s="314"/>
      <c r="K95" s="315"/>
      <c r="L95" s="316"/>
      <c r="M95" s="324">
        <f t="shared" si="9"/>
        <v>0</v>
      </c>
      <c r="N95" s="316"/>
      <c r="O95" s="782"/>
      <c r="P95" s="783"/>
      <c r="R95" s="410"/>
      <c r="S95" s="412"/>
    </row>
    <row r="96" spans="1:20" s="300" customFormat="1" ht="60" customHeight="1">
      <c r="A96" s="746"/>
      <c r="B96" s="780"/>
      <c r="C96" s="281">
        <v>4</v>
      </c>
      <c r="D96" s="239"/>
      <c r="E96" s="240"/>
      <c r="F96" s="241"/>
      <c r="G96" s="308"/>
      <c r="H96" s="307"/>
      <c r="I96" s="308"/>
      <c r="J96" s="314"/>
      <c r="K96" s="315"/>
      <c r="L96" s="316"/>
      <c r="M96" s="324">
        <f t="shared" si="9"/>
        <v>0</v>
      </c>
      <c r="N96" s="316"/>
      <c r="O96" s="782"/>
      <c r="P96" s="783"/>
      <c r="R96" s="410"/>
      <c r="S96" s="411"/>
      <c r="T96" s="338"/>
    </row>
    <row r="97" spans="1:20" s="300" customFormat="1" ht="60" customHeight="1" thickBot="1">
      <c r="A97" s="746"/>
      <c r="B97" s="780"/>
      <c r="C97" s="281">
        <v>5</v>
      </c>
      <c r="D97" s="239"/>
      <c r="E97" s="247"/>
      <c r="F97" s="248"/>
      <c r="G97" s="308"/>
      <c r="H97" s="307"/>
      <c r="I97" s="308"/>
      <c r="J97" s="318"/>
      <c r="K97" s="250"/>
      <c r="L97" s="319"/>
      <c r="M97" s="324">
        <f t="shared" si="9"/>
        <v>0</v>
      </c>
      <c r="N97" s="316"/>
      <c r="O97" s="782"/>
      <c r="P97" s="783"/>
      <c r="R97" s="413"/>
      <c r="S97" s="412"/>
      <c r="T97" s="291"/>
    </row>
    <row r="98" spans="1:20" ht="15.75" customHeight="1" thickTop="1" thickBot="1">
      <c r="A98" s="747"/>
      <c r="B98" s="781"/>
      <c r="C98" s="786"/>
      <c r="D98" s="787"/>
      <c r="E98" s="787"/>
      <c r="F98" s="787"/>
      <c r="G98" s="787"/>
      <c r="H98" s="787"/>
      <c r="I98" s="788"/>
      <c r="J98" s="351" t="s">
        <v>58</v>
      </c>
      <c r="K98" s="349">
        <f>M98/'生產管理報表 7-1 (週)'!$B$43</f>
        <v>0</v>
      </c>
      <c r="L98" s="352" t="s">
        <v>59</v>
      </c>
      <c r="M98" s="353">
        <f>SUM(M93:M97)</f>
        <v>0</v>
      </c>
      <c r="N98" s="732"/>
      <c r="O98" s="733"/>
      <c r="P98" s="734"/>
      <c r="R98" s="342"/>
      <c r="S98" s="342"/>
    </row>
    <row r="99" spans="1:20" ht="15.75" customHeight="1" thickTop="1">
      <c r="M99" s="331"/>
      <c r="S99" s="343"/>
    </row>
    <row r="100" spans="1:20" ht="15.75" customHeight="1">
      <c r="A100" s="735" t="s">
        <v>191</v>
      </c>
      <c r="B100" s="736"/>
      <c r="C100" s="277" t="s">
        <v>47</v>
      </c>
      <c r="D100" s="763" t="s">
        <v>12</v>
      </c>
      <c r="E100" s="764"/>
      <c r="F100" s="765"/>
      <c r="G100" s="766" t="s">
        <v>53</v>
      </c>
      <c r="H100" s="767"/>
      <c r="I100" s="768"/>
      <c r="J100" s="394" t="s">
        <v>54</v>
      </c>
      <c r="K100" s="278" t="s">
        <v>55</v>
      </c>
      <c r="L100" s="278" t="s">
        <v>56</v>
      </c>
      <c r="M100" s="332" t="s">
        <v>11</v>
      </c>
      <c r="N100" s="279" t="s">
        <v>333</v>
      </c>
      <c r="O100" s="743" t="s">
        <v>51</v>
      </c>
      <c r="P100" s="744"/>
      <c r="S100" s="342"/>
      <c r="T100" s="338"/>
    </row>
    <row r="101" spans="1:20" s="300" customFormat="1" ht="60" customHeight="1">
      <c r="A101" s="745">
        <v>5</v>
      </c>
      <c r="B101" s="758" t="s">
        <v>215</v>
      </c>
      <c r="C101" s="281">
        <v>1</v>
      </c>
      <c r="D101" s="239"/>
      <c r="E101" s="240"/>
      <c r="F101" s="241"/>
      <c r="G101" s="308"/>
      <c r="H101" s="307"/>
      <c r="I101" s="308"/>
      <c r="J101" s="314"/>
      <c r="K101" s="315"/>
      <c r="L101" s="316"/>
      <c r="M101" s="324">
        <f>L101*J101</f>
        <v>0</v>
      </c>
      <c r="N101" s="316"/>
      <c r="O101" s="794"/>
      <c r="P101" s="795"/>
      <c r="S101" s="412"/>
      <c r="T101" s="338"/>
    </row>
    <row r="102" spans="1:20" s="300" customFormat="1" ht="60" customHeight="1">
      <c r="A102" s="746"/>
      <c r="B102" s="759"/>
      <c r="C102" s="281">
        <v>2</v>
      </c>
      <c r="D102" s="239"/>
      <c r="E102" s="240"/>
      <c r="F102" s="241"/>
      <c r="G102" s="308"/>
      <c r="H102" s="307"/>
      <c r="I102" s="308"/>
      <c r="J102" s="314"/>
      <c r="K102" s="315"/>
      <c r="L102" s="316"/>
      <c r="M102" s="324">
        <f t="shared" ref="M102:M105" si="10">L102*J102</f>
        <v>0</v>
      </c>
      <c r="N102" s="316"/>
      <c r="O102" s="771"/>
      <c r="P102" s="772"/>
      <c r="S102" s="342"/>
      <c r="T102" s="339"/>
    </row>
    <row r="103" spans="1:20" ht="24.95" customHeight="1">
      <c r="A103" s="746"/>
      <c r="B103" s="759"/>
      <c r="C103" s="281">
        <v>3</v>
      </c>
      <c r="D103" s="239"/>
      <c r="E103" s="240"/>
      <c r="F103" s="241"/>
      <c r="G103" s="356"/>
      <c r="H103" s="307"/>
      <c r="I103" s="308"/>
      <c r="J103" s="314"/>
      <c r="K103" s="315"/>
      <c r="L103" s="316"/>
      <c r="M103" s="324">
        <f t="shared" si="10"/>
        <v>0</v>
      </c>
      <c r="N103" s="290"/>
      <c r="O103" s="753"/>
      <c r="P103" s="754"/>
    </row>
    <row r="104" spans="1:20" ht="24.95" customHeight="1">
      <c r="A104" s="746"/>
      <c r="B104" s="759"/>
      <c r="C104" s="281">
        <v>4</v>
      </c>
      <c r="D104" s="282"/>
      <c r="E104" s="283"/>
      <c r="F104" s="284"/>
      <c r="G104" s="356"/>
      <c r="H104" s="307"/>
      <c r="I104" s="308"/>
      <c r="J104" s="288"/>
      <c r="K104" s="289"/>
      <c r="L104" s="290"/>
      <c r="M104" s="324">
        <f t="shared" si="10"/>
        <v>0</v>
      </c>
      <c r="N104" s="290"/>
      <c r="O104" s="301"/>
      <c r="P104" s="302"/>
    </row>
    <row r="105" spans="1:20" ht="24.95" customHeight="1" thickBot="1">
      <c r="A105" s="746"/>
      <c r="B105" s="759"/>
      <c r="C105" s="281">
        <v>5</v>
      </c>
      <c r="D105" s="292"/>
      <c r="E105" s="293"/>
      <c r="F105" s="294"/>
      <c r="G105" s="356"/>
      <c r="H105" s="307"/>
      <c r="I105" s="308"/>
      <c r="J105" s="295"/>
      <c r="K105" s="250"/>
      <c r="L105" s="296"/>
      <c r="M105" s="324">
        <f t="shared" si="10"/>
        <v>0</v>
      </c>
      <c r="N105" s="290"/>
      <c r="O105" s="303"/>
      <c r="P105" s="304"/>
      <c r="R105" s="346"/>
    </row>
    <row r="106" spans="1:20" ht="15.75" customHeight="1" thickTop="1" thickBot="1">
      <c r="A106" s="747"/>
      <c r="B106" s="760"/>
      <c r="C106" s="755"/>
      <c r="D106" s="756"/>
      <c r="E106" s="756"/>
      <c r="F106" s="756"/>
      <c r="G106" s="756"/>
      <c r="H106" s="756"/>
      <c r="I106" s="757"/>
      <c r="J106" s="351" t="s">
        <v>58</v>
      </c>
      <c r="K106" s="349">
        <f>M106/'生產管理報表 7-1 (週)'!$B$43</f>
        <v>0</v>
      </c>
      <c r="L106" s="352" t="s">
        <v>59</v>
      </c>
      <c r="M106" s="353">
        <f>SUM(M101:M105)</f>
        <v>0</v>
      </c>
      <c r="N106" s="732"/>
      <c r="O106" s="733"/>
      <c r="P106" s="734"/>
      <c r="R106" s="342"/>
    </row>
    <row r="107" spans="1:20" ht="15.75" customHeight="1" thickTop="1">
      <c r="K107" s="291" t="s">
        <v>468</v>
      </c>
      <c r="M107" s="331"/>
      <c r="R107" s="342"/>
    </row>
    <row r="108" spans="1:20" ht="24.95" customHeight="1">
      <c r="A108" s="735" t="s">
        <v>191</v>
      </c>
      <c r="B108" s="736"/>
      <c r="C108" s="305" t="s">
        <v>47</v>
      </c>
      <c r="D108" s="737" t="s">
        <v>12</v>
      </c>
      <c r="E108" s="738"/>
      <c r="F108" s="739"/>
      <c r="G108" s="740" t="s">
        <v>53</v>
      </c>
      <c r="H108" s="741"/>
      <c r="I108" s="742"/>
      <c r="J108" s="306" t="s">
        <v>54</v>
      </c>
      <c r="K108" s="278" t="s">
        <v>55</v>
      </c>
      <c r="L108" s="278" t="s">
        <v>56</v>
      </c>
      <c r="M108" s="332" t="s">
        <v>11</v>
      </c>
      <c r="N108" s="279" t="s">
        <v>333</v>
      </c>
      <c r="O108" s="743" t="s">
        <v>51</v>
      </c>
      <c r="P108" s="744"/>
      <c r="R108" s="342"/>
    </row>
    <row r="109" spans="1:20" ht="54.95" customHeight="1">
      <c r="A109" s="745">
        <v>6</v>
      </c>
      <c r="B109" s="758" t="s">
        <v>216</v>
      </c>
      <c r="C109" s="281">
        <v>1</v>
      </c>
      <c r="D109" s="347"/>
      <c r="E109" s="283"/>
      <c r="F109" s="284"/>
      <c r="G109" s="308"/>
      <c r="H109" s="307"/>
      <c r="I109" s="308"/>
      <c r="J109" s="314"/>
      <c r="K109" s="315"/>
      <c r="L109" s="316"/>
      <c r="M109" s="324">
        <f t="shared" ref="M109:M113" si="11">L109*J109</f>
        <v>0</v>
      </c>
      <c r="N109" s="290"/>
      <c r="O109" s="784"/>
      <c r="P109" s="785"/>
      <c r="R109" s="339"/>
      <c r="S109" s="339"/>
    </row>
    <row r="110" spans="1:20" ht="54.95" customHeight="1">
      <c r="A110" s="746"/>
      <c r="B110" s="759"/>
      <c r="C110" s="281">
        <v>2</v>
      </c>
      <c r="D110" s="239"/>
      <c r="E110" s="283"/>
      <c r="F110" s="284"/>
      <c r="G110" s="308"/>
      <c r="H110" s="307"/>
      <c r="I110" s="308"/>
      <c r="J110" s="314"/>
      <c r="K110" s="315"/>
      <c r="L110" s="316"/>
      <c r="M110" s="324">
        <f t="shared" si="11"/>
        <v>0</v>
      </c>
      <c r="N110" s="290"/>
      <c r="O110" s="784"/>
      <c r="P110" s="785"/>
      <c r="R110" s="339"/>
      <c r="S110" s="339"/>
    </row>
    <row r="111" spans="1:20" ht="54.95" customHeight="1">
      <c r="A111" s="746"/>
      <c r="B111" s="759"/>
      <c r="C111" s="281">
        <v>3</v>
      </c>
      <c r="D111" s="239"/>
      <c r="E111" s="283"/>
      <c r="F111" s="284"/>
      <c r="G111" s="308"/>
      <c r="H111" s="307"/>
      <c r="I111" s="308"/>
      <c r="J111" s="314"/>
      <c r="K111" s="315"/>
      <c r="L111" s="316"/>
      <c r="M111" s="324">
        <f t="shared" si="11"/>
        <v>0</v>
      </c>
      <c r="N111" s="290"/>
      <c r="O111" s="784"/>
      <c r="P111" s="785"/>
      <c r="R111" s="339"/>
    </row>
    <row r="112" spans="1:20" ht="54.95" customHeight="1">
      <c r="A112" s="746"/>
      <c r="B112" s="759"/>
      <c r="C112" s="281">
        <v>4</v>
      </c>
      <c r="D112" s="239"/>
      <c r="E112" s="283"/>
      <c r="F112" s="284"/>
      <c r="G112" s="356"/>
      <c r="H112" s="307"/>
      <c r="I112" s="308"/>
      <c r="J112" s="314"/>
      <c r="K112" s="315"/>
      <c r="L112" s="316"/>
      <c r="M112" s="324">
        <f t="shared" si="11"/>
        <v>0</v>
      </c>
      <c r="N112" s="290"/>
      <c r="O112" s="784"/>
      <c r="P112" s="785"/>
      <c r="R112" s="339"/>
      <c r="S112" s="339"/>
    </row>
    <row r="113" spans="1:16" ht="54.95" customHeight="1" thickBot="1">
      <c r="A113" s="746"/>
      <c r="B113" s="759"/>
      <c r="C113" s="281">
        <v>5</v>
      </c>
      <c r="D113" s="246"/>
      <c r="E113" s="293"/>
      <c r="F113" s="294"/>
      <c r="G113" s="356"/>
      <c r="H113" s="307"/>
      <c r="I113" s="308"/>
      <c r="J113" s="318"/>
      <c r="K113" s="250"/>
      <c r="L113" s="319"/>
      <c r="M113" s="324">
        <f t="shared" si="11"/>
        <v>0</v>
      </c>
      <c r="N113" s="290"/>
      <c r="O113" s="784"/>
      <c r="P113" s="785"/>
    </row>
    <row r="114" spans="1:16" ht="15.75" customHeight="1" thickTop="1" thickBot="1">
      <c r="A114" s="747"/>
      <c r="B114" s="760"/>
      <c r="C114" s="755"/>
      <c r="D114" s="756"/>
      <c r="E114" s="756"/>
      <c r="F114" s="756"/>
      <c r="G114" s="756"/>
      <c r="H114" s="756"/>
      <c r="I114" s="757"/>
      <c r="J114" s="351" t="s">
        <v>58</v>
      </c>
      <c r="K114" s="349">
        <f>M114/'生產管理報表 7-1 (週)'!$B$43</f>
        <v>0</v>
      </c>
      <c r="L114" s="352" t="s">
        <v>59</v>
      </c>
      <c r="M114" s="353">
        <f>SUM(M109:M113)</f>
        <v>0</v>
      </c>
      <c r="N114" s="732"/>
      <c r="O114" s="733"/>
      <c r="P114" s="734"/>
    </row>
    <row r="115" spans="1:16" ht="15.75" customHeight="1" thickTop="1"/>
  </sheetData>
  <mergeCells count="213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0" max="15" man="1"/>
    <brk id="58" max="15" man="1"/>
    <brk id="86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703125" defaultRowHeight="15.75" customHeight="1"/>
  <cols>
    <col min="1" max="1" width="5.42578125" style="99" customWidth="1"/>
    <col min="2" max="2" width="7.85546875" style="133" customWidth="1"/>
    <col min="3" max="3" width="4" style="130" customWidth="1"/>
    <col min="4" max="17" width="8.5703125" style="99" customWidth="1"/>
    <col min="18" max="16384" width="12.5703125" style="99"/>
  </cols>
  <sheetData>
    <row r="1" spans="1:17" ht="15.75" customHeight="1">
      <c r="A1" s="557" t="s">
        <v>367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</row>
    <row r="2" spans="1:17" s="100" customFormat="1" ht="15.75" customHeight="1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</row>
    <row r="3" spans="1:17" ht="15.75" customHeight="1">
      <c r="A3" s="683" t="s">
        <v>388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  <c r="N3" s="683"/>
      <c r="O3" s="683"/>
      <c r="P3" s="683"/>
      <c r="Q3" s="683"/>
    </row>
    <row r="4" spans="1:17" s="100" customFormat="1" ht="15.75" customHeight="1">
      <c r="A4" s="828"/>
      <c r="B4" s="828"/>
      <c r="C4" s="828"/>
      <c r="D4" s="828"/>
      <c r="E4" s="828"/>
      <c r="F4" s="828"/>
      <c r="G4" s="828"/>
      <c r="H4" s="828"/>
      <c r="I4" s="828"/>
      <c r="J4" s="828"/>
      <c r="K4" s="828"/>
      <c r="L4" s="828"/>
      <c r="M4" s="828"/>
      <c r="N4" s="828"/>
      <c r="O4" s="828"/>
      <c r="P4" s="828"/>
      <c r="Q4" s="828"/>
    </row>
    <row r="5" spans="1:17" ht="15.75" customHeight="1">
      <c r="A5" s="612" t="s">
        <v>191</v>
      </c>
      <c r="B5" s="827">
        <v>1</v>
      </c>
      <c r="C5" s="827"/>
      <c r="D5" s="827">
        <v>2</v>
      </c>
      <c r="E5" s="827"/>
      <c r="F5" s="827">
        <v>3</v>
      </c>
      <c r="G5" s="827"/>
      <c r="H5" s="827">
        <v>4</v>
      </c>
      <c r="I5" s="827"/>
      <c r="J5" s="827">
        <v>5</v>
      </c>
      <c r="K5" s="827"/>
      <c r="L5" s="827">
        <v>6</v>
      </c>
      <c r="M5" s="827"/>
      <c r="N5" s="827">
        <v>7</v>
      </c>
      <c r="O5" s="827"/>
      <c r="P5" s="829">
        <v>8</v>
      </c>
      <c r="Q5" s="829"/>
    </row>
    <row r="6" spans="1:17" ht="15.75" customHeight="1">
      <c r="A6" s="612"/>
      <c r="B6" s="612" t="s">
        <v>251</v>
      </c>
      <c r="C6" s="612"/>
      <c r="D6" s="612" t="s">
        <v>340</v>
      </c>
      <c r="E6" s="612"/>
      <c r="F6" s="612" t="s">
        <v>166</v>
      </c>
      <c r="G6" s="612"/>
      <c r="H6" s="612" t="s">
        <v>436</v>
      </c>
      <c r="I6" s="612"/>
      <c r="J6" s="612" t="s">
        <v>189</v>
      </c>
      <c r="K6" s="612"/>
      <c r="L6" s="612" t="s">
        <v>167</v>
      </c>
      <c r="M6" s="612"/>
      <c r="N6" s="612" t="s">
        <v>190</v>
      </c>
      <c r="O6" s="612"/>
      <c r="P6" s="832" t="s">
        <v>218</v>
      </c>
      <c r="Q6" s="832"/>
    </row>
    <row r="8" spans="1:17" s="106" customFormat="1" ht="15.75" customHeight="1">
      <c r="A8" s="131" t="s">
        <v>193</v>
      </c>
      <c r="B8" s="131" t="s">
        <v>18</v>
      </c>
      <c r="C8" s="826" t="s">
        <v>12</v>
      </c>
      <c r="D8" s="826"/>
      <c r="E8" s="826"/>
      <c r="F8" s="826" t="s">
        <v>53</v>
      </c>
      <c r="G8" s="826"/>
      <c r="H8" s="826"/>
      <c r="I8" s="131" t="s">
        <v>54</v>
      </c>
      <c r="J8" s="134" t="s">
        <v>19</v>
      </c>
      <c r="K8" s="131" t="s">
        <v>57</v>
      </c>
      <c r="L8" s="131" t="s">
        <v>2</v>
      </c>
      <c r="M8" s="826" t="s">
        <v>50</v>
      </c>
      <c r="N8" s="826"/>
      <c r="O8" s="826"/>
      <c r="P8" s="826"/>
      <c r="Q8" s="826"/>
    </row>
    <row r="9" spans="1:17" ht="15.75" customHeight="1">
      <c r="A9" s="826" t="s">
        <v>192</v>
      </c>
      <c r="B9" s="129">
        <v>1</v>
      </c>
      <c r="C9" s="830"/>
      <c r="D9" s="831"/>
      <c r="E9" s="831"/>
      <c r="F9" s="830"/>
      <c r="G9" s="831"/>
      <c r="H9" s="831"/>
      <c r="I9" s="108"/>
      <c r="J9" s="118"/>
      <c r="K9" s="118"/>
      <c r="L9" s="135">
        <f t="shared" ref="L9:L13" si="0">K9-J9</f>
        <v>0</v>
      </c>
      <c r="M9" s="830"/>
      <c r="N9" s="830"/>
      <c r="O9" s="830"/>
      <c r="P9" s="830"/>
      <c r="Q9" s="830"/>
    </row>
    <row r="10" spans="1:17" ht="15.75" customHeight="1">
      <c r="A10" s="826"/>
      <c r="B10" s="129">
        <v>2</v>
      </c>
      <c r="C10" s="830"/>
      <c r="D10" s="831"/>
      <c r="E10" s="831"/>
      <c r="F10" s="830"/>
      <c r="G10" s="831"/>
      <c r="H10" s="831"/>
      <c r="I10" s="108"/>
      <c r="J10" s="118"/>
      <c r="K10" s="118"/>
      <c r="L10" s="135">
        <f t="shared" si="0"/>
        <v>0</v>
      </c>
      <c r="M10" s="830"/>
      <c r="N10" s="830"/>
      <c r="O10" s="830"/>
      <c r="P10" s="830"/>
      <c r="Q10" s="830"/>
    </row>
    <row r="11" spans="1:17" ht="15.75" customHeight="1">
      <c r="A11" s="826"/>
      <c r="B11" s="129">
        <v>3</v>
      </c>
      <c r="C11" s="830"/>
      <c r="D11" s="831"/>
      <c r="E11" s="831"/>
      <c r="F11" s="830"/>
      <c r="G11" s="831"/>
      <c r="H11" s="831"/>
      <c r="I11" s="108"/>
      <c r="J11" s="118"/>
      <c r="K11" s="118"/>
      <c r="L11" s="135">
        <f t="shared" si="0"/>
        <v>0</v>
      </c>
      <c r="M11" s="830"/>
      <c r="N11" s="830"/>
      <c r="O11" s="830"/>
      <c r="P11" s="830"/>
      <c r="Q11" s="830"/>
    </row>
    <row r="12" spans="1:17" ht="15.75" customHeight="1">
      <c r="A12" s="826"/>
      <c r="B12" s="129">
        <v>4</v>
      </c>
      <c r="C12" s="830"/>
      <c r="D12" s="831"/>
      <c r="E12" s="831"/>
      <c r="F12" s="830"/>
      <c r="G12" s="831"/>
      <c r="H12" s="831"/>
      <c r="I12" s="108"/>
      <c r="J12" s="118"/>
      <c r="K12" s="118"/>
      <c r="L12" s="135">
        <f t="shared" si="0"/>
        <v>0</v>
      </c>
      <c r="M12" s="830"/>
      <c r="N12" s="830"/>
      <c r="O12" s="830"/>
      <c r="P12" s="830"/>
      <c r="Q12" s="830"/>
    </row>
    <row r="13" spans="1:17" ht="15.75" customHeight="1">
      <c r="A13" s="826"/>
      <c r="B13" s="129">
        <v>5</v>
      </c>
      <c r="C13" s="830"/>
      <c r="D13" s="831"/>
      <c r="E13" s="831"/>
      <c r="F13" s="830"/>
      <c r="G13" s="831"/>
      <c r="H13" s="831"/>
      <c r="I13" s="108"/>
      <c r="J13" s="118"/>
      <c r="K13" s="118"/>
      <c r="L13" s="135">
        <f t="shared" si="0"/>
        <v>0</v>
      </c>
      <c r="M13" s="830"/>
      <c r="N13" s="830"/>
      <c r="O13" s="830"/>
      <c r="P13" s="830"/>
      <c r="Q13" s="830"/>
    </row>
    <row r="14" spans="1:17" ht="15.75" customHeight="1">
      <c r="A14" s="833"/>
      <c r="B14" s="833"/>
      <c r="C14" s="833"/>
      <c r="D14" s="833"/>
      <c r="E14" s="833"/>
      <c r="F14" s="833"/>
      <c r="G14" s="833"/>
      <c r="H14" s="833"/>
      <c r="I14" s="833"/>
      <c r="J14" s="833"/>
      <c r="K14" s="833"/>
      <c r="L14" s="833"/>
      <c r="M14" s="833"/>
      <c r="N14" s="833"/>
      <c r="O14" s="834"/>
    </row>
    <row r="15" spans="1:17" s="106" customFormat="1" ht="15.75" customHeight="1">
      <c r="A15" s="131" t="s">
        <v>193</v>
      </c>
      <c r="B15" s="131" t="s">
        <v>18</v>
      </c>
      <c r="C15" s="826" t="s">
        <v>12</v>
      </c>
      <c r="D15" s="826"/>
      <c r="E15" s="826"/>
      <c r="F15" s="826" t="s">
        <v>53</v>
      </c>
      <c r="G15" s="826"/>
      <c r="H15" s="826"/>
      <c r="I15" s="131" t="s">
        <v>54</v>
      </c>
      <c r="J15" s="134" t="s">
        <v>19</v>
      </c>
      <c r="K15" s="131" t="s">
        <v>57</v>
      </c>
      <c r="L15" s="131" t="s">
        <v>2</v>
      </c>
      <c r="M15" s="826" t="s">
        <v>50</v>
      </c>
      <c r="N15" s="826"/>
      <c r="O15" s="826"/>
      <c r="P15" s="826"/>
      <c r="Q15" s="826"/>
    </row>
    <row r="16" spans="1:17" ht="15.75" customHeight="1">
      <c r="A16" s="826" t="s">
        <v>194</v>
      </c>
      <c r="B16" s="129">
        <v>1</v>
      </c>
      <c r="C16" s="830"/>
      <c r="D16" s="831"/>
      <c r="E16" s="831"/>
      <c r="F16" s="830"/>
      <c r="G16" s="831"/>
      <c r="H16" s="831"/>
      <c r="I16" s="108"/>
      <c r="J16" s="118"/>
      <c r="K16" s="118"/>
      <c r="L16" s="135">
        <f t="shared" ref="L16:L19" si="1">K16-J16</f>
        <v>0</v>
      </c>
      <c r="M16" s="830"/>
      <c r="N16" s="830"/>
      <c r="O16" s="830"/>
      <c r="P16" s="830"/>
      <c r="Q16" s="830"/>
    </row>
    <row r="17" spans="1:17" ht="15.75" customHeight="1">
      <c r="A17" s="826"/>
      <c r="B17" s="129">
        <v>2</v>
      </c>
      <c r="C17" s="830"/>
      <c r="D17" s="831"/>
      <c r="E17" s="831"/>
      <c r="F17" s="830"/>
      <c r="G17" s="831"/>
      <c r="H17" s="831"/>
      <c r="I17" s="108"/>
      <c r="J17" s="118"/>
      <c r="K17" s="118"/>
      <c r="L17" s="135">
        <f t="shared" si="1"/>
        <v>0</v>
      </c>
      <c r="M17" s="830"/>
      <c r="N17" s="830"/>
      <c r="O17" s="830"/>
      <c r="P17" s="830"/>
      <c r="Q17" s="830"/>
    </row>
    <row r="18" spans="1:17" ht="15.75" customHeight="1">
      <c r="A18" s="826"/>
      <c r="B18" s="129">
        <v>3</v>
      </c>
      <c r="C18" s="830"/>
      <c r="D18" s="831"/>
      <c r="E18" s="831"/>
      <c r="F18" s="830"/>
      <c r="G18" s="831"/>
      <c r="H18" s="831"/>
      <c r="I18" s="108"/>
      <c r="J18" s="118"/>
      <c r="K18" s="118"/>
      <c r="L18" s="135">
        <f t="shared" si="1"/>
        <v>0</v>
      </c>
      <c r="M18" s="830"/>
      <c r="N18" s="830"/>
      <c r="O18" s="830"/>
      <c r="P18" s="830"/>
      <c r="Q18" s="830"/>
    </row>
    <row r="19" spans="1:17" ht="15.75" customHeight="1">
      <c r="A19" s="826"/>
      <c r="B19" s="129">
        <v>4</v>
      </c>
      <c r="C19" s="830"/>
      <c r="D19" s="831"/>
      <c r="E19" s="831"/>
      <c r="F19" s="830"/>
      <c r="G19" s="831"/>
      <c r="H19" s="831"/>
      <c r="I19" s="108"/>
      <c r="J19" s="118"/>
      <c r="K19" s="118"/>
      <c r="L19" s="135">
        <f t="shared" si="1"/>
        <v>0</v>
      </c>
      <c r="M19" s="830"/>
      <c r="N19" s="830"/>
      <c r="O19" s="830"/>
      <c r="P19" s="830"/>
      <c r="Q19" s="830"/>
    </row>
    <row r="20" spans="1:17" ht="15.75" customHeight="1">
      <c r="A20" s="826"/>
      <c r="B20" s="129">
        <v>5</v>
      </c>
      <c r="C20" s="830"/>
      <c r="D20" s="831"/>
      <c r="E20" s="831"/>
      <c r="F20" s="830"/>
      <c r="G20" s="831"/>
      <c r="H20" s="831"/>
      <c r="I20" s="108"/>
      <c r="J20" s="118"/>
      <c r="K20" s="118"/>
      <c r="L20" s="135">
        <f>K20-J20</f>
        <v>0</v>
      </c>
      <c r="M20" s="830"/>
      <c r="N20" s="830"/>
      <c r="O20" s="830"/>
      <c r="P20" s="830"/>
      <c r="Q20" s="83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 codeName="工作表33">
    <tabColor rgb="FFFFFFCC"/>
  </sheetPr>
  <dimension ref="A1:AE55"/>
  <sheetViews>
    <sheetView zoomScale="70" zoomScaleNormal="70" workbookViewId="0">
      <selection activeCell="H25" sqref="H25:H31"/>
    </sheetView>
  </sheetViews>
  <sheetFormatPr defaultColWidth="10.140625" defaultRowHeight="15"/>
  <cols>
    <col min="1" max="8" width="25.7109375" style="230" customWidth="1"/>
    <col min="9" max="9" width="10.140625" style="230"/>
    <col min="10" max="10" width="26.42578125" style="230" bestFit="1" customWidth="1"/>
    <col min="11" max="12" width="26.42578125" style="230" customWidth="1"/>
    <col min="13" max="13" width="26.140625" style="230" bestFit="1" customWidth="1"/>
    <col min="14" max="14" width="10.140625" style="230"/>
    <col min="15" max="16" width="13.7109375" style="230" bestFit="1" customWidth="1"/>
    <col min="17" max="18" width="10.140625" style="230"/>
    <col min="19" max="19" width="15.140625" style="230" bestFit="1" customWidth="1"/>
    <col min="20" max="21" width="10.140625" style="230"/>
    <col min="22" max="22" width="13.7109375" style="230" bestFit="1" customWidth="1"/>
    <col min="23" max="24" width="10.140625" style="230"/>
    <col min="25" max="25" width="15.140625" style="230" bestFit="1" customWidth="1"/>
    <col min="26" max="27" width="10.140625" style="230"/>
    <col min="28" max="28" width="13.7109375" style="230" bestFit="1" customWidth="1"/>
    <col min="29" max="30" width="10.140625" style="230"/>
    <col min="31" max="31" width="15.140625" style="230" bestFit="1" customWidth="1"/>
    <col min="32" max="16384" width="10.140625" style="230"/>
  </cols>
  <sheetData>
    <row r="1" spans="1:31" ht="27">
      <c r="A1" s="837" t="s">
        <v>680</v>
      </c>
      <c r="B1" s="838"/>
      <c r="C1" s="838"/>
      <c r="D1" s="838"/>
      <c r="E1" s="838"/>
      <c r="F1" s="838"/>
      <c r="G1" s="838"/>
      <c r="H1" s="838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</row>
    <row r="2" spans="1:31" ht="16.5" customHeight="1">
      <c r="A2" s="471" t="s">
        <v>681</v>
      </c>
      <c r="B2" s="472">
        <f>SUM(C7:C37)</f>
        <v>287448.41129999998</v>
      </c>
      <c r="C2" s="471" t="s">
        <v>682</v>
      </c>
      <c r="D2" s="473">
        <f>B2/B54</f>
        <v>2.009447527402865E-3</v>
      </c>
      <c r="E2" s="471" t="s">
        <v>683</v>
      </c>
      <c r="F2" s="472">
        <f>SUM(E7:E37)</f>
        <v>885013.58405999991</v>
      </c>
      <c r="G2" s="471" t="s">
        <v>684</v>
      </c>
      <c r="H2" s="474">
        <f>F2/B54</f>
        <v>6.1868087917566258E-3</v>
      </c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</row>
    <row r="3" spans="1:31" ht="37.5" customHeight="1">
      <c r="A3" s="475" t="s">
        <v>685</v>
      </c>
      <c r="B3" s="475" t="s">
        <v>686</v>
      </c>
      <c r="C3" s="475" t="s">
        <v>687</v>
      </c>
      <c r="D3" s="475" t="s">
        <v>688</v>
      </c>
      <c r="E3" s="475" t="s">
        <v>689</v>
      </c>
      <c r="F3" s="475" t="s">
        <v>690</v>
      </c>
      <c r="G3" s="476" t="s">
        <v>691</v>
      </c>
      <c r="H3" s="476" t="s">
        <v>692</v>
      </c>
      <c r="I3" s="470"/>
      <c r="J3" s="477"/>
      <c r="K3" s="478"/>
      <c r="L3" s="477"/>
      <c r="M3" s="479"/>
      <c r="N3" s="477"/>
      <c r="O3" s="478"/>
      <c r="P3" s="480"/>
      <c r="Q3" s="470"/>
      <c r="R3" s="481"/>
      <c r="S3" s="480"/>
      <c r="T3" s="470"/>
      <c r="V3" s="354"/>
      <c r="Y3" s="354"/>
      <c r="AB3" s="354"/>
      <c r="AE3" s="354"/>
    </row>
    <row r="4" spans="1:31" ht="18.75">
      <c r="A4" s="482">
        <v>46140</v>
      </c>
      <c r="B4" s="483">
        <v>6434818.2699999996</v>
      </c>
      <c r="C4" s="484">
        <v>12869.442900000002</v>
      </c>
      <c r="D4" s="485">
        <f t="shared" ref="D4:D52" si="0">C4/B4</f>
        <v>1.9999699074640695E-3</v>
      </c>
      <c r="E4" s="484">
        <v>27506.072999999997</v>
      </c>
      <c r="F4" s="486">
        <f t="shared" ref="F4:F5" si="1">E4/B4</f>
        <v>4.2745687361890328E-3</v>
      </c>
      <c r="G4" s="835">
        <f>SUM(C4:C10)</f>
        <v>75350.5579</v>
      </c>
      <c r="H4" s="835">
        <f>SUM(E4:E10)</f>
        <v>201506.50119999994</v>
      </c>
      <c r="I4" s="470"/>
      <c r="J4" s="487"/>
      <c r="K4" s="487"/>
      <c r="L4" s="487"/>
      <c r="M4" s="488"/>
      <c r="N4" s="470"/>
      <c r="O4" s="470"/>
      <c r="P4" s="480"/>
      <c r="Q4" s="470"/>
      <c r="R4" s="481"/>
      <c r="S4" s="480"/>
      <c r="T4" s="470"/>
      <c r="V4" s="354"/>
      <c r="Y4" s="354"/>
      <c r="AB4" s="354"/>
      <c r="AE4" s="354"/>
    </row>
    <row r="5" spans="1:31" ht="18.75">
      <c r="A5" s="482">
        <f>A4+1</f>
        <v>46141</v>
      </c>
      <c r="B5" s="483">
        <v>5586966.5599999996</v>
      </c>
      <c r="C5" s="484">
        <v>11174.522699999996</v>
      </c>
      <c r="D5" s="485">
        <f t="shared" si="0"/>
        <v>2.0001055277481376E-3</v>
      </c>
      <c r="E5" s="484">
        <v>23373.221999999972</v>
      </c>
      <c r="F5" s="486">
        <f t="shared" si="1"/>
        <v>4.1835263821589754E-3</v>
      </c>
      <c r="G5" s="835"/>
      <c r="H5" s="835"/>
      <c r="I5" s="470"/>
      <c r="J5" s="487"/>
      <c r="K5" s="487"/>
      <c r="L5" s="487"/>
      <c r="M5" s="488"/>
      <c r="N5" s="470"/>
      <c r="O5" s="470"/>
      <c r="P5" s="480"/>
      <c r="Q5" s="470"/>
      <c r="R5" s="481"/>
      <c r="S5" s="480"/>
      <c r="T5" s="470"/>
      <c r="V5" s="354"/>
      <c r="Y5" s="354"/>
      <c r="AB5" s="354"/>
      <c r="AE5" s="354"/>
    </row>
    <row r="6" spans="1:31" ht="18.75">
      <c r="A6" s="482">
        <f t="shared" ref="A6:A52" si="2">A5+1</f>
        <v>46142</v>
      </c>
      <c r="B6" s="483">
        <v>4446498.88</v>
      </c>
      <c r="C6" s="484">
        <v>8891.139000000001</v>
      </c>
      <c r="D6" s="485">
        <f t="shared" si="0"/>
        <v>1.9995819722324996E-3</v>
      </c>
      <c r="E6" s="484">
        <v>18588.04359999999</v>
      </c>
      <c r="F6" s="486">
        <f>E6/B6</f>
        <v>4.1803774388896259E-3</v>
      </c>
      <c r="G6" s="835"/>
      <c r="H6" s="835"/>
      <c r="I6" s="470"/>
      <c r="J6" s="487"/>
      <c r="K6" s="487"/>
      <c r="L6" s="487"/>
      <c r="M6" s="488"/>
      <c r="N6" s="470"/>
      <c r="O6" s="470"/>
      <c r="P6" s="480"/>
      <c r="Q6" s="470"/>
      <c r="R6" s="481"/>
      <c r="S6" s="480"/>
      <c r="T6" s="470"/>
      <c r="V6" s="354"/>
      <c r="Y6" s="354"/>
      <c r="AB6" s="354"/>
      <c r="AE6" s="354"/>
    </row>
    <row r="7" spans="1:31" ht="18">
      <c r="A7" s="482">
        <f t="shared" si="2"/>
        <v>46143</v>
      </c>
      <c r="B7" s="483">
        <v>4128529.58</v>
      </c>
      <c r="C7" s="484">
        <f>'[6]0501合計'!$P$2</f>
        <v>8250.4066999999995</v>
      </c>
      <c r="D7" s="485">
        <f t="shared" si="0"/>
        <v>1.9983886611755846E-3</v>
      </c>
      <c r="E7" s="484">
        <f>'[6]0501合計'!$S$2</f>
        <v>26762.687600000001</v>
      </c>
      <c r="F7" s="486">
        <f>E7/B7</f>
        <v>6.4823775829650227E-3</v>
      </c>
      <c r="G7" s="835"/>
      <c r="H7" s="835"/>
      <c r="I7" s="470"/>
      <c r="J7" s="470"/>
      <c r="K7" s="470"/>
      <c r="L7" s="470"/>
      <c r="M7" s="470"/>
      <c r="N7" s="470"/>
      <c r="O7" s="470"/>
      <c r="P7" s="470"/>
      <c r="Q7" s="470"/>
      <c r="R7" s="470"/>
      <c r="S7" s="470"/>
      <c r="T7" s="470"/>
    </row>
    <row r="8" spans="1:31" ht="18">
      <c r="A8" s="482">
        <f t="shared" si="2"/>
        <v>46144</v>
      </c>
      <c r="B8" s="483">
        <v>4422738.33</v>
      </c>
      <c r="C8" s="484">
        <f>'[6]0502合計'!$P$2</f>
        <v>8863.4772999999986</v>
      </c>
      <c r="D8" s="485">
        <f t="shared" si="0"/>
        <v>2.004070021479204E-3</v>
      </c>
      <c r="E8" s="484">
        <f>'[6]0502合計'!$S$2</f>
        <v>28128.679200000013</v>
      </c>
      <c r="F8" s="486">
        <f t="shared" ref="F8:F52" si="3">E8/B8</f>
        <v>6.3600143398038229E-3</v>
      </c>
      <c r="G8" s="835"/>
      <c r="H8" s="835"/>
      <c r="I8" s="470"/>
      <c r="J8" s="470"/>
      <c r="K8" s="470"/>
      <c r="L8" s="470"/>
      <c r="M8" s="470"/>
      <c r="N8" s="470"/>
      <c r="O8" s="470"/>
      <c r="P8" s="470"/>
      <c r="Q8" s="470"/>
      <c r="R8" s="470"/>
      <c r="S8" s="470"/>
      <c r="T8" s="470"/>
    </row>
    <row r="9" spans="1:31" s="337" customFormat="1" ht="18">
      <c r="A9" s="482">
        <f t="shared" si="2"/>
        <v>46145</v>
      </c>
      <c r="B9" s="483">
        <v>6472238.8600000003</v>
      </c>
      <c r="C9" s="484">
        <f>'[6]0503合計'!$P$2</f>
        <v>12998.566500000001</v>
      </c>
      <c r="D9" s="485">
        <f t="shared" si="0"/>
        <v>2.0083570432380487E-3</v>
      </c>
      <c r="E9" s="484">
        <f>'[6]0503合計'!$S$2</f>
        <v>39638.562199999993</v>
      </c>
      <c r="F9" s="486">
        <f t="shared" si="3"/>
        <v>6.1243973001330158E-3</v>
      </c>
      <c r="G9" s="835"/>
      <c r="H9" s="835"/>
      <c r="I9" s="470"/>
      <c r="J9" s="470"/>
      <c r="K9" s="470"/>
      <c r="L9" s="470"/>
      <c r="M9" s="489"/>
      <c r="N9" s="489"/>
      <c r="O9" s="489"/>
      <c r="P9" s="489"/>
      <c r="Q9" s="489"/>
      <c r="R9" s="489"/>
      <c r="S9" s="489"/>
      <c r="T9" s="489"/>
    </row>
    <row r="10" spans="1:31" s="337" customFormat="1" ht="18">
      <c r="A10" s="482">
        <f t="shared" si="2"/>
        <v>46146</v>
      </c>
      <c r="B10" s="483">
        <v>6132490.6700000009</v>
      </c>
      <c r="C10" s="484">
        <f>'[6]0504合計'!$P$2</f>
        <v>12303.002800000002</v>
      </c>
      <c r="D10" s="485">
        <f t="shared" si="0"/>
        <v>2.0062000029100737E-3</v>
      </c>
      <c r="E10" s="484">
        <f>'[6]0504合計'!$S$2</f>
        <v>37509.23359999997</v>
      </c>
      <c r="F10" s="486">
        <f t="shared" si="3"/>
        <v>6.1164762603707259E-3</v>
      </c>
      <c r="G10" s="835"/>
      <c r="H10" s="835"/>
      <c r="I10" s="470"/>
      <c r="J10" s="470"/>
      <c r="K10" s="470"/>
      <c r="L10" s="470"/>
      <c r="M10" s="489"/>
      <c r="N10" s="489"/>
      <c r="O10" s="489"/>
      <c r="P10" s="489"/>
      <c r="Q10" s="489"/>
      <c r="R10" s="489"/>
      <c r="S10" s="489"/>
      <c r="T10" s="489"/>
    </row>
    <row r="11" spans="1:31" s="337" customFormat="1" ht="18">
      <c r="A11" s="490">
        <f t="shared" si="2"/>
        <v>46147</v>
      </c>
      <c r="B11" s="483">
        <v>5984383.9400000004</v>
      </c>
      <c r="C11" s="484">
        <f>'[6]0505合計'!$P$2</f>
        <v>11994.588200000002</v>
      </c>
      <c r="D11" s="485">
        <f t="shared" si="0"/>
        <v>2.0043146162176222E-3</v>
      </c>
      <c r="E11" s="484">
        <f>'[6]0505合計'!$S$2</f>
        <v>36062.868699999999</v>
      </c>
      <c r="F11" s="486">
        <f t="shared" si="3"/>
        <v>6.0261622685926792E-3</v>
      </c>
      <c r="G11" s="836">
        <f>SUM(C11:C17)</f>
        <v>77034.709600000002</v>
      </c>
      <c r="H11" s="836">
        <f>SUM(E11:E17)</f>
        <v>234653.27559999999</v>
      </c>
      <c r="I11" s="470"/>
      <c r="J11" s="470"/>
      <c r="K11" s="470"/>
      <c r="L11" s="470"/>
      <c r="M11" s="489"/>
      <c r="N11" s="489"/>
      <c r="O11" s="489"/>
      <c r="P11" s="489"/>
      <c r="Q11" s="489"/>
      <c r="R11" s="489"/>
      <c r="S11" s="489"/>
      <c r="T11" s="489"/>
    </row>
    <row r="12" spans="1:31" s="337" customFormat="1" ht="18">
      <c r="A12" s="490">
        <f t="shared" si="2"/>
        <v>46148</v>
      </c>
      <c r="B12" s="483">
        <v>5601506.8700000001</v>
      </c>
      <c r="C12" s="484">
        <f>'[6]0506合計'!$P$2</f>
        <v>11226.473800000003</v>
      </c>
      <c r="D12" s="485">
        <f t="shared" si="0"/>
        <v>2.0041881694594804E-3</v>
      </c>
      <c r="E12" s="484">
        <f>'[6]0506合計'!$S$2</f>
        <v>33764.994100000004</v>
      </c>
      <c r="F12" s="486">
        <f t="shared" si="3"/>
        <v>6.0278412369420163E-3</v>
      </c>
      <c r="G12" s="836"/>
      <c r="H12" s="836"/>
      <c r="I12" s="470"/>
      <c r="J12" s="470"/>
      <c r="K12" s="470"/>
      <c r="L12" s="470"/>
      <c r="M12" s="489"/>
      <c r="N12" s="489"/>
      <c r="O12" s="489"/>
      <c r="P12" s="489"/>
      <c r="Q12" s="489"/>
      <c r="R12" s="489"/>
      <c r="S12" s="489"/>
      <c r="T12" s="489"/>
    </row>
    <row r="13" spans="1:31" s="337" customFormat="1" ht="18">
      <c r="A13" s="490">
        <f>A12+1</f>
        <v>46149</v>
      </c>
      <c r="B13" s="483">
        <v>5146313.3899999987</v>
      </c>
      <c r="C13" s="484">
        <f>'[6]0507合計'!$P$2</f>
        <v>10313.073699999999</v>
      </c>
      <c r="D13" s="485">
        <f t="shared" si="0"/>
        <v>2.0039731198725156E-3</v>
      </c>
      <c r="E13" s="484">
        <f>'[6]0507合計'!$S$2</f>
        <v>31917.384500000007</v>
      </c>
      <c r="F13" s="486">
        <f t="shared" si="3"/>
        <v>6.2019900618605767E-3</v>
      </c>
      <c r="G13" s="836"/>
      <c r="H13" s="836"/>
      <c r="I13" s="470"/>
      <c r="J13" s="470"/>
      <c r="K13" s="470"/>
      <c r="L13" s="470"/>
      <c r="M13" s="489"/>
      <c r="N13" s="489"/>
      <c r="O13" s="489"/>
      <c r="P13" s="489"/>
      <c r="Q13" s="489"/>
      <c r="R13" s="489"/>
      <c r="S13" s="489"/>
      <c r="T13" s="489"/>
    </row>
    <row r="14" spans="1:31" s="337" customFormat="1" ht="18">
      <c r="A14" s="490">
        <f t="shared" si="2"/>
        <v>46150</v>
      </c>
      <c r="B14" s="483">
        <v>4462931.74</v>
      </c>
      <c r="C14" s="484">
        <f>'[6]0508合計'!$P$2</f>
        <v>8927.295500000002</v>
      </c>
      <c r="D14" s="485">
        <f t="shared" si="0"/>
        <v>2.0003208697966781E-3</v>
      </c>
      <c r="E14" s="484">
        <f>'[6]0508合計'!$S$2</f>
        <v>27135.552999999967</v>
      </c>
      <c r="F14" s="486">
        <f t="shared" si="3"/>
        <v>6.0802079397252818E-3</v>
      </c>
      <c r="G14" s="836"/>
      <c r="H14" s="836"/>
      <c r="I14" s="470"/>
      <c r="J14" s="470"/>
      <c r="K14" s="470"/>
      <c r="L14" s="470"/>
      <c r="M14" s="489"/>
      <c r="N14" s="489"/>
      <c r="O14" s="489"/>
      <c r="P14" s="489"/>
      <c r="Q14" s="489"/>
      <c r="R14" s="489"/>
      <c r="S14" s="489"/>
      <c r="T14" s="489"/>
    </row>
    <row r="15" spans="1:31" s="337" customFormat="1" ht="18">
      <c r="A15" s="490">
        <f t="shared" si="2"/>
        <v>46151</v>
      </c>
      <c r="B15" s="483">
        <v>4779377.7499999991</v>
      </c>
      <c r="C15" s="484">
        <f>'[6]0509合計'!$P$2</f>
        <v>9558.0511999999981</v>
      </c>
      <c r="D15" s="485">
        <f t="shared" si="0"/>
        <v>1.9998526377204649E-3</v>
      </c>
      <c r="E15" s="484">
        <f>'[6]0509合計'!$S$2</f>
        <v>29202.252100000012</v>
      </c>
      <c r="F15" s="486">
        <f t="shared" si="3"/>
        <v>6.1100531549321494E-3</v>
      </c>
      <c r="G15" s="836"/>
      <c r="H15" s="836"/>
      <c r="I15" s="470"/>
      <c r="J15" s="470"/>
      <c r="K15" s="470"/>
      <c r="L15" s="470"/>
      <c r="M15" s="489"/>
      <c r="N15" s="489"/>
      <c r="O15" s="489"/>
      <c r="P15" s="489"/>
      <c r="Q15" s="489"/>
      <c r="R15" s="489"/>
      <c r="S15" s="489"/>
      <c r="T15" s="489"/>
    </row>
    <row r="16" spans="1:31" s="337" customFormat="1" ht="18">
      <c r="A16" s="490">
        <f t="shared" si="2"/>
        <v>46152</v>
      </c>
      <c r="B16" s="483">
        <v>6245830.3399999999</v>
      </c>
      <c r="C16" s="484">
        <f>'[6]0510合計'!$P$2</f>
        <v>12541.243699999997</v>
      </c>
      <c r="D16" s="485">
        <f t="shared" si="0"/>
        <v>2.0079385793883089E-3</v>
      </c>
      <c r="E16" s="484">
        <f>'[6]0510合計'!$S$2</f>
        <v>38422.183799999963</v>
      </c>
      <c r="F16" s="486">
        <f t="shared" si="3"/>
        <v>6.1516534565362472E-3</v>
      </c>
      <c r="G16" s="836"/>
      <c r="H16" s="836"/>
      <c r="I16" s="470"/>
      <c r="J16" s="470"/>
      <c r="K16" s="470"/>
      <c r="L16" s="470"/>
      <c r="M16" s="489"/>
      <c r="N16" s="489"/>
      <c r="O16" s="489"/>
      <c r="P16" s="489"/>
      <c r="Q16" s="489"/>
      <c r="R16" s="489"/>
      <c r="S16" s="489"/>
      <c r="T16" s="489"/>
    </row>
    <row r="17" spans="1:20" s="337" customFormat="1" ht="18">
      <c r="A17" s="490">
        <f t="shared" si="2"/>
        <v>46153</v>
      </c>
      <c r="B17" s="483">
        <v>6199228.5199999996</v>
      </c>
      <c r="C17" s="484">
        <f>'[6]0511合計'!$P$2</f>
        <v>12473.983500000002</v>
      </c>
      <c r="D17" s="485">
        <f t="shared" si="0"/>
        <v>2.0121832030802443E-3</v>
      </c>
      <c r="E17" s="484">
        <f>'[6]0511合計'!$S$2</f>
        <v>38148.039400000038</v>
      </c>
      <c r="F17" s="486">
        <f t="shared" si="3"/>
        <v>6.1536752963576892E-3</v>
      </c>
      <c r="G17" s="836"/>
      <c r="H17" s="836"/>
      <c r="I17" s="470"/>
      <c r="J17" s="470"/>
      <c r="K17" s="470"/>
      <c r="L17" s="470"/>
      <c r="M17" s="489"/>
      <c r="N17" s="489"/>
      <c r="O17" s="489"/>
      <c r="P17" s="489"/>
      <c r="Q17" s="489"/>
      <c r="R17" s="489"/>
      <c r="S17" s="489"/>
      <c r="T17" s="489"/>
    </row>
    <row r="18" spans="1:20" s="337" customFormat="1" ht="18">
      <c r="A18" s="482">
        <f t="shared" si="2"/>
        <v>46154</v>
      </c>
      <c r="B18" s="483">
        <v>6454119.2999999998</v>
      </c>
      <c r="C18" s="484">
        <f>'[6]0512合計'!$P$2</f>
        <v>13012.466100000005</v>
      </c>
      <c r="D18" s="485">
        <f t="shared" si="0"/>
        <v>2.0161489887551361E-3</v>
      </c>
      <c r="E18" s="484">
        <f>'[6]0512合計'!$S$2</f>
        <v>40649.32450000001</v>
      </c>
      <c r="F18" s="486">
        <f t="shared" si="3"/>
        <v>6.2981985009170826E-3</v>
      </c>
      <c r="G18" s="835">
        <f>SUM(C18:C24)</f>
        <v>82404.169699999999</v>
      </c>
      <c r="H18" s="835">
        <f>SUM(E18:E24)</f>
        <v>255829.72526000004</v>
      </c>
      <c r="I18" s="470"/>
      <c r="J18" s="470"/>
      <c r="K18" s="470"/>
      <c r="L18" s="470"/>
      <c r="M18" s="489"/>
      <c r="N18" s="489"/>
      <c r="O18" s="489"/>
      <c r="P18" s="489"/>
      <c r="Q18" s="489"/>
      <c r="R18" s="489"/>
      <c r="S18" s="489"/>
      <c r="T18" s="489"/>
    </row>
    <row r="19" spans="1:20" s="337" customFormat="1" ht="18">
      <c r="A19" s="482">
        <f t="shared" si="2"/>
        <v>46155</v>
      </c>
      <c r="B19" s="483">
        <v>6058711.4500000011</v>
      </c>
      <c r="C19" s="484">
        <f>'[6]0513合計'!$P$2</f>
        <v>12176.4776</v>
      </c>
      <c r="D19" s="485">
        <f t="shared" si="0"/>
        <v>2.0097470725396567E-3</v>
      </c>
      <c r="E19" s="484">
        <f>'[6]0513合計'!$S$2</f>
        <v>38239.596700000016</v>
      </c>
      <c r="F19" s="486">
        <f t="shared" si="3"/>
        <v>6.3115065002806838E-3</v>
      </c>
      <c r="G19" s="835"/>
      <c r="H19" s="835"/>
      <c r="I19" s="470"/>
      <c r="J19" s="470"/>
      <c r="K19" s="470"/>
      <c r="L19" s="470"/>
      <c r="M19" s="489"/>
      <c r="N19" s="489"/>
      <c r="O19" s="489"/>
      <c r="P19" s="489"/>
      <c r="Q19" s="489"/>
      <c r="R19" s="489"/>
      <c r="S19" s="489"/>
      <c r="T19" s="489"/>
    </row>
    <row r="20" spans="1:20" s="337" customFormat="1" ht="18">
      <c r="A20" s="482">
        <f t="shared" si="2"/>
        <v>46156</v>
      </c>
      <c r="B20" s="483">
        <v>5491384.3499999996</v>
      </c>
      <c r="C20" s="484">
        <f>'[6]0514合計'!$P$2</f>
        <v>11024.869999999997</v>
      </c>
      <c r="D20" s="485">
        <f t="shared" si="0"/>
        <v>2.007666791707996E-3</v>
      </c>
      <c r="E20" s="484">
        <f>'[6]0514合計'!$S$2</f>
        <v>34246.325399999972</v>
      </c>
      <c r="F20" s="486">
        <f t="shared" si="3"/>
        <v>6.2363737843263468E-3</v>
      </c>
      <c r="G20" s="835"/>
      <c r="H20" s="835"/>
      <c r="I20" s="470"/>
      <c r="J20" s="470"/>
      <c r="K20" s="470"/>
      <c r="L20" s="470"/>
      <c r="M20" s="491"/>
      <c r="N20" s="489"/>
      <c r="O20" s="489"/>
      <c r="P20" s="489"/>
      <c r="Q20" s="489"/>
      <c r="R20" s="489"/>
      <c r="S20" s="489"/>
      <c r="T20" s="489"/>
    </row>
    <row r="21" spans="1:20" s="337" customFormat="1" ht="18">
      <c r="A21" s="482">
        <f t="shared" si="2"/>
        <v>46157</v>
      </c>
      <c r="B21" s="483">
        <v>4614223.6100000003</v>
      </c>
      <c r="C21" s="484">
        <f>'[6]0515合計'!$P$2</f>
        <v>9256.0919999999987</v>
      </c>
      <c r="D21" s="485">
        <f t="shared" si="0"/>
        <v>2.0059912094290543E-3</v>
      </c>
      <c r="E21" s="484">
        <f>'[6]0515合計'!$S$2</f>
        <v>28563.915699999998</v>
      </c>
      <c r="F21" s="486">
        <f t="shared" si="3"/>
        <v>6.1904056054188491E-3</v>
      </c>
      <c r="G21" s="835"/>
      <c r="H21" s="835"/>
      <c r="I21" s="470"/>
      <c r="J21" s="470"/>
      <c r="K21" s="470"/>
      <c r="L21" s="470"/>
      <c r="M21" s="489"/>
      <c r="N21" s="489"/>
      <c r="O21" s="489"/>
      <c r="P21" s="489"/>
      <c r="Q21" s="489"/>
      <c r="R21" s="489"/>
      <c r="S21" s="489"/>
      <c r="T21" s="489"/>
    </row>
    <row r="22" spans="1:20" s="337" customFormat="1" ht="18">
      <c r="A22" s="482">
        <f t="shared" si="2"/>
        <v>46158</v>
      </c>
      <c r="B22" s="483">
        <v>5113313.2699999996</v>
      </c>
      <c r="C22" s="484">
        <f>'[6]0516合計'!$P$2</f>
        <v>10286.441499999997</v>
      </c>
      <c r="D22" s="485">
        <f t="shared" si="0"/>
        <v>2.0116978868380576E-3</v>
      </c>
      <c r="E22" s="484">
        <f>'[6]0516合計'!$S$2</f>
        <v>31722.859200000021</v>
      </c>
      <c r="F22" s="486">
        <f t="shared" si="3"/>
        <v>6.2039733387976095E-3</v>
      </c>
      <c r="G22" s="835"/>
      <c r="H22" s="835"/>
      <c r="I22" s="470"/>
      <c r="J22" s="470"/>
      <c r="K22" s="470"/>
      <c r="L22" s="470"/>
      <c r="M22" s="489"/>
      <c r="N22" s="489"/>
      <c r="O22" s="489"/>
      <c r="P22" s="489"/>
      <c r="Q22" s="489"/>
      <c r="R22" s="489"/>
      <c r="S22" s="489"/>
      <c r="T22" s="489"/>
    </row>
    <row r="23" spans="1:20" s="337" customFormat="1" ht="18">
      <c r="A23" s="482">
        <f t="shared" si="2"/>
        <v>46159</v>
      </c>
      <c r="B23" s="483">
        <v>6768242.5</v>
      </c>
      <c r="C23" s="484">
        <f>'[6]0517合計'!$P$2</f>
        <v>13656.043199999998</v>
      </c>
      <c r="D23" s="485">
        <f t="shared" si="0"/>
        <v>2.0176645857473336E-3</v>
      </c>
      <c r="E23" s="484">
        <f>'[6]0517合計'!$S$2</f>
        <v>42274.572300000007</v>
      </c>
      <c r="F23" s="486">
        <f t="shared" si="3"/>
        <v>6.2460191548987798E-3</v>
      </c>
      <c r="G23" s="835"/>
      <c r="H23" s="835"/>
      <c r="I23" s="470"/>
      <c r="J23" s="470"/>
      <c r="K23" s="470"/>
      <c r="L23" s="470"/>
      <c r="M23" s="489"/>
      <c r="N23" s="489"/>
      <c r="O23" s="489"/>
      <c r="P23" s="489"/>
      <c r="Q23" s="489"/>
      <c r="R23" s="489"/>
      <c r="S23" s="489"/>
      <c r="T23" s="489"/>
    </row>
    <row r="24" spans="1:20" s="337" customFormat="1" ht="18">
      <c r="A24" s="482">
        <f t="shared" si="2"/>
        <v>46160</v>
      </c>
      <c r="B24" s="483">
        <v>6456343.4100000001</v>
      </c>
      <c r="C24" s="484">
        <f>'[6]0518合計'!$P$2</f>
        <v>12991.779300000002</v>
      </c>
      <c r="D24" s="485">
        <f t="shared" si="0"/>
        <v>2.0122503520920987E-3</v>
      </c>
      <c r="E24" s="484">
        <f>'[6]0518合計'!$S$2</f>
        <v>40133.131460000011</v>
      </c>
      <c r="F24" s="486">
        <f t="shared" si="3"/>
        <v>6.2160775707561086E-3</v>
      </c>
      <c r="G24" s="835"/>
      <c r="H24" s="835"/>
      <c r="I24" s="470"/>
      <c r="J24" s="470"/>
      <c r="K24" s="470"/>
      <c r="L24" s="470"/>
      <c r="M24" s="489"/>
      <c r="N24" s="489"/>
      <c r="O24" s="489"/>
      <c r="P24" s="489"/>
      <c r="Q24" s="489"/>
      <c r="R24" s="489"/>
      <c r="S24" s="489"/>
      <c r="T24" s="489"/>
    </row>
    <row r="25" spans="1:20" s="337" customFormat="1" ht="18">
      <c r="A25" s="490">
        <f t="shared" si="2"/>
        <v>46161</v>
      </c>
      <c r="B25" s="483">
        <v>6835923.04</v>
      </c>
      <c r="C25" s="484">
        <f>'[6]0519合計'!$P$2</f>
        <v>13809.297800000004</v>
      </c>
      <c r="D25" s="485">
        <f t="shared" si="0"/>
        <v>2.0201072655727272E-3</v>
      </c>
      <c r="E25" s="484">
        <f>'[6]0519合計'!$S$2</f>
        <v>42710.914400000001</v>
      </c>
      <c r="F25" s="486">
        <f t="shared" si="3"/>
        <v>6.2480098371616548E-3</v>
      </c>
      <c r="G25" s="836">
        <f>SUM(C25:C31)</f>
        <v>85594.078699999998</v>
      </c>
      <c r="H25" s="836">
        <f>SUM(E25:E31)</f>
        <v>262491.42059999995</v>
      </c>
      <c r="I25" s="470"/>
      <c r="J25" s="470"/>
      <c r="K25" s="470"/>
      <c r="L25" s="470"/>
      <c r="M25" s="489"/>
      <c r="N25" s="489"/>
      <c r="O25" s="489"/>
      <c r="P25" s="489"/>
      <c r="Q25" s="489"/>
      <c r="R25" s="489"/>
      <c r="S25" s="489"/>
      <c r="T25" s="489"/>
    </row>
    <row r="26" spans="1:20" s="337" customFormat="1" ht="18">
      <c r="A26" s="490">
        <f t="shared" si="2"/>
        <v>46162</v>
      </c>
      <c r="B26" s="483">
        <v>6228516.46</v>
      </c>
      <c r="C26" s="484">
        <f>'[6]0520合計'!$P$2</f>
        <v>12531.831999999999</v>
      </c>
      <c r="D26" s="485">
        <f t="shared" si="0"/>
        <v>2.0120091325888539E-3</v>
      </c>
      <c r="E26" s="484">
        <f>'[6]0520合計'!$S$2</f>
        <v>38639.647399999994</v>
      </c>
      <c r="F26" s="486">
        <f t="shared" si="3"/>
        <v>6.203667863470653E-3</v>
      </c>
      <c r="G26" s="836"/>
      <c r="H26" s="836"/>
      <c r="I26" s="470"/>
      <c r="J26" s="470"/>
      <c r="K26" s="470"/>
      <c r="L26" s="470"/>
      <c r="M26" s="489"/>
      <c r="N26" s="489"/>
      <c r="O26" s="489"/>
      <c r="P26" s="489"/>
      <c r="Q26" s="489"/>
      <c r="R26" s="489"/>
      <c r="S26" s="489"/>
      <c r="T26" s="489"/>
    </row>
    <row r="27" spans="1:20" s="337" customFormat="1" ht="18">
      <c r="A27" s="490">
        <f t="shared" si="2"/>
        <v>46163</v>
      </c>
      <c r="B27" s="483">
        <v>5748157.8600000003</v>
      </c>
      <c r="C27" s="484">
        <f>'[6]0521合計'!$P$2</f>
        <v>11543.172999999997</v>
      </c>
      <c r="D27" s="485">
        <f t="shared" si="0"/>
        <v>2.0081517037529649E-3</v>
      </c>
      <c r="E27" s="484">
        <f>'[6]0521合計'!$S$2</f>
        <v>35248.849600000009</v>
      </c>
      <c r="F27" s="486">
        <f t="shared" si="3"/>
        <v>6.1321992990637881E-3</v>
      </c>
      <c r="G27" s="836"/>
      <c r="H27" s="836"/>
      <c r="I27" s="470"/>
      <c r="J27" s="470"/>
      <c r="K27" s="470"/>
      <c r="L27" s="470"/>
      <c r="M27" s="489"/>
      <c r="N27" s="489"/>
      <c r="O27" s="489"/>
      <c r="P27" s="489"/>
      <c r="Q27" s="489"/>
      <c r="R27" s="489"/>
      <c r="S27" s="489"/>
      <c r="T27" s="489"/>
    </row>
    <row r="28" spans="1:20" s="337" customFormat="1" ht="18">
      <c r="A28" s="490">
        <f t="shared" si="2"/>
        <v>46164</v>
      </c>
      <c r="B28" s="483">
        <v>5000105.5199999996</v>
      </c>
      <c r="C28" s="484">
        <f>'[6]0522合計'!$P$2</f>
        <v>10029.772500000001</v>
      </c>
      <c r="D28" s="485">
        <f t="shared" si="0"/>
        <v>2.0059121672296233E-3</v>
      </c>
      <c r="E28" s="484">
        <f>'[6]0522合計'!$S$2</f>
        <v>30619.340000000007</v>
      </c>
      <c r="F28" s="486">
        <f t="shared" si="3"/>
        <v>6.1237387646171136E-3</v>
      </c>
      <c r="G28" s="836"/>
      <c r="H28" s="836"/>
      <c r="I28" s="470"/>
      <c r="J28" s="470"/>
      <c r="K28" s="470"/>
      <c r="L28" s="470"/>
      <c r="M28" s="489"/>
      <c r="N28" s="489"/>
      <c r="O28" s="489"/>
      <c r="P28" s="489"/>
      <c r="Q28" s="489"/>
      <c r="R28" s="489"/>
      <c r="S28" s="489"/>
      <c r="T28" s="489"/>
    </row>
    <row r="29" spans="1:20" s="337" customFormat="1" ht="18">
      <c r="A29" s="490">
        <f t="shared" si="2"/>
        <v>46165</v>
      </c>
      <c r="B29" s="483">
        <v>5384919</v>
      </c>
      <c r="C29" s="484">
        <f>'[6]0523合計'!$P$2</f>
        <v>10832.206700000002</v>
      </c>
      <c r="D29" s="485">
        <f t="shared" si="0"/>
        <v>2.0115821055061373E-3</v>
      </c>
      <c r="E29" s="484">
        <f>'[6]0523合計'!$S$2</f>
        <v>33098.064799999986</v>
      </c>
      <c r="F29" s="486">
        <f t="shared" si="3"/>
        <v>6.146436891622694E-3</v>
      </c>
      <c r="G29" s="836"/>
      <c r="H29" s="836"/>
      <c r="I29" s="470"/>
      <c r="J29" s="470"/>
      <c r="K29" s="470"/>
      <c r="L29" s="470"/>
      <c r="M29" s="489"/>
      <c r="N29" s="489"/>
      <c r="O29" s="489"/>
      <c r="P29" s="489"/>
      <c r="Q29" s="489"/>
      <c r="R29" s="489"/>
      <c r="S29" s="489"/>
      <c r="T29" s="489"/>
    </row>
    <row r="30" spans="1:20" s="337" customFormat="1" ht="18">
      <c r="A30" s="490">
        <f t="shared" si="2"/>
        <v>46166</v>
      </c>
      <c r="B30" s="483">
        <v>6678766.4800000004</v>
      </c>
      <c r="C30" s="484">
        <f>'[6]0524合計'!$P$2</f>
        <v>13489.789299999997</v>
      </c>
      <c r="D30" s="485">
        <f t="shared" si="0"/>
        <v>2.0198025099988216E-3</v>
      </c>
      <c r="E30" s="484">
        <f>'[6]0524合計'!$S$2</f>
        <v>41371.554099999965</v>
      </c>
      <c r="F30" s="486">
        <f t="shared" si="3"/>
        <v>6.1944902885719645E-3</v>
      </c>
      <c r="G30" s="836"/>
      <c r="H30" s="836"/>
      <c r="I30" s="470"/>
      <c r="J30" s="470"/>
      <c r="K30" s="470"/>
      <c r="L30" s="470"/>
      <c r="M30" s="489"/>
      <c r="N30" s="489"/>
      <c r="O30" s="489"/>
      <c r="P30" s="489"/>
      <c r="Q30" s="489"/>
      <c r="R30" s="489"/>
      <c r="S30" s="489"/>
      <c r="T30" s="489"/>
    </row>
    <row r="31" spans="1:20" s="337" customFormat="1" ht="18">
      <c r="A31" s="490">
        <f t="shared" si="2"/>
        <v>46167</v>
      </c>
      <c r="B31" s="483">
        <v>6640182.2000000002</v>
      </c>
      <c r="C31" s="484">
        <f>'[6]0525合計'!$P$2</f>
        <v>13358.007399999999</v>
      </c>
      <c r="D31" s="485">
        <f t="shared" si="0"/>
        <v>2.0116929020411517E-3</v>
      </c>
      <c r="E31" s="484">
        <f>'[6]0525合計'!$S$2</f>
        <v>40803.050300000024</v>
      </c>
      <c r="F31" s="486">
        <f t="shared" si="3"/>
        <v>6.1448690820562158E-3</v>
      </c>
      <c r="G31" s="836"/>
      <c r="H31" s="836"/>
      <c r="I31" s="470"/>
      <c r="J31" s="470"/>
      <c r="K31" s="470"/>
      <c r="L31" s="470"/>
      <c r="M31" s="489"/>
      <c r="N31" s="489"/>
      <c r="O31" s="489"/>
      <c r="P31" s="489"/>
      <c r="Q31" s="489"/>
      <c r="R31" s="489"/>
      <c r="S31" s="489"/>
      <c r="T31" s="489"/>
    </row>
    <row r="32" spans="1:20" s="337" customFormat="1" ht="18">
      <c r="A32" s="482">
        <f t="shared" si="2"/>
        <v>46168</v>
      </c>
      <c r="B32" s="483"/>
      <c r="C32" s="484"/>
      <c r="D32" s="485" t="e">
        <f t="shared" si="0"/>
        <v>#DIV/0!</v>
      </c>
      <c r="E32" s="484"/>
      <c r="F32" s="486" t="e">
        <f t="shared" si="3"/>
        <v>#DIV/0!</v>
      </c>
      <c r="G32" s="835">
        <f>SUM(C32:C38)</f>
        <v>0</v>
      </c>
      <c r="H32" s="835">
        <f>SUM(E32:E38)</f>
        <v>0</v>
      </c>
      <c r="I32" s="470"/>
      <c r="J32" s="470"/>
      <c r="K32" s="470"/>
      <c r="L32" s="470"/>
      <c r="M32" s="489"/>
      <c r="N32" s="489"/>
      <c r="O32" s="489"/>
      <c r="P32" s="489"/>
      <c r="Q32" s="489"/>
      <c r="R32" s="489"/>
      <c r="S32" s="489"/>
      <c r="T32" s="489"/>
    </row>
    <row r="33" spans="1:20" s="337" customFormat="1" ht="18">
      <c r="A33" s="482">
        <f t="shared" si="2"/>
        <v>46169</v>
      </c>
      <c r="B33" s="483"/>
      <c r="C33" s="484"/>
      <c r="D33" s="485" t="e">
        <f t="shared" si="0"/>
        <v>#DIV/0!</v>
      </c>
      <c r="E33" s="484"/>
      <c r="F33" s="486" t="e">
        <f t="shared" si="3"/>
        <v>#DIV/0!</v>
      </c>
      <c r="G33" s="835"/>
      <c r="H33" s="835"/>
      <c r="I33" s="470"/>
      <c r="J33" s="470"/>
      <c r="K33" s="470"/>
      <c r="L33" s="470"/>
      <c r="M33" s="489"/>
      <c r="N33" s="489"/>
      <c r="O33" s="489"/>
      <c r="P33" s="489"/>
      <c r="Q33" s="489"/>
      <c r="R33" s="489"/>
      <c r="S33" s="489"/>
      <c r="T33" s="489"/>
    </row>
    <row r="34" spans="1:20" s="337" customFormat="1" ht="18">
      <c r="A34" s="482">
        <f t="shared" si="2"/>
        <v>46170</v>
      </c>
      <c r="B34" s="483"/>
      <c r="C34" s="484"/>
      <c r="D34" s="485" t="e">
        <f t="shared" si="0"/>
        <v>#DIV/0!</v>
      </c>
      <c r="E34" s="484"/>
      <c r="F34" s="486" t="e">
        <f t="shared" si="3"/>
        <v>#DIV/0!</v>
      </c>
      <c r="G34" s="835"/>
      <c r="H34" s="835"/>
      <c r="I34" s="470"/>
      <c r="J34" s="470"/>
      <c r="K34" s="470"/>
      <c r="L34" s="470"/>
      <c r="M34" s="489"/>
      <c r="N34" s="489"/>
      <c r="O34" s="489"/>
      <c r="P34" s="489"/>
      <c r="Q34" s="489"/>
      <c r="R34" s="489"/>
      <c r="S34" s="489"/>
      <c r="T34" s="489"/>
    </row>
    <row r="35" spans="1:20" s="337" customFormat="1" ht="18">
      <c r="A35" s="482">
        <f t="shared" si="2"/>
        <v>46171</v>
      </c>
      <c r="B35" s="483"/>
      <c r="C35" s="484"/>
      <c r="D35" s="485" t="e">
        <f t="shared" si="0"/>
        <v>#DIV/0!</v>
      </c>
      <c r="E35" s="484"/>
      <c r="F35" s="486" t="e">
        <f t="shared" si="3"/>
        <v>#DIV/0!</v>
      </c>
      <c r="G35" s="835"/>
      <c r="H35" s="835"/>
      <c r="I35" s="470"/>
      <c r="J35" s="470"/>
      <c r="K35" s="470"/>
      <c r="L35" s="470"/>
      <c r="M35" s="489"/>
      <c r="N35" s="489"/>
      <c r="O35" s="489"/>
      <c r="P35" s="489"/>
      <c r="Q35" s="489"/>
      <c r="R35" s="489"/>
      <c r="S35" s="489"/>
      <c r="T35" s="489"/>
    </row>
    <row r="36" spans="1:20" s="337" customFormat="1" ht="18">
      <c r="A36" s="482">
        <f t="shared" si="2"/>
        <v>46172</v>
      </c>
      <c r="B36" s="483"/>
      <c r="C36" s="484"/>
      <c r="D36" s="485" t="e">
        <f t="shared" si="0"/>
        <v>#DIV/0!</v>
      </c>
      <c r="E36" s="484"/>
      <c r="F36" s="486" t="e">
        <f t="shared" si="3"/>
        <v>#DIV/0!</v>
      </c>
      <c r="G36" s="835"/>
      <c r="H36" s="835"/>
      <c r="I36" s="470"/>
      <c r="J36" s="470"/>
      <c r="K36" s="470"/>
      <c r="L36" s="470"/>
      <c r="M36" s="489"/>
      <c r="N36" s="489"/>
      <c r="O36" s="489"/>
      <c r="P36" s="489"/>
      <c r="Q36" s="489"/>
      <c r="R36" s="489"/>
      <c r="S36" s="489"/>
      <c r="T36" s="489"/>
    </row>
    <row r="37" spans="1:20" s="337" customFormat="1" ht="18">
      <c r="A37" s="482">
        <f t="shared" si="2"/>
        <v>46173</v>
      </c>
      <c r="B37" s="483"/>
      <c r="C37" s="484"/>
      <c r="D37" s="485" t="e">
        <f t="shared" si="0"/>
        <v>#DIV/0!</v>
      </c>
      <c r="E37" s="484"/>
      <c r="F37" s="486" t="e">
        <f t="shared" si="3"/>
        <v>#DIV/0!</v>
      </c>
      <c r="G37" s="835"/>
      <c r="H37" s="835"/>
      <c r="I37" s="470"/>
      <c r="J37" s="470"/>
      <c r="K37" s="470"/>
      <c r="L37" s="470"/>
      <c r="M37" s="489"/>
      <c r="N37" s="489"/>
      <c r="O37" s="489"/>
      <c r="P37" s="489"/>
      <c r="Q37" s="489"/>
      <c r="R37" s="489"/>
      <c r="S37" s="489"/>
      <c r="T37" s="489"/>
    </row>
    <row r="38" spans="1:20" s="337" customFormat="1" ht="18">
      <c r="A38" s="482">
        <f t="shared" si="2"/>
        <v>46174</v>
      </c>
      <c r="B38" s="483"/>
      <c r="C38" s="484"/>
      <c r="D38" s="485" t="e">
        <f t="shared" si="0"/>
        <v>#DIV/0!</v>
      </c>
      <c r="E38" s="484"/>
      <c r="F38" s="486" t="e">
        <f t="shared" si="3"/>
        <v>#DIV/0!</v>
      </c>
      <c r="G38" s="835"/>
      <c r="H38" s="835"/>
      <c r="I38" s="470"/>
      <c r="J38" s="470"/>
      <c r="K38" s="470"/>
      <c r="L38" s="470"/>
      <c r="M38" s="489"/>
      <c r="N38" s="489"/>
      <c r="O38" s="489"/>
      <c r="P38" s="489"/>
      <c r="Q38" s="489"/>
      <c r="R38" s="489"/>
      <c r="S38" s="489"/>
      <c r="T38" s="489"/>
    </row>
    <row r="39" spans="1:20" s="337" customFormat="1" ht="18">
      <c r="A39" s="490">
        <f t="shared" si="2"/>
        <v>46175</v>
      </c>
      <c r="B39" s="483"/>
      <c r="C39" s="484"/>
      <c r="D39" s="485" t="e">
        <f t="shared" si="0"/>
        <v>#DIV/0!</v>
      </c>
      <c r="E39" s="484"/>
      <c r="F39" s="486" t="e">
        <f t="shared" si="3"/>
        <v>#DIV/0!</v>
      </c>
      <c r="G39" s="836">
        <f>SUM(C39:C45)</f>
        <v>0</v>
      </c>
      <c r="H39" s="836">
        <f>SUM(E39:E45)</f>
        <v>0</v>
      </c>
      <c r="I39" s="470"/>
      <c r="J39" s="470"/>
      <c r="K39" s="470"/>
      <c r="L39" s="470"/>
      <c r="M39" s="489"/>
      <c r="N39" s="489"/>
      <c r="O39" s="489"/>
      <c r="P39" s="489"/>
      <c r="Q39" s="489"/>
      <c r="R39" s="489"/>
      <c r="S39" s="489"/>
      <c r="T39" s="489"/>
    </row>
    <row r="40" spans="1:20" s="337" customFormat="1" ht="18">
      <c r="A40" s="490">
        <f t="shared" si="2"/>
        <v>46176</v>
      </c>
      <c r="B40" s="483"/>
      <c r="C40" s="484"/>
      <c r="D40" s="485" t="e">
        <f t="shared" si="0"/>
        <v>#DIV/0!</v>
      </c>
      <c r="E40" s="484"/>
      <c r="F40" s="486" t="e">
        <f t="shared" si="3"/>
        <v>#DIV/0!</v>
      </c>
      <c r="G40" s="836"/>
      <c r="H40" s="836"/>
      <c r="I40" s="470"/>
      <c r="J40" s="470"/>
      <c r="K40" s="470"/>
      <c r="L40" s="470"/>
      <c r="M40" s="489"/>
      <c r="N40" s="489"/>
      <c r="O40" s="489"/>
      <c r="P40" s="489"/>
      <c r="Q40" s="489"/>
      <c r="R40" s="489"/>
      <c r="S40" s="489"/>
      <c r="T40" s="489"/>
    </row>
    <row r="41" spans="1:20" s="337" customFormat="1" ht="18">
      <c r="A41" s="490">
        <f t="shared" si="2"/>
        <v>46177</v>
      </c>
      <c r="B41" s="483"/>
      <c r="C41" s="484"/>
      <c r="D41" s="485" t="e">
        <f t="shared" si="0"/>
        <v>#DIV/0!</v>
      </c>
      <c r="E41" s="484"/>
      <c r="F41" s="486" t="e">
        <f t="shared" si="3"/>
        <v>#DIV/0!</v>
      </c>
      <c r="G41" s="836"/>
      <c r="H41" s="836"/>
      <c r="I41" s="470"/>
      <c r="J41" s="470"/>
      <c r="K41" s="470"/>
      <c r="L41" s="470"/>
      <c r="M41" s="489"/>
      <c r="N41" s="489"/>
      <c r="O41" s="489"/>
      <c r="P41" s="489"/>
      <c r="Q41" s="489"/>
      <c r="R41" s="489"/>
      <c r="S41" s="489"/>
      <c r="T41" s="489"/>
    </row>
    <row r="42" spans="1:20" s="337" customFormat="1" ht="18">
      <c r="A42" s="490">
        <f t="shared" si="2"/>
        <v>46178</v>
      </c>
      <c r="B42" s="483"/>
      <c r="C42" s="484"/>
      <c r="D42" s="485" t="e">
        <f t="shared" si="0"/>
        <v>#DIV/0!</v>
      </c>
      <c r="E42" s="484"/>
      <c r="F42" s="486" t="e">
        <f t="shared" si="3"/>
        <v>#DIV/0!</v>
      </c>
      <c r="G42" s="836"/>
      <c r="H42" s="836"/>
      <c r="I42" s="470"/>
      <c r="J42" s="470"/>
      <c r="K42" s="470"/>
      <c r="L42" s="470"/>
      <c r="M42" s="489"/>
      <c r="N42" s="489"/>
      <c r="O42" s="489"/>
      <c r="P42" s="489"/>
      <c r="Q42" s="489"/>
      <c r="R42" s="489"/>
      <c r="S42" s="489"/>
      <c r="T42" s="489"/>
    </row>
    <row r="43" spans="1:20" s="337" customFormat="1" ht="18">
      <c r="A43" s="490">
        <f t="shared" si="2"/>
        <v>46179</v>
      </c>
      <c r="B43" s="483"/>
      <c r="C43" s="484"/>
      <c r="D43" s="485" t="e">
        <f t="shared" si="0"/>
        <v>#DIV/0!</v>
      </c>
      <c r="E43" s="484"/>
      <c r="F43" s="486" t="e">
        <f t="shared" si="3"/>
        <v>#DIV/0!</v>
      </c>
      <c r="G43" s="836"/>
      <c r="H43" s="836"/>
      <c r="I43" s="470"/>
      <c r="J43" s="470"/>
      <c r="K43" s="470"/>
      <c r="L43" s="470"/>
      <c r="M43" s="489"/>
      <c r="N43" s="489"/>
      <c r="O43" s="489"/>
      <c r="P43" s="489"/>
      <c r="Q43" s="489"/>
      <c r="R43" s="489"/>
      <c r="S43" s="489"/>
      <c r="T43" s="489"/>
    </row>
    <row r="44" spans="1:20" s="337" customFormat="1" ht="18">
      <c r="A44" s="490">
        <f t="shared" si="2"/>
        <v>46180</v>
      </c>
      <c r="B44" s="483"/>
      <c r="C44" s="484"/>
      <c r="D44" s="485" t="e">
        <f t="shared" si="0"/>
        <v>#DIV/0!</v>
      </c>
      <c r="E44" s="484"/>
      <c r="F44" s="486" t="e">
        <f t="shared" si="3"/>
        <v>#DIV/0!</v>
      </c>
      <c r="G44" s="836"/>
      <c r="H44" s="836"/>
      <c r="I44" s="470"/>
      <c r="J44" s="470"/>
      <c r="K44" s="470"/>
      <c r="L44" s="470"/>
      <c r="M44" s="489"/>
      <c r="N44" s="489"/>
      <c r="O44" s="489"/>
      <c r="P44" s="489"/>
      <c r="Q44" s="489"/>
      <c r="R44" s="489"/>
      <c r="S44" s="489"/>
      <c r="T44" s="489"/>
    </row>
    <row r="45" spans="1:20" s="337" customFormat="1" ht="18">
      <c r="A45" s="490">
        <f t="shared" si="2"/>
        <v>46181</v>
      </c>
      <c r="B45" s="483"/>
      <c r="C45" s="484"/>
      <c r="D45" s="485" t="e">
        <f t="shared" si="0"/>
        <v>#DIV/0!</v>
      </c>
      <c r="E45" s="484"/>
      <c r="F45" s="486" t="e">
        <f t="shared" si="3"/>
        <v>#DIV/0!</v>
      </c>
      <c r="G45" s="836"/>
      <c r="H45" s="836"/>
      <c r="I45" s="470"/>
      <c r="J45" s="470"/>
      <c r="K45" s="470"/>
      <c r="L45" s="470"/>
      <c r="M45" s="489"/>
      <c r="N45" s="489"/>
      <c r="O45" s="489"/>
      <c r="P45" s="489"/>
      <c r="Q45" s="489"/>
      <c r="R45" s="489"/>
      <c r="S45" s="489"/>
      <c r="T45" s="489"/>
    </row>
    <row r="46" spans="1:20" s="337" customFormat="1" ht="18">
      <c r="A46" s="482">
        <f t="shared" si="2"/>
        <v>46182</v>
      </c>
      <c r="B46" s="483"/>
      <c r="C46" s="484"/>
      <c r="D46" s="485" t="e">
        <f t="shared" si="0"/>
        <v>#DIV/0!</v>
      </c>
      <c r="E46" s="484"/>
      <c r="F46" s="486" t="e">
        <f t="shared" si="3"/>
        <v>#DIV/0!</v>
      </c>
      <c r="G46" s="835">
        <f>SUM(C46:C52)</f>
        <v>0</v>
      </c>
      <c r="H46" s="835">
        <f>SUM(E46:E52)</f>
        <v>0</v>
      </c>
      <c r="I46" s="470"/>
      <c r="J46" s="470"/>
      <c r="K46" s="470"/>
      <c r="L46" s="470"/>
      <c r="M46" s="489"/>
      <c r="N46" s="489"/>
      <c r="O46" s="489"/>
      <c r="P46" s="489"/>
      <c r="Q46" s="489"/>
      <c r="R46" s="489"/>
      <c r="S46" s="489"/>
      <c r="T46" s="489"/>
    </row>
    <row r="47" spans="1:20" s="337" customFormat="1" ht="18">
      <c r="A47" s="482">
        <f t="shared" si="2"/>
        <v>46183</v>
      </c>
      <c r="B47" s="483"/>
      <c r="C47" s="484"/>
      <c r="D47" s="485" t="e">
        <f t="shared" si="0"/>
        <v>#DIV/0!</v>
      </c>
      <c r="E47" s="484"/>
      <c r="F47" s="486" t="e">
        <f t="shared" si="3"/>
        <v>#DIV/0!</v>
      </c>
      <c r="G47" s="835"/>
      <c r="H47" s="835"/>
      <c r="I47" s="470"/>
      <c r="J47" s="470"/>
      <c r="K47" s="470"/>
      <c r="L47" s="470"/>
      <c r="M47" s="489"/>
      <c r="N47" s="489"/>
      <c r="O47" s="489"/>
      <c r="P47" s="489"/>
      <c r="Q47" s="489"/>
      <c r="R47" s="489"/>
      <c r="S47" s="489"/>
      <c r="T47" s="489"/>
    </row>
    <row r="48" spans="1:20" s="337" customFormat="1" ht="18">
      <c r="A48" s="482">
        <f t="shared" si="2"/>
        <v>46184</v>
      </c>
      <c r="B48" s="483"/>
      <c r="C48" s="484"/>
      <c r="D48" s="485" t="e">
        <f t="shared" si="0"/>
        <v>#DIV/0!</v>
      </c>
      <c r="E48" s="484"/>
      <c r="F48" s="486" t="e">
        <f t="shared" si="3"/>
        <v>#DIV/0!</v>
      </c>
      <c r="G48" s="835"/>
      <c r="H48" s="835"/>
      <c r="I48" s="470"/>
      <c r="J48" s="470"/>
      <c r="K48" s="470"/>
      <c r="L48" s="470"/>
      <c r="M48" s="489"/>
      <c r="N48" s="489"/>
      <c r="O48" s="489"/>
      <c r="P48" s="489"/>
      <c r="Q48" s="489"/>
      <c r="R48" s="489"/>
      <c r="S48" s="489"/>
      <c r="T48" s="489"/>
    </row>
    <row r="49" spans="1:20" s="337" customFormat="1" ht="18">
      <c r="A49" s="482">
        <f t="shared" si="2"/>
        <v>46185</v>
      </c>
      <c r="B49" s="483"/>
      <c r="C49" s="484"/>
      <c r="D49" s="485" t="e">
        <f t="shared" si="0"/>
        <v>#DIV/0!</v>
      </c>
      <c r="E49" s="484"/>
      <c r="F49" s="486" t="e">
        <f t="shared" si="3"/>
        <v>#DIV/0!</v>
      </c>
      <c r="G49" s="835"/>
      <c r="H49" s="835"/>
      <c r="I49" s="470"/>
      <c r="J49" s="470"/>
      <c r="K49" s="470"/>
      <c r="L49" s="470"/>
      <c r="M49" s="489"/>
      <c r="N49" s="489"/>
      <c r="O49" s="489"/>
      <c r="P49" s="489"/>
      <c r="Q49" s="489"/>
      <c r="R49" s="489"/>
      <c r="S49" s="489"/>
      <c r="T49" s="489"/>
    </row>
    <row r="50" spans="1:20" s="337" customFormat="1" ht="18">
      <c r="A50" s="482">
        <f t="shared" si="2"/>
        <v>46186</v>
      </c>
      <c r="B50" s="483"/>
      <c r="C50" s="484"/>
      <c r="D50" s="485" t="e">
        <f t="shared" si="0"/>
        <v>#DIV/0!</v>
      </c>
      <c r="E50" s="484"/>
      <c r="F50" s="486" t="e">
        <f t="shared" si="3"/>
        <v>#DIV/0!</v>
      </c>
      <c r="G50" s="835"/>
      <c r="H50" s="835"/>
      <c r="I50" s="470"/>
      <c r="J50" s="470"/>
      <c r="K50" s="470"/>
      <c r="L50" s="470"/>
      <c r="M50" s="489"/>
      <c r="N50" s="489"/>
      <c r="O50" s="489"/>
      <c r="P50" s="489"/>
      <c r="Q50" s="489"/>
      <c r="R50" s="489"/>
      <c r="S50" s="489"/>
      <c r="T50" s="489"/>
    </row>
    <row r="51" spans="1:20" s="337" customFormat="1" ht="18">
      <c r="A51" s="482">
        <f t="shared" si="2"/>
        <v>46187</v>
      </c>
      <c r="B51" s="483"/>
      <c r="C51" s="484"/>
      <c r="D51" s="485" t="e">
        <f t="shared" si="0"/>
        <v>#DIV/0!</v>
      </c>
      <c r="E51" s="484"/>
      <c r="F51" s="486" t="e">
        <f t="shared" si="3"/>
        <v>#DIV/0!</v>
      </c>
      <c r="G51" s="835"/>
      <c r="H51" s="835"/>
      <c r="I51" s="470"/>
      <c r="J51" s="470"/>
      <c r="K51" s="470"/>
      <c r="L51" s="470"/>
      <c r="M51" s="489"/>
      <c r="N51" s="489"/>
      <c r="O51" s="489"/>
      <c r="P51" s="489"/>
      <c r="Q51" s="489"/>
      <c r="R51" s="489"/>
      <c r="S51" s="489"/>
      <c r="T51" s="489"/>
    </row>
    <row r="52" spans="1:20" s="337" customFormat="1" ht="18">
      <c r="A52" s="482">
        <f t="shared" si="2"/>
        <v>46188</v>
      </c>
      <c r="B52" s="483"/>
      <c r="C52" s="484"/>
      <c r="D52" s="485" t="e">
        <f t="shared" si="0"/>
        <v>#DIV/0!</v>
      </c>
      <c r="E52" s="484"/>
      <c r="F52" s="486" t="e">
        <f t="shared" si="3"/>
        <v>#DIV/0!</v>
      </c>
      <c r="G52" s="835"/>
      <c r="H52" s="835"/>
      <c r="I52" s="470"/>
      <c r="J52" s="470"/>
      <c r="K52" s="470"/>
      <c r="L52" s="470"/>
      <c r="M52" s="489"/>
      <c r="N52" s="489"/>
      <c r="O52" s="489"/>
      <c r="P52" s="489"/>
      <c r="Q52" s="489"/>
      <c r="R52" s="489"/>
      <c r="S52" s="489"/>
      <c r="T52" s="489"/>
    </row>
    <row r="53" spans="1:20" ht="18">
      <c r="A53" s="470"/>
      <c r="B53" s="470"/>
      <c r="C53" s="470"/>
      <c r="D53" s="470"/>
      <c r="E53" s="470"/>
      <c r="F53" s="470"/>
      <c r="G53" s="470"/>
      <c r="H53" s="470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</row>
    <row r="54" spans="1:20" ht="18.75">
      <c r="A54" s="492" t="s">
        <v>693</v>
      </c>
      <c r="B54" s="493">
        <f>SUM(B7:B37)</f>
        <v>143048478.43999997</v>
      </c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</row>
    <row r="55" spans="1:20" ht="18">
      <c r="A55" s="470"/>
      <c r="B55" s="470"/>
      <c r="C55" s="470"/>
      <c r="D55" s="470"/>
      <c r="E55" s="470"/>
      <c r="F55" s="470"/>
      <c r="G55" s="470"/>
      <c r="H55" s="470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</row>
  </sheetData>
  <mergeCells count="15">
    <mergeCell ref="A1:H1"/>
    <mergeCell ref="G4:G10"/>
    <mergeCell ref="H4:H10"/>
    <mergeCell ref="G11:G17"/>
    <mergeCell ref="H11:H17"/>
    <mergeCell ref="G18:G24"/>
    <mergeCell ref="H18:H24"/>
    <mergeCell ref="G46:G52"/>
    <mergeCell ref="H46:H52"/>
    <mergeCell ref="G25:G31"/>
    <mergeCell ref="H25:H31"/>
    <mergeCell ref="G32:G38"/>
    <mergeCell ref="H32:H38"/>
    <mergeCell ref="G39:G45"/>
    <mergeCell ref="H39:H45"/>
  </mergeCells>
  <phoneticPr fontId="13" type="noConversion"/>
  <conditionalFormatting sqref="A4:A52">
    <cfRule type="timePeriod" dxfId="2" priority="2" timePeriod="yesterday">
      <formula>FLOOR(A4,1)=TODAY()-1</formula>
    </cfRule>
  </conditionalFormatting>
  <conditionalFormatting sqref="D4:D52">
    <cfRule type="cellIs" dxfId="1" priority="1" operator="greaterThan">
      <formula>0.0025</formula>
    </cfRule>
  </conditionalFormatting>
  <conditionalFormatting sqref="D54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 codeName="工作表34">
    <tabColor rgb="FF92D050"/>
    <pageSetUpPr fitToPage="1"/>
  </sheetPr>
  <dimension ref="B2:AJ168"/>
  <sheetViews>
    <sheetView zoomScale="70" zoomScaleNormal="70" workbookViewId="0">
      <pane xSplit="3" ySplit="2" topLeftCell="D71" activePane="bottomRight" state="frozen"/>
      <selection pane="topRight" activeCell="D1" sqref="D1"/>
      <selection pane="bottomLeft" activeCell="A4" sqref="A4"/>
      <selection pane="bottomRight" activeCell="W92" sqref="W92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7.28515625" style="146" bestFit="1" customWidth="1"/>
    <col min="9" max="9" width="16.85546875" style="146" customWidth="1"/>
    <col min="10" max="10" width="14" style="146" customWidth="1"/>
    <col min="11" max="11" width="16.85546875" style="146" customWidth="1"/>
    <col min="12" max="12" width="14" style="146" customWidth="1"/>
    <col min="13" max="13" width="13.85546875" style="146" bestFit="1" customWidth="1"/>
    <col min="14" max="14" width="10.85546875" style="146" bestFit="1" customWidth="1"/>
    <col min="15" max="15" width="19.140625" style="146" bestFit="1" customWidth="1"/>
    <col min="16" max="16" width="15.28515625" style="146" bestFit="1" customWidth="1"/>
    <col min="17" max="17" width="12.5703125" style="146" bestFit="1" customWidth="1"/>
    <col min="18" max="18" width="12.85546875" style="146" bestFit="1" customWidth="1"/>
    <col min="19" max="19" width="13.42578125" style="146" bestFit="1" customWidth="1"/>
    <col min="20" max="20" width="12.85546875" style="146" bestFit="1" customWidth="1"/>
    <col min="21" max="21" width="10.85546875" style="146" bestFit="1" customWidth="1"/>
    <col min="22" max="22" width="12.42578125" style="146" bestFit="1" customWidth="1"/>
    <col min="23" max="23" width="25.28515625" style="146" bestFit="1" customWidth="1"/>
    <col min="24" max="24" width="88.28515625" style="146" customWidth="1"/>
    <col min="25" max="25" width="117.7109375" style="146" bestFit="1" customWidth="1"/>
    <col min="26" max="26" width="11.5703125" style="146" bestFit="1" customWidth="1"/>
    <col min="27" max="27" width="69.5703125" style="146" bestFit="1" customWidth="1"/>
    <col min="28" max="28" width="11.42578125" style="146" bestFit="1" customWidth="1"/>
    <col min="29" max="29" width="21.5703125" style="146" customWidth="1"/>
    <col min="30" max="30" width="19.42578125" style="146" bestFit="1" customWidth="1"/>
    <col min="31" max="36" width="14.42578125" style="146" customWidth="1"/>
    <col min="37" max="16384" width="8.85546875" style="146"/>
  </cols>
  <sheetData>
    <row r="2" spans="2:36" ht="41.1" customHeight="1">
      <c r="B2" s="884" t="s">
        <v>452</v>
      </c>
      <c r="C2" s="885"/>
      <c r="D2" s="885"/>
      <c r="E2" s="885"/>
      <c r="F2" s="885"/>
      <c r="G2" s="885"/>
      <c r="H2" s="885"/>
      <c r="I2" s="885"/>
      <c r="J2" s="885"/>
      <c r="K2" s="885"/>
      <c r="L2" s="885"/>
      <c r="M2" s="885"/>
      <c r="N2" s="885"/>
      <c r="O2" s="885"/>
      <c r="P2" s="885"/>
      <c r="Q2" s="885"/>
      <c r="R2" s="885"/>
      <c r="S2" s="885"/>
      <c r="T2" s="885"/>
      <c r="U2" s="885"/>
      <c r="V2" s="885"/>
      <c r="W2" s="885"/>
      <c r="X2" s="885"/>
      <c r="Y2" s="885"/>
      <c r="Z2" s="885"/>
      <c r="AA2" s="885"/>
      <c r="AC2" s="147"/>
      <c r="AD2" s="147"/>
    </row>
    <row r="3" spans="2:36" ht="17.100000000000001" customHeight="1">
      <c r="B3" s="854" t="s">
        <v>453</v>
      </c>
      <c r="C3" s="855"/>
      <c r="D3" s="860" t="s">
        <v>170</v>
      </c>
      <c r="E3" s="860"/>
      <c r="F3" s="860"/>
      <c r="G3" s="861" t="s">
        <v>184</v>
      </c>
      <c r="H3" s="862"/>
      <c r="I3" s="862"/>
      <c r="J3" s="862"/>
      <c r="K3" s="862"/>
      <c r="L3" s="862"/>
      <c r="M3" s="862"/>
      <c r="N3" s="862"/>
      <c r="O3" s="862"/>
      <c r="P3" s="862"/>
      <c r="Q3" s="862"/>
      <c r="R3" s="862"/>
      <c r="S3" s="862"/>
      <c r="T3" s="862"/>
      <c r="U3" s="863"/>
      <c r="V3" s="864" t="s">
        <v>171</v>
      </c>
      <c r="W3" s="864" t="s">
        <v>245</v>
      </c>
      <c r="X3" s="896" t="s">
        <v>454</v>
      </c>
      <c r="Y3" s="896" t="s">
        <v>455</v>
      </c>
      <c r="Z3" s="864" t="s">
        <v>246</v>
      </c>
      <c r="AA3" s="870" t="s">
        <v>172</v>
      </c>
      <c r="AC3" s="845" t="s">
        <v>247</v>
      </c>
      <c r="AD3" s="846"/>
      <c r="AE3" s="846"/>
      <c r="AF3" s="846"/>
      <c r="AG3" s="846"/>
      <c r="AH3" s="846"/>
      <c r="AI3" s="846"/>
      <c r="AJ3" s="847"/>
    </row>
    <row r="4" spans="2:36" ht="17.100000000000001" customHeight="1">
      <c r="B4" s="856"/>
      <c r="C4" s="857"/>
      <c r="D4" s="867" t="s">
        <v>169</v>
      </c>
      <c r="E4" s="860" t="s">
        <v>173</v>
      </c>
      <c r="F4" s="860"/>
      <c r="G4" s="861" t="s">
        <v>185</v>
      </c>
      <c r="H4" s="862"/>
      <c r="I4" s="862"/>
      <c r="J4" s="862"/>
      <c r="K4" s="862"/>
      <c r="L4" s="862"/>
      <c r="M4" s="862"/>
      <c r="N4" s="862"/>
      <c r="O4" s="862"/>
      <c r="P4" s="863"/>
      <c r="Q4" s="861" t="s">
        <v>174</v>
      </c>
      <c r="R4" s="862"/>
      <c r="S4" s="862"/>
      <c r="T4" s="862"/>
      <c r="U4" s="863"/>
      <c r="V4" s="865"/>
      <c r="W4" s="865"/>
      <c r="X4" s="897"/>
      <c r="Y4" s="897"/>
      <c r="Z4" s="865"/>
      <c r="AA4" s="899"/>
      <c r="AC4" s="848"/>
      <c r="AD4" s="849"/>
      <c r="AE4" s="849"/>
      <c r="AF4" s="849"/>
      <c r="AG4" s="849"/>
      <c r="AH4" s="849"/>
      <c r="AI4" s="849"/>
      <c r="AJ4" s="850"/>
    </row>
    <row r="5" spans="2:36" ht="17.100000000000001" customHeight="1">
      <c r="B5" s="856"/>
      <c r="C5" s="857"/>
      <c r="D5" s="867"/>
      <c r="E5" s="867" t="s">
        <v>175</v>
      </c>
      <c r="F5" s="886" t="s">
        <v>248</v>
      </c>
      <c r="G5" s="887" t="s">
        <v>186</v>
      </c>
      <c r="H5" s="888"/>
      <c r="I5" s="888"/>
      <c r="J5" s="888"/>
      <c r="K5" s="888"/>
      <c r="L5" s="888"/>
      <c r="M5" s="888"/>
      <c r="N5" s="888"/>
      <c r="O5" s="888"/>
      <c r="P5" s="889"/>
      <c r="Q5" s="887" t="s">
        <v>168</v>
      </c>
      <c r="R5" s="889"/>
      <c r="S5" s="887" t="s">
        <v>176</v>
      </c>
      <c r="T5" s="888"/>
      <c r="U5" s="889"/>
      <c r="V5" s="865"/>
      <c r="W5" s="865"/>
      <c r="X5" s="897"/>
      <c r="Y5" s="897"/>
      <c r="Z5" s="865"/>
      <c r="AA5" s="899"/>
      <c r="AC5" s="851"/>
      <c r="AD5" s="852"/>
      <c r="AE5" s="852"/>
      <c r="AF5" s="852"/>
      <c r="AG5" s="852"/>
      <c r="AH5" s="852"/>
      <c r="AI5" s="852"/>
      <c r="AJ5" s="853"/>
    </row>
    <row r="6" spans="2:36" ht="38.450000000000003" customHeight="1">
      <c r="B6" s="858"/>
      <c r="C6" s="859"/>
      <c r="D6" s="867"/>
      <c r="E6" s="867"/>
      <c r="F6" s="886"/>
      <c r="G6" s="369" t="s">
        <v>177</v>
      </c>
      <c r="H6" s="369" t="s">
        <v>252</v>
      </c>
      <c r="I6" s="459" t="s">
        <v>671</v>
      </c>
      <c r="J6" s="369" t="s">
        <v>672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66"/>
      <c r="W6" s="866"/>
      <c r="X6" s="898"/>
      <c r="Y6" s="898"/>
      <c r="Z6" s="866"/>
      <c r="AA6" s="871"/>
      <c r="AC6" s="161" t="s">
        <v>244</v>
      </c>
      <c r="AD6" s="161" t="s">
        <v>456</v>
      </c>
      <c r="AE6" s="156" t="s">
        <v>389</v>
      </c>
      <c r="AF6" s="156" t="s">
        <v>339</v>
      </c>
      <c r="AG6" s="156" t="s">
        <v>436</v>
      </c>
      <c r="AH6" s="156" t="s">
        <v>215</v>
      </c>
      <c r="AI6" s="156" t="s">
        <v>216</v>
      </c>
      <c r="AJ6" s="156" t="s">
        <v>390</v>
      </c>
    </row>
    <row r="7" spans="2:36" s="148" customFormat="1" ht="27" customHeight="1">
      <c r="B7" s="890" t="s">
        <v>564</v>
      </c>
      <c r="C7" s="891"/>
      <c r="D7" s="368">
        <v>1</v>
      </c>
      <c r="E7" s="371" t="s">
        <v>335</v>
      </c>
      <c r="F7" s="372">
        <v>2348.4</v>
      </c>
      <c r="G7" s="373">
        <v>41247</v>
      </c>
      <c r="H7" s="373">
        <v>40981</v>
      </c>
      <c r="I7" s="373">
        <v>40981</v>
      </c>
      <c r="J7" s="465">
        <f>IFERROR(I7/H7,"-")</f>
        <v>1</v>
      </c>
      <c r="K7" s="374">
        <f t="shared" ref="K7:K26" si="0">H7/G7</f>
        <v>0.99355104613668876</v>
      </c>
      <c r="L7" s="373">
        <v>418</v>
      </c>
      <c r="M7" s="374">
        <f t="shared" ref="M7:M26" si="1">L7/G7</f>
        <v>1.0134070356631997E-2</v>
      </c>
      <c r="N7" s="373">
        <v>15.450000000000001</v>
      </c>
      <c r="O7" s="374">
        <f t="shared" ref="O7:O26" si="2">(H7+L7)/G7</f>
        <v>1.0036851164933207</v>
      </c>
      <c r="P7" s="375">
        <v>2348.4</v>
      </c>
      <c r="Q7" s="373">
        <v>152</v>
      </c>
      <c r="R7" s="374">
        <f t="shared" ref="R7:R26" si="3">Q7/G7</f>
        <v>3.6851164933207263E-3</v>
      </c>
      <c r="S7" s="376">
        <f t="shared" ref="S7:S25" si="4">((H7+L7)-G7)-Q7</f>
        <v>0</v>
      </c>
      <c r="T7" s="374">
        <f t="shared" ref="T7:T26" si="5">S7/G7</f>
        <v>0</v>
      </c>
      <c r="U7" s="377">
        <f>S7*N7</f>
        <v>0</v>
      </c>
      <c r="V7" s="378" t="s">
        <v>423</v>
      </c>
      <c r="W7" s="378" t="s">
        <v>216</v>
      </c>
      <c r="X7" s="379" t="s">
        <v>485</v>
      </c>
      <c r="Y7" s="379" t="s">
        <v>608</v>
      </c>
      <c r="Z7" s="379">
        <v>1</v>
      </c>
      <c r="AA7" s="380" t="s">
        <v>569</v>
      </c>
      <c r="AB7" s="381" t="s">
        <v>457</v>
      </c>
      <c r="AC7" s="388">
        <f>SUM(Z7:Z26)</f>
        <v>20</v>
      </c>
      <c r="AD7" s="382">
        <f>SUMIF($W$7:$W$26,TRIM(AD6),$Z$7:$Z$26)</f>
        <v>15</v>
      </c>
      <c r="AE7" s="382">
        <f t="shared" ref="AE7:AJ7" si="6">SUMIF($W$7:$W$26,TRIM(AE6),$Z$7:$Z$26)</f>
        <v>0</v>
      </c>
      <c r="AF7" s="382">
        <f t="shared" si="6"/>
        <v>3</v>
      </c>
      <c r="AG7" s="382">
        <f t="shared" si="6"/>
        <v>0</v>
      </c>
      <c r="AH7" s="382">
        <f t="shared" si="6"/>
        <v>1</v>
      </c>
      <c r="AI7" s="382">
        <f t="shared" si="6"/>
        <v>1</v>
      </c>
      <c r="AJ7" s="382">
        <f t="shared" si="6"/>
        <v>0</v>
      </c>
    </row>
    <row r="8" spans="2:36" s="148" customFormat="1" ht="27" customHeight="1">
      <c r="B8" s="892"/>
      <c r="C8" s="893"/>
      <c r="D8" s="368">
        <v>2</v>
      </c>
      <c r="E8" s="371" t="s">
        <v>459</v>
      </c>
      <c r="F8" s="372">
        <v>1639.05</v>
      </c>
      <c r="G8" s="373">
        <v>145731</v>
      </c>
      <c r="H8" s="373">
        <v>146400</v>
      </c>
      <c r="I8" s="373">
        <v>146400</v>
      </c>
      <c r="J8" s="465">
        <f t="shared" ref="J8:J26" si="7">IFERROR(I8/H8,"-")</f>
        <v>1</v>
      </c>
      <c r="K8" s="374">
        <f t="shared" si="0"/>
        <v>1.0045906498960413</v>
      </c>
      <c r="L8" s="373">
        <v>0</v>
      </c>
      <c r="M8" s="374">
        <f t="shared" si="1"/>
        <v>0</v>
      </c>
      <c r="N8" s="373">
        <v>2.4499999999999997</v>
      </c>
      <c r="O8" s="374">
        <f t="shared" si="2"/>
        <v>1.0045906498960413</v>
      </c>
      <c r="P8" s="375">
        <v>1639.05</v>
      </c>
      <c r="Q8" s="373">
        <v>669</v>
      </c>
      <c r="R8" s="374">
        <f t="shared" si="3"/>
        <v>4.5906498960413362E-3</v>
      </c>
      <c r="S8" s="376">
        <f t="shared" si="4"/>
        <v>0</v>
      </c>
      <c r="T8" s="374">
        <f t="shared" si="5"/>
        <v>0</v>
      </c>
      <c r="U8" s="377">
        <f t="shared" ref="U8:U26" si="8">S8*N8</f>
        <v>0</v>
      </c>
      <c r="V8" s="378" t="s">
        <v>423</v>
      </c>
      <c r="W8" s="378" t="s">
        <v>339</v>
      </c>
      <c r="X8" s="379" t="s">
        <v>486</v>
      </c>
      <c r="Y8" s="379" t="s">
        <v>487</v>
      </c>
      <c r="Z8" s="379">
        <v>1</v>
      </c>
      <c r="AA8" s="380" t="s">
        <v>342</v>
      </c>
      <c r="AC8" s="389"/>
      <c r="AD8" s="386">
        <f>SUMIF($W7:$W$26,TRIM(AD6),$F$7:$F$26)</f>
        <v>15963.451500000001</v>
      </c>
      <c r="AE8" s="386">
        <f>SUMIF($W7:$W$26,TRIM(AE6),$F$7:$F$26)</f>
        <v>0</v>
      </c>
      <c r="AF8" s="386">
        <f>SUMIF($W7:$W$26,TRIM(AF6),$F$7:$F$26)</f>
        <v>4456.5</v>
      </c>
      <c r="AG8" s="386">
        <f>SUMIF($W7:$W$26,TRIM(AG6),$F$7:$F$26)</f>
        <v>0</v>
      </c>
      <c r="AH8" s="386">
        <f>SUMIF($W7:$W$26,TRIM(AH6),$F$7:$F$26)</f>
        <v>1054.2</v>
      </c>
      <c r="AI8" s="386">
        <f>SUMIF($W7:$W$26,TRIM(AI6),$F$7:$F$26)</f>
        <v>2348.4</v>
      </c>
      <c r="AJ8" s="386">
        <f>SUMIF($W7:$W$26,TRIM(AJ6),$F$7:$F$26)</f>
        <v>0</v>
      </c>
    </row>
    <row r="9" spans="2:36" s="148" customFormat="1" ht="27" customHeight="1">
      <c r="B9" s="892"/>
      <c r="C9" s="893"/>
      <c r="D9" s="368">
        <v>3</v>
      </c>
      <c r="E9" s="371" t="s">
        <v>458</v>
      </c>
      <c r="F9" s="372">
        <v>1606.4099999999999</v>
      </c>
      <c r="G9" s="373">
        <v>289435</v>
      </c>
      <c r="H9" s="373">
        <v>289574</v>
      </c>
      <c r="I9" s="373">
        <v>289574</v>
      </c>
      <c r="J9" s="465">
        <f t="shared" si="7"/>
        <v>1</v>
      </c>
      <c r="K9" s="374">
        <f t="shared" si="0"/>
        <v>1.0004802459965105</v>
      </c>
      <c r="L9" s="373">
        <v>1234</v>
      </c>
      <c r="M9" s="374">
        <f t="shared" si="1"/>
        <v>4.2634788467186069E-3</v>
      </c>
      <c r="N9" s="373">
        <v>1.17</v>
      </c>
      <c r="O9" s="374">
        <f t="shared" si="2"/>
        <v>1.0047437248432292</v>
      </c>
      <c r="P9" s="375">
        <v>1606.4099999999999</v>
      </c>
      <c r="Q9" s="373">
        <v>1373</v>
      </c>
      <c r="R9" s="374">
        <f t="shared" si="3"/>
        <v>4.7437248432290495E-3</v>
      </c>
      <c r="S9" s="376">
        <f t="shared" si="4"/>
        <v>0</v>
      </c>
      <c r="T9" s="374">
        <f t="shared" si="5"/>
        <v>0</v>
      </c>
      <c r="U9" s="377">
        <f t="shared" si="8"/>
        <v>0</v>
      </c>
      <c r="V9" s="378" t="s">
        <v>423</v>
      </c>
      <c r="W9" s="378" t="s">
        <v>339</v>
      </c>
      <c r="X9" s="379" t="s">
        <v>488</v>
      </c>
      <c r="Y9" s="379" t="s">
        <v>574</v>
      </c>
      <c r="Z9" s="379">
        <v>1</v>
      </c>
      <c r="AA9" s="380" t="s">
        <v>342</v>
      </c>
      <c r="AC9" s="368"/>
      <c r="AD9" s="387">
        <f t="shared" ref="AD9:AJ9" si="9">AD7/$AC7</f>
        <v>0.75</v>
      </c>
      <c r="AE9" s="387">
        <f t="shared" si="9"/>
        <v>0</v>
      </c>
      <c r="AF9" s="387">
        <f t="shared" si="9"/>
        <v>0.15</v>
      </c>
      <c r="AG9" s="387">
        <f t="shared" si="9"/>
        <v>0</v>
      </c>
      <c r="AH9" s="387">
        <f t="shared" si="9"/>
        <v>0.05</v>
      </c>
      <c r="AI9" s="387">
        <f t="shared" si="9"/>
        <v>0.05</v>
      </c>
      <c r="AJ9" s="387">
        <f t="shared" si="9"/>
        <v>0</v>
      </c>
    </row>
    <row r="10" spans="2:36" s="148" customFormat="1" ht="27" customHeight="1">
      <c r="B10" s="892"/>
      <c r="C10" s="893"/>
      <c r="D10" s="368">
        <v>4</v>
      </c>
      <c r="E10" s="371" t="s">
        <v>568</v>
      </c>
      <c r="F10" s="372">
        <v>1211.0399999999997</v>
      </c>
      <c r="G10" s="373">
        <v>166772</v>
      </c>
      <c r="H10" s="373">
        <v>165568</v>
      </c>
      <c r="I10" s="373">
        <v>165568</v>
      </c>
      <c r="J10" s="465">
        <f t="shared" si="7"/>
        <v>1</v>
      </c>
      <c r="K10" s="374">
        <f t="shared" si="0"/>
        <v>0.99278056268438342</v>
      </c>
      <c r="L10" s="373">
        <v>2248</v>
      </c>
      <c r="M10" s="374">
        <f t="shared" si="1"/>
        <v>1.3479480968028206E-2</v>
      </c>
      <c r="N10" s="373">
        <v>1.1599999999999999</v>
      </c>
      <c r="O10" s="374">
        <f t="shared" si="2"/>
        <v>1.0062600436524116</v>
      </c>
      <c r="P10" s="375">
        <v>1211.0399999999997</v>
      </c>
      <c r="Q10" s="373">
        <v>1044</v>
      </c>
      <c r="R10" s="374">
        <f t="shared" si="3"/>
        <v>6.2600436524116758E-3</v>
      </c>
      <c r="S10" s="376">
        <f t="shared" si="4"/>
        <v>0</v>
      </c>
      <c r="T10" s="374">
        <f t="shared" si="5"/>
        <v>0</v>
      </c>
      <c r="U10" s="377">
        <f t="shared" si="8"/>
        <v>0</v>
      </c>
      <c r="V10" s="378" t="s">
        <v>423</v>
      </c>
      <c r="W10" s="378" t="s">
        <v>339</v>
      </c>
      <c r="X10" s="379" t="s">
        <v>650</v>
      </c>
      <c r="Y10" s="379" t="s">
        <v>651</v>
      </c>
      <c r="Z10" s="379">
        <v>1</v>
      </c>
      <c r="AA10" s="380" t="s">
        <v>342</v>
      </c>
    </row>
    <row r="11" spans="2:36" s="148" customFormat="1" ht="27" customHeight="1">
      <c r="B11" s="892"/>
      <c r="C11" s="893"/>
      <c r="D11" s="368">
        <v>5</v>
      </c>
      <c r="E11" s="371" t="s">
        <v>336</v>
      </c>
      <c r="F11" s="372">
        <v>1161.694</v>
      </c>
      <c r="G11" s="373">
        <v>565.29999999999995</v>
      </c>
      <c r="H11" s="373">
        <v>572.6400000000001</v>
      </c>
      <c r="I11" s="373">
        <v>572.6400000000001</v>
      </c>
      <c r="J11" s="465">
        <f t="shared" si="7"/>
        <v>1</v>
      </c>
      <c r="K11" s="374">
        <f t="shared" si="0"/>
        <v>1.0129842561471787</v>
      </c>
      <c r="L11" s="373">
        <v>4.0599999999999996</v>
      </c>
      <c r="M11" s="374">
        <f t="shared" si="1"/>
        <v>7.1820272421722975E-3</v>
      </c>
      <c r="N11" s="373">
        <v>141.66999999999999</v>
      </c>
      <c r="O11" s="374">
        <f t="shared" si="2"/>
        <v>1.020166283389351</v>
      </c>
      <c r="P11" s="375">
        <v>1615.0380000000007</v>
      </c>
      <c r="Q11" s="373">
        <v>8.1999999999999993</v>
      </c>
      <c r="R11" s="374">
        <f t="shared" si="3"/>
        <v>1.4505572262515478E-2</v>
      </c>
      <c r="S11" s="376">
        <f t="shared" si="4"/>
        <v>3.2000000000000917</v>
      </c>
      <c r="T11" s="374">
        <f t="shared" si="5"/>
        <v>5.6607111268354715E-3</v>
      </c>
      <c r="U11" s="377">
        <f t="shared" si="8"/>
        <v>453.34400000001295</v>
      </c>
      <c r="V11" s="378" t="s">
        <v>423</v>
      </c>
      <c r="W11" s="378" t="s">
        <v>456</v>
      </c>
      <c r="X11" s="379" t="s">
        <v>469</v>
      </c>
      <c r="Y11" s="379" t="s">
        <v>575</v>
      </c>
      <c r="Z11" s="379">
        <v>1</v>
      </c>
      <c r="AA11" s="380" t="s">
        <v>344</v>
      </c>
    </row>
    <row r="12" spans="2:36" s="148" customFormat="1" ht="27" customHeight="1">
      <c r="B12" s="892"/>
      <c r="C12" s="893"/>
      <c r="D12" s="368">
        <v>6</v>
      </c>
      <c r="E12" s="371" t="s">
        <v>589</v>
      </c>
      <c r="F12" s="372">
        <v>1157.7815999999998</v>
      </c>
      <c r="G12" s="373">
        <v>487.92</v>
      </c>
      <c r="H12" s="373">
        <v>492.28000000000003</v>
      </c>
      <c r="I12" s="373">
        <v>492.28000000000003</v>
      </c>
      <c r="J12" s="465">
        <f t="shared" si="7"/>
        <v>1</v>
      </c>
      <c r="K12" s="374">
        <f t="shared" si="0"/>
        <v>1.0089358911296935</v>
      </c>
      <c r="L12" s="373">
        <v>3.3</v>
      </c>
      <c r="M12" s="374">
        <f t="shared" si="1"/>
        <v>6.7634038366945395E-3</v>
      </c>
      <c r="N12" s="373">
        <v>189.18000000000004</v>
      </c>
      <c r="O12" s="374">
        <f t="shared" si="2"/>
        <v>1.0156992949663879</v>
      </c>
      <c r="P12" s="375">
        <v>1449.1188000000009</v>
      </c>
      <c r="Q12" s="373">
        <v>6.1199999999999992</v>
      </c>
      <c r="R12" s="374">
        <f t="shared" si="3"/>
        <v>1.2543039842597145E-2</v>
      </c>
      <c r="S12" s="376">
        <f t="shared" si="4"/>
        <v>1.5400000000000258</v>
      </c>
      <c r="T12" s="374">
        <f t="shared" si="5"/>
        <v>3.156255123790838E-3</v>
      </c>
      <c r="U12" s="377">
        <f t="shared" si="8"/>
        <v>291.33720000000494</v>
      </c>
      <c r="V12" s="378" t="s">
        <v>423</v>
      </c>
      <c r="W12" s="378" t="s">
        <v>456</v>
      </c>
      <c r="X12" s="379" t="s">
        <v>465</v>
      </c>
      <c r="Y12" s="379" t="s">
        <v>466</v>
      </c>
      <c r="Z12" s="379">
        <v>1</v>
      </c>
      <c r="AA12" s="380" t="s">
        <v>355</v>
      </c>
    </row>
    <row r="13" spans="2:36" s="148" customFormat="1" ht="27" customHeight="1">
      <c r="B13" s="892"/>
      <c r="C13" s="893"/>
      <c r="D13" s="368">
        <v>7</v>
      </c>
      <c r="E13" s="371" t="s">
        <v>361</v>
      </c>
      <c r="F13" s="372">
        <v>1137.5616</v>
      </c>
      <c r="G13" s="373">
        <v>232.21999999999997</v>
      </c>
      <c r="H13" s="373">
        <v>237.64</v>
      </c>
      <c r="I13" s="373">
        <v>237.64</v>
      </c>
      <c r="J13" s="465">
        <f t="shared" si="7"/>
        <v>1</v>
      </c>
      <c r="K13" s="374">
        <f t="shared" si="0"/>
        <v>1.0233399362673328</v>
      </c>
      <c r="L13" s="373">
        <v>1.26</v>
      </c>
      <c r="M13" s="374">
        <f t="shared" si="1"/>
        <v>5.4258892429592635E-3</v>
      </c>
      <c r="N13" s="373">
        <v>253.92000000000002</v>
      </c>
      <c r="O13" s="374">
        <f t="shared" si="2"/>
        <v>1.0287658255102921</v>
      </c>
      <c r="P13" s="375">
        <v>1696.1855999999989</v>
      </c>
      <c r="Q13" s="373">
        <v>4.4799999999999995</v>
      </c>
      <c r="R13" s="374">
        <f t="shared" si="3"/>
        <v>1.9292050641632936E-2</v>
      </c>
      <c r="S13" s="376">
        <f t="shared" si="4"/>
        <v>2.2000000000000073</v>
      </c>
      <c r="T13" s="374">
        <f t="shared" si="5"/>
        <v>9.4737748686590621E-3</v>
      </c>
      <c r="U13" s="377">
        <f t="shared" si="8"/>
        <v>558.62400000000184</v>
      </c>
      <c r="V13" s="378" t="s">
        <v>423</v>
      </c>
      <c r="W13" s="378" t="s">
        <v>456</v>
      </c>
      <c r="X13" s="379" t="s">
        <v>502</v>
      </c>
      <c r="Y13" s="397" t="s">
        <v>517</v>
      </c>
      <c r="Z13" s="379">
        <v>1</v>
      </c>
      <c r="AA13" s="380" t="s">
        <v>353</v>
      </c>
      <c r="AE13" s="383"/>
    </row>
    <row r="14" spans="2:36" s="148" customFormat="1" ht="27" customHeight="1">
      <c r="B14" s="892"/>
      <c r="C14" s="893"/>
      <c r="D14" s="368">
        <v>8</v>
      </c>
      <c r="E14" s="371" t="s">
        <v>494</v>
      </c>
      <c r="F14" s="372">
        <v>1125.7973999999999</v>
      </c>
      <c r="G14" s="373">
        <v>188.43</v>
      </c>
      <c r="H14" s="373">
        <v>193.60999999999999</v>
      </c>
      <c r="I14" s="373">
        <v>193.60999999999999</v>
      </c>
      <c r="J14" s="465">
        <f t="shared" si="7"/>
        <v>1</v>
      </c>
      <c r="K14" s="374">
        <f t="shared" si="0"/>
        <v>1.0274903147057262</v>
      </c>
      <c r="L14" s="373">
        <v>0.99</v>
      </c>
      <c r="M14" s="374">
        <f t="shared" si="1"/>
        <v>5.2539404553415062E-3</v>
      </c>
      <c r="N14" s="373">
        <v>203.57999999999998</v>
      </c>
      <c r="O14" s="374">
        <f t="shared" si="2"/>
        <v>1.0327442551610677</v>
      </c>
      <c r="P14" s="375">
        <v>1256.0886000000012</v>
      </c>
      <c r="Q14" s="373">
        <v>5.5299999999999994</v>
      </c>
      <c r="R14" s="374">
        <f t="shared" si="3"/>
        <v>2.9347768402059115E-2</v>
      </c>
      <c r="S14" s="376">
        <f t="shared" si="4"/>
        <v>0.63999999999998813</v>
      </c>
      <c r="T14" s="374">
        <f t="shared" si="5"/>
        <v>3.3964867590085875E-3</v>
      </c>
      <c r="U14" s="377">
        <f t="shared" si="8"/>
        <v>130.29119999999759</v>
      </c>
      <c r="V14" s="378" t="s">
        <v>423</v>
      </c>
      <c r="W14" s="378" t="s">
        <v>456</v>
      </c>
      <c r="X14" s="379" t="s">
        <v>469</v>
      </c>
      <c r="Y14" s="379" t="s">
        <v>503</v>
      </c>
      <c r="Z14" s="379">
        <v>1</v>
      </c>
      <c r="AA14" s="380" t="s">
        <v>344</v>
      </c>
      <c r="AE14" s="383"/>
    </row>
    <row r="15" spans="2:36" s="148" customFormat="1" ht="27" customHeight="1">
      <c r="B15" s="892"/>
      <c r="C15" s="893"/>
      <c r="D15" s="368">
        <v>9</v>
      </c>
      <c r="E15" s="371" t="s">
        <v>448</v>
      </c>
      <c r="F15" s="372">
        <v>1111.4531999999999</v>
      </c>
      <c r="G15" s="373">
        <v>456.66</v>
      </c>
      <c r="H15" s="373">
        <v>462.40999999999997</v>
      </c>
      <c r="I15" s="373">
        <v>462.40999999999997</v>
      </c>
      <c r="J15" s="465">
        <f t="shared" si="7"/>
        <v>1</v>
      </c>
      <c r="K15" s="374">
        <f t="shared" si="0"/>
        <v>1.0125914246923311</v>
      </c>
      <c r="L15" s="373">
        <v>2.33</v>
      </c>
      <c r="M15" s="374">
        <f t="shared" si="1"/>
        <v>5.1022642666316296E-3</v>
      </c>
      <c r="N15" s="373">
        <v>181.60999999999999</v>
      </c>
      <c r="O15" s="374">
        <f t="shared" si="2"/>
        <v>1.0176936889589627</v>
      </c>
      <c r="P15" s="375">
        <v>1467.4087999999986</v>
      </c>
      <c r="Q15" s="373">
        <v>6.1199999999999992</v>
      </c>
      <c r="R15" s="374">
        <f t="shared" si="3"/>
        <v>1.3401655498620416E-2</v>
      </c>
      <c r="S15" s="376">
        <f t="shared" si="4"/>
        <v>1.959999999999928</v>
      </c>
      <c r="T15" s="374">
        <f t="shared" si="5"/>
        <v>4.2920334603423291E-3</v>
      </c>
      <c r="U15" s="377">
        <f t="shared" si="8"/>
        <v>355.95559999998687</v>
      </c>
      <c r="V15" s="378" t="s">
        <v>423</v>
      </c>
      <c r="W15" s="378" t="s">
        <v>456</v>
      </c>
      <c r="X15" s="379" t="s">
        <v>465</v>
      </c>
      <c r="Y15" s="379" t="s">
        <v>466</v>
      </c>
      <c r="Z15" s="379">
        <v>1</v>
      </c>
      <c r="AA15" s="380" t="s">
        <v>447</v>
      </c>
      <c r="AE15" s="383"/>
    </row>
    <row r="16" spans="2:36" s="148" customFormat="1" ht="27" customHeight="1">
      <c r="B16" s="892"/>
      <c r="C16" s="893"/>
      <c r="D16" s="368">
        <v>10</v>
      </c>
      <c r="E16" s="371" t="s">
        <v>645</v>
      </c>
      <c r="F16" s="372">
        <v>1054.2</v>
      </c>
      <c r="G16" s="373">
        <v>641.96</v>
      </c>
      <c r="H16" s="373">
        <v>615.86</v>
      </c>
      <c r="I16" s="373">
        <v>615.86</v>
      </c>
      <c r="J16" s="465">
        <f t="shared" si="7"/>
        <v>1</v>
      </c>
      <c r="K16" s="374">
        <f t="shared" si="0"/>
        <v>0.9593432612623839</v>
      </c>
      <c r="L16" s="373">
        <v>38.74</v>
      </c>
      <c r="M16" s="374">
        <f t="shared" si="1"/>
        <v>6.0346439030469184E-2</v>
      </c>
      <c r="N16" s="373">
        <v>105</v>
      </c>
      <c r="O16" s="374">
        <f t="shared" si="2"/>
        <v>1.0196897002928531</v>
      </c>
      <c r="P16" s="375">
        <v>1327.200000000001</v>
      </c>
      <c r="Q16" s="373">
        <v>10.040000000000001</v>
      </c>
      <c r="R16" s="374">
        <f t="shared" si="3"/>
        <v>1.5639603713627017E-2</v>
      </c>
      <c r="S16" s="376">
        <f t="shared" si="4"/>
        <v>2.5999999999999854</v>
      </c>
      <c r="T16" s="374">
        <f t="shared" si="5"/>
        <v>4.0500965792260972E-3</v>
      </c>
      <c r="U16" s="377">
        <f t="shared" si="8"/>
        <v>272.99999999999847</v>
      </c>
      <c r="V16" s="378" t="s">
        <v>423</v>
      </c>
      <c r="W16" s="378" t="s">
        <v>215</v>
      </c>
      <c r="X16" s="379" t="s">
        <v>652</v>
      </c>
      <c r="Y16" s="379" t="s">
        <v>481</v>
      </c>
      <c r="Z16" s="379">
        <v>1</v>
      </c>
      <c r="AA16" s="380" t="s">
        <v>352</v>
      </c>
      <c r="AE16" s="383"/>
    </row>
    <row r="17" spans="2:36" s="148" customFormat="1" ht="27" customHeight="1">
      <c r="B17" s="892"/>
      <c r="C17" s="893"/>
      <c r="D17" s="368">
        <v>11</v>
      </c>
      <c r="E17" s="371" t="s">
        <v>598</v>
      </c>
      <c r="F17" s="372">
        <v>1049.1864</v>
      </c>
      <c r="G17" s="373">
        <v>1067.0900000000001</v>
      </c>
      <c r="H17" s="373">
        <v>1002.1999999999998</v>
      </c>
      <c r="I17" s="373">
        <v>1002.1999999999998</v>
      </c>
      <c r="J17" s="465">
        <f t="shared" si="7"/>
        <v>1</v>
      </c>
      <c r="K17" s="374">
        <f t="shared" si="0"/>
        <v>0.93918975906437108</v>
      </c>
      <c r="L17" s="373">
        <v>79.45</v>
      </c>
      <c r="M17" s="374">
        <f t="shared" si="1"/>
        <v>7.4454825741034014E-2</v>
      </c>
      <c r="N17" s="373">
        <v>114.53999999999999</v>
      </c>
      <c r="O17" s="374">
        <f t="shared" si="2"/>
        <v>1.013644584805405</v>
      </c>
      <c r="P17" s="375">
        <v>1667.7023999999972</v>
      </c>
      <c r="Q17" s="373">
        <v>9.1599999999999984</v>
      </c>
      <c r="R17" s="374">
        <f t="shared" si="3"/>
        <v>8.584093188016003E-3</v>
      </c>
      <c r="S17" s="376">
        <f t="shared" si="4"/>
        <v>5.3999999999997197</v>
      </c>
      <c r="T17" s="374">
        <f t="shared" si="5"/>
        <v>5.0604916173890855E-3</v>
      </c>
      <c r="U17" s="377">
        <f t="shared" si="8"/>
        <v>618.5159999999679</v>
      </c>
      <c r="V17" s="378" t="s">
        <v>423</v>
      </c>
      <c r="W17" s="378" t="s">
        <v>456</v>
      </c>
      <c r="X17" s="379" t="s">
        <v>653</v>
      </c>
      <c r="Y17" s="379" t="s">
        <v>466</v>
      </c>
      <c r="Z17" s="379">
        <v>1</v>
      </c>
      <c r="AA17" s="380" t="s">
        <v>492</v>
      </c>
      <c r="AE17" s="383"/>
    </row>
    <row r="18" spans="2:36" s="148" customFormat="1" ht="27" customHeight="1">
      <c r="B18" s="892"/>
      <c r="C18" s="893"/>
      <c r="D18" s="368">
        <v>12</v>
      </c>
      <c r="E18" s="371" t="s">
        <v>497</v>
      </c>
      <c r="F18" s="372">
        <v>1046.3784999999998</v>
      </c>
      <c r="G18" s="373">
        <v>718.78000000000009</v>
      </c>
      <c r="H18" s="373">
        <v>707.78</v>
      </c>
      <c r="I18" s="373">
        <v>707.78</v>
      </c>
      <c r="J18" s="465">
        <f t="shared" si="7"/>
        <v>1</v>
      </c>
      <c r="K18" s="374">
        <f t="shared" si="0"/>
        <v>0.98469629093742161</v>
      </c>
      <c r="L18" s="373">
        <v>25.18</v>
      </c>
      <c r="M18" s="374">
        <f t="shared" si="1"/>
        <v>3.5031581290520045E-2</v>
      </c>
      <c r="N18" s="373">
        <v>128.38999999999999</v>
      </c>
      <c r="O18" s="374">
        <f t="shared" si="2"/>
        <v>1.0197278722279415</v>
      </c>
      <c r="P18" s="375">
        <v>1820.5701999999969</v>
      </c>
      <c r="Q18" s="373">
        <v>8.1499999999999986</v>
      </c>
      <c r="R18" s="374">
        <f t="shared" si="3"/>
        <v>1.1338657169092069E-2</v>
      </c>
      <c r="S18" s="376">
        <f t="shared" si="4"/>
        <v>6.0299999999998377</v>
      </c>
      <c r="T18" s="374">
        <f t="shared" si="5"/>
        <v>8.3892150588494915E-3</v>
      </c>
      <c r="U18" s="377">
        <f t="shared" si="8"/>
        <v>774.19169999997905</v>
      </c>
      <c r="V18" s="378" t="s">
        <v>423</v>
      </c>
      <c r="W18" s="378" t="s">
        <v>456</v>
      </c>
      <c r="X18" s="379" t="s">
        <v>653</v>
      </c>
      <c r="Y18" s="379" t="s">
        <v>466</v>
      </c>
      <c r="Z18" s="379">
        <v>1</v>
      </c>
      <c r="AA18" s="380" t="s">
        <v>353</v>
      </c>
    </row>
    <row r="19" spans="2:36" s="148" customFormat="1" ht="27" customHeight="1">
      <c r="B19" s="892"/>
      <c r="C19" s="893"/>
      <c r="D19" s="368">
        <v>13</v>
      </c>
      <c r="E19" s="371" t="s">
        <v>360</v>
      </c>
      <c r="F19" s="372">
        <v>1039.4590000000001</v>
      </c>
      <c r="G19" s="373">
        <v>287.51</v>
      </c>
      <c r="H19" s="373">
        <v>293.58999999999997</v>
      </c>
      <c r="I19" s="373">
        <v>293.58999999999997</v>
      </c>
      <c r="J19" s="465">
        <f t="shared" si="7"/>
        <v>1</v>
      </c>
      <c r="K19" s="374">
        <f t="shared" si="0"/>
        <v>1.0211470905359814</v>
      </c>
      <c r="L19" s="373">
        <v>4.3</v>
      </c>
      <c r="M19" s="374">
        <f t="shared" si="1"/>
        <v>1.4956001530381551E-2</v>
      </c>
      <c r="N19" s="373">
        <v>183.65000000000003</v>
      </c>
      <c r="O19" s="374">
        <f t="shared" si="2"/>
        <v>1.036103092066363</v>
      </c>
      <c r="P19" s="375">
        <v>1906.2869999999984</v>
      </c>
      <c r="Q19" s="373">
        <v>5.66</v>
      </c>
      <c r="R19" s="374">
        <f t="shared" si="3"/>
        <v>1.9686271781851068E-2</v>
      </c>
      <c r="S19" s="376">
        <f t="shared" si="4"/>
        <v>4.7199999999999953</v>
      </c>
      <c r="T19" s="374">
        <f t="shared" si="5"/>
        <v>1.6416820284511826E-2</v>
      </c>
      <c r="U19" s="377">
        <f t="shared" si="8"/>
        <v>866.82799999999929</v>
      </c>
      <c r="V19" s="378" t="s">
        <v>423</v>
      </c>
      <c r="W19" s="378" t="s">
        <v>456</v>
      </c>
      <c r="X19" s="379" t="s">
        <v>502</v>
      </c>
      <c r="Y19" s="379" t="s">
        <v>609</v>
      </c>
      <c r="Z19" s="379">
        <v>1</v>
      </c>
      <c r="AA19" s="380" t="s">
        <v>353</v>
      </c>
    </row>
    <row r="20" spans="2:36" s="148" customFormat="1" ht="27" customHeight="1">
      <c r="B20" s="892"/>
      <c r="C20" s="893"/>
      <c r="D20" s="368">
        <v>14</v>
      </c>
      <c r="E20" s="371" t="s">
        <v>646</v>
      </c>
      <c r="F20" s="372">
        <v>1037.8566000000001</v>
      </c>
      <c r="G20" s="373">
        <v>89.59</v>
      </c>
      <c r="H20" s="373">
        <v>96.3</v>
      </c>
      <c r="I20" s="373">
        <v>96.3</v>
      </c>
      <c r="J20" s="465">
        <f t="shared" si="7"/>
        <v>1</v>
      </c>
      <c r="K20" s="374">
        <f t="shared" si="0"/>
        <v>1.0748967518696282</v>
      </c>
      <c r="L20" s="373">
        <v>0</v>
      </c>
      <c r="M20" s="374">
        <f t="shared" si="1"/>
        <v>0</v>
      </c>
      <c r="N20" s="373">
        <v>205.11000000000007</v>
      </c>
      <c r="O20" s="374">
        <f t="shared" si="2"/>
        <v>1.0748967518696282</v>
      </c>
      <c r="P20" s="375">
        <v>1376.2881000000002</v>
      </c>
      <c r="Q20" s="373">
        <v>5.0600000000000005</v>
      </c>
      <c r="R20" s="374">
        <f t="shared" si="3"/>
        <v>5.6479517803326267E-2</v>
      </c>
      <c r="S20" s="376">
        <f t="shared" si="4"/>
        <v>1.6499999999999932</v>
      </c>
      <c r="T20" s="374">
        <f t="shared" si="5"/>
        <v>1.8417234066301965E-2</v>
      </c>
      <c r="U20" s="377">
        <f t="shared" si="8"/>
        <v>338.43149999999872</v>
      </c>
      <c r="V20" s="378" t="s">
        <v>423</v>
      </c>
      <c r="W20" s="378" t="s">
        <v>456</v>
      </c>
      <c r="X20" s="379" t="s">
        <v>577</v>
      </c>
      <c r="Y20" s="379" t="s">
        <v>467</v>
      </c>
      <c r="Z20" s="379">
        <v>1</v>
      </c>
      <c r="AA20" s="380" t="s">
        <v>443</v>
      </c>
    </row>
    <row r="21" spans="2:36" s="148" customFormat="1" ht="27" customHeight="1">
      <c r="B21" s="892"/>
      <c r="C21" s="893"/>
      <c r="D21" s="368">
        <v>15</v>
      </c>
      <c r="E21" s="371" t="s">
        <v>472</v>
      </c>
      <c r="F21" s="372">
        <v>1023.3092000000001</v>
      </c>
      <c r="G21" s="373">
        <v>274.94</v>
      </c>
      <c r="H21" s="373">
        <v>280.84000000000003</v>
      </c>
      <c r="I21" s="373">
        <v>280.84000000000003</v>
      </c>
      <c r="J21" s="465">
        <f t="shared" si="7"/>
        <v>1</v>
      </c>
      <c r="K21" s="374">
        <f t="shared" si="0"/>
        <v>1.0214592274678114</v>
      </c>
      <c r="L21" s="373">
        <v>5.9399999999999995</v>
      </c>
      <c r="M21" s="374">
        <f t="shared" si="1"/>
        <v>2.1604713755728523E-2</v>
      </c>
      <c r="N21" s="373">
        <v>153.19000000000003</v>
      </c>
      <c r="O21" s="374">
        <f t="shared" si="2"/>
        <v>1.0430639412235398</v>
      </c>
      <c r="P21" s="375">
        <v>1813.7695999999994</v>
      </c>
      <c r="Q21" s="373">
        <v>6.68</v>
      </c>
      <c r="R21" s="374">
        <f t="shared" si="3"/>
        <v>2.4296210082199753E-2</v>
      </c>
      <c r="S21" s="376">
        <f t="shared" si="4"/>
        <v>5.1600000000000321</v>
      </c>
      <c r="T21" s="374">
        <f t="shared" si="5"/>
        <v>1.8767731141340047E-2</v>
      </c>
      <c r="U21" s="377">
        <f t="shared" si="8"/>
        <v>790.46040000000505</v>
      </c>
      <c r="V21" s="378" t="s">
        <v>423</v>
      </c>
      <c r="W21" s="378" t="s">
        <v>456</v>
      </c>
      <c r="X21" s="379" t="s">
        <v>576</v>
      </c>
      <c r="Y21" s="379" t="s">
        <v>467</v>
      </c>
      <c r="Z21" s="379">
        <v>1</v>
      </c>
      <c r="AA21" s="380" t="s">
        <v>473</v>
      </c>
    </row>
    <row r="22" spans="2:36" s="148" customFormat="1" ht="27" customHeight="1">
      <c r="B22" s="892"/>
      <c r="C22" s="893"/>
      <c r="D22" s="368">
        <v>16</v>
      </c>
      <c r="E22" s="371" t="s">
        <v>543</v>
      </c>
      <c r="F22" s="372">
        <v>1021.1339</v>
      </c>
      <c r="G22" s="373">
        <v>755.08999999999992</v>
      </c>
      <c r="H22" s="373">
        <v>731.89</v>
      </c>
      <c r="I22" s="373">
        <v>731.89</v>
      </c>
      <c r="J22" s="465">
        <f t="shared" si="7"/>
        <v>1</v>
      </c>
      <c r="K22" s="374">
        <f t="shared" si="0"/>
        <v>0.96927518573944837</v>
      </c>
      <c r="L22" s="373">
        <v>38.07</v>
      </c>
      <c r="M22" s="374">
        <f t="shared" si="1"/>
        <v>5.0417830987034666E-2</v>
      </c>
      <c r="N22" s="373">
        <v>98.470000000000013</v>
      </c>
      <c r="O22" s="374">
        <f t="shared" si="2"/>
        <v>1.019693016726483</v>
      </c>
      <c r="P22" s="375">
        <v>1464.2489000000003</v>
      </c>
      <c r="Q22" s="373">
        <v>10.370000000000001</v>
      </c>
      <c r="R22" s="374">
        <f t="shared" si="3"/>
        <v>1.3733462236289717E-2</v>
      </c>
      <c r="S22" s="376">
        <f t="shared" si="4"/>
        <v>4.5000000000001172</v>
      </c>
      <c r="T22" s="374">
        <f t="shared" si="5"/>
        <v>5.9595544901933778E-3</v>
      </c>
      <c r="U22" s="377">
        <f t="shared" si="8"/>
        <v>443.11500000001161</v>
      </c>
      <c r="V22" s="378" t="s">
        <v>423</v>
      </c>
      <c r="W22" s="378" t="s">
        <v>456</v>
      </c>
      <c r="X22" s="379" t="s">
        <v>469</v>
      </c>
      <c r="Y22" s="379" t="s">
        <v>575</v>
      </c>
      <c r="Z22" s="379">
        <v>1</v>
      </c>
      <c r="AA22" s="380" t="s">
        <v>542</v>
      </c>
    </row>
    <row r="23" spans="2:36" s="148" customFormat="1" ht="27" customHeight="1">
      <c r="B23" s="892"/>
      <c r="C23" s="893"/>
      <c r="D23" s="368">
        <v>17</v>
      </c>
      <c r="E23" s="371" t="s">
        <v>597</v>
      </c>
      <c r="F23" s="372">
        <v>1017.4800000000002</v>
      </c>
      <c r="G23" s="373">
        <v>634.11000000000013</v>
      </c>
      <c r="H23" s="373">
        <v>637.76</v>
      </c>
      <c r="I23" s="373">
        <v>637.76</v>
      </c>
      <c r="J23" s="465">
        <f t="shared" si="7"/>
        <v>1</v>
      </c>
      <c r="K23" s="374">
        <f t="shared" si="0"/>
        <v>1.0057560990995251</v>
      </c>
      <c r="L23" s="373">
        <v>1.1200000000000001</v>
      </c>
      <c r="M23" s="374">
        <f t="shared" si="1"/>
        <v>1.7662550661557141E-3</v>
      </c>
      <c r="N23" s="373">
        <v>339.16</v>
      </c>
      <c r="O23" s="374">
        <f t="shared" si="2"/>
        <v>1.0075223541656808</v>
      </c>
      <c r="P23" s="375">
        <v>1617.7931999999987</v>
      </c>
      <c r="Q23" s="373">
        <v>3</v>
      </c>
      <c r="R23" s="374">
        <f t="shared" si="3"/>
        <v>4.7310403557742336E-3</v>
      </c>
      <c r="S23" s="376">
        <f t="shared" si="4"/>
        <v>1.7699999999998681</v>
      </c>
      <c r="T23" s="374">
        <f t="shared" si="5"/>
        <v>2.7913138099065898E-3</v>
      </c>
      <c r="U23" s="377">
        <f t="shared" si="8"/>
        <v>600.31319999995537</v>
      </c>
      <c r="V23" s="378" t="s">
        <v>423</v>
      </c>
      <c r="W23" s="378" t="s">
        <v>456</v>
      </c>
      <c r="X23" s="379" t="s">
        <v>577</v>
      </c>
      <c r="Y23" s="379" t="s">
        <v>467</v>
      </c>
      <c r="Z23" s="379">
        <v>1</v>
      </c>
      <c r="AA23" s="380" t="s">
        <v>601</v>
      </c>
    </row>
    <row r="24" spans="2:36" s="148" customFormat="1" ht="27" customHeight="1">
      <c r="B24" s="892"/>
      <c r="C24" s="893"/>
      <c r="D24" s="368">
        <v>18</v>
      </c>
      <c r="E24" s="371" t="s">
        <v>590</v>
      </c>
      <c r="F24" s="372">
        <v>1014.258</v>
      </c>
      <c r="G24" s="373">
        <v>136.05000000000001</v>
      </c>
      <c r="H24" s="373">
        <v>140.29000000000002</v>
      </c>
      <c r="I24" s="373">
        <v>140.29000000000002</v>
      </c>
      <c r="J24" s="465">
        <f t="shared" si="7"/>
        <v>1</v>
      </c>
      <c r="K24" s="374">
        <f t="shared" si="0"/>
        <v>1.0311650128629182</v>
      </c>
      <c r="L24" s="373">
        <v>3.7</v>
      </c>
      <c r="M24" s="374">
        <f t="shared" si="1"/>
        <v>2.7195883866225651E-2</v>
      </c>
      <c r="N24" s="373">
        <v>190.65000000000003</v>
      </c>
      <c r="O24" s="374">
        <f t="shared" si="2"/>
        <v>1.0583608967291436</v>
      </c>
      <c r="P24" s="375">
        <v>1513.761</v>
      </c>
      <c r="Q24" s="373">
        <v>5.3199999999999994</v>
      </c>
      <c r="R24" s="374">
        <f t="shared" si="3"/>
        <v>3.9103270856302823E-2</v>
      </c>
      <c r="S24" s="376">
        <f t="shared" si="4"/>
        <v>2.6199999999999983</v>
      </c>
      <c r="T24" s="374">
        <f t="shared" si="5"/>
        <v>1.9257625872840852E-2</v>
      </c>
      <c r="U24" s="377">
        <f t="shared" si="8"/>
        <v>499.50299999999976</v>
      </c>
      <c r="V24" s="378" t="s">
        <v>423</v>
      </c>
      <c r="W24" s="378" t="s">
        <v>456</v>
      </c>
      <c r="X24" s="379" t="s">
        <v>469</v>
      </c>
      <c r="Y24" s="379" t="s">
        <v>503</v>
      </c>
      <c r="Z24" s="379">
        <v>1</v>
      </c>
      <c r="AA24" s="380" t="s">
        <v>442</v>
      </c>
    </row>
    <row r="25" spans="2:36" s="148" customFormat="1" ht="27" customHeight="1">
      <c r="B25" s="892"/>
      <c r="C25" s="893"/>
      <c r="D25" s="368">
        <v>19</v>
      </c>
      <c r="E25" s="371" t="s">
        <v>427</v>
      </c>
      <c r="F25" s="372">
        <v>1011.9467000000002</v>
      </c>
      <c r="G25" s="373">
        <v>1746.2100000000003</v>
      </c>
      <c r="H25" s="373">
        <v>1753.52</v>
      </c>
      <c r="I25" s="373">
        <v>1753.52</v>
      </c>
      <c r="J25" s="465">
        <f t="shared" si="7"/>
        <v>1</v>
      </c>
      <c r="K25" s="374">
        <f t="shared" si="0"/>
        <v>1.0041862089897549</v>
      </c>
      <c r="L25" s="373">
        <v>11.200000000000001</v>
      </c>
      <c r="M25" s="374">
        <f t="shared" si="1"/>
        <v>6.4138906546177144E-3</v>
      </c>
      <c r="N25" s="373">
        <v>157.87000000000003</v>
      </c>
      <c r="O25" s="374">
        <f t="shared" si="2"/>
        <v>1.0106000996443725</v>
      </c>
      <c r="P25" s="375">
        <v>2922.1736999999853</v>
      </c>
      <c r="Q25" s="373">
        <v>6.4099999999999993</v>
      </c>
      <c r="R25" s="374">
        <f t="shared" si="3"/>
        <v>3.670807062151745E-3</v>
      </c>
      <c r="S25" s="376">
        <f t="shared" si="4"/>
        <v>12.099999999999763</v>
      </c>
      <c r="T25" s="374">
        <f t="shared" si="5"/>
        <v>6.9292925822207873E-3</v>
      </c>
      <c r="U25" s="377">
        <f t="shared" si="8"/>
        <v>1910.226999999963</v>
      </c>
      <c r="V25" s="378" t="s">
        <v>423</v>
      </c>
      <c r="W25" s="378" t="s">
        <v>456</v>
      </c>
      <c r="X25" s="379" t="s">
        <v>653</v>
      </c>
      <c r="Y25" s="379" t="s">
        <v>466</v>
      </c>
      <c r="Z25" s="379">
        <v>1</v>
      </c>
      <c r="AA25" s="380" t="s">
        <v>342</v>
      </c>
      <c r="AD25" s="384"/>
      <c r="AE25" s="383"/>
    </row>
    <row r="26" spans="2:36" s="148" customFormat="1" ht="27" customHeight="1">
      <c r="B26" s="894"/>
      <c r="C26" s="895"/>
      <c r="D26" s="368">
        <v>20</v>
      </c>
      <c r="E26" s="371" t="s">
        <v>546</v>
      </c>
      <c r="F26" s="372">
        <v>1008.1554</v>
      </c>
      <c r="G26" s="373">
        <v>188.31</v>
      </c>
      <c r="H26" s="373">
        <v>192.37</v>
      </c>
      <c r="I26" s="373">
        <v>192.37</v>
      </c>
      <c r="J26" s="465">
        <f t="shared" si="7"/>
        <v>1</v>
      </c>
      <c r="K26" s="374">
        <f t="shared" si="0"/>
        <v>1.0215601932982847</v>
      </c>
      <c r="L26" s="373">
        <v>4.3099999999999996</v>
      </c>
      <c r="M26" s="374">
        <f t="shared" si="1"/>
        <v>2.2887791407785033E-2</v>
      </c>
      <c r="N26" s="373">
        <v>155.81999999999996</v>
      </c>
      <c r="O26" s="374">
        <f t="shared" si="2"/>
        <v>1.0444479847060697</v>
      </c>
      <c r="P26" s="375">
        <v>1304.2134000000001</v>
      </c>
      <c r="Q26" s="373">
        <v>6.47</v>
      </c>
      <c r="R26" s="374">
        <f t="shared" si="3"/>
        <v>3.4358239073867557E-2</v>
      </c>
      <c r="S26" s="376">
        <f>((H26+L26)-G26)-Q26</f>
        <v>1.9000000000000048</v>
      </c>
      <c r="T26" s="374">
        <f t="shared" si="5"/>
        <v>1.0089745632202244E-2</v>
      </c>
      <c r="U26" s="377">
        <f t="shared" si="8"/>
        <v>296.05800000000067</v>
      </c>
      <c r="V26" s="378" t="s">
        <v>423</v>
      </c>
      <c r="W26" s="378" t="s">
        <v>456</v>
      </c>
      <c r="X26" s="379" t="s">
        <v>653</v>
      </c>
      <c r="Y26" s="379" t="s">
        <v>466</v>
      </c>
      <c r="Z26" s="379">
        <v>1</v>
      </c>
      <c r="AA26" s="380" t="s">
        <v>492</v>
      </c>
      <c r="AD26" s="384"/>
      <c r="AE26" s="383"/>
    </row>
    <row r="27" spans="2:36" ht="17.100000000000001" customHeight="1">
      <c r="B27" s="856" t="s">
        <v>453</v>
      </c>
      <c r="C27" s="857"/>
      <c r="D27" s="867" t="s">
        <v>661</v>
      </c>
      <c r="E27" s="900" t="s">
        <v>662</v>
      </c>
      <c r="F27" s="886" t="s">
        <v>663</v>
      </c>
      <c r="G27" s="870" t="s">
        <v>664</v>
      </c>
      <c r="H27" s="901" t="s">
        <v>665</v>
      </c>
      <c r="I27" s="868" t="s">
        <v>666</v>
      </c>
      <c r="J27" s="869"/>
      <c r="K27" s="868" t="s">
        <v>667</v>
      </c>
      <c r="L27" s="869"/>
      <c r="M27" s="868" t="s">
        <v>668</v>
      </c>
      <c r="N27" s="869"/>
      <c r="O27" s="868" t="s">
        <v>669</v>
      </c>
      <c r="P27" s="869"/>
      <c r="Q27" s="868" t="s">
        <v>424</v>
      </c>
      <c r="R27" s="869"/>
      <c r="S27" s="872" t="s">
        <v>425</v>
      </c>
      <c r="T27" s="873"/>
      <c r="U27" s="874"/>
      <c r="V27" s="864" t="s">
        <v>171</v>
      </c>
      <c r="W27" s="864" t="s">
        <v>245</v>
      </c>
      <c r="X27" s="864" t="s">
        <v>670</v>
      </c>
      <c r="Y27" s="864" t="s">
        <v>455</v>
      </c>
      <c r="Z27" s="864" t="s">
        <v>246</v>
      </c>
      <c r="AA27" s="870" t="s">
        <v>172</v>
      </c>
      <c r="AC27" s="875" t="s">
        <v>247</v>
      </c>
      <c r="AD27" s="876"/>
      <c r="AE27" s="876"/>
      <c r="AF27" s="876"/>
      <c r="AG27" s="876"/>
      <c r="AH27" s="876"/>
      <c r="AI27" s="876"/>
      <c r="AJ27" s="877"/>
    </row>
    <row r="28" spans="2:36">
      <c r="B28" s="858"/>
      <c r="C28" s="859"/>
      <c r="D28" s="867"/>
      <c r="E28" s="867"/>
      <c r="F28" s="886"/>
      <c r="G28" s="871"/>
      <c r="H28" s="871"/>
      <c r="I28" s="459" t="s">
        <v>671</v>
      </c>
      <c r="J28" s="369" t="s">
        <v>672</v>
      </c>
      <c r="K28" s="459" t="s">
        <v>671</v>
      </c>
      <c r="L28" s="369" t="s">
        <v>672</v>
      </c>
      <c r="M28" s="459" t="s">
        <v>671</v>
      </c>
      <c r="N28" s="369" t="s">
        <v>672</v>
      </c>
      <c r="O28" s="459" t="s">
        <v>671</v>
      </c>
      <c r="P28" s="369" t="s">
        <v>672</v>
      </c>
      <c r="Q28" s="459" t="s">
        <v>671</v>
      </c>
      <c r="R28" s="369" t="s">
        <v>672</v>
      </c>
      <c r="S28" s="459" t="s">
        <v>671</v>
      </c>
      <c r="T28" s="369" t="s">
        <v>672</v>
      </c>
      <c r="U28" s="369" t="s">
        <v>673</v>
      </c>
      <c r="V28" s="866"/>
      <c r="W28" s="866"/>
      <c r="X28" s="866"/>
      <c r="Y28" s="866"/>
      <c r="Z28" s="866"/>
      <c r="AA28" s="871"/>
      <c r="AC28" s="878"/>
      <c r="AD28" s="879"/>
      <c r="AE28" s="879"/>
      <c r="AF28" s="879"/>
      <c r="AG28" s="879"/>
      <c r="AH28" s="879"/>
      <c r="AI28" s="879"/>
      <c r="AJ28" s="880"/>
    </row>
    <row r="29" spans="2:36" s="148" customFormat="1" ht="27" customHeight="1">
      <c r="B29" s="839" t="s">
        <v>565</v>
      </c>
      <c r="C29" s="840"/>
      <c r="D29" s="368">
        <v>1</v>
      </c>
      <c r="E29" s="461" t="s">
        <v>335</v>
      </c>
      <c r="F29" s="462">
        <f>IFERROR(Q29*G29,"-")</f>
        <v>2255.7000000000003</v>
      </c>
      <c r="G29" s="376">
        <v>15.450000000000001</v>
      </c>
      <c r="H29" s="463">
        <v>41745</v>
      </c>
      <c r="I29" s="463">
        <v>41745</v>
      </c>
      <c r="J29" s="465">
        <f>IFERROR(I29/H29,"-")</f>
        <v>1</v>
      </c>
      <c r="K29" s="464">
        <v>41891</v>
      </c>
      <c r="L29" s="465">
        <f>IFERROR(K29/H29,"-")</f>
        <v>1.0034974248412984</v>
      </c>
      <c r="M29" s="464">
        <v>507</v>
      </c>
      <c r="N29" s="465">
        <f>IFERROR(M29/H29,"-")</f>
        <v>1.2145167085878549E-2</v>
      </c>
      <c r="O29" s="466">
        <f>IFERROR(K29+M29,"-")</f>
        <v>42398</v>
      </c>
      <c r="P29" s="465">
        <f>IFERROR(O29/H29,"-")</f>
        <v>1.015642591927177</v>
      </c>
      <c r="Q29" s="463">
        <v>146</v>
      </c>
      <c r="R29" s="465">
        <f>IFERROR(Q29/H29,"-")</f>
        <v>3.4974248412983589E-3</v>
      </c>
      <c r="S29" s="466">
        <f>IFERROR(O29-H29,"-")</f>
        <v>653</v>
      </c>
      <c r="T29" s="465">
        <f>IFERROR(S29/H29,"-")</f>
        <v>1.5642591927176909E-2</v>
      </c>
      <c r="U29" s="372">
        <f>IFERROR(S29*G29,"-")</f>
        <v>10088.85</v>
      </c>
      <c r="V29" s="378" t="s">
        <v>423</v>
      </c>
      <c r="W29" s="378" t="s">
        <v>216</v>
      </c>
      <c r="X29" s="379" t="s">
        <v>485</v>
      </c>
      <c r="Y29" s="379" t="s">
        <v>717</v>
      </c>
      <c r="Z29" s="379">
        <v>1</v>
      </c>
      <c r="AA29" s="467" t="s">
        <v>569</v>
      </c>
      <c r="AC29" s="881"/>
      <c r="AD29" s="882"/>
      <c r="AE29" s="882"/>
      <c r="AF29" s="882"/>
      <c r="AG29" s="882"/>
      <c r="AH29" s="882"/>
      <c r="AI29" s="882"/>
      <c r="AJ29" s="883"/>
    </row>
    <row r="30" spans="2:36" s="148" customFormat="1" ht="27" customHeight="1">
      <c r="B30" s="841"/>
      <c r="C30" s="842"/>
      <c r="D30" s="368">
        <v>2</v>
      </c>
      <c r="E30" s="461" t="s">
        <v>459</v>
      </c>
      <c r="F30" s="462">
        <f t="shared" ref="F30:F48" si="10">IFERROR(Q30*G30,"-")</f>
        <v>1673.35</v>
      </c>
      <c r="G30" s="376">
        <v>2.4499999999999997</v>
      </c>
      <c r="H30" s="463">
        <v>153277</v>
      </c>
      <c r="I30" s="463">
        <v>153277</v>
      </c>
      <c r="J30" s="465">
        <f t="shared" ref="J30:J48" si="11">IFERROR(I30/H30,"-")</f>
        <v>1</v>
      </c>
      <c r="K30" s="464">
        <v>153960</v>
      </c>
      <c r="L30" s="465">
        <f t="shared" ref="L30:L48" si="12">IFERROR(K30/H30,"-")</f>
        <v>1.0044559849161974</v>
      </c>
      <c r="M30" s="464">
        <v>1320</v>
      </c>
      <c r="N30" s="465">
        <f t="shared" ref="N30:N48" si="13">IFERROR(M30/H30,"-")</f>
        <v>8.6118595744958479E-3</v>
      </c>
      <c r="O30" s="466">
        <f t="shared" ref="O30:O48" si="14">IFERROR(K30+M30,"-")</f>
        <v>155280</v>
      </c>
      <c r="P30" s="465">
        <f t="shared" ref="P30:P48" si="15">IFERROR(O30/H30,"-")</f>
        <v>1.0130678444906933</v>
      </c>
      <c r="Q30" s="463">
        <v>683</v>
      </c>
      <c r="R30" s="465">
        <f t="shared" ref="R30:R48" si="16">IFERROR(Q30/H30,"-")</f>
        <v>4.4559849161974726E-3</v>
      </c>
      <c r="S30" s="466">
        <f t="shared" ref="S30:S48" si="17">IFERROR(O30-H30,"-")</f>
        <v>2003</v>
      </c>
      <c r="T30" s="465">
        <f t="shared" ref="T30:T48" si="18">IFERROR(S30/H30,"-")</f>
        <v>1.306784449069332E-2</v>
      </c>
      <c r="U30" s="372">
        <f t="shared" ref="U30:U48" si="19">IFERROR(S30*G30,"-")</f>
        <v>4907.3499999999995</v>
      </c>
      <c r="V30" s="378" t="s">
        <v>423</v>
      </c>
      <c r="W30" s="378" t="s">
        <v>339</v>
      </c>
      <c r="X30" s="379" t="s">
        <v>486</v>
      </c>
      <c r="Y30" s="379" t="s">
        <v>487</v>
      </c>
      <c r="Z30" s="379">
        <v>1</v>
      </c>
      <c r="AA30" s="467" t="s">
        <v>342</v>
      </c>
      <c r="AC30" s="161" t="s">
        <v>244</v>
      </c>
      <c r="AD30" s="161" t="s">
        <v>456</v>
      </c>
      <c r="AE30" s="156" t="s">
        <v>674</v>
      </c>
      <c r="AF30" s="156" t="s">
        <v>339</v>
      </c>
      <c r="AG30" s="156" t="s">
        <v>436</v>
      </c>
      <c r="AH30" s="156" t="s">
        <v>215</v>
      </c>
      <c r="AI30" s="156" t="s">
        <v>216</v>
      </c>
      <c r="AJ30" s="156" t="s">
        <v>390</v>
      </c>
    </row>
    <row r="31" spans="2:36" s="148" customFormat="1" ht="27" customHeight="1">
      <c r="B31" s="841"/>
      <c r="C31" s="842"/>
      <c r="D31" s="368">
        <v>3</v>
      </c>
      <c r="E31" s="461" t="s">
        <v>458</v>
      </c>
      <c r="F31" s="462">
        <f t="shared" si="10"/>
        <v>1312.74</v>
      </c>
      <c r="G31" s="376">
        <v>1.17</v>
      </c>
      <c r="H31" s="463">
        <v>310325</v>
      </c>
      <c r="I31" s="463">
        <v>310325</v>
      </c>
      <c r="J31" s="465">
        <f t="shared" si="11"/>
        <v>1</v>
      </c>
      <c r="K31" s="464">
        <v>312180</v>
      </c>
      <c r="L31" s="465">
        <f t="shared" si="12"/>
        <v>1.0059776041247079</v>
      </c>
      <c r="M31" s="464">
        <v>350</v>
      </c>
      <c r="N31" s="465">
        <f t="shared" si="13"/>
        <v>1.12784983485056E-3</v>
      </c>
      <c r="O31" s="466">
        <f t="shared" si="14"/>
        <v>312530</v>
      </c>
      <c r="P31" s="465">
        <f t="shared" si="15"/>
        <v>1.0071054539595585</v>
      </c>
      <c r="Q31" s="463">
        <v>1122</v>
      </c>
      <c r="R31" s="465">
        <f t="shared" si="16"/>
        <v>3.6155643277209376E-3</v>
      </c>
      <c r="S31" s="466">
        <f t="shared" si="17"/>
        <v>2205</v>
      </c>
      <c r="T31" s="465">
        <f t="shared" si="18"/>
        <v>7.1054539595585275E-3</v>
      </c>
      <c r="U31" s="372">
        <f t="shared" si="19"/>
        <v>2579.85</v>
      </c>
      <c r="V31" s="378" t="s">
        <v>423</v>
      </c>
      <c r="W31" s="378" t="s">
        <v>339</v>
      </c>
      <c r="X31" s="379" t="s">
        <v>488</v>
      </c>
      <c r="Y31" s="379" t="s">
        <v>574</v>
      </c>
      <c r="Z31" s="379">
        <v>1</v>
      </c>
      <c r="AA31" s="467" t="s">
        <v>342</v>
      </c>
      <c r="AC31" s="388">
        <f>SUM(Z29:Z48)</f>
        <v>20</v>
      </c>
      <c r="AD31" s="382">
        <f>SUMIF($W$29:$W$48,TRIM(AD30),$Z$29:$Z$48)</f>
        <v>15</v>
      </c>
      <c r="AE31" s="382">
        <f t="shared" ref="AE31:AJ31" si="20">SUMIF($W$29:$W$48,TRIM(AE30),$Z$29:$Z$48)</f>
        <v>0</v>
      </c>
      <c r="AF31" s="382">
        <f t="shared" si="20"/>
        <v>3</v>
      </c>
      <c r="AG31" s="382">
        <f t="shared" si="20"/>
        <v>0</v>
      </c>
      <c r="AH31" s="382">
        <f t="shared" si="20"/>
        <v>1</v>
      </c>
      <c r="AI31" s="382">
        <f t="shared" si="20"/>
        <v>1</v>
      </c>
      <c r="AJ31" s="382">
        <f t="shared" si="20"/>
        <v>0</v>
      </c>
    </row>
    <row r="32" spans="2:36" s="148" customFormat="1" ht="27" customHeight="1">
      <c r="B32" s="841"/>
      <c r="C32" s="842"/>
      <c r="D32" s="368">
        <v>4</v>
      </c>
      <c r="E32" s="461" t="s">
        <v>336</v>
      </c>
      <c r="F32" s="462">
        <f t="shared" si="10"/>
        <v>1270.7799</v>
      </c>
      <c r="G32" s="376">
        <v>141.66999999999999</v>
      </c>
      <c r="H32" s="463">
        <v>608.49</v>
      </c>
      <c r="I32" s="463">
        <v>608.49</v>
      </c>
      <c r="J32" s="465">
        <f t="shared" si="11"/>
        <v>1</v>
      </c>
      <c r="K32" s="464">
        <v>619.6400000000001</v>
      </c>
      <c r="L32" s="465">
        <f t="shared" si="12"/>
        <v>1.0183240480533782</v>
      </c>
      <c r="M32" s="464">
        <v>0</v>
      </c>
      <c r="N32" s="465">
        <f t="shared" si="13"/>
        <v>0</v>
      </c>
      <c r="O32" s="466">
        <f t="shared" si="14"/>
        <v>619.6400000000001</v>
      </c>
      <c r="P32" s="465">
        <f t="shared" si="15"/>
        <v>1.0183240480533782</v>
      </c>
      <c r="Q32" s="463">
        <v>8.9700000000000006</v>
      </c>
      <c r="R32" s="465">
        <f t="shared" si="16"/>
        <v>1.4741409061775873E-2</v>
      </c>
      <c r="S32" s="466">
        <f t="shared" si="17"/>
        <v>11.150000000000091</v>
      </c>
      <c r="T32" s="465">
        <f t="shared" si="18"/>
        <v>1.8324048053378183E-2</v>
      </c>
      <c r="U32" s="372">
        <f t="shared" si="19"/>
        <v>1579.6205000000127</v>
      </c>
      <c r="V32" s="378" t="s">
        <v>423</v>
      </c>
      <c r="W32" s="378" t="s">
        <v>456</v>
      </c>
      <c r="X32" s="379" t="s">
        <v>469</v>
      </c>
      <c r="Y32" s="379" t="s">
        <v>575</v>
      </c>
      <c r="Z32" s="379">
        <v>1</v>
      </c>
      <c r="AA32" s="467" t="s">
        <v>344</v>
      </c>
      <c r="AC32" s="389" t="s">
        <v>11</v>
      </c>
      <c r="AD32" s="386">
        <f>SUMIF($W$29:$W48,TRIM(AD30),$F$29:$F$48)</f>
        <v>17292.7084</v>
      </c>
      <c r="AE32" s="386">
        <f>SUMIF($W$29:$W48,TRIM(AE30),$F$29:$F$48)</f>
        <v>0</v>
      </c>
      <c r="AF32" s="386">
        <f>SUMIF($W$29:$W48,TRIM(AF30),$F$29:$F$48)</f>
        <v>4193.59</v>
      </c>
      <c r="AG32" s="386">
        <f>SUMIF($W$29:$W48,TRIM(AG30),$F$29:$F$48)</f>
        <v>0</v>
      </c>
      <c r="AH32" s="386">
        <f>SUMIF($W$29:$W48,TRIM(AH30),$F$29:$F$48)</f>
        <v>1157.0999999999999</v>
      </c>
      <c r="AI32" s="386">
        <f>SUMIF($W$29:$W48,TRIM(AI30),$F$29:$F$48)</f>
        <v>2255.7000000000003</v>
      </c>
      <c r="AJ32" s="386">
        <f>SUMIF($W$29:$W48,TRIM(AJ30),$F$29:$F$48)</f>
        <v>0</v>
      </c>
    </row>
    <row r="33" spans="2:36" s="148" customFormat="1" ht="27" customHeight="1">
      <c r="B33" s="841"/>
      <c r="C33" s="842"/>
      <c r="D33" s="368">
        <v>5</v>
      </c>
      <c r="E33" s="461" t="s">
        <v>361</v>
      </c>
      <c r="F33" s="462">
        <f t="shared" si="10"/>
        <v>1208.6592000000003</v>
      </c>
      <c r="G33" s="376">
        <v>253.92000000000002</v>
      </c>
      <c r="H33" s="463">
        <v>230.32999999999998</v>
      </c>
      <c r="I33" s="463">
        <v>230.32999999999998</v>
      </c>
      <c r="J33" s="465">
        <f t="shared" si="11"/>
        <v>1</v>
      </c>
      <c r="K33" s="464">
        <v>236.41000000000003</v>
      </c>
      <c r="L33" s="465">
        <f t="shared" si="12"/>
        <v>1.0263969087830507</v>
      </c>
      <c r="M33" s="464">
        <v>0</v>
      </c>
      <c r="N33" s="465">
        <f t="shared" si="13"/>
        <v>0</v>
      </c>
      <c r="O33" s="466">
        <f t="shared" si="14"/>
        <v>236.41000000000003</v>
      </c>
      <c r="P33" s="465">
        <f t="shared" si="15"/>
        <v>1.0263969087830507</v>
      </c>
      <c r="Q33" s="463">
        <v>4.7600000000000007</v>
      </c>
      <c r="R33" s="465">
        <f t="shared" si="16"/>
        <v>2.0666000955151309E-2</v>
      </c>
      <c r="S33" s="466">
        <f t="shared" si="17"/>
        <v>6.0800000000000409</v>
      </c>
      <c r="T33" s="465">
        <f t="shared" si="18"/>
        <v>2.6396908783050586E-2</v>
      </c>
      <c r="U33" s="372">
        <f t="shared" si="19"/>
        <v>1543.8336000000104</v>
      </c>
      <c r="V33" s="378" t="s">
        <v>423</v>
      </c>
      <c r="W33" s="378" t="s">
        <v>456</v>
      </c>
      <c r="X33" s="379" t="s">
        <v>502</v>
      </c>
      <c r="Y33" s="397" t="s">
        <v>517</v>
      </c>
      <c r="Z33" s="379">
        <v>1</v>
      </c>
      <c r="AA33" s="467" t="s">
        <v>353</v>
      </c>
      <c r="AC33" s="368" t="s">
        <v>675</v>
      </c>
      <c r="AD33" s="468">
        <f t="shared" ref="AD33:AJ33" si="21">AD31/$AC31</f>
        <v>0.75</v>
      </c>
      <c r="AE33" s="468">
        <f t="shared" si="21"/>
        <v>0</v>
      </c>
      <c r="AF33" s="468">
        <f t="shared" si="21"/>
        <v>0.15</v>
      </c>
      <c r="AG33" s="468">
        <f t="shared" si="21"/>
        <v>0</v>
      </c>
      <c r="AH33" s="468">
        <f t="shared" si="21"/>
        <v>0.05</v>
      </c>
      <c r="AI33" s="468">
        <f t="shared" si="21"/>
        <v>0.05</v>
      </c>
      <c r="AJ33" s="468">
        <f t="shared" si="21"/>
        <v>0</v>
      </c>
    </row>
    <row r="34" spans="2:36" s="148" customFormat="1" ht="27" customHeight="1">
      <c r="B34" s="841"/>
      <c r="C34" s="842"/>
      <c r="D34" s="368">
        <v>6</v>
      </c>
      <c r="E34" s="461" t="s">
        <v>545</v>
      </c>
      <c r="F34" s="462">
        <f t="shared" si="10"/>
        <v>1207.4999999999998</v>
      </c>
      <c r="G34" s="376">
        <v>16.099999999999998</v>
      </c>
      <c r="H34" s="463">
        <v>11045</v>
      </c>
      <c r="I34" s="463">
        <v>11045</v>
      </c>
      <c r="J34" s="465">
        <f t="shared" si="11"/>
        <v>1</v>
      </c>
      <c r="K34" s="464">
        <v>11138</v>
      </c>
      <c r="L34" s="465">
        <f t="shared" si="12"/>
        <v>1.0084200995925758</v>
      </c>
      <c r="M34" s="464">
        <v>157</v>
      </c>
      <c r="N34" s="465">
        <f t="shared" si="13"/>
        <v>1.4214576731552738E-2</v>
      </c>
      <c r="O34" s="466">
        <f t="shared" si="14"/>
        <v>11295</v>
      </c>
      <c r="P34" s="465">
        <f t="shared" si="15"/>
        <v>1.0226346763241285</v>
      </c>
      <c r="Q34" s="463">
        <v>75</v>
      </c>
      <c r="R34" s="465">
        <f t="shared" si="16"/>
        <v>6.7904028972385691E-3</v>
      </c>
      <c r="S34" s="466">
        <f t="shared" si="17"/>
        <v>250</v>
      </c>
      <c r="T34" s="465">
        <f t="shared" si="18"/>
        <v>2.2634676324128564E-2</v>
      </c>
      <c r="U34" s="372">
        <f t="shared" si="19"/>
        <v>4024.9999999999995</v>
      </c>
      <c r="V34" s="378" t="s">
        <v>423</v>
      </c>
      <c r="W34" s="378" t="s">
        <v>339</v>
      </c>
      <c r="X34" s="379" t="s">
        <v>718</v>
      </c>
      <c r="Y34" s="379" t="s">
        <v>719</v>
      </c>
      <c r="Z34" s="379">
        <v>1</v>
      </c>
      <c r="AA34" s="467" t="s">
        <v>542</v>
      </c>
    </row>
    <row r="35" spans="2:36" s="148" customFormat="1" ht="27" customHeight="1">
      <c r="B35" s="841"/>
      <c r="C35" s="842"/>
      <c r="D35" s="368">
        <v>7</v>
      </c>
      <c r="E35" s="461" t="s">
        <v>448</v>
      </c>
      <c r="F35" s="462">
        <f t="shared" si="10"/>
        <v>1194.9938</v>
      </c>
      <c r="G35" s="376">
        <v>181.60999999999999</v>
      </c>
      <c r="H35" s="463">
        <v>465.24</v>
      </c>
      <c r="I35" s="463">
        <v>465.24</v>
      </c>
      <c r="J35" s="465">
        <f t="shared" si="11"/>
        <v>1</v>
      </c>
      <c r="K35" s="464">
        <v>474.02</v>
      </c>
      <c r="L35" s="465">
        <f t="shared" si="12"/>
        <v>1.0188719800533057</v>
      </c>
      <c r="M35" s="464">
        <v>0</v>
      </c>
      <c r="N35" s="465">
        <f t="shared" si="13"/>
        <v>0</v>
      </c>
      <c r="O35" s="466">
        <f t="shared" si="14"/>
        <v>474.02</v>
      </c>
      <c r="P35" s="465">
        <f t="shared" si="15"/>
        <v>1.0188719800533057</v>
      </c>
      <c r="Q35" s="463">
        <v>6.58</v>
      </c>
      <c r="R35" s="465">
        <f t="shared" si="16"/>
        <v>1.4143237898718941E-2</v>
      </c>
      <c r="S35" s="466">
        <f t="shared" si="17"/>
        <v>8.7799999999999727</v>
      </c>
      <c r="T35" s="465">
        <f t="shared" si="18"/>
        <v>1.8871980053305763E-2</v>
      </c>
      <c r="U35" s="372">
        <f t="shared" si="19"/>
        <v>1594.5357999999949</v>
      </c>
      <c r="V35" s="378" t="s">
        <v>423</v>
      </c>
      <c r="W35" s="378" t="s">
        <v>456</v>
      </c>
      <c r="X35" s="379" t="s">
        <v>653</v>
      </c>
      <c r="Y35" s="379" t="s">
        <v>466</v>
      </c>
      <c r="Z35" s="379">
        <v>1</v>
      </c>
      <c r="AA35" s="467" t="s">
        <v>447</v>
      </c>
    </row>
    <row r="36" spans="2:36" s="148" customFormat="1" ht="27" customHeight="1">
      <c r="B36" s="841"/>
      <c r="C36" s="842"/>
      <c r="D36" s="368">
        <v>8</v>
      </c>
      <c r="E36" s="461" t="s">
        <v>477</v>
      </c>
      <c r="F36" s="462">
        <f t="shared" si="10"/>
        <v>1168.3672000000001</v>
      </c>
      <c r="G36" s="376">
        <v>160.49</v>
      </c>
      <c r="H36" s="463">
        <v>714.95</v>
      </c>
      <c r="I36" s="463">
        <v>714.95</v>
      </c>
      <c r="J36" s="465">
        <f t="shared" si="11"/>
        <v>1</v>
      </c>
      <c r="K36" s="464">
        <v>725.18</v>
      </c>
      <c r="L36" s="465">
        <f t="shared" si="12"/>
        <v>1.0143086929155885</v>
      </c>
      <c r="M36" s="464">
        <v>44.980000000000004</v>
      </c>
      <c r="N36" s="465">
        <f t="shared" si="13"/>
        <v>6.2913490453877896E-2</v>
      </c>
      <c r="O36" s="466">
        <f t="shared" si="14"/>
        <v>770.16</v>
      </c>
      <c r="P36" s="465">
        <f t="shared" si="15"/>
        <v>1.0772221833694662</v>
      </c>
      <c r="Q36" s="463">
        <v>7.28</v>
      </c>
      <c r="R36" s="465">
        <f t="shared" si="16"/>
        <v>1.018253024687041E-2</v>
      </c>
      <c r="S36" s="466">
        <f t="shared" si="17"/>
        <v>55.209999999999923</v>
      </c>
      <c r="T36" s="465">
        <f t="shared" si="18"/>
        <v>7.7222183369466277E-2</v>
      </c>
      <c r="U36" s="372">
        <f t="shared" si="19"/>
        <v>8860.6528999999882</v>
      </c>
      <c r="V36" s="378" t="s">
        <v>423</v>
      </c>
      <c r="W36" s="378" t="s">
        <v>456</v>
      </c>
      <c r="X36" s="379" t="s">
        <v>720</v>
      </c>
      <c r="Y36" s="379" t="s">
        <v>721</v>
      </c>
      <c r="Z36" s="379">
        <v>1</v>
      </c>
      <c r="AA36" s="467" t="s">
        <v>441</v>
      </c>
    </row>
    <row r="37" spans="2:36" s="148" customFormat="1" ht="27" customHeight="1">
      <c r="B37" s="841"/>
      <c r="C37" s="842"/>
      <c r="D37" s="368">
        <v>9</v>
      </c>
      <c r="E37" s="461" t="s">
        <v>360</v>
      </c>
      <c r="F37" s="462">
        <f t="shared" si="10"/>
        <v>1162.5045000000002</v>
      </c>
      <c r="G37" s="376">
        <v>183.65000000000003</v>
      </c>
      <c r="H37" s="463">
        <v>285.16999999999996</v>
      </c>
      <c r="I37" s="463">
        <v>285.16999999999996</v>
      </c>
      <c r="J37" s="465">
        <f t="shared" si="11"/>
        <v>1</v>
      </c>
      <c r="K37" s="464">
        <v>294.89</v>
      </c>
      <c r="L37" s="465">
        <f t="shared" si="12"/>
        <v>1.0340849317950698</v>
      </c>
      <c r="M37" s="464">
        <v>1.66</v>
      </c>
      <c r="N37" s="465">
        <f t="shared" si="13"/>
        <v>5.821089174878143E-3</v>
      </c>
      <c r="O37" s="466">
        <f t="shared" si="14"/>
        <v>296.55</v>
      </c>
      <c r="P37" s="465">
        <f t="shared" si="15"/>
        <v>1.039906020969948</v>
      </c>
      <c r="Q37" s="463">
        <v>6.33</v>
      </c>
      <c r="R37" s="465">
        <f t="shared" si="16"/>
        <v>2.2197285829505212E-2</v>
      </c>
      <c r="S37" s="466">
        <f t="shared" si="17"/>
        <v>11.380000000000052</v>
      </c>
      <c r="T37" s="465">
        <f t="shared" si="18"/>
        <v>3.9906020969947942E-2</v>
      </c>
      <c r="U37" s="372">
        <f t="shared" si="19"/>
        <v>2089.9370000000099</v>
      </c>
      <c r="V37" s="378" t="s">
        <v>423</v>
      </c>
      <c r="W37" s="378" t="s">
        <v>456</v>
      </c>
      <c r="X37" s="379" t="s">
        <v>722</v>
      </c>
      <c r="Y37" s="379" t="s">
        <v>723</v>
      </c>
      <c r="Z37" s="379">
        <v>1</v>
      </c>
      <c r="AA37" s="467" t="s">
        <v>353</v>
      </c>
    </row>
    <row r="38" spans="2:36" s="148" customFormat="1" ht="27" customHeight="1">
      <c r="B38" s="841"/>
      <c r="C38" s="842"/>
      <c r="D38" s="368">
        <v>10</v>
      </c>
      <c r="E38" s="461" t="s">
        <v>645</v>
      </c>
      <c r="F38" s="462">
        <f t="shared" si="10"/>
        <v>1157.0999999999999</v>
      </c>
      <c r="G38" s="376">
        <v>105</v>
      </c>
      <c r="H38" s="463">
        <v>692.60000000000014</v>
      </c>
      <c r="I38" s="463">
        <v>692.60000000000014</v>
      </c>
      <c r="J38" s="465">
        <f t="shared" si="11"/>
        <v>1</v>
      </c>
      <c r="K38" s="464">
        <v>708.68</v>
      </c>
      <c r="L38" s="465">
        <f t="shared" si="12"/>
        <v>1.0232168639907593</v>
      </c>
      <c r="M38" s="464">
        <v>4.2799999999999994</v>
      </c>
      <c r="N38" s="465">
        <f t="shared" si="13"/>
        <v>6.1796130522668189E-3</v>
      </c>
      <c r="O38" s="466">
        <f t="shared" si="14"/>
        <v>712.95999999999992</v>
      </c>
      <c r="P38" s="465">
        <f t="shared" si="15"/>
        <v>1.0293964770430259</v>
      </c>
      <c r="Q38" s="463">
        <v>11.02</v>
      </c>
      <c r="R38" s="465">
        <f t="shared" si="16"/>
        <v>1.5911059774761763E-2</v>
      </c>
      <c r="S38" s="466">
        <f t="shared" si="17"/>
        <v>20.359999999999786</v>
      </c>
      <c r="T38" s="465">
        <f t="shared" si="18"/>
        <v>2.9396477043025962E-2</v>
      </c>
      <c r="U38" s="372">
        <f t="shared" si="19"/>
        <v>2137.7999999999774</v>
      </c>
      <c r="V38" s="378" t="s">
        <v>423</v>
      </c>
      <c r="W38" s="378" t="s">
        <v>215</v>
      </c>
      <c r="X38" s="379" t="s">
        <v>724</v>
      </c>
      <c r="Y38" s="379" t="s">
        <v>481</v>
      </c>
      <c r="Z38" s="379">
        <v>1</v>
      </c>
      <c r="AA38" s="467" t="s">
        <v>352</v>
      </c>
    </row>
    <row r="39" spans="2:36" s="148" customFormat="1" ht="27" customHeight="1">
      <c r="B39" s="841"/>
      <c r="C39" s="842"/>
      <c r="D39" s="368">
        <v>11</v>
      </c>
      <c r="E39" s="461" t="s">
        <v>544</v>
      </c>
      <c r="F39" s="462">
        <f t="shared" si="10"/>
        <v>1140.8369999999998</v>
      </c>
      <c r="G39" s="376">
        <v>139.97999999999999</v>
      </c>
      <c r="H39" s="463">
        <v>883.59999999999991</v>
      </c>
      <c r="I39" s="463">
        <v>883.59999999999991</v>
      </c>
      <c r="J39" s="465">
        <f t="shared" si="11"/>
        <v>1</v>
      </c>
      <c r="K39" s="464">
        <v>894.1</v>
      </c>
      <c r="L39" s="465">
        <f t="shared" si="12"/>
        <v>1.0118832050701676</v>
      </c>
      <c r="M39" s="464">
        <v>57.849999999999994</v>
      </c>
      <c r="N39" s="465">
        <f t="shared" si="13"/>
        <v>6.5470801267541873E-2</v>
      </c>
      <c r="O39" s="466">
        <f t="shared" si="14"/>
        <v>951.95</v>
      </c>
      <c r="P39" s="465">
        <f t="shared" si="15"/>
        <v>1.0773540063377096</v>
      </c>
      <c r="Q39" s="463">
        <v>8.1499999999999986</v>
      </c>
      <c r="R39" s="465">
        <f t="shared" si="16"/>
        <v>9.2236306020823892E-3</v>
      </c>
      <c r="S39" s="466">
        <f t="shared" si="17"/>
        <v>68.350000000000136</v>
      </c>
      <c r="T39" s="465">
        <f t="shared" si="18"/>
        <v>7.735400633770953E-2</v>
      </c>
      <c r="U39" s="372">
        <f t="shared" si="19"/>
        <v>9567.633000000018</v>
      </c>
      <c r="V39" s="378" t="s">
        <v>423</v>
      </c>
      <c r="W39" s="378" t="s">
        <v>456</v>
      </c>
      <c r="X39" s="379" t="s">
        <v>720</v>
      </c>
      <c r="Y39" s="379" t="s">
        <v>721</v>
      </c>
      <c r="Z39" s="379">
        <v>1</v>
      </c>
      <c r="AA39" s="467" t="s">
        <v>542</v>
      </c>
      <c r="AE39" s="383"/>
    </row>
    <row r="40" spans="2:36" s="148" customFormat="1" ht="27" customHeight="1">
      <c r="B40" s="841"/>
      <c r="C40" s="842"/>
      <c r="D40" s="368">
        <v>12</v>
      </c>
      <c r="E40" s="461" t="s">
        <v>703</v>
      </c>
      <c r="F40" s="462">
        <f t="shared" si="10"/>
        <v>1135.1143999999999</v>
      </c>
      <c r="G40" s="376">
        <v>176.26</v>
      </c>
      <c r="H40" s="463">
        <v>332.6</v>
      </c>
      <c r="I40" s="463">
        <v>332.6</v>
      </c>
      <c r="J40" s="465">
        <f t="shared" si="11"/>
        <v>1</v>
      </c>
      <c r="K40" s="464">
        <v>342.71999999999991</v>
      </c>
      <c r="L40" s="465">
        <f t="shared" si="12"/>
        <v>1.0304269392663856</v>
      </c>
      <c r="M40" s="464">
        <v>0</v>
      </c>
      <c r="N40" s="465">
        <f t="shared" si="13"/>
        <v>0</v>
      </c>
      <c r="O40" s="466">
        <f t="shared" si="14"/>
        <v>342.71999999999991</v>
      </c>
      <c r="P40" s="465">
        <f t="shared" si="15"/>
        <v>1.0304269392663856</v>
      </c>
      <c r="Q40" s="463">
        <v>6.44</v>
      </c>
      <c r="R40" s="465">
        <f t="shared" si="16"/>
        <v>1.9362597714972941E-2</v>
      </c>
      <c r="S40" s="466">
        <f t="shared" si="17"/>
        <v>10.119999999999891</v>
      </c>
      <c r="T40" s="465">
        <f t="shared" si="18"/>
        <v>3.0426939266385719E-2</v>
      </c>
      <c r="U40" s="372">
        <f t="shared" si="19"/>
        <v>1783.7511999999806</v>
      </c>
      <c r="V40" s="378" t="s">
        <v>423</v>
      </c>
      <c r="W40" s="378" t="s">
        <v>456</v>
      </c>
      <c r="X40" s="379" t="s">
        <v>577</v>
      </c>
      <c r="Y40" s="379" t="s">
        <v>725</v>
      </c>
      <c r="Z40" s="379">
        <v>1</v>
      </c>
      <c r="AA40" s="467" t="s">
        <v>562</v>
      </c>
    </row>
    <row r="41" spans="2:36" s="148" customFormat="1" ht="27" customHeight="1">
      <c r="B41" s="841"/>
      <c r="C41" s="842"/>
      <c r="D41" s="368">
        <v>13</v>
      </c>
      <c r="E41" s="461" t="s">
        <v>704</v>
      </c>
      <c r="F41" s="462">
        <f t="shared" si="10"/>
        <v>1134.7517999999998</v>
      </c>
      <c r="G41" s="376">
        <v>207.82999999999998</v>
      </c>
      <c r="H41" s="463">
        <v>165.96</v>
      </c>
      <c r="I41" s="463">
        <v>165.96</v>
      </c>
      <c r="J41" s="465">
        <f t="shared" si="11"/>
        <v>1</v>
      </c>
      <c r="K41" s="464">
        <v>173.08</v>
      </c>
      <c r="L41" s="465">
        <f t="shared" si="12"/>
        <v>1.0429019040732708</v>
      </c>
      <c r="M41" s="464">
        <v>2</v>
      </c>
      <c r="N41" s="465">
        <f t="shared" si="13"/>
        <v>1.2051096649795132E-2</v>
      </c>
      <c r="O41" s="466">
        <f t="shared" si="14"/>
        <v>175.08</v>
      </c>
      <c r="P41" s="465">
        <f t="shared" si="15"/>
        <v>1.0549530007230659</v>
      </c>
      <c r="Q41" s="463">
        <v>5.4599999999999991</v>
      </c>
      <c r="R41" s="465">
        <f t="shared" si="16"/>
        <v>3.2899493853940705E-2</v>
      </c>
      <c r="S41" s="466">
        <f t="shared" si="17"/>
        <v>9.1200000000000045</v>
      </c>
      <c r="T41" s="465">
        <f t="shared" si="18"/>
        <v>5.4953000723065824E-2</v>
      </c>
      <c r="U41" s="372">
        <f t="shared" si="19"/>
        <v>1895.4096000000009</v>
      </c>
      <c r="V41" s="378" t="s">
        <v>423</v>
      </c>
      <c r="W41" s="378" t="s">
        <v>456</v>
      </c>
      <c r="X41" s="379" t="s">
        <v>469</v>
      </c>
      <c r="Y41" s="379" t="s">
        <v>726</v>
      </c>
      <c r="Z41" s="379">
        <v>1</v>
      </c>
      <c r="AA41" s="467" t="s">
        <v>356</v>
      </c>
    </row>
    <row r="42" spans="2:36" s="148" customFormat="1" ht="27" customHeight="1">
      <c r="B42" s="841"/>
      <c r="C42" s="842"/>
      <c r="D42" s="368">
        <v>14</v>
      </c>
      <c r="E42" s="461" t="s">
        <v>593</v>
      </c>
      <c r="F42" s="462">
        <f t="shared" si="10"/>
        <v>1129.44</v>
      </c>
      <c r="G42" s="376">
        <v>144.79999999999998</v>
      </c>
      <c r="H42" s="463">
        <v>1403.97</v>
      </c>
      <c r="I42" s="463">
        <v>1403.97</v>
      </c>
      <c r="J42" s="465">
        <f t="shared" si="11"/>
        <v>1</v>
      </c>
      <c r="K42" s="464">
        <v>1417.45</v>
      </c>
      <c r="L42" s="465">
        <f t="shared" si="12"/>
        <v>1.0096013447580789</v>
      </c>
      <c r="M42" s="464">
        <v>17.330000000000002</v>
      </c>
      <c r="N42" s="465">
        <f t="shared" si="13"/>
        <v>1.2343568594770545E-2</v>
      </c>
      <c r="O42" s="466">
        <f t="shared" si="14"/>
        <v>1434.78</v>
      </c>
      <c r="P42" s="465">
        <f t="shared" si="15"/>
        <v>1.0219449133528493</v>
      </c>
      <c r="Q42" s="463">
        <v>7.8000000000000007</v>
      </c>
      <c r="R42" s="465">
        <f t="shared" si="16"/>
        <v>5.5556742665441574E-3</v>
      </c>
      <c r="S42" s="466">
        <f t="shared" si="17"/>
        <v>30.809999999999945</v>
      </c>
      <c r="T42" s="465">
        <f t="shared" si="18"/>
        <v>2.1944913352849382E-2</v>
      </c>
      <c r="U42" s="372">
        <f t="shared" si="19"/>
        <v>4461.2879999999914</v>
      </c>
      <c r="V42" s="378" t="s">
        <v>423</v>
      </c>
      <c r="W42" s="378" t="s">
        <v>456</v>
      </c>
      <c r="X42" s="378" t="s">
        <v>727</v>
      </c>
      <c r="Y42" s="379" t="s">
        <v>503</v>
      </c>
      <c r="Z42" s="379">
        <v>1</v>
      </c>
      <c r="AA42" s="467" t="s">
        <v>342</v>
      </c>
    </row>
    <row r="43" spans="2:36" s="148" customFormat="1" ht="27" customHeight="1">
      <c r="B43" s="841"/>
      <c r="C43" s="842"/>
      <c r="D43" s="368">
        <v>15</v>
      </c>
      <c r="E43" s="461" t="s">
        <v>705</v>
      </c>
      <c r="F43" s="462">
        <f t="shared" si="10"/>
        <v>1129.0047999999999</v>
      </c>
      <c r="G43" s="376">
        <v>278.08</v>
      </c>
      <c r="H43" s="463">
        <v>88.36</v>
      </c>
      <c r="I43" s="463">
        <v>88.36</v>
      </c>
      <c r="J43" s="465">
        <f t="shared" si="11"/>
        <v>1</v>
      </c>
      <c r="K43" s="464">
        <v>95.690000000000012</v>
      </c>
      <c r="L43" s="465">
        <f t="shared" si="12"/>
        <v>1.0829560887279313</v>
      </c>
      <c r="M43" s="464">
        <v>3.96</v>
      </c>
      <c r="N43" s="465">
        <f t="shared" si="13"/>
        <v>4.4816659121774557E-2</v>
      </c>
      <c r="O43" s="466">
        <f t="shared" si="14"/>
        <v>99.65</v>
      </c>
      <c r="P43" s="465">
        <f t="shared" si="15"/>
        <v>1.1277727478497057</v>
      </c>
      <c r="Q43" s="463">
        <v>4.0599999999999996</v>
      </c>
      <c r="R43" s="465">
        <f t="shared" si="16"/>
        <v>4.5948392937980982E-2</v>
      </c>
      <c r="S43" s="466">
        <f t="shared" si="17"/>
        <v>11.290000000000006</v>
      </c>
      <c r="T43" s="465">
        <f t="shared" si="18"/>
        <v>0.12777274784970583</v>
      </c>
      <c r="U43" s="372">
        <f t="shared" si="19"/>
        <v>3139.5232000000015</v>
      </c>
      <c r="V43" s="378" t="s">
        <v>423</v>
      </c>
      <c r="W43" s="378" t="s">
        <v>456</v>
      </c>
      <c r="X43" s="379" t="s">
        <v>577</v>
      </c>
      <c r="Y43" s="379" t="s">
        <v>725</v>
      </c>
      <c r="Z43" s="379">
        <v>1</v>
      </c>
      <c r="AA43" s="467" t="s">
        <v>542</v>
      </c>
    </row>
    <row r="44" spans="2:36" s="148" customFormat="1" ht="27" customHeight="1">
      <c r="B44" s="841"/>
      <c r="C44" s="842"/>
      <c r="D44" s="368">
        <v>16</v>
      </c>
      <c r="E44" s="461" t="s">
        <v>706</v>
      </c>
      <c r="F44" s="462">
        <f t="shared" si="10"/>
        <v>1128.4711999999997</v>
      </c>
      <c r="G44" s="376">
        <v>294.63999999999993</v>
      </c>
      <c r="H44" s="463">
        <v>180.26999999999998</v>
      </c>
      <c r="I44" s="463">
        <v>180.26999999999998</v>
      </c>
      <c r="J44" s="465">
        <f t="shared" si="11"/>
        <v>1</v>
      </c>
      <c r="K44" s="464">
        <v>188.19999999999996</v>
      </c>
      <c r="L44" s="465">
        <f t="shared" si="12"/>
        <v>1.0439895711987572</v>
      </c>
      <c r="M44" s="464">
        <v>9.75</v>
      </c>
      <c r="N44" s="465">
        <f t="shared" si="13"/>
        <v>5.408553835912798E-2</v>
      </c>
      <c r="O44" s="466">
        <f t="shared" si="14"/>
        <v>197.94999999999996</v>
      </c>
      <c r="P44" s="465">
        <f t="shared" si="15"/>
        <v>1.0980751095578853</v>
      </c>
      <c r="Q44" s="463">
        <v>3.83</v>
      </c>
      <c r="R44" s="465">
        <f t="shared" si="16"/>
        <v>2.124590891440617E-2</v>
      </c>
      <c r="S44" s="466">
        <f t="shared" si="17"/>
        <v>17.679999999999978</v>
      </c>
      <c r="T44" s="465">
        <f t="shared" si="18"/>
        <v>9.8075109557885287E-2</v>
      </c>
      <c r="U44" s="372">
        <f t="shared" si="19"/>
        <v>5209.2351999999928</v>
      </c>
      <c r="V44" s="378" t="s">
        <v>423</v>
      </c>
      <c r="W44" s="378" t="s">
        <v>456</v>
      </c>
      <c r="X44" s="379" t="s">
        <v>577</v>
      </c>
      <c r="Y44" s="379" t="s">
        <v>467</v>
      </c>
      <c r="Z44" s="379">
        <v>1</v>
      </c>
      <c r="AA44" s="467" t="s">
        <v>711</v>
      </c>
    </row>
    <row r="45" spans="2:36" s="148" customFormat="1" ht="27" customHeight="1">
      <c r="B45" s="841"/>
      <c r="C45" s="842"/>
      <c r="D45" s="368">
        <v>17</v>
      </c>
      <c r="E45" s="461" t="s">
        <v>707</v>
      </c>
      <c r="F45" s="462">
        <f t="shared" si="10"/>
        <v>1125.1042</v>
      </c>
      <c r="G45" s="376">
        <v>300.83</v>
      </c>
      <c r="H45" s="463">
        <v>131.62</v>
      </c>
      <c r="I45" s="463">
        <v>131.62</v>
      </c>
      <c r="J45" s="465">
        <f t="shared" si="11"/>
        <v>1</v>
      </c>
      <c r="K45" s="464">
        <v>137.06</v>
      </c>
      <c r="L45" s="465">
        <f t="shared" si="12"/>
        <v>1.0413311046953351</v>
      </c>
      <c r="M45" s="464">
        <v>2.7</v>
      </c>
      <c r="N45" s="465">
        <f t="shared" si="13"/>
        <v>2.0513599756875854E-2</v>
      </c>
      <c r="O45" s="466">
        <f t="shared" si="14"/>
        <v>139.76</v>
      </c>
      <c r="P45" s="465">
        <f t="shared" si="15"/>
        <v>1.0618447044522108</v>
      </c>
      <c r="Q45" s="463">
        <v>3.74</v>
      </c>
      <c r="R45" s="465">
        <f t="shared" si="16"/>
        <v>2.841513447804285E-2</v>
      </c>
      <c r="S45" s="466">
        <f t="shared" si="17"/>
        <v>8.1399999999999864</v>
      </c>
      <c r="T45" s="465">
        <f t="shared" si="18"/>
        <v>6.1844704452210804E-2</v>
      </c>
      <c r="U45" s="372">
        <f t="shared" si="19"/>
        <v>2448.7561999999957</v>
      </c>
      <c r="V45" s="378" t="s">
        <v>423</v>
      </c>
      <c r="W45" s="378" t="s">
        <v>456</v>
      </c>
      <c r="X45" s="397" t="s">
        <v>728</v>
      </c>
      <c r="Y45" s="378" t="s">
        <v>729</v>
      </c>
      <c r="Z45" s="379">
        <v>1</v>
      </c>
      <c r="AA45" s="467" t="s">
        <v>353</v>
      </c>
    </row>
    <row r="46" spans="2:36" s="148" customFormat="1" ht="27" customHeight="1">
      <c r="B46" s="841"/>
      <c r="C46" s="842"/>
      <c r="D46" s="368">
        <v>18</v>
      </c>
      <c r="E46" s="461" t="s">
        <v>708</v>
      </c>
      <c r="F46" s="462">
        <f t="shared" si="10"/>
        <v>1124.2436000000002</v>
      </c>
      <c r="G46" s="376">
        <v>172.43000000000004</v>
      </c>
      <c r="H46" s="463">
        <v>288.26</v>
      </c>
      <c r="I46" s="463">
        <v>288.26</v>
      </c>
      <c r="J46" s="465">
        <f t="shared" si="11"/>
        <v>1</v>
      </c>
      <c r="K46" s="464">
        <v>296.73999999999995</v>
      </c>
      <c r="L46" s="465">
        <f t="shared" si="12"/>
        <v>1.0294178866301253</v>
      </c>
      <c r="M46" s="464">
        <v>0</v>
      </c>
      <c r="N46" s="465">
        <f t="shared" si="13"/>
        <v>0</v>
      </c>
      <c r="O46" s="466">
        <f t="shared" si="14"/>
        <v>296.73999999999995</v>
      </c>
      <c r="P46" s="465">
        <f t="shared" si="15"/>
        <v>1.0294178866301253</v>
      </c>
      <c r="Q46" s="463">
        <v>6.52</v>
      </c>
      <c r="R46" s="465">
        <f t="shared" si="16"/>
        <v>2.2618469437313535E-2</v>
      </c>
      <c r="S46" s="466">
        <f t="shared" si="17"/>
        <v>8.4799999999999613</v>
      </c>
      <c r="T46" s="465">
        <f t="shared" si="18"/>
        <v>2.9417886630125449E-2</v>
      </c>
      <c r="U46" s="372">
        <f t="shared" si="19"/>
        <v>1462.2063999999937</v>
      </c>
      <c r="V46" s="378" t="s">
        <v>423</v>
      </c>
      <c r="W46" s="378" t="s">
        <v>456</v>
      </c>
      <c r="X46" s="379" t="s">
        <v>577</v>
      </c>
      <c r="Y46" s="379" t="s">
        <v>467</v>
      </c>
      <c r="Z46" s="379">
        <v>1</v>
      </c>
      <c r="AA46" s="467" t="s">
        <v>560</v>
      </c>
    </row>
    <row r="47" spans="2:36" s="148" customFormat="1" ht="27" customHeight="1">
      <c r="B47" s="841"/>
      <c r="C47" s="842"/>
      <c r="D47" s="368">
        <v>19</v>
      </c>
      <c r="E47" s="461" t="s">
        <v>709</v>
      </c>
      <c r="F47" s="462">
        <f t="shared" si="10"/>
        <v>1123.5224000000001</v>
      </c>
      <c r="G47" s="376">
        <v>40.04</v>
      </c>
      <c r="H47" s="463">
        <v>3058.9700000000003</v>
      </c>
      <c r="I47" s="463">
        <v>3058.9700000000003</v>
      </c>
      <c r="J47" s="465">
        <f t="shared" si="11"/>
        <v>1</v>
      </c>
      <c r="K47" s="464">
        <v>3111.84</v>
      </c>
      <c r="L47" s="465">
        <f t="shared" si="12"/>
        <v>1.0172835954586021</v>
      </c>
      <c r="M47" s="464">
        <v>67.44</v>
      </c>
      <c r="N47" s="465">
        <f t="shared" si="13"/>
        <v>2.2046636612977569E-2</v>
      </c>
      <c r="O47" s="466">
        <f t="shared" si="14"/>
        <v>3179.28</v>
      </c>
      <c r="P47" s="465">
        <f t="shared" si="15"/>
        <v>1.0393302320715796</v>
      </c>
      <c r="Q47" s="463">
        <v>28.060000000000002</v>
      </c>
      <c r="R47" s="465">
        <f t="shared" si="16"/>
        <v>9.173022291817181E-3</v>
      </c>
      <c r="S47" s="466">
        <f t="shared" si="17"/>
        <v>120.30999999999995</v>
      </c>
      <c r="T47" s="465">
        <f t="shared" si="18"/>
        <v>3.9330232071579631E-2</v>
      </c>
      <c r="U47" s="372">
        <f t="shared" si="19"/>
        <v>4817.2123999999976</v>
      </c>
      <c r="V47" s="378" t="s">
        <v>423</v>
      </c>
      <c r="W47" s="378" t="s">
        <v>456</v>
      </c>
      <c r="X47" s="397" t="s">
        <v>730</v>
      </c>
      <c r="Y47" s="379" t="s">
        <v>717</v>
      </c>
      <c r="Z47" s="379">
        <v>1</v>
      </c>
      <c r="AA47" s="467" t="s">
        <v>588</v>
      </c>
    </row>
    <row r="48" spans="2:36" s="148" customFormat="1" ht="27" customHeight="1">
      <c r="B48" s="843"/>
      <c r="C48" s="844"/>
      <c r="D48" s="368">
        <v>20</v>
      </c>
      <c r="E48" s="461" t="s">
        <v>710</v>
      </c>
      <c r="F48" s="462">
        <f t="shared" si="10"/>
        <v>1116.9144000000001</v>
      </c>
      <c r="G48" s="376">
        <v>209.16000000000003</v>
      </c>
      <c r="H48" s="463">
        <v>195.37000000000003</v>
      </c>
      <c r="I48" s="463">
        <v>195.37000000000003</v>
      </c>
      <c r="J48" s="465">
        <f t="shared" si="11"/>
        <v>1</v>
      </c>
      <c r="K48" s="464">
        <v>202.81</v>
      </c>
      <c r="L48" s="465">
        <f t="shared" si="12"/>
        <v>1.038081588780263</v>
      </c>
      <c r="M48" s="464">
        <v>2.92</v>
      </c>
      <c r="N48" s="465">
        <f t="shared" si="13"/>
        <v>1.4945999897630135E-2</v>
      </c>
      <c r="O48" s="466">
        <f t="shared" si="14"/>
        <v>205.73</v>
      </c>
      <c r="P48" s="465">
        <f t="shared" si="15"/>
        <v>1.053027588677893</v>
      </c>
      <c r="Q48" s="463">
        <v>5.34</v>
      </c>
      <c r="R48" s="465">
        <f t="shared" si="16"/>
        <v>2.733275323744689E-2</v>
      </c>
      <c r="S48" s="466">
        <f t="shared" si="17"/>
        <v>10.359999999999957</v>
      </c>
      <c r="T48" s="465">
        <f t="shared" si="18"/>
        <v>5.3027588677892999E-2</v>
      </c>
      <c r="U48" s="372">
        <f t="shared" si="19"/>
        <v>2166.8975999999911</v>
      </c>
      <c r="V48" s="378" t="s">
        <v>423</v>
      </c>
      <c r="W48" s="378" t="s">
        <v>456</v>
      </c>
      <c r="X48" s="379" t="s">
        <v>577</v>
      </c>
      <c r="Y48" s="379" t="s">
        <v>725</v>
      </c>
      <c r="Z48" s="379">
        <v>1</v>
      </c>
      <c r="AA48" s="467" t="s">
        <v>561</v>
      </c>
    </row>
    <row r="49" spans="2:36" ht="17.100000000000001" customHeight="1">
      <c r="B49" s="856" t="s">
        <v>453</v>
      </c>
      <c r="C49" s="857"/>
      <c r="D49" s="867" t="s">
        <v>661</v>
      </c>
      <c r="E49" s="900" t="s">
        <v>662</v>
      </c>
      <c r="F49" s="886" t="s">
        <v>663</v>
      </c>
      <c r="G49" s="870" t="s">
        <v>664</v>
      </c>
      <c r="H49" s="901" t="s">
        <v>665</v>
      </c>
      <c r="I49" s="868" t="s">
        <v>666</v>
      </c>
      <c r="J49" s="869"/>
      <c r="K49" s="868" t="s">
        <v>667</v>
      </c>
      <c r="L49" s="869"/>
      <c r="M49" s="868" t="s">
        <v>668</v>
      </c>
      <c r="N49" s="869"/>
      <c r="O49" s="868" t="s">
        <v>669</v>
      </c>
      <c r="P49" s="869"/>
      <c r="Q49" s="868" t="s">
        <v>424</v>
      </c>
      <c r="R49" s="869"/>
      <c r="S49" s="872" t="s">
        <v>425</v>
      </c>
      <c r="T49" s="873"/>
      <c r="U49" s="874"/>
      <c r="V49" s="864" t="s">
        <v>171</v>
      </c>
      <c r="W49" s="864" t="s">
        <v>245</v>
      </c>
      <c r="X49" s="864" t="s">
        <v>670</v>
      </c>
      <c r="Y49" s="864" t="s">
        <v>455</v>
      </c>
      <c r="Z49" s="864" t="s">
        <v>246</v>
      </c>
      <c r="AA49" s="870" t="s">
        <v>172</v>
      </c>
      <c r="AC49" s="875" t="s">
        <v>247</v>
      </c>
      <c r="AD49" s="876"/>
      <c r="AE49" s="876"/>
      <c r="AF49" s="876"/>
      <c r="AG49" s="876"/>
      <c r="AH49" s="876"/>
      <c r="AI49" s="876"/>
      <c r="AJ49" s="877"/>
    </row>
    <row r="50" spans="2:36">
      <c r="B50" s="858"/>
      <c r="C50" s="859"/>
      <c r="D50" s="867"/>
      <c r="E50" s="867"/>
      <c r="F50" s="886"/>
      <c r="G50" s="871"/>
      <c r="H50" s="871"/>
      <c r="I50" s="459" t="s">
        <v>671</v>
      </c>
      <c r="J50" s="369" t="s">
        <v>672</v>
      </c>
      <c r="K50" s="459" t="s">
        <v>671</v>
      </c>
      <c r="L50" s="369" t="s">
        <v>672</v>
      </c>
      <c r="M50" s="459" t="s">
        <v>671</v>
      </c>
      <c r="N50" s="369" t="s">
        <v>672</v>
      </c>
      <c r="O50" s="459" t="s">
        <v>671</v>
      </c>
      <c r="P50" s="369" t="s">
        <v>672</v>
      </c>
      <c r="Q50" s="459" t="s">
        <v>671</v>
      </c>
      <c r="R50" s="369" t="s">
        <v>672</v>
      </c>
      <c r="S50" s="459" t="s">
        <v>671</v>
      </c>
      <c r="T50" s="369" t="s">
        <v>672</v>
      </c>
      <c r="U50" s="369" t="s">
        <v>673</v>
      </c>
      <c r="V50" s="866"/>
      <c r="W50" s="866"/>
      <c r="X50" s="866"/>
      <c r="Y50" s="866"/>
      <c r="Z50" s="866"/>
      <c r="AA50" s="871"/>
      <c r="AC50" s="878"/>
      <c r="AD50" s="879"/>
      <c r="AE50" s="879"/>
      <c r="AF50" s="879"/>
      <c r="AG50" s="879"/>
      <c r="AH50" s="879"/>
      <c r="AI50" s="879"/>
      <c r="AJ50" s="880"/>
    </row>
    <row r="51" spans="2:36" s="148" customFormat="1" ht="27" customHeight="1">
      <c r="B51" s="839" t="s">
        <v>677</v>
      </c>
      <c r="C51" s="840"/>
      <c r="D51" s="368">
        <v>1</v>
      </c>
      <c r="E51" s="461" t="s">
        <v>337</v>
      </c>
      <c r="F51" s="462">
        <f>IFERROR(Q51*G51,"-")</f>
        <v>4197.3321000000014</v>
      </c>
      <c r="G51" s="376">
        <v>147.43000000000004</v>
      </c>
      <c r="H51" s="463">
        <v>5108.130000000001</v>
      </c>
      <c r="I51" s="464">
        <v>5108.130000000001</v>
      </c>
      <c r="J51" s="465">
        <f>IFERROR(I51/H51,"-")</f>
        <v>1</v>
      </c>
      <c r="K51" s="464">
        <v>5218.0700000000006</v>
      </c>
      <c r="L51" s="465">
        <f>IFERROR(K51/H51,"-")</f>
        <v>1.0215225532631313</v>
      </c>
      <c r="M51" s="464">
        <v>109.94</v>
      </c>
      <c r="N51" s="465">
        <f>IFERROR(M51/H51,"-")</f>
        <v>2.1522553263131513E-2</v>
      </c>
      <c r="O51" s="466">
        <f>IFERROR(K51+M51,"-")</f>
        <v>5328.01</v>
      </c>
      <c r="P51" s="465">
        <f>IFERROR(O51/H51,"-")</f>
        <v>1.0430451065262629</v>
      </c>
      <c r="Q51" s="463">
        <v>28.470000000000002</v>
      </c>
      <c r="R51" s="465">
        <f>IFERROR(Q51/H51,"-")</f>
        <v>5.5734681771998753E-3</v>
      </c>
      <c r="S51" s="466">
        <f>IFERROR(O51-H51,"-")</f>
        <v>219.8799999999992</v>
      </c>
      <c r="T51" s="465">
        <f>IFERROR(S51/H51,"-")</f>
        <v>4.3045106526262873E-2</v>
      </c>
      <c r="U51" s="372">
        <f>IFERROR(S51*G51,"-")</f>
        <v>32416.908399999891</v>
      </c>
      <c r="V51" s="378" t="s">
        <v>423</v>
      </c>
      <c r="W51" s="378" t="s">
        <v>215</v>
      </c>
      <c r="X51" s="379" t="s">
        <v>504</v>
      </c>
      <c r="Y51" s="379" t="s">
        <v>717</v>
      </c>
      <c r="Z51" s="379">
        <v>1</v>
      </c>
      <c r="AA51" s="467" t="s">
        <v>342</v>
      </c>
      <c r="AC51" s="881"/>
      <c r="AD51" s="882"/>
      <c r="AE51" s="882"/>
      <c r="AF51" s="882"/>
      <c r="AG51" s="882"/>
      <c r="AH51" s="882"/>
      <c r="AI51" s="882"/>
      <c r="AJ51" s="883"/>
    </row>
    <row r="52" spans="2:36" s="148" customFormat="1" ht="27" customHeight="1">
      <c r="B52" s="841"/>
      <c r="C52" s="842"/>
      <c r="D52" s="368">
        <v>2</v>
      </c>
      <c r="E52" s="461" t="s">
        <v>459</v>
      </c>
      <c r="F52" s="462">
        <f t="shared" ref="F52:F70" si="22">IFERROR(Q52*G52,"-")</f>
        <v>3893.0499999999997</v>
      </c>
      <c r="G52" s="376">
        <v>2.4499999999999997</v>
      </c>
      <c r="H52" s="463">
        <v>157804</v>
      </c>
      <c r="I52" s="464">
        <v>157804</v>
      </c>
      <c r="J52" s="465">
        <f t="shared" ref="J52:J70" si="23">IFERROR(I52/H52,"-")</f>
        <v>1</v>
      </c>
      <c r="K52" s="464">
        <v>159393</v>
      </c>
      <c r="L52" s="465">
        <f t="shared" ref="L52:L70" si="24">IFERROR(K52/H52,"-")</f>
        <v>1.0100694532457986</v>
      </c>
      <c r="M52" s="464">
        <v>0</v>
      </c>
      <c r="N52" s="465">
        <f t="shared" ref="N52:N70" si="25">IFERROR(M52/H52,"-")</f>
        <v>0</v>
      </c>
      <c r="O52" s="466">
        <f t="shared" ref="O52:O70" si="26">IFERROR(K52+M52,"-")</f>
        <v>159393</v>
      </c>
      <c r="P52" s="465">
        <f t="shared" ref="P52:P70" si="27">IFERROR(O52/H52,"-")</f>
        <v>1.0100694532457986</v>
      </c>
      <c r="Q52" s="463">
        <v>1589</v>
      </c>
      <c r="R52" s="465">
        <f t="shared" ref="R52:R70" si="28">IFERROR(Q52/H52,"-")</f>
        <v>1.0069453245798585E-2</v>
      </c>
      <c r="S52" s="466">
        <f t="shared" ref="S52:S70" si="29">IFERROR(O52-H52,"-")</f>
        <v>1589</v>
      </c>
      <c r="T52" s="465">
        <f t="shared" ref="T52:T70" si="30">IFERROR(S52/H52,"-")</f>
        <v>1.0069453245798585E-2</v>
      </c>
      <c r="U52" s="372">
        <f t="shared" ref="U52:U70" si="31">IFERROR(S52*G52,"-")</f>
        <v>3893.0499999999997</v>
      </c>
      <c r="V52" s="378" t="s">
        <v>423</v>
      </c>
      <c r="W52" s="378" t="s">
        <v>339</v>
      </c>
      <c r="X52" s="379" t="s">
        <v>486</v>
      </c>
      <c r="Y52" s="379" t="s">
        <v>487</v>
      </c>
      <c r="Z52" s="379">
        <v>1</v>
      </c>
      <c r="AA52" s="467" t="s">
        <v>342</v>
      </c>
      <c r="AC52" s="161" t="s">
        <v>244</v>
      </c>
      <c r="AD52" s="161" t="s">
        <v>456</v>
      </c>
      <c r="AE52" s="156" t="s">
        <v>674</v>
      </c>
      <c r="AF52" s="156" t="s">
        <v>339</v>
      </c>
      <c r="AG52" s="156" t="s">
        <v>436</v>
      </c>
      <c r="AH52" s="156" t="s">
        <v>215</v>
      </c>
      <c r="AI52" s="156" t="s">
        <v>216</v>
      </c>
      <c r="AJ52" s="156" t="s">
        <v>390</v>
      </c>
    </row>
    <row r="53" spans="2:36" s="148" customFormat="1" ht="27" customHeight="1">
      <c r="B53" s="841"/>
      <c r="C53" s="842"/>
      <c r="D53" s="368">
        <v>3</v>
      </c>
      <c r="E53" s="461" t="s">
        <v>458</v>
      </c>
      <c r="F53" s="462">
        <f t="shared" si="22"/>
        <v>3863.3399999999997</v>
      </c>
      <c r="G53" s="376">
        <v>1.17</v>
      </c>
      <c r="H53" s="463">
        <v>304576</v>
      </c>
      <c r="I53" s="464">
        <v>304576</v>
      </c>
      <c r="J53" s="465">
        <f t="shared" si="23"/>
        <v>1</v>
      </c>
      <c r="K53" s="464">
        <v>307878</v>
      </c>
      <c r="L53" s="465">
        <f t="shared" si="24"/>
        <v>1.0108413006934229</v>
      </c>
      <c r="M53" s="464">
        <v>0</v>
      </c>
      <c r="N53" s="465">
        <f t="shared" si="25"/>
        <v>0</v>
      </c>
      <c r="O53" s="466">
        <f t="shared" si="26"/>
        <v>307878</v>
      </c>
      <c r="P53" s="465">
        <f t="shared" si="27"/>
        <v>1.0108413006934229</v>
      </c>
      <c r="Q53" s="463">
        <v>3302</v>
      </c>
      <c r="R53" s="465">
        <f t="shared" si="28"/>
        <v>1.0841300693422987E-2</v>
      </c>
      <c r="S53" s="466">
        <f t="shared" si="29"/>
        <v>3302</v>
      </c>
      <c r="T53" s="465">
        <f t="shared" si="30"/>
        <v>1.0841300693422987E-2</v>
      </c>
      <c r="U53" s="372">
        <f t="shared" si="31"/>
        <v>3863.3399999999997</v>
      </c>
      <c r="V53" s="378" t="s">
        <v>423</v>
      </c>
      <c r="W53" s="378" t="s">
        <v>339</v>
      </c>
      <c r="X53" s="379" t="s">
        <v>488</v>
      </c>
      <c r="Y53" s="379" t="s">
        <v>574</v>
      </c>
      <c r="Z53" s="379">
        <v>1</v>
      </c>
      <c r="AA53" s="467" t="s">
        <v>342</v>
      </c>
      <c r="AC53" s="388">
        <f>SUM(Z51:Z70)</f>
        <v>20</v>
      </c>
      <c r="AD53" s="382">
        <f>SUMIF($W$51:$W$70,TRIM(AD52),$Z$51:$Z$70)</f>
        <v>7</v>
      </c>
      <c r="AE53" s="382">
        <f t="shared" ref="AE53:AJ53" si="32">SUMIF($W$51:$W$70,TRIM(AE52),$Z$51:$Z$70)</f>
        <v>0</v>
      </c>
      <c r="AF53" s="382">
        <f t="shared" si="32"/>
        <v>9</v>
      </c>
      <c r="AG53" s="382">
        <f t="shared" si="32"/>
        <v>0</v>
      </c>
      <c r="AH53" s="382">
        <f t="shared" si="32"/>
        <v>1</v>
      </c>
      <c r="AI53" s="382">
        <f t="shared" si="32"/>
        <v>3</v>
      </c>
      <c r="AJ53" s="382">
        <f t="shared" si="32"/>
        <v>0</v>
      </c>
    </row>
    <row r="54" spans="2:36" s="148" customFormat="1" ht="27" customHeight="1">
      <c r="B54" s="841"/>
      <c r="C54" s="842"/>
      <c r="D54" s="368">
        <v>4</v>
      </c>
      <c r="E54" s="461" t="s">
        <v>392</v>
      </c>
      <c r="F54" s="462">
        <f t="shared" si="22"/>
        <v>3651.1104000000005</v>
      </c>
      <c r="G54" s="376">
        <v>127.84000000000002</v>
      </c>
      <c r="H54" s="463">
        <v>4456.47</v>
      </c>
      <c r="I54" s="464">
        <v>4456.47</v>
      </c>
      <c r="J54" s="465">
        <f t="shared" si="23"/>
        <v>1</v>
      </c>
      <c r="K54" s="464">
        <v>4533.96</v>
      </c>
      <c r="L54" s="465">
        <f t="shared" si="24"/>
        <v>1.0173882018727827</v>
      </c>
      <c r="M54" s="464">
        <v>72.42</v>
      </c>
      <c r="N54" s="465">
        <f t="shared" si="25"/>
        <v>1.6250530128105876E-2</v>
      </c>
      <c r="O54" s="466">
        <f t="shared" si="26"/>
        <v>4606.38</v>
      </c>
      <c r="P54" s="465">
        <f t="shared" si="27"/>
        <v>1.0336387320008886</v>
      </c>
      <c r="Q54" s="463">
        <v>28.56</v>
      </c>
      <c r="R54" s="465">
        <f t="shared" si="28"/>
        <v>6.408659768830486E-3</v>
      </c>
      <c r="S54" s="466">
        <f t="shared" si="29"/>
        <v>149.90999999999985</v>
      </c>
      <c r="T54" s="465">
        <f t="shared" si="30"/>
        <v>3.3638732000888558E-2</v>
      </c>
      <c r="U54" s="372">
        <f t="shared" si="31"/>
        <v>19164.494399999985</v>
      </c>
      <c r="V54" s="378" t="s">
        <v>423</v>
      </c>
      <c r="W54" s="378" t="s">
        <v>456</v>
      </c>
      <c r="X54" s="379" t="s">
        <v>720</v>
      </c>
      <c r="Y54" s="379" t="s">
        <v>721</v>
      </c>
      <c r="Z54" s="379">
        <v>1</v>
      </c>
      <c r="AA54" s="467" t="s">
        <v>342</v>
      </c>
      <c r="AC54" s="389" t="s">
        <v>11</v>
      </c>
      <c r="AD54" s="386">
        <f>SUMIF($W$51:$W70,TRIM(AD52),$F$51:$F$70)</f>
        <v>12003.257200000002</v>
      </c>
      <c r="AE54" s="386">
        <f>SUMIF($W$51:$W70,TRIM(AE52),$F$51:$F$70)</f>
        <v>0</v>
      </c>
      <c r="AF54" s="386">
        <f>SUMIF($W$51:$W70,TRIM(AF52),$F$51:$F$70)</f>
        <v>17333.218799999999</v>
      </c>
      <c r="AG54" s="386">
        <f>SUMIF($W$51:$W70,TRIM(AG52),$F$51:$F$70)</f>
        <v>0</v>
      </c>
      <c r="AH54" s="386">
        <f>SUMIF($W$51:$W70,TRIM(AH52),$F$51:$F$70)</f>
        <v>4197.3321000000014</v>
      </c>
      <c r="AI54" s="386">
        <f>SUMIF($W$51:$W70,TRIM(AI52),$F$51:$F$70)</f>
        <v>5842.4750999999997</v>
      </c>
      <c r="AJ54" s="386">
        <f>SUMIF($W$51:$W70,TRIM(AJ52),$F$51:$F$70)</f>
        <v>0</v>
      </c>
    </row>
    <row r="55" spans="2:36" s="148" customFormat="1" ht="27" customHeight="1">
      <c r="B55" s="841"/>
      <c r="C55" s="842"/>
      <c r="D55" s="368">
        <v>5</v>
      </c>
      <c r="E55" s="461" t="s">
        <v>335</v>
      </c>
      <c r="F55" s="462">
        <f t="shared" si="22"/>
        <v>3568.9500000000003</v>
      </c>
      <c r="G55" s="376">
        <v>15.450000000000001</v>
      </c>
      <c r="H55" s="463">
        <v>81490</v>
      </c>
      <c r="I55" s="464">
        <v>81490</v>
      </c>
      <c r="J55" s="465">
        <f t="shared" si="23"/>
        <v>1</v>
      </c>
      <c r="K55" s="464">
        <v>81721</v>
      </c>
      <c r="L55" s="465">
        <f t="shared" si="24"/>
        <v>1.002834703644619</v>
      </c>
      <c r="M55" s="464">
        <v>0</v>
      </c>
      <c r="N55" s="465">
        <f t="shared" si="25"/>
        <v>0</v>
      </c>
      <c r="O55" s="466">
        <f t="shared" si="26"/>
        <v>81721</v>
      </c>
      <c r="P55" s="465">
        <f t="shared" si="27"/>
        <v>1.002834703644619</v>
      </c>
      <c r="Q55" s="463">
        <v>231</v>
      </c>
      <c r="R55" s="465">
        <f t="shared" si="28"/>
        <v>2.8347036446189715E-3</v>
      </c>
      <c r="S55" s="466">
        <f t="shared" si="29"/>
        <v>231</v>
      </c>
      <c r="T55" s="465">
        <f t="shared" si="30"/>
        <v>2.8347036446189715E-3</v>
      </c>
      <c r="U55" s="372">
        <f t="shared" si="31"/>
        <v>3568.9500000000003</v>
      </c>
      <c r="V55" s="378" t="s">
        <v>423</v>
      </c>
      <c r="W55" s="378" t="s">
        <v>216</v>
      </c>
      <c r="X55" s="379" t="s">
        <v>485</v>
      </c>
      <c r="Y55" s="379" t="s">
        <v>717</v>
      </c>
      <c r="Z55" s="379">
        <v>1</v>
      </c>
      <c r="AA55" s="467" t="s">
        <v>569</v>
      </c>
      <c r="AC55" s="368" t="s">
        <v>675</v>
      </c>
      <c r="AD55" s="468">
        <f t="shared" ref="AD55:AJ55" si="33">AD53/$AC53</f>
        <v>0.35</v>
      </c>
      <c r="AE55" s="468">
        <f t="shared" si="33"/>
        <v>0</v>
      </c>
      <c r="AF55" s="468">
        <f t="shared" si="33"/>
        <v>0.45</v>
      </c>
      <c r="AG55" s="468">
        <f t="shared" si="33"/>
        <v>0</v>
      </c>
      <c r="AH55" s="468">
        <f t="shared" si="33"/>
        <v>0.05</v>
      </c>
      <c r="AI55" s="468">
        <f t="shared" si="33"/>
        <v>0.15</v>
      </c>
      <c r="AJ55" s="468">
        <f t="shared" si="33"/>
        <v>0</v>
      </c>
    </row>
    <row r="56" spans="2:36" s="148" customFormat="1" ht="27" customHeight="1">
      <c r="B56" s="841"/>
      <c r="C56" s="842"/>
      <c r="D56" s="368">
        <v>6</v>
      </c>
      <c r="E56" s="461" t="s">
        <v>747</v>
      </c>
      <c r="F56" s="462">
        <f t="shared" si="22"/>
        <v>2963.0949999999998</v>
      </c>
      <c r="G56" s="376">
        <v>24.59</v>
      </c>
      <c r="H56" s="463">
        <v>20233</v>
      </c>
      <c r="I56" s="464">
        <v>20233</v>
      </c>
      <c r="J56" s="465">
        <f t="shared" si="23"/>
        <v>1</v>
      </c>
      <c r="K56" s="464">
        <v>20354.5</v>
      </c>
      <c r="L56" s="465">
        <f t="shared" si="24"/>
        <v>1.0060050412692136</v>
      </c>
      <c r="M56" s="464">
        <v>36.5</v>
      </c>
      <c r="N56" s="465">
        <f t="shared" si="25"/>
        <v>1.8039835911629516E-3</v>
      </c>
      <c r="O56" s="466">
        <f t="shared" si="26"/>
        <v>20391</v>
      </c>
      <c r="P56" s="465">
        <f t="shared" si="27"/>
        <v>1.0078090248603766</v>
      </c>
      <c r="Q56" s="463">
        <v>120.5</v>
      </c>
      <c r="R56" s="465">
        <f t="shared" si="28"/>
        <v>5.9556170612365938E-3</v>
      </c>
      <c r="S56" s="466">
        <f t="shared" si="29"/>
        <v>158</v>
      </c>
      <c r="T56" s="465">
        <f t="shared" si="30"/>
        <v>7.8090248603766123E-3</v>
      </c>
      <c r="U56" s="372">
        <f t="shared" si="31"/>
        <v>3885.22</v>
      </c>
      <c r="V56" s="378" t="s">
        <v>423</v>
      </c>
      <c r="W56" s="378" t="s">
        <v>339</v>
      </c>
      <c r="X56" s="379" t="s">
        <v>756</v>
      </c>
      <c r="Y56" s="379" t="s">
        <v>757</v>
      </c>
      <c r="Z56" s="379">
        <v>1</v>
      </c>
      <c r="AA56" s="467" t="s">
        <v>697</v>
      </c>
    </row>
    <row r="57" spans="2:36" s="148" customFormat="1" ht="27" customHeight="1">
      <c r="B57" s="841"/>
      <c r="C57" s="842"/>
      <c r="D57" s="368">
        <v>7</v>
      </c>
      <c r="E57" s="461" t="s">
        <v>427</v>
      </c>
      <c r="F57" s="462">
        <f t="shared" si="22"/>
        <v>2104.4071000000004</v>
      </c>
      <c r="G57" s="376">
        <v>157.87000000000003</v>
      </c>
      <c r="H57" s="463">
        <v>1899.02</v>
      </c>
      <c r="I57" s="464">
        <v>1899.02</v>
      </c>
      <c r="J57" s="465">
        <f t="shared" si="23"/>
        <v>1</v>
      </c>
      <c r="K57" s="464">
        <v>1933.73</v>
      </c>
      <c r="L57" s="465">
        <f t="shared" si="24"/>
        <v>1.0182778485745279</v>
      </c>
      <c r="M57" s="464">
        <v>29.830000000000002</v>
      </c>
      <c r="N57" s="465">
        <f t="shared" si="25"/>
        <v>1.5708102073701172E-2</v>
      </c>
      <c r="O57" s="466">
        <f t="shared" si="26"/>
        <v>1963.56</v>
      </c>
      <c r="P57" s="465">
        <f t="shared" si="27"/>
        <v>1.033985950648229</v>
      </c>
      <c r="Q57" s="463">
        <v>13.33</v>
      </c>
      <c r="R57" s="465">
        <f t="shared" si="28"/>
        <v>7.0194100114796057E-3</v>
      </c>
      <c r="S57" s="466">
        <f t="shared" si="29"/>
        <v>64.539999999999964</v>
      </c>
      <c r="T57" s="465">
        <f t="shared" si="30"/>
        <v>3.3985950648229069E-2</v>
      </c>
      <c r="U57" s="372">
        <f t="shared" si="31"/>
        <v>10188.929799999996</v>
      </c>
      <c r="V57" s="378" t="s">
        <v>423</v>
      </c>
      <c r="W57" s="378" t="s">
        <v>456</v>
      </c>
      <c r="X57" s="379" t="s">
        <v>653</v>
      </c>
      <c r="Y57" s="379" t="s">
        <v>466</v>
      </c>
      <c r="Z57" s="379">
        <v>1</v>
      </c>
      <c r="AA57" s="467" t="s">
        <v>342</v>
      </c>
    </row>
    <row r="58" spans="2:36" s="148" customFormat="1" ht="27" customHeight="1">
      <c r="B58" s="841"/>
      <c r="C58" s="842"/>
      <c r="D58" s="368">
        <v>8</v>
      </c>
      <c r="E58" s="461" t="s">
        <v>748</v>
      </c>
      <c r="F58" s="462">
        <f t="shared" si="22"/>
        <v>1429.2426</v>
      </c>
      <c r="G58" s="376">
        <v>79.98</v>
      </c>
      <c r="H58" s="463">
        <v>798.09</v>
      </c>
      <c r="I58" s="464">
        <v>798.09</v>
      </c>
      <c r="J58" s="465">
        <f t="shared" si="23"/>
        <v>1</v>
      </c>
      <c r="K58" s="464">
        <v>828.49000000000012</v>
      </c>
      <c r="L58" s="465">
        <f t="shared" si="24"/>
        <v>1.0380909421243218</v>
      </c>
      <c r="M58" s="464">
        <v>21.7</v>
      </c>
      <c r="N58" s="465">
        <f t="shared" si="25"/>
        <v>2.7189915924269191E-2</v>
      </c>
      <c r="O58" s="466">
        <f t="shared" si="26"/>
        <v>850.19000000000017</v>
      </c>
      <c r="P58" s="465">
        <f t="shared" si="27"/>
        <v>1.0652808580485911</v>
      </c>
      <c r="Q58" s="463">
        <v>17.87</v>
      </c>
      <c r="R58" s="465">
        <f t="shared" si="28"/>
        <v>2.2390958413211544E-2</v>
      </c>
      <c r="S58" s="466">
        <f t="shared" si="29"/>
        <v>52.100000000000136</v>
      </c>
      <c r="T58" s="465">
        <f t="shared" si="30"/>
        <v>6.5280858048591184E-2</v>
      </c>
      <c r="U58" s="372">
        <f t="shared" si="31"/>
        <v>4166.9580000000115</v>
      </c>
      <c r="V58" s="378" t="s">
        <v>423</v>
      </c>
      <c r="W58" s="378" t="s">
        <v>456</v>
      </c>
      <c r="X58" s="379" t="s">
        <v>722</v>
      </c>
      <c r="Y58" s="379" t="s">
        <v>723</v>
      </c>
      <c r="Z58" s="379">
        <v>1</v>
      </c>
      <c r="AA58" s="467" t="s">
        <v>746</v>
      </c>
    </row>
    <row r="59" spans="2:36" s="148" customFormat="1" ht="27" customHeight="1">
      <c r="B59" s="841"/>
      <c r="C59" s="842"/>
      <c r="D59" s="368">
        <v>9</v>
      </c>
      <c r="E59" s="461" t="s">
        <v>477</v>
      </c>
      <c r="F59" s="462">
        <f t="shared" si="22"/>
        <v>1375.3993</v>
      </c>
      <c r="G59" s="376">
        <v>160.49</v>
      </c>
      <c r="H59" s="463">
        <v>721.70999999999992</v>
      </c>
      <c r="I59" s="464">
        <v>721.70999999999992</v>
      </c>
      <c r="J59" s="465">
        <f t="shared" si="23"/>
        <v>1</v>
      </c>
      <c r="K59" s="464">
        <v>749.84</v>
      </c>
      <c r="L59" s="465">
        <f t="shared" si="24"/>
        <v>1.0389768743678209</v>
      </c>
      <c r="M59" s="464">
        <v>28.13</v>
      </c>
      <c r="N59" s="465">
        <f t="shared" si="25"/>
        <v>3.8976874367820873E-2</v>
      </c>
      <c r="O59" s="466">
        <f t="shared" si="26"/>
        <v>777.97</v>
      </c>
      <c r="P59" s="465">
        <f t="shared" si="27"/>
        <v>1.0779537487356419</v>
      </c>
      <c r="Q59" s="463">
        <v>8.57</v>
      </c>
      <c r="R59" s="465">
        <f t="shared" si="28"/>
        <v>1.1874575660583893E-2</v>
      </c>
      <c r="S59" s="466">
        <f t="shared" si="29"/>
        <v>56.260000000000105</v>
      </c>
      <c r="T59" s="465">
        <f t="shared" si="30"/>
        <v>7.7953748735641898E-2</v>
      </c>
      <c r="U59" s="372">
        <f t="shared" si="31"/>
        <v>9029.1674000000166</v>
      </c>
      <c r="V59" s="378" t="s">
        <v>423</v>
      </c>
      <c r="W59" s="378" t="s">
        <v>456</v>
      </c>
      <c r="X59" s="379" t="s">
        <v>720</v>
      </c>
      <c r="Y59" s="379" t="s">
        <v>721</v>
      </c>
      <c r="Z59" s="379">
        <v>1</v>
      </c>
      <c r="AA59" s="467" t="s">
        <v>441</v>
      </c>
    </row>
    <row r="60" spans="2:36" s="148" customFormat="1" ht="27" customHeight="1">
      <c r="B60" s="841"/>
      <c r="C60" s="842"/>
      <c r="D60" s="368">
        <v>10</v>
      </c>
      <c r="E60" s="461" t="s">
        <v>476</v>
      </c>
      <c r="F60" s="462">
        <f t="shared" si="22"/>
        <v>1365.9290000000001</v>
      </c>
      <c r="G60" s="376">
        <v>407.74000000000007</v>
      </c>
      <c r="H60" s="463">
        <v>1196.9699999999998</v>
      </c>
      <c r="I60" s="464">
        <v>1196.9699999999998</v>
      </c>
      <c r="J60" s="465">
        <f t="shared" si="23"/>
        <v>1</v>
      </c>
      <c r="K60" s="464">
        <v>1215.5999999999999</v>
      </c>
      <c r="L60" s="465">
        <f t="shared" si="24"/>
        <v>1.0155642998571395</v>
      </c>
      <c r="M60" s="464">
        <v>18.63</v>
      </c>
      <c r="N60" s="465">
        <f t="shared" si="25"/>
        <v>1.5564299857139278E-2</v>
      </c>
      <c r="O60" s="466">
        <f t="shared" si="26"/>
        <v>1234.23</v>
      </c>
      <c r="P60" s="465">
        <f t="shared" si="27"/>
        <v>1.0311285997142787</v>
      </c>
      <c r="Q60" s="463">
        <v>3.3499999999999996</v>
      </c>
      <c r="R60" s="465">
        <f t="shared" si="28"/>
        <v>2.7987334686750713E-3</v>
      </c>
      <c r="S60" s="466">
        <f t="shared" si="29"/>
        <v>37.260000000000218</v>
      </c>
      <c r="T60" s="465">
        <f t="shared" si="30"/>
        <v>3.112859971427874E-2</v>
      </c>
      <c r="U60" s="372">
        <f t="shared" si="31"/>
        <v>15192.392400000092</v>
      </c>
      <c r="V60" s="378" t="s">
        <v>423</v>
      </c>
      <c r="W60" s="378" t="s">
        <v>339</v>
      </c>
      <c r="X60" s="379" t="s">
        <v>758</v>
      </c>
      <c r="Y60" s="397" t="s">
        <v>759</v>
      </c>
      <c r="Z60" s="379">
        <v>1</v>
      </c>
      <c r="AA60" s="467" t="s">
        <v>478</v>
      </c>
    </row>
    <row r="61" spans="2:36" s="148" customFormat="1" ht="27" customHeight="1">
      <c r="B61" s="841"/>
      <c r="C61" s="842"/>
      <c r="D61" s="368">
        <v>11</v>
      </c>
      <c r="E61" s="461" t="s">
        <v>591</v>
      </c>
      <c r="F61" s="462">
        <f t="shared" si="22"/>
        <v>1322.7161999999996</v>
      </c>
      <c r="G61" s="376">
        <v>39.389999999999993</v>
      </c>
      <c r="H61" s="463">
        <v>24458.579999999998</v>
      </c>
      <c r="I61" s="464">
        <v>24458.579999999998</v>
      </c>
      <c r="J61" s="465">
        <f t="shared" si="23"/>
        <v>1</v>
      </c>
      <c r="K61" s="464">
        <v>24579.75</v>
      </c>
      <c r="L61" s="465">
        <f t="shared" si="24"/>
        <v>1.004954089730475</v>
      </c>
      <c r="M61" s="464">
        <v>121.16999999999999</v>
      </c>
      <c r="N61" s="465">
        <f t="shared" si="25"/>
        <v>4.9540897304749497E-3</v>
      </c>
      <c r="O61" s="466">
        <f t="shared" si="26"/>
        <v>24700.92</v>
      </c>
      <c r="P61" s="465">
        <f t="shared" si="27"/>
        <v>1.0099081794609499</v>
      </c>
      <c r="Q61" s="463">
        <v>33.58</v>
      </c>
      <c r="R61" s="465">
        <f t="shared" si="28"/>
        <v>1.3729333428187573E-3</v>
      </c>
      <c r="S61" s="466">
        <f t="shared" si="29"/>
        <v>242.34000000000015</v>
      </c>
      <c r="T61" s="465">
        <f t="shared" si="30"/>
        <v>9.9081794609499063E-3</v>
      </c>
      <c r="U61" s="372">
        <f t="shared" si="31"/>
        <v>9545.7726000000039</v>
      </c>
      <c r="V61" s="378" t="s">
        <v>423</v>
      </c>
      <c r="W61" s="378" t="s">
        <v>216</v>
      </c>
      <c r="X61" s="397" t="s">
        <v>730</v>
      </c>
      <c r="Y61" s="379" t="s">
        <v>717</v>
      </c>
      <c r="Z61" s="379">
        <v>1</v>
      </c>
      <c r="AA61" s="467" t="s">
        <v>342</v>
      </c>
      <c r="AE61" s="383"/>
    </row>
    <row r="62" spans="2:36" s="148" customFormat="1" ht="27" customHeight="1">
      <c r="B62" s="841"/>
      <c r="C62" s="842"/>
      <c r="D62" s="368">
        <v>12</v>
      </c>
      <c r="E62" s="461" t="s">
        <v>544</v>
      </c>
      <c r="F62" s="462">
        <f t="shared" si="22"/>
        <v>1294.8149999999998</v>
      </c>
      <c r="G62" s="376">
        <v>139.97999999999999</v>
      </c>
      <c r="H62" s="463">
        <v>818.56</v>
      </c>
      <c r="I62" s="464">
        <v>818.56</v>
      </c>
      <c r="J62" s="465">
        <f t="shared" si="23"/>
        <v>1</v>
      </c>
      <c r="K62" s="464">
        <v>850.61</v>
      </c>
      <c r="L62" s="465">
        <f t="shared" si="24"/>
        <v>1.039154124315872</v>
      </c>
      <c r="M62" s="464">
        <v>24.97</v>
      </c>
      <c r="N62" s="465">
        <f t="shared" si="25"/>
        <v>3.0504788897576234E-2</v>
      </c>
      <c r="O62" s="466">
        <f t="shared" si="26"/>
        <v>875.58</v>
      </c>
      <c r="P62" s="465">
        <f t="shared" si="27"/>
        <v>1.0696589132134482</v>
      </c>
      <c r="Q62" s="463">
        <v>9.25</v>
      </c>
      <c r="R62" s="465">
        <f t="shared" si="28"/>
        <v>1.1300332290852229E-2</v>
      </c>
      <c r="S62" s="466">
        <f t="shared" si="29"/>
        <v>57.020000000000095</v>
      </c>
      <c r="T62" s="465">
        <f t="shared" si="30"/>
        <v>6.9658913213448123E-2</v>
      </c>
      <c r="U62" s="372">
        <f t="shared" si="31"/>
        <v>7981.6596000000127</v>
      </c>
      <c r="V62" s="378" t="s">
        <v>423</v>
      </c>
      <c r="W62" s="378" t="s">
        <v>456</v>
      </c>
      <c r="X62" s="379" t="s">
        <v>720</v>
      </c>
      <c r="Y62" s="379" t="s">
        <v>721</v>
      </c>
      <c r="Z62" s="379">
        <v>1</v>
      </c>
      <c r="AA62" s="467" t="s">
        <v>542</v>
      </c>
    </row>
    <row r="63" spans="2:36" s="148" customFormat="1" ht="27" customHeight="1">
      <c r="B63" s="841"/>
      <c r="C63" s="842"/>
      <c r="D63" s="368">
        <v>13</v>
      </c>
      <c r="E63" s="461" t="s">
        <v>516</v>
      </c>
      <c r="F63" s="462">
        <f t="shared" si="22"/>
        <v>1212.1550999999997</v>
      </c>
      <c r="G63" s="376">
        <v>122.06999999999996</v>
      </c>
      <c r="H63" s="463">
        <v>623.70000000000005</v>
      </c>
      <c r="I63" s="464">
        <v>623.70000000000005</v>
      </c>
      <c r="J63" s="465">
        <f t="shared" si="23"/>
        <v>1</v>
      </c>
      <c r="K63" s="464">
        <v>647.80999999999995</v>
      </c>
      <c r="L63" s="465">
        <f t="shared" si="24"/>
        <v>1.0386564053230718</v>
      </c>
      <c r="M63" s="464">
        <v>19.580000000000002</v>
      </c>
      <c r="N63" s="465">
        <f t="shared" si="25"/>
        <v>3.1393298059964728E-2</v>
      </c>
      <c r="O63" s="466">
        <f t="shared" si="26"/>
        <v>667.39</v>
      </c>
      <c r="P63" s="465">
        <f t="shared" si="27"/>
        <v>1.0700497033830365</v>
      </c>
      <c r="Q63" s="463">
        <v>9.93</v>
      </c>
      <c r="R63" s="465">
        <f t="shared" si="28"/>
        <v>1.5921115921115919E-2</v>
      </c>
      <c r="S63" s="466">
        <f t="shared" si="29"/>
        <v>43.689999999999941</v>
      </c>
      <c r="T63" s="465">
        <f t="shared" si="30"/>
        <v>7.0049703383036621E-2</v>
      </c>
      <c r="U63" s="372">
        <f t="shared" si="31"/>
        <v>5333.2382999999909</v>
      </c>
      <c r="V63" s="378" t="s">
        <v>423</v>
      </c>
      <c r="W63" s="378" t="s">
        <v>339</v>
      </c>
      <c r="X63" s="379" t="s">
        <v>720</v>
      </c>
      <c r="Y63" s="379" t="s">
        <v>721</v>
      </c>
      <c r="Z63" s="379">
        <v>1</v>
      </c>
      <c r="AA63" s="467" t="s">
        <v>356</v>
      </c>
    </row>
    <row r="64" spans="2:36" s="148" customFormat="1" ht="27" customHeight="1">
      <c r="B64" s="841"/>
      <c r="C64" s="842"/>
      <c r="D64" s="368">
        <v>14</v>
      </c>
      <c r="E64" s="461" t="s">
        <v>749</v>
      </c>
      <c r="F64" s="462">
        <f t="shared" si="22"/>
        <v>1139.2800000000002</v>
      </c>
      <c r="G64" s="376">
        <v>24.240000000000002</v>
      </c>
      <c r="H64" s="463">
        <v>26603</v>
      </c>
      <c r="I64" s="464">
        <v>26603</v>
      </c>
      <c r="J64" s="465">
        <f t="shared" si="23"/>
        <v>1</v>
      </c>
      <c r="K64" s="464">
        <v>26650</v>
      </c>
      <c r="L64" s="465">
        <f t="shared" si="24"/>
        <v>1.0017667180393188</v>
      </c>
      <c r="M64" s="464">
        <v>0</v>
      </c>
      <c r="N64" s="465">
        <f t="shared" si="25"/>
        <v>0</v>
      </c>
      <c r="O64" s="466">
        <f t="shared" si="26"/>
        <v>26650</v>
      </c>
      <c r="P64" s="465">
        <f t="shared" si="27"/>
        <v>1.0017667180393188</v>
      </c>
      <c r="Q64" s="463">
        <v>47</v>
      </c>
      <c r="R64" s="465">
        <f t="shared" si="28"/>
        <v>1.7667180393188739E-3</v>
      </c>
      <c r="S64" s="466">
        <f t="shared" si="29"/>
        <v>47</v>
      </c>
      <c r="T64" s="465">
        <f t="shared" si="30"/>
        <v>1.7667180393188739E-3</v>
      </c>
      <c r="U64" s="372">
        <f t="shared" si="31"/>
        <v>1139.2800000000002</v>
      </c>
      <c r="V64" s="378" t="s">
        <v>423</v>
      </c>
      <c r="W64" s="378" t="s">
        <v>339</v>
      </c>
      <c r="X64" s="379" t="s">
        <v>760</v>
      </c>
      <c r="Y64" s="379" t="s">
        <v>761</v>
      </c>
      <c r="Z64" s="379">
        <v>1</v>
      </c>
      <c r="AA64" s="467" t="s">
        <v>746</v>
      </c>
    </row>
    <row r="65" spans="2:36" s="148" customFormat="1" ht="27" customHeight="1">
      <c r="B65" s="841"/>
      <c r="C65" s="842"/>
      <c r="D65" s="368">
        <v>15</v>
      </c>
      <c r="E65" s="461" t="s">
        <v>750</v>
      </c>
      <c r="F65" s="462">
        <f t="shared" si="22"/>
        <v>1124.2952000000002</v>
      </c>
      <c r="G65" s="376">
        <v>113.68000000000004</v>
      </c>
      <c r="H65" s="463">
        <v>2023.3000000000002</v>
      </c>
      <c r="I65" s="464">
        <v>2023.3000000000002</v>
      </c>
      <c r="J65" s="465">
        <f t="shared" si="23"/>
        <v>1</v>
      </c>
      <c r="K65" s="464">
        <v>2098.96</v>
      </c>
      <c r="L65" s="465">
        <f t="shared" si="24"/>
        <v>1.037394355755449</v>
      </c>
      <c r="M65" s="464">
        <v>75.66</v>
      </c>
      <c r="N65" s="465">
        <f t="shared" si="25"/>
        <v>3.7394355755449013E-2</v>
      </c>
      <c r="O65" s="466">
        <f t="shared" si="26"/>
        <v>2174.62</v>
      </c>
      <c r="P65" s="465">
        <f t="shared" si="27"/>
        <v>1.0747887115108978</v>
      </c>
      <c r="Q65" s="463">
        <v>9.8899999999999988</v>
      </c>
      <c r="R65" s="465">
        <f t="shared" si="28"/>
        <v>4.8880541689319415E-3</v>
      </c>
      <c r="S65" s="466">
        <f t="shared" si="29"/>
        <v>151.31999999999971</v>
      </c>
      <c r="T65" s="465">
        <f t="shared" si="30"/>
        <v>7.4788711510897887E-2</v>
      </c>
      <c r="U65" s="372">
        <f t="shared" si="31"/>
        <v>17202.057599999971</v>
      </c>
      <c r="V65" s="378" t="s">
        <v>423</v>
      </c>
      <c r="W65" s="378" t="s">
        <v>456</v>
      </c>
      <c r="X65" s="379" t="s">
        <v>505</v>
      </c>
      <c r="Y65" s="379" t="s">
        <v>762</v>
      </c>
      <c r="Z65" s="379">
        <v>1</v>
      </c>
      <c r="AA65" s="467" t="s">
        <v>697</v>
      </c>
    </row>
    <row r="66" spans="2:36" s="148" customFormat="1" ht="27" customHeight="1">
      <c r="B66" s="841"/>
      <c r="C66" s="842"/>
      <c r="D66" s="368">
        <v>16</v>
      </c>
      <c r="E66" s="461" t="s">
        <v>598</v>
      </c>
      <c r="F66" s="462">
        <f t="shared" si="22"/>
        <v>1023.9876</v>
      </c>
      <c r="G66" s="376">
        <v>114.53999999999999</v>
      </c>
      <c r="H66" s="463">
        <v>1010.75</v>
      </c>
      <c r="I66" s="464">
        <v>1010.75</v>
      </c>
      <c r="J66" s="465">
        <f t="shared" si="23"/>
        <v>1</v>
      </c>
      <c r="K66" s="464">
        <v>1046.0899999999999</v>
      </c>
      <c r="L66" s="465">
        <f t="shared" si="24"/>
        <v>1.0349641355429136</v>
      </c>
      <c r="M66" s="464">
        <v>35.339999999999996</v>
      </c>
      <c r="N66" s="465">
        <f t="shared" si="25"/>
        <v>3.4964135542913673E-2</v>
      </c>
      <c r="O66" s="466">
        <f t="shared" si="26"/>
        <v>1081.4299999999998</v>
      </c>
      <c r="P66" s="465">
        <f t="shared" si="27"/>
        <v>1.0699282710858271</v>
      </c>
      <c r="Q66" s="463">
        <v>8.9400000000000013</v>
      </c>
      <c r="R66" s="465">
        <f t="shared" si="28"/>
        <v>8.8449171407370773E-3</v>
      </c>
      <c r="S66" s="466">
        <f t="shared" si="29"/>
        <v>70.679999999999836</v>
      </c>
      <c r="T66" s="465">
        <f t="shared" si="30"/>
        <v>6.9928271085827193E-2</v>
      </c>
      <c r="U66" s="372">
        <f t="shared" si="31"/>
        <v>8095.6871999999803</v>
      </c>
      <c r="V66" s="378" t="s">
        <v>423</v>
      </c>
      <c r="W66" s="378" t="s">
        <v>456</v>
      </c>
      <c r="X66" s="379" t="s">
        <v>653</v>
      </c>
      <c r="Y66" s="379" t="s">
        <v>466</v>
      </c>
      <c r="Z66" s="379">
        <v>1</v>
      </c>
      <c r="AA66" s="467" t="s">
        <v>492</v>
      </c>
    </row>
    <row r="67" spans="2:36" s="148" customFormat="1" ht="27" customHeight="1">
      <c r="B67" s="841"/>
      <c r="C67" s="842"/>
      <c r="D67" s="368">
        <v>17</v>
      </c>
      <c r="E67" s="461" t="s">
        <v>751</v>
      </c>
      <c r="F67" s="462">
        <f t="shared" si="22"/>
        <v>969.77550000000019</v>
      </c>
      <c r="G67" s="376">
        <v>15.430000000000003</v>
      </c>
      <c r="H67" s="463">
        <v>17832</v>
      </c>
      <c r="I67" s="464">
        <v>17832</v>
      </c>
      <c r="J67" s="465">
        <f t="shared" si="23"/>
        <v>1</v>
      </c>
      <c r="K67" s="464">
        <v>17894.849999999999</v>
      </c>
      <c r="L67" s="465">
        <f t="shared" si="24"/>
        <v>1.0035245625841183</v>
      </c>
      <c r="M67" s="464">
        <v>0</v>
      </c>
      <c r="N67" s="465">
        <f t="shared" si="25"/>
        <v>0</v>
      </c>
      <c r="O67" s="466">
        <f t="shared" si="26"/>
        <v>17894.849999999999</v>
      </c>
      <c r="P67" s="465">
        <f t="shared" si="27"/>
        <v>1.0035245625841183</v>
      </c>
      <c r="Q67" s="463">
        <v>62.85</v>
      </c>
      <c r="R67" s="465">
        <f t="shared" si="28"/>
        <v>3.5245625841184387E-3</v>
      </c>
      <c r="S67" s="466">
        <f t="shared" si="29"/>
        <v>62.849999999998545</v>
      </c>
      <c r="T67" s="465">
        <f t="shared" si="30"/>
        <v>3.5245625841183572E-3</v>
      </c>
      <c r="U67" s="372">
        <f t="shared" si="31"/>
        <v>969.7754999999778</v>
      </c>
      <c r="V67" s="378" t="s">
        <v>423</v>
      </c>
      <c r="W67" s="378" t="s">
        <v>339</v>
      </c>
      <c r="X67" s="379" t="s">
        <v>763</v>
      </c>
      <c r="Y67" s="379" t="s">
        <v>764</v>
      </c>
      <c r="Z67" s="379">
        <v>1</v>
      </c>
      <c r="AA67" s="467" t="s">
        <v>352</v>
      </c>
    </row>
    <row r="68" spans="2:36" s="148" customFormat="1" ht="27" customHeight="1">
      <c r="B68" s="841"/>
      <c r="C68" s="842"/>
      <c r="D68" s="368">
        <v>18</v>
      </c>
      <c r="E68" s="461" t="s">
        <v>470</v>
      </c>
      <c r="F68" s="462">
        <f t="shared" si="22"/>
        <v>969.05899999999986</v>
      </c>
      <c r="G68" s="376">
        <v>3.2199999999999998</v>
      </c>
      <c r="H68" s="463">
        <v>230197</v>
      </c>
      <c r="I68" s="464">
        <v>230197</v>
      </c>
      <c r="J68" s="465">
        <f t="shared" si="23"/>
        <v>1</v>
      </c>
      <c r="K68" s="464">
        <v>230497.95</v>
      </c>
      <c r="L68" s="465">
        <f t="shared" si="24"/>
        <v>1.0013073584799108</v>
      </c>
      <c r="M68" s="464">
        <v>0</v>
      </c>
      <c r="N68" s="465">
        <f t="shared" si="25"/>
        <v>0</v>
      </c>
      <c r="O68" s="466">
        <f t="shared" si="26"/>
        <v>230497.95</v>
      </c>
      <c r="P68" s="465">
        <f t="shared" si="27"/>
        <v>1.0013073584799108</v>
      </c>
      <c r="Q68" s="463">
        <v>300.95</v>
      </c>
      <c r="R68" s="465">
        <f t="shared" si="28"/>
        <v>1.3073584799106852E-3</v>
      </c>
      <c r="S68" s="466">
        <f t="shared" si="29"/>
        <v>300.95000000001164</v>
      </c>
      <c r="T68" s="465">
        <f t="shared" si="30"/>
        <v>1.3073584799107357E-3</v>
      </c>
      <c r="U68" s="372">
        <f t="shared" si="31"/>
        <v>969.05900000003737</v>
      </c>
      <c r="V68" s="378" t="s">
        <v>423</v>
      </c>
      <c r="W68" s="378" t="s">
        <v>339</v>
      </c>
      <c r="X68" s="397" t="s">
        <v>765</v>
      </c>
      <c r="Y68" s="379" t="s">
        <v>766</v>
      </c>
      <c r="Z68" s="379">
        <v>1</v>
      </c>
      <c r="AA68" s="467" t="s">
        <v>342</v>
      </c>
    </row>
    <row r="69" spans="2:36" s="148" customFormat="1" ht="27" customHeight="1">
      <c r="B69" s="841"/>
      <c r="C69" s="842"/>
      <c r="D69" s="368">
        <v>19</v>
      </c>
      <c r="E69" s="461" t="s">
        <v>752</v>
      </c>
      <c r="F69" s="462">
        <f t="shared" si="22"/>
        <v>957.5351999999998</v>
      </c>
      <c r="G69" s="376">
        <v>3.0599999999999996</v>
      </c>
      <c r="H69" s="463">
        <v>78231</v>
      </c>
      <c r="I69" s="464">
        <v>78231</v>
      </c>
      <c r="J69" s="465">
        <f t="shared" si="23"/>
        <v>1</v>
      </c>
      <c r="K69" s="464">
        <v>78543.92</v>
      </c>
      <c r="L69" s="465">
        <f t="shared" si="24"/>
        <v>1.003999948869374</v>
      </c>
      <c r="M69" s="464">
        <v>0</v>
      </c>
      <c r="N69" s="465">
        <f t="shared" si="25"/>
        <v>0</v>
      </c>
      <c r="O69" s="466">
        <f t="shared" si="26"/>
        <v>78543.92</v>
      </c>
      <c r="P69" s="465">
        <f t="shared" si="27"/>
        <v>1.003999948869374</v>
      </c>
      <c r="Q69" s="463">
        <v>312.91999999999996</v>
      </c>
      <c r="R69" s="465">
        <f t="shared" si="28"/>
        <v>3.9999488693740325E-3</v>
      </c>
      <c r="S69" s="466">
        <f t="shared" si="29"/>
        <v>312.91999999999825</v>
      </c>
      <c r="T69" s="465">
        <f t="shared" si="30"/>
        <v>3.9999488693740108E-3</v>
      </c>
      <c r="U69" s="372">
        <f t="shared" si="31"/>
        <v>957.53519999999457</v>
      </c>
      <c r="V69" s="378" t="s">
        <v>423</v>
      </c>
      <c r="W69" s="378" t="s">
        <v>339</v>
      </c>
      <c r="X69" s="397" t="s">
        <v>765</v>
      </c>
      <c r="Y69" s="379" t="s">
        <v>767</v>
      </c>
      <c r="Z69" s="379">
        <v>1</v>
      </c>
      <c r="AA69" s="467" t="s">
        <v>355</v>
      </c>
    </row>
    <row r="70" spans="2:36" s="148" customFormat="1" ht="27" customHeight="1">
      <c r="B70" s="843"/>
      <c r="C70" s="844"/>
      <c r="D70" s="368">
        <v>20</v>
      </c>
      <c r="E70" s="461" t="s">
        <v>647</v>
      </c>
      <c r="F70" s="462">
        <f t="shared" si="22"/>
        <v>950.80889999999999</v>
      </c>
      <c r="G70" s="376">
        <v>62.43</v>
      </c>
      <c r="H70" s="463">
        <v>2589.89</v>
      </c>
      <c r="I70" s="464">
        <v>2589.89</v>
      </c>
      <c r="J70" s="465">
        <f t="shared" si="23"/>
        <v>1</v>
      </c>
      <c r="K70" s="464">
        <v>2700.29</v>
      </c>
      <c r="L70" s="465">
        <f t="shared" si="24"/>
        <v>1.0426272930510563</v>
      </c>
      <c r="M70" s="464">
        <v>110.4</v>
      </c>
      <c r="N70" s="465">
        <f t="shared" si="25"/>
        <v>4.2627293051056225E-2</v>
      </c>
      <c r="O70" s="466">
        <f t="shared" si="26"/>
        <v>2810.69</v>
      </c>
      <c r="P70" s="465">
        <f t="shared" si="27"/>
        <v>1.0852545861021126</v>
      </c>
      <c r="Q70" s="463">
        <v>15.23</v>
      </c>
      <c r="R70" s="465">
        <f t="shared" si="28"/>
        <v>5.8805586337643692E-3</v>
      </c>
      <c r="S70" s="466">
        <f t="shared" si="29"/>
        <v>220.80000000000018</v>
      </c>
      <c r="T70" s="465">
        <f t="shared" si="30"/>
        <v>8.525458610211252E-2</v>
      </c>
      <c r="U70" s="372">
        <f t="shared" si="31"/>
        <v>13784.544000000011</v>
      </c>
      <c r="V70" s="378" t="s">
        <v>423</v>
      </c>
      <c r="W70" s="378" t="s">
        <v>216</v>
      </c>
      <c r="X70" s="397" t="s">
        <v>730</v>
      </c>
      <c r="Y70" s="379" t="s">
        <v>717</v>
      </c>
      <c r="Z70" s="379">
        <v>1</v>
      </c>
      <c r="AA70" s="467" t="s">
        <v>620</v>
      </c>
    </row>
    <row r="71" spans="2:36" ht="17.100000000000001" customHeight="1">
      <c r="B71" s="856" t="s">
        <v>453</v>
      </c>
      <c r="C71" s="857"/>
      <c r="D71" s="867" t="s">
        <v>661</v>
      </c>
      <c r="E71" s="900" t="s">
        <v>662</v>
      </c>
      <c r="F71" s="886" t="s">
        <v>663</v>
      </c>
      <c r="G71" s="870" t="s">
        <v>664</v>
      </c>
      <c r="H71" s="901" t="s">
        <v>665</v>
      </c>
      <c r="I71" s="868" t="s">
        <v>666</v>
      </c>
      <c r="J71" s="869"/>
      <c r="K71" s="868" t="s">
        <v>667</v>
      </c>
      <c r="L71" s="869"/>
      <c r="M71" s="868" t="s">
        <v>668</v>
      </c>
      <c r="N71" s="869"/>
      <c r="O71" s="868" t="s">
        <v>669</v>
      </c>
      <c r="P71" s="869"/>
      <c r="Q71" s="868" t="s">
        <v>424</v>
      </c>
      <c r="R71" s="869"/>
      <c r="S71" s="872" t="s">
        <v>425</v>
      </c>
      <c r="T71" s="873"/>
      <c r="U71" s="874"/>
      <c r="V71" s="864" t="s">
        <v>171</v>
      </c>
      <c r="W71" s="864" t="s">
        <v>245</v>
      </c>
      <c r="X71" s="864" t="s">
        <v>670</v>
      </c>
      <c r="Y71" s="864" t="s">
        <v>455</v>
      </c>
      <c r="Z71" s="864" t="s">
        <v>246</v>
      </c>
      <c r="AA71" s="870" t="s">
        <v>172</v>
      </c>
      <c r="AC71" s="875" t="s">
        <v>247</v>
      </c>
      <c r="AD71" s="876"/>
      <c r="AE71" s="876"/>
      <c r="AF71" s="876"/>
      <c r="AG71" s="876"/>
      <c r="AH71" s="876"/>
      <c r="AI71" s="876"/>
      <c r="AJ71" s="877"/>
    </row>
    <row r="72" spans="2:36">
      <c r="B72" s="858"/>
      <c r="C72" s="859"/>
      <c r="D72" s="867"/>
      <c r="E72" s="867"/>
      <c r="F72" s="886"/>
      <c r="G72" s="871"/>
      <c r="H72" s="871"/>
      <c r="I72" s="459" t="s">
        <v>671</v>
      </c>
      <c r="J72" s="369" t="s">
        <v>672</v>
      </c>
      <c r="K72" s="459" t="s">
        <v>671</v>
      </c>
      <c r="L72" s="369" t="s">
        <v>672</v>
      </c>
      <c r="M72" s="459" t="s">
        <v>671</v>
      </c>
      <c r="N72" s="369" t="s">
        <v>672</v>
      </c>
      <c r="O72" s="459" t="s">
        <v>671</v>
      </c>
      <c r="P72" s="369" t="s">
        <v>672</v>
      </c>
      <c r="Q72" s="459" t="s">
        <v>671</v>
      </c>
      <c r="R72" s="369" t="s">
        <v>672</v>
      </c>
      <c r="S72" s="459" t="s">
        <v>671</v>
      </c>
      <c r="T72" s="369" t="s">
        <v>672</v>
      </c>
      <c r="U72" s="369" t="s">
        <v>673</v>
      </c>
      <c r="V72" s="866"/>
      <c r="W72" s="866"/>
      <c r="X72" s="866"/>
      <c r="Y72" s="866"/>
      <c r="Z72" s="866"/>
      <c r="AA72" s="871"/>
      <c r="AC72" s="878"/>
      <c r="AD72" s="879"/>
      <c r="AE72" s="879"/>
      <c r="AF72" s="879"/>
      <c r="AG72" s="879"/>
      <c r="AH72" s="879"/>
      <c r="AI72" s="879"/>
      <c r="AJ72" s="880"/>
    </row>
    <row r="73" spans="2:36" s="148" customFormat="1" ht="27" customHeight="1">
      <c r="B73" s="839" t="s">
        <v>678</v>
      </c>
      <c r="C73" s="840"/>
      <c r="D73" s="368">
        <v>1</v>
      </c>
      <c r="E73" s="461" t="s">
        <v>458</v>
      </c>
      <c r="F73" s="462">
        <f>IFERROR(Q73*G73,"-")</f>
        <v>3761.5499999999997</v>
      </c>
      <c r="G73" s="376">
        <v>1.17</v>
      </c>
      <c r="H73" s="463">
        <v>286225</v>
      </c>
      <c r="I73" s="464">
        <v>286225</v>
      </c>
      <c r="J73" s="465">
        <f>IFERROR(I73/H73,"-")</f>
        <v>1</v>
      </c>
      <c r="K73" s="464">
        <v>289440</v>
      </c>
      <c r="L73" s="465">
        <f>IFERROR(K73/H73,"-")</f>
        <v>1.0112324220455935</v>
      </c>
      <c r="M73" s="464">
        <v>0</v>
      </c>
      <c r="N73" s="465">
        <f>IFERROR(M73/H73,"-")</f>
        <v>0</v>
      </c>
      <c r="O73" s="466">
        <f>IFERROR(K73+M73,"-")</f>
        <v>289440</v>
      </c>
      <c r="P73" s="465">
        <f>IFERROR(O73/H73,"-")</f>
        <v>1.0112324220455935</v>
      </c>
      <c r="Q73" s="463">
        <v>3215</v>
      </c>
      <c r="R73" s="465">
        <f>IFERROR(Q73/H73,"-")</f>
        <v>1.1232422045593502E-2</v>
      </c>
      <c r="S73" s="466">
        <f>IFERROR(O73-H73,"-")</f>
        <v>3215</v>
      </c>
      <c r="T73" s="465">
        <f>IFERROR(S73/H73,"-")</f>
        <v>1.1232422045593502E-2</v>
      </c>
      <c r="U73" s="372">
        <f>IFERROR(S73*G73,"-")</f>
        <v>3761.5499999999997</v>
      </c>
      <c r="V73" s="378" t="s">
        <v>423</v>
      </c>
      <c r="W73" s="378" t="s">
        <v>339</v>
      </c>
      <c r="X73" s="379"/>
      <c r="Y73" s="379"/>
      <c r="Z73" s="379">
        <v>1</v>
      </c>
      <c r="AA73" s="467" t="s">
        <v>342</v>
      </c>
      <c r="AC73" s="881"/>
      <c r="AD73" s="882"/>
      <c r="AE73" s="882"/>
      <c r="AF73" s="882"/>
      <c r="AG73" s="882"/>
      <c r="AH73" s="882"/>
      <c r="AI73" s="882"/>
      <c r="AJ73" s="883"/>
    </row>
    <row r="74" spans="2:36" s="148" customFormat="1" ht="27" customHeight="1">
      <c r="B74" s="841"/>
      <c r="C74" s="842"/>
      <c r="D74" s="368">
        <v>2</v>
      </c>
      <c r="E74" s="461" t="s">
        <v>459</v>
      </c>
      <c r="F74" s="462">
        <f t="shared" ref="F74:F92" si="34">IFERROR(Q74*G74,"-")</f>
        <v>3611.2999999999997</v>
      </c>
      <c r="G74" s="376">
        <v>2.4499999999999997</v>
      </c>
      <c r="H74" s="463">
        <v>148046</v>
      </c>
      <c r="I74" s="464">
        <v>148046</v>
      </c>
      <c r="J74" s="465">
        <f t="shared" ref="J74:J92" si="35">IFERROR(I74/H74,"-")</f>
        <v>1</v>
      </c>
      <c r="K74" s="464">
        <v>149520</v>
      </c>
      <c r="L74" s="465">
        <f t="shared" ref="L74:L92" si="36">IFERROR(K74/H74,"-")</f>
        <v>1.0099563649136079</v>
      </c>
      <c r="M74" s="464">
        <v>0</v>
      </c>
      <c r="N74" s="465">
        <f t="shared" ref="N74:N92" si="37">IFERROR(M74/H74,"-")</f>
        <v>0</v>
      </c>
      <c r="O74" s="466">
        <f t="shared" ref="O74:O92" si="38">IFERROR(K74+M74,"-")</f>
        <v>149520</v>
      </c>
      <c r="P74" s="465">
        <f t="shared" ref="P74:P92" si="39">IFERROR(O74/H74,"-")</f>
        <v>1.0099563649136079</v>
      </c>
      <c r="Q74" s="463">
        <v>1474</v>
      </c>
      <c r="R74" s="465">
        <f t="shared" ref="R74:R92" si="40">IFERROR(Q74/H74,"-")</f>
        <v>9.9563649136079329E-3</v>
      </c>
      <c r="S74" s="466">
        <f t="shared" ref="S74:S92" si="41">IFERROR(O74-H74,"-")</f>
        <v>1474</v>
      </c>
      <c r="T74" s="465">
        <f t="shared" ref="T74:T92" si="42">IFERROR(S74/H74,"-")</f>
        <v>9.9563649136079329E-3</v>
      </c>
      <c r="U74" s="372">
        <f t="shared" ref="U74:U92" si="43">IFERROR(S74*G74,"-")</f>
        <v>3611.2999999999997</v>
      </c>
      <c r="V74" s="378" t="s">
        <v>423</v>
      </c>
      <c r="W74" s="378" t="s">
        <v>339</v>
      </c>
      <c r="X74" s="379"/>
      <c r="Y74" s="379"/>
      <c r="Z74" s="379">
        <v>1</v>
      </c>
      <c r="AA74" s="467" t="s">
        <v>342</v>
      </c>
      <c r="AC74" s="161" t="s">
        <v>244</v>
      </c>
      <c r="AD74" s="161" t="s">
        <v>456</v>
      </c>
      <c r="AE74" s="156" t="s">
        <v>674</v>
      </c>
      <c r="AF74" s="156" t="s">
        <v>339</v>
      </c>
      <c r="AG74" s="156" t="s">
        <v>436</v>
      </c>
      <c r="AH74" s="156" t="s">
        <v>215</v>
      </c>
      <c r="AI74" s="156" t="s">
        <v>216</v>
      </c>
      <c r="AJ74" s="156" t="s">
        <v>390</v>
      </c>
    </row>
    <row r="75" spans="2:36" s="148" customFormat="1" ht="27" customHeight="1">
      <c r="B75" s="841"/>
      <c r="C75" s="842"/>
      <c r="D75" s="368">
        <v>3</v>
      </c>
      <c r="E75" s="461" t="s">
        <v>392</v>
      </c>
      <c r="F75" s="462">
        <f t="shared" si="34"/>
        <v>3359.6351999999997</v>
      </c>
      <c r="G75" s="376">
        <v>127.84000000000002</v>
      </c>
      <c r="H75" s="463">
        <v>4232.4800000000005</v>
      </c>
      <c r="I75" s="464">
        <v>4232.4800000000005</v>
      </c>
      <c r="J75" s="465">
        <f t="shared" si="35"/>
        <v>1</v>
      </c>
      <c r="K75" s="464">
        <v>4303.43</v>
      </c>
      <c r="L75" s="465">
        <f t="shared" si="36"/>
        <v>1.0167632215627718</v>
      </c>
      <c r="M75" s="464">
        <v>70.949999999999989</v>
      </c>
      <c r="N75" s="465">
        <f t="shared" si="37"/>
        <v>1.6763221562771703E-2</v>
      </c>
      <c r="O75" s="466">
        <f t="shared" si="38"/>
        <v>4374.38</v>
      </c>
      <c r="P75" s="465">
        <f t="shared" si="39"/>
        <v>1.0335264431255433</v>
      </c>
      <c r="Q75" s="463">
        <v>26.279999999999994</v>
      </c>
      <c r="R75" s="465">
        <f t="shared" si="40"/>
        <v>6.2091256190224152E-3</v>
      </c>
      <c r="S75" s="466">
        <f t="shared" si="41"/>
        <v>141.89999999999964</v>
      </c>
      <c r="T75" s="465">
        <f t="shared" si="42"/>
        <v>3.3526443125543329E-2</v>
      </c>
      <c r="U75" s="372">
        <f t="shared" si="43"/>
        <v>18140.495999999956</v>
      </c>
      <c r="V75" s="378" t="s">
        <v>423</v>
      </c>
      <c r="W75" s="378" t="s">
        <v>456</v>
      </c>
      <c r="X75" s="379"/>
      <c r="Y75" s="379"/>
      <c r="Z75" s="379">
        <v>1</v>
      </c>
      <c r="AA75" s="467" t="s">
        <v>342</v>
      </c>
      <c r="AC75" s="388">
        <f>SUM(Z73:Z92)</f>
        <v>20</v>
      </c>
      <c r="AD75" s="382">
        <f>SUMIF($W$73:$W$92,TRIM(AD74),$Z$73:$Z$92)</f>
        <v>11</v>
      </c>
      <c r="AE75" s="382">
        <f t="shared" ref="AE75:AJ75" si="44">SUMIF($W$73:$W$92,TRIM(AE74),$Z$73:$Z$92)</f>
        <v>0</v>
      </c>
      <c r="AF75" s="382">
        <f t="shared" si="44"/>
        <v>6</v>
      </c>
      <c r="AG75" s="382">
        <f t="shared" si="44"/>
        <v>0</v>
      </c>
      <c r="AH75" s="382">
        <f t="shared" si="44"/>
        <v>1</v>
      </c>
      <c r="AI75" s="382">
        <f t="shared" si="44"/>
        <v>2</v>
      </c>
      <c r="AJ75" s="382">
        <f t="shared" si="44"/>
        <v>0</v>
      </c>
    </row>
    <row r="76" spans="2:36" s="148" customFormat="1" ht="27" customHeight="1">
      <c r="B76" s="841"/>
      <c r="C76" s="842"/>
      <c r="D76" s="368">
        <v>4</v>
      </c>
      <c r="E76" s="461" t="s">
        <v>337</v>
      </c>
      <c r="F76" s="462">
        <f t="shared" si="34"/>
        <v>2979.5603000000001</v>
      </c>
      <c r="G76" s="376">
        <v>147.43000000000004</v>
      </c>
      <c r="H76" s="463">
        <v>4816.09</v>
      </c>
      <c r="I76" s="464">
        <v>4816.09</v>
      </c>
      <c r="J76" s="465">
        <f t="shared" si="35"/>
        <v>1</v>
      </c>
      <c r="K76" s="464">
        <v>4932.42</v>
      </c>
      <c r="L76" s="465">
        <f t="shared" si="36"/>
        <v>1.0241544489409458</v>
      </c>
      <c r="M76" s="464">
        <v>116.33</v>
      </c>
      <c r="N76" s="465">
        <f t="shared" si="37"/>
        <v>2.4154448940945868E-2</v>
      </c>
      <c r="O76" s="466">
        <f t="shared" si="38"/>
        <v>5048.75</v>
      </c>
      <c r="P76" s="465">
        <f t="shared" si="39"/>
        <v>1.0483088978818917</v>
      </c>
      <c r="Q76" s="463">
        <v>20.209999999999997</v>
      </c>
      <c r="R76" s="465">
        <f t="shared" si="40"/>
        <v>4.1963501512637842E-3</v>
      </c>
      <c r="S76" s="466">
        <f t="shared" si="41"/>
        <v>232.65999999999985</v>
      </c>
      <c r="T76" s="465">
        <f t="shared" si="42"/>
        <v>4.8308897881891709E-2</v>
      </c>
      <c r="U76" s="372">
        <f t="shared" si="43"/>
        <v>34301.063799999989</v>
      </c>
      <c r="V76" s="378" t="s">
        <v>423</v>
      </c>
      <c r="W76" s="378" t="s">
        <v>215</v>
      </c>
      <c r="X76" s="379"/>
      <c r="Y76" s="379"/>
      <c r="Z76" s="379">
        <v>1</v>
      </c>
      <c r="AA76" s="467" t="s">
        <v>342</v>
      </c>
      <c r="AC76" s="389" t="s">
        <v>11</v>
      </c>
      <c r="AD76" s="386">
        <f>SUMIF($W$73:$W92,TRIM(AD74),$F$73:$F$92)</f>
        <v>16691.254300000001</v>
      </c>
      <c r="AE76" s="386">
        <f>SUMIF($W$73:$W92,TRIM(AE74),$F$73:$F$92)</f>
        <v>0</v>
      </c>
      <c r="AF76" s="386">
        <f>SUMIF($W$73:$W92,TRIM(AF74),$F$73:$F$92)</f>
        <v>13464.136</v>
      </c>
      <c r="AG76" s="386">
        <f>SUMIF($W$73:$W92,TRIM(AG74),$F$73:$F$92)</f>
        <v>0</v>
      </c>
      <c r="AH76" s="386">
        <f>SUMIF($W$73:$W92,TRIM(AH74),$F$73:$F$92)</f>
        <v>2979.5603000000001</v>
      </c>
      <c r="AI76" s="386">
        <f>SUMIF($W$73:$W92,TRIM(AI74),$F$73:$F$92)</f>
        <v>4321.8522000000003</v>
      </c>
      <c r="AJ76" s="386">
        <f>SUMIF($W$73:$W92,TRIM(AJ74),$F$73:$F$92)</f>
        <v>0</v>
      </c>
    </row>
    <row r="77" spans="2:36" s="148" customFormat="1" ht="27" customHeight="1">
      <c r="B77" s="841"/>
      <c r="C77" s="842"/>
      <c r="D77" s="368">
        <v>5</v>
      </c>
      <c r="E77" s="461" t="s">
        <v>335</v>
      </c>
      <c r="F77" s="462">
        <f t="shared" si="34"/>
        <v>2904.6000000000004</v>
      </c>
      <c r="G77" s="376">
        <v>15.450000000000001</v>
      </c>
      <c r="H77" s="463">
        <v>79272</v>
      </c>
      <c r="I77" s="464">
        <v>79272</v>
      </c>
      <c r="J77" s="465">
        <f t="shared" si="35"/>
        <v>1</v>
      </c>
      <c r="K77" s="464">
        <v>79460</v>
      </c>
      <c r="L77" s="465">
        <f t="shared" si="36"/>
        <v>1.0023715813906549</v>
      </c>
      <c r="M77" s="464">
        <v>0</v>
      </c>
      <c r="N77" s="465">
        <f t="shared" si="37"/>
        <v>0</v>
      </c>
      <c r="O77" s="466">
        <f t="shared" si="38"/>
        <v>79460</v>
      </c>
      <c r="P77" s="465">
        <f t="shared" si="39"/>
        <v>1.0023715813906549</v>
      </c>
      <c r="Q77" s="463">
        <v>188</v>
      </c>
      <c r="R77" s="465">
        <f t="shared" si="40"/>
        <v>2.37158139065496E-3</v>
      </c>
      <c r="S77" s="466">
        <f t="shared" si="41"/>
        <v>188</v>
      </c>
      <c r="T77" s="465">
        <f t="shared" si="42"/>
        <v>2.37158139065496E-3</v>
      </c>
      <c r="U77" s="372">
        <f t="shared" si="43"/>
        <v>2904.6000000000004</v>
      </c>
      <c r="V77" s="378" t="s">
        <v>423</v>
      </c>
      <c r="W77" s="378" t="s">
        <v>216</v>
      </c>
      <c r="X77" s="379"/>
      <c r="Y77" s="379"/>
      <c r="Z77" s="379">
        <v>1</v>
      </c>
      <c r="AA77" s="467" t="s">
        <v>569</v>
      </c>
      <c r="AC77" s="368" t="s">
        <v>675</v>
      </c>
      <c r="AD77" s="468">
        <f t="shared" ref="AD77:AJ77" si="45">AD75/$AC75</f>
        <v>0.55000000000000004</v>
      </c>
      <c r="AE77" s="468">
        <f t="shared" si="45"/>
        <v>0</v>
      </c>
      <c r="AF77" s="468">
        <f t="shared" si="45"/>
        <v>0.3</v>
      </c>
      <c r="AG77" s="468">
        <f t="shared" si="45"/>
        <v>0</v>
      </c>
      <c r="AH77" s="468">
        <f t="shared" si="45"/>
        <v>0.05</v>
      </c>
      <c r="AI77" s="468">
        <f t="shared" si="45"/>
        <v>0.1</v>
      </c>
      <c r="AJ77" s="468">
        <f t="shared" si="45"/>
        <v>0</v>
      </c>
    </row>
    <row r="78" spans="2:36" s="148" customFormat="1" ht="27" customHeight="1">
      <c r="B78" s="841"/>
      <c r="C78" s="842"/>
      <c r="D78" s="368">
        <v>6</v>
      </c>
      <c r="E78" s="461" t="s">
        <v>544</v>
      </c>
      <c r="F78" s="462">
        <f t="shared" si="34"/>
        <v>1832.3381999999999</v>
      </c>
      <c r="G78" s="376">
        <v>139.97999999999999</v>
      </c>
      <c r="H78" s="463">
        <v>761.19999999999993</v>
      </c>
      <c r="I78" s="464">
        <v>761.19999999999993</v>
      </c>
      <c r="J78" s="465">
        <f t="shared" si="35"/>
        <v>1</v>
      </c>
      <c r="K78" s="464">
        <v>779.49</v>
      </c>
      <c r="L78" s="465">
        <f t="shared" si="36"/>
        <v>1.0240278507619549</v>
      </c>
      <c r="M78" s="464">
        <v>12.290000000000001</v>
      </c>
      <c r="N78" s="465">
        <f t="shared" si="37"/>
        <v>1.6145559642669473E-2</v>
      </c>
      <c r="O78" s="466">
        <f t="shared" si="38"/>
        <v>791.78</v>
      </c>
      <c r="P78" s="465">
        <f t="shared" si="39"/>
        <v>1.0401734104046243</v>
      </c>
      <c r="Q78" s="463">
        <v>13.09</v>
      </c>
      <c r="R78" s="465">
        <f t="shared" si="40"/>
        <v>1.7196531791907516E-2</v>
      </c>
      <c r="S78" s="466">
        <f t="shared" si="41"/>
        <v>30.580000000000041</v>
      </c>
      <c r="T78" s="465">
        <f t="shared" si="42"/>
        <v>4.0173410404624334E-2</v>
      </c>
      <c r="U78" s="372">
        <f t="shared" si="43"/>
        <v>4280.5884000000051</v>
      </c>
      <c r="V78" s="378" t="s">
        <v>423</v>
      </c>
      <c r="W78" s="378" t="s">
        <v>456</v>
      </c>
      <c r="X78" s="379"/>
      <c r="Y78" s="379"/>
      <c r="Z78" s="379">
        <v>1</v>
      </c>
      <c r="AA78" s="467" t="s">
        <v>542</v>
      </c>
    </row>
    <row r="79" spans="2:36" s="148" customFormat="1" ht="27" customHeight="1">
      <c r="B79" s="841"/>
      <c r="C79" s="842"/>
      <c r="D79" s="368">
        <v>7</v>
      </c>
      <c r="E79" s="461" t="s">
        <v>747</v>
      </c>
      <c r="F79" s="462">
        <f t="shared" si="34"/>
        <v>1819.66</v>
      </c>
      <c r="G79" s="376">
        <v>24.59</v>
      </c>
      <c r="H79" s="463">
        <v>19589</v>
      </c>
      <c r="I79" s="464">
        <v>19589</v>
      </c>
      <c r="J79" s="465">
        <f t="shared" si="35"/>
        <v>1</v>
      </c>
      <c r="K79" s="464">
        <v>19663</v>
      </c>
      <c r="L79" s="465">
        <f t="shared" si="36"/>
        <v>1.0037776303027208</v>
      </c>
      <c r="M79" s="464">
        <v>0</v>
      </c>
      <c r="N79" s="465">
        <f t="shared" si="37"/>
        <v>0</v>
      </c>
      <c r="O79" s="466">
        <f t="shared" si="38"/>
        <v>19663</v>
      </c>
      <c r="P79" s="465">
        <f t="shared" si="39"/>
        <v>1.0037776303027208</v>
      </c>
      <c r="Q79" s="463">
        <v>74</v>
      </c>
      <c r="R79" s="465">
        <f t="shared" si="40"/>
        <v>3.7776303027209149E-3</v>
      </c>
      <c r="S79" s="466">
        <f t="shared" si="41"/>
        <v>74</v>
      </c>
      <c r="T79" s="465">
        <f t="shared" si="42"/>
        <v>3.7776303027209149E-3</v>
      </c>
      <c r="U79" s="372">
        <f t="shared" si="43"/>
        <v>1819.66</v>
      </c>
      <c r="V79" s="378" t="s">
        <v>423</v>
      </c>
      <c r="W79" s="378" t="s">
        <v>339</v>
      </c>
      <c r="X79" s="379"/>
      <c r="Y79" s="379"/>
      <c r="Z79" s="379">
        <v>1</v>
      </c>
      <c r="AA79" s="467" t="s">
        <v>697</v>
      </c>
    </row>
    <row r="80" spans="2:36" s="148" customFormat="1" ht="27" customHeight="1">
      <c r="B80" s="841"/>
      <c r="C80" s="842"/>
      <c r="D80" s="368">
        <v>8</v>
      </c>
      <c r="E80" s="461" t="s">
        <v>786</v>
      </c>
      <c r="F80" s="462">
        <f t="shared" si="34"/>
        <v>1564.5700000000002</v>
      </c>
      <c r="G80" s="376">
        <v>127.72000000000001</v>
      </c>
      <c r="H80" s="463">
        <v>871.44</v>
      </c>
      <c r="I80" s="464">
        <v>871.44</v>
      </c>
      <c r="J80" s="465">
        <f t="shared" si="35"/>
        <v>1</v>
      </c>
      <c r="K80" s="464">
        <v>898.95999999999992</v>
      </c>
      <c r="L80" s="465">
        <f t="shared" si="36"/>
        <v>1.0315799137060495</v>
      </c>
      <c r="M80" s="464">
        <v>23.61</v>
      </c>
      <c r="N80" s="465">
        <f t="shared" si="37"/>
        <v>2.7093087303773064E-2</v>
      </c>
      <c r="O80" s="466">
        <f t="shared" si="38"/>
        <v>922.56999999999994</v>
      </c>
      <c r="P80" s="465">
        <f t="shared" si="39"/>
        <v>1.0586730010098226</v>
      </c>
      <c r="Q80" s="463">
        <v>12.25</v>
      </c>
      <c r="R80" s="465">
        <f t="shared" si="40"/>
        <v>1.4057192692554852E-2</v>
      </c>
      <c r="S80" s="466">
        <f t="shared" si="41"/>
        <v>51.129999999999882</v>
      </c>
      <c r="T80" s="465">
        <f t="shared" si="42"/>
        <v>5.867300100982268E-2</v>
      </c>
      <c r="U80" s="372">
        <f t="shared" si="43"/>
        <v>6530.3235999999852</v>
      </c>
      <c r="V80" s="378" t="s">
        <v>423</v>
      </c>
      <c r="W80" s="378" t="s">
        <v>456</v>
      </c>
      <c r="X80" s="379"/>
      <c r="Y80" s="379"/>
      <c r="Z80" s="379">
        <v>1</v>
      </c>
      <c r="AA80" s="467" t="s">
        <v>746</v>
      </c>
    </row>
    <row r="81" spans="2:36" s="148" customFormat="1" ht="27" customHeight="1">
      <c r="B81" s="841"/>
      <c r="C81" s="842"/>
      <c r="D81" s="368">
        <v>9</v>
      </c>
      <c r="E81" s="461" t="s">
        <v>787</v>
      </c>
      <c r="F81" s="462">
        <f t="shared" si="34"/>
        <v>1473.76</v>
      </c>
      <c r="G81" s="376">
        <v>6.04</v>
      </c>
      <c r="H81" s="463">
        <v>9515</v>
      </c>
      <c r="I81" s="464">
        <v>9515</v>
      </c>
      <c r="J81" s="465">
        <f t="shared" si="35"/>
        <v>1</v>
      </c>
      <c r="K81" s="464">
        <v>9759</v>
      </c>
      <c r="L81" s="465">
        <f t="shared" si="36"/>
        <v>1.0256437204414084</v>
      </c>
      <c r="M81" s="464">
        <v>0</v>
      </c>
      <c r="N81" s="465">
        <f t="shared" si="37"/>
        <v>0</v>
      </c>
      <c r="O81" s="466">
        <f t="shared" si="38"/>
        <v>9759</v>
      </c>
      <c r="P81" s="465">
        <f t="shared" si="39"/>
        <v>1.0256437204414084</v>
      </c>
      <c r="Q81" s="463">
        <v>244</v>
      </c>
      <c r="R81" s="465">
        <f t="shared" si="40"/>
        <v>2.5643720441408304E-2</v>
      </c>
      <c r="S81" s="466">
        <f t="shared" si="41"/>
        <v>244</v>
      </c>
      <c r="T81" s="465">
        <f t="shared" si="42"/>
        <v>2.5643720441408304E-2</v>
      </c>
      <c r="U81" s="372">
        <f t="shared" si="43"/>
        <v>1473.76</v>
      </c>
      <c r="V81" s="378" t="s">
        <v>423</v>
      </c>
      <c r="W81" s="378" t="s">
        <v>339</v>
      </c>
      <c r="X81" s="379"/>
      <c r="Y81" s="379"/>
      <c r="Z81" s="379">
        <v>1</v>
      </c>
      <c r="AA81" s="467" t="s">
        <v>542</v>
      </c>
    </row>
    <row r="82" spans="2:36" s="148" customFormat="1" ht="27" customHeight="1">
      <c r="B82" s="841"/>
      <c r="C82" s="842"/>
      <c r="D82" s="368">
        <v>10</v>
      </c>
      <c r="E82" s="461" t="s">
        <v>516</v>
      </c>
      <c r="F82" s="462">
        <f t="shared" si="34"/>
        <v>1440.4259999999997</v>
      </c>
      <c r="G82" s="376">
        <v>122.06999999999996</v>
      </c>
      <c r="H82" s="463">
        <v>593.93999999999994</v>
      </c>
      <c r="I82" s="464">
        <v>593.93999999999994</v>
      </c>
      <c r="J82" s="465">
        <f t="shared" si="35"/>
        <v>1</v>
      </c>
      <c r="K82" s="464">
        <v>611.20000000000005</v>
      </c>
      <c r="L82" s="465">
        <f t="shared" si="36"/>
        <v>1.0290601744283936</v>
      </c>
      <c r="M82" s="464">
        <v>9.129999999999999</v>
      </c>
      <c r="N82" s="465">
        <f t="shared" si="37"/>
        <v>1.5371923089874399E-2</v>
      </c>
      <c r="O82" s="466">
        <f t="shared" si="38"/>
        <v>620.33000000000004</v>
      </c>
      <c r="P82" s="465">
        <f t="shared" si="39"/>
        <v>1.0444320975182679</v>
      </c>
      <c r="Q82" s="463">
        <v>11.8</v>
      </c>
      <c r="R82" s="465">
        <f t="shared" si="40"/>
        <v>1.9867326665993203E-2</v>
      </c>
      <c r="S82" s="466">
        <f t="shared" si="41"/>
        <v>26.3900000000001</v>
      </c>
      <c r="T82" s="465">
        <f t="shared" si="42"/>
        <v>4.4432097518268009E-2</v>
      </c>
      <c r="U82" s="372">
        <f t="shared" si="43"/>
        <v>3221.4273000000112</v>
      </c>
      <c r="V82" s="378" t="s">
        <v>423</v>
      </c>
      <c r="W82" s="378" t="s">
        <v>339</v>
      </c>
      <c r="X82" s="379"/>
      <c r="Y82" s="379"/>
      <c r="Z82" s="379">
        <v>1</v>
      </c>
      <c r="AA82" s="467" t="s">
        <v>356</v>
      </c>
    </row>
    <row r="83" spans="2:36" s="148" customFormat="1" ht="27" customHeight="1">
      <c r="B83" s="841"/>
      <c r="C83" s="842"/>
      <c r="D83" s="368">
        <v>11</v>
      </c>
      <c r="E83" s="461" t="s">
        <v>591</v>
      </c>
      <c r="F83" s="462">
        <f t="shared" si="34"/>
        <v>1417.2521999999999</v>
      </c>
      <c r="G83" s="376">
        <v>39.389999999999993</v>
      </c>
      <c r="H83" s="463">
        <v>31127.19</v>
      </c>
      <c r="I83" s="464">
        <v>31127.19</v>
      </c>
      <c r="J83" s="465">
        <f t="shared" si="35"/>
        <v>1</v>
      </c>
      <c r="K83" s="464">
        <v>31258.38</v>
      </c>
      <c r="L83" s="465">
        <f t="shared" si="36"/>
        <v>1.0042146432106465</v>
      </c>
      <c r="M83" s="464">
        <v>131.19</v>
      </c>
      <c r="N83" s="465">
        <f t="shared" si="37"/>
        <v>4.2146432106463837E-3</v>
      </c>
      <c r="O83" s="466">
        <f t="shared" si="38"/>
        <v>31389.57</v>
      </c>
      <c r="P83" s="465">
        <f t="shared" si="39"/>
        <v>1.0084292864212927</v>
      </c>
      <c r="Q83" s="463">
        <v>35.980000000000004</v>
      </c>
      <c r="R83" s="465">
        <f t="shared" si="40"/>
        <v>1.1559026047645163E-3</v>
      </c>
      <c r="S83" s="466">
        <f t="shared" si="41"/>
        <v>262.38000000000102</v>
      </c>
      <c r="T83" s="465">
        <f t="shared" si="42"/>
        <v>8.4292864212928004E-3</v>
      </c>
      <c r="U83" s="372">
        <f t="shared" si="43"/>
        <v>10335.148200000038</v>
      </c>
      <c r="V83" s="378" t="s">
        <v>423</v>
      </c>
      <c r="W83" s="378" t="s">
        <v>216</v>
      </c>
      <c r="X83" s="379"/>
      <c r="Y83" s="379"/>
      <c r="Z83" s="379">
        <v>1</v>
      </c>
      <c r="AA83" s="467" t="s">
        <v>342</v>
      </c>
      <c r="AE83" s="383"/>
    </row>
    <row r="84" spans="2:36" s="148" customFormat="1" ht="27" customHeight="1">
      <c r="B84" s="841"/>
      <c r="C84" s="842"/>
      <c r="D84" s="368">
        <v>12</v>
      </c>
      <c r="E84" s="461" t="s">
        <v>336</v>
      </c>
      <c r="F84" s="462">
        <f t="shared" si="34"/>
        <v>1367.1154999999997</v>
      </c>
      <c r="G84" s="376">
        <v>141.66999999999999</v>
      </c>
      <c r="H84" s="463">
        <v>579.26</v>
      </c>
      <c r="I84" s="464">
        <v>579.26</v>
      </c>
      <c r="J84" s="465">
        <f t="shared" si="35"/>
        <v>1</v>
      </c>
      <c r="K84" s="464">
        <v>592.09</v>
      </c>
      <c r="L84" s="465">
        <f t="shared" si="36"/>
        <v>1.0221489486586335</v>
      </c>
      <c r="M84" s="464">
        <v>6.42</v>
      </c>
      <c r="N84" s="465">
        <f t="shared" si="37"/>
        <v>1.1083106031833719E-2</v>
      </c>
      <c r="O84" s="466">
        <f t="shared" si="38"/>
        <v>598.51</v>
      </c>
      <c r="P84" s="465">
        <f t="shared" si="39"/>
        <v>1.0332320546904672</v>
      </c>
      <c r="Q84" s="463">
        <v>9.6499999999999986</v>
      </c>
      <c r="R84" s="465">
        <f t="shared" si="40"/>
        <v>1.6659185857818594E-2</v>
      </c>
      <c r="S84" s="466">
        <f t="shared" si="41"/>
        <v>19.25</v>
      </c>
      <c r="T84" s="465">
        <f t="shared" si="42"/>
        <v>3.3232054690467146E-2</v>
      </c>
      <c r="U84" s="372">
        <f t="shared" si="43"/>
        <v>2727.1474999999996</v>
      </c>
      <c r="V84" s="378" t="s">
        <v>423</v>
      </c>
      <c r="W84" s="378" t="s">
        <v>456</v>
      </c>
      <c r="X84" s="379"/>
      <c r="Y84" s="379"/>
      <c r="Z84" s="379">
        <v>1</v>
      </c>
      <c r="AA84" s="467" t="s">
        <v>344</v>
      </c>
    </row>
    <row r="85" spans="2:36" s="148" customFormat="1" ht="27" customHeight="1">
      <c r="B85" s="841"/>
      <c r="C85" s="842"/>
      <c r="D85" s="368">
        <v>13</v>
      </c>
      <c r="E85" s="461" t="s">
        <v>749</v>
      </c>
      <c r="F85" s="462">
        <f t="shared" si="34"/>
        <v>1357.44</v>
      </c>
      <c r="G85" s="376">
        <v>24.240000000000002</v>
      </c>
      <c r="H85" s="463">
        <v>21786</v>
      </c>
      <c r="I85" s="464">
        <v>21786</v>
      </c>
      <c r="J85" s="465">
        <f t="shared" si="35"/>
        <v>1</v>
      </c>
      <c r="K85" s="464">
        <v>21842</v>
      </c>
      <c r="L85" s="465">
        <f t="shared" si="36"/>
        <v>1.0025704580923529</v>
      </c>
      <c r="M85" s="464">
        <v>0</v>
      </c>
      <c r="N85" s="465">
        <f t="shared" si="37"/>
        <v>0</v>
      </c>
      <c r="O85" s="466">
        <f t="shared" si="38"/>
        <v>21842</v>
      </c>
      <c r="P85" s="465">
        <f t="shared" si="39"/>
        <v>1.0025704580923529</v>
      </c>
      <c r="Q85" s="463">
        <v>56</v>
      </c>
      <c r="R85" s="465">
        <f t="shared" si="40"/>
        <v>2.5704580923528873E-3</v>
      </c>
      <c r="S85" s="466">
        <f t="shared" si="41"/>
        <v>56</v>
      </c>
      <c r="T85" s="465">
        <f t="shared" si="42"/>
        <v>2.5704580923528873E-3</v>
      </c>
      <c r="U85" s="372">
        <f t="shared" si="43"/>
        <v>1357.44</v>
      </c>
      <c r="V85" s="378" t="s">
        <v>423</v>
      </c>
      <c r="W85" s="378" t="s">
        <v>339</v>
      </c>
      <c r="X85" s="379"/>
      <c r="Y85" s="379"/>
      <c r="Z85" s="379">
        <v>1</v>
      </c>
      <c r="AA85" s="467" t="s">
        <v>746</v>
      </c>
    </row>
    <row r="86" spans="2:36" s="148" customFormat="1" ht="27" customHeight="1">
      <c r="B86" s="841"/>
      <c r="C86" s="842"/>
      <c r="D86" s="368">
        <v>14</v>
      </c>
      <c r="E86" s="461" t="s">
        <v>427</v>
      </c>
      <c r="F86" s="462">
        <f t="shared" si="34"/>
        <v>1285.0618000000004</v>
      </c>
      <c r="G86" s="376">
        <v>157.87000000000003</v>
      </c>
      <c r="H86" s="463">
        <v>1785.1299999999999</v>
      </c>
      <c r="I86" s="464">
        <v>1785.1299999999999</v>
      </c>
      <c r="J86" s="465">
        <f t="shared" si="35"/>
        <v>1</v>
      </c>
      <c r="K86" s="464">
        <v>1815.74</v>
      </c>
      <c r="L86" s="465">
        <f t="shared" si="36"/>
        <v>1.0171472105672976</v>
      </c>
      <c r="M86" s="464">
        <v>30.61</v>
      </c>
      <c r="N86" s="465">
        <f t="shared" si="37"/>
        <v>1.7147210567297622E-2</v>
      </c>
      <c r="O86" s="466">
        <f t="shared" si="38"/>
        <v>1846.35</v>
      </c>
      <c r="P86" s="465">
        <f t="shared" si="39"/>
        <v>1.0342944211345952</v>
      </c>
      <c r="Q86" s="463">
        <v>8.14</v>
      </c>
      <c r="R86" s="465">
        <f t="shared" si="40"/>
        <v>4.5598919966613081E-3</v>
      </c>
      <c r="S86" s="466">
        <f t="shared" si="41"/>
        <v>61.220000000000027</v>
      </c>
      <c r="T86" s="465">
        <f t="shared" si="42"/>
        <v>3.4294421134595257E-2</v>
      </c>
      <c r="U86" s="372">
        <f t="shared" si="43"/>
        <v>9664.8014000000057</v>
      </c>
      <c r="V86" s="378" t="s">
        <v>423</v>
      </c>
      <c r="W86" s="378" t="s">
        <v>456</v>
      </c>
      <c r="X86" s="379"/>
      <c r="Y86" s="379"/>
      <c r="Z86" s="379">
        <v>1</v>
      </c>
      <c r="AA86" s="467" t="s">
        <v>342</v>
      </c>
    </row>
    <row r="87" spans="2:36" s="148" customFormat="1" ht="27" customHeight="1">
      <c r="B87" s="841"/>
      <c r="C87" s="842"/>
      <c r="D87" s="368">
        <v>15</v>
      </c>
      <c r="E87" s="461" t="s">
        <v>788</v>
      </c>
      <c r="F87" s="462">
        <f t="shared" si="34"/>
        <v>1266.1500000000001</v>
      </c>
      <c r="G87" s="376">
        <v>1.1500000000000001</v>
      </c>
      <c r="H87" s="463">
        <v>46029</v>
      </c>
      <c r="I87" s="464">
        <v>46029</v>
      </c>
      <c r="J87" s="465">
        <f t="shared" si="35"/>
        <v>1</v>
      </c>
      <c r="K87" s="464">
        <v>47160</v>
      </c>
      <c r="L87" s="465">
        <f t="shared" si="36"/>
        <v>1.0245714658150296</v>
      </c>
      <c r="M87" s="464">
        <v>0</v>
      </c>
      <c r="N87" s="465">
        <f t="shared" si="37"/>
        <v>0</v>
      </c>
      <c r="O87" s="466">
        <f t="shared" si="38"/>
        <v>47160</v>
      </c>
      <c r="P87" s="465">
        <f t="shared" si="39"/>
        <v>1.0245714658150296</v>
      </c>
      <c r="Q87" s="463">
        <v>1101</v>
      </c>
      <c r="R87" s="465">
        <f t="shared" si="40"/>
        <v>2.3919702796063352E-2</v>
      </c>
      <c r="S87" s="466">
        <f t="shared" si="41"/>
        <v>1131</v>
      </c>
      <c r="T87" s="465">
        <f t="shared" si="42"/>
        <v>2.4571465815029656E-2</v>
      </c>
      <c r="U87" s="372">
        <f t="shared" si="43"/>
        <v>1300.6500000000001</v>
      </c>
      <c r="V87" s="378" t="s">
        <v>423</v>
      </c>
      <c r="W87" s="378" t="s">
        <v>456</v>
      </c>
      <c r="X87" s="379"/>
      <c r="Y87" s="379"/>
      <c r="Z87" s="379">
        <v>1</v>
      </c>
      <c r="AA87" s="467" t="s">
        <v>444</v>
      </c>
    </row>
    <row r="88" spans="2:36" s="148" customFormat="1" ht="27" customHeight="1">
      <c r="B88" s="841"/>
      <c r="C88" s="842"/>
      <c r="D88" s="368">
        <v>16</v>
      </c>
      <c r="E88" s="461" t="s">
        <v>362</v>
      </c>
      <c r="F88" s="462">
        <f t="shared" si="34"/>
        <v>1252.55</v>
      </c>
      <c r="G88" s="376">
        <v>152.75</v>
      </c>
      <c r="H88" s="463">
        <v>1399.7199999999998</v>
      </c>
      <c r="I88" s="464">
        <v>1399.7199999999998</v>
      </c>
      <c r="J88" s="465">
        <f t="shared" si="35"/>
        <v>1</v>
      </c>
      <c r="K88" s="464">
        <v>1440.5700000000002</v>
      </c>
      <c r="L88" s="465">
        <f t="shared" si="36"/>
        <v>1.0291844083102337</v>
      </c>
      <c r="M88" s="464">
        <v>40.85</v>
      </c>
      <c r="N88" s="465">
        <f t="shared" si="37"/>
        <v>2.918440831023348E-2</v>
      </c>
      <c r="O88" s="466">
        <f t="shared" si="38"/>
        <v>1481.42</v>
      </c>
      <c r="P88" s="465">
        <f t="shared" si="39"/>
        <v>1.0583688166204672</v>
      </c>
      <c r="Q88" s="463">
        <v>8.1999999999999993</v>
      </c>
      <c r="R88" s="465">
        <f t="shared" si="40"/>
        <v>5.8583145200468666E-3</v>
      </c>
      <c r="S88" s="466">
        <f t="shared" si="41"/>
        <v>81.700000000000273</v>
      </c>
      <c r="T88" s="465">
        <f t="shared" si="42"/>
        <v>5.8368816620467154E-2</v>
      </c>
      <c r="U88" s="372">
        <f t="shared" si="43"/>
        <v>12479.675000000041</v>
      </c>
      <c r="V88" s="378" t="s">
        <v>423</v>
      </c>
      <c r="W88" s="378" t="s">
        <v>456</v>
      </c>
      <c r="X88" s="379"/>
      <c r="Y88" s="379"/>
      <c r="Z88" s="379">
        <v>1</v>
      </c>
      <c r="AA88" s="467" t="s">
        <v>364</v>
      </c>
    </row>
    <row r="89" spans="2:36" s="148" customFormat="1" ht="27" customHeight="1">
      <c r="B89" s="841"/>
      <c r="C89" s="842"/>
      <c r="D89" s="368">
        <v>17</v>
      </c>
      <c r="E89" s="461" t="s">
        <v>477</v>
      </c>
      <c r="F89" s="462">
        <f t="shared" si="34"/>
        <v>1234.1681000000001</v>
      </c>
      <c r="G89" s="376">
        <v>160.49</v>
      </c>
      <c r="H89" s="463">
        <v>677.26</v>
      </c>
      <c r="I89" s="464">
        <v>677.26</v>
      </c>
      <c r="J89" s="465">
        <f t="shared" si="35"/>
        <v>1</v>
      </c>
      <c r="K89" s="464">
        <v>700.68</v>
      </c>
      <c r="L89" s="465">
        <f t="shared" si="36"/>
        <v>1.0345805156070047</v>
      </c>
      <c r="M89" s="464">
        <v>21.11</v>
      </c>
      <c r="N89" s="465">
        <f t="shared" si="37"/>
        <v>3.1169713256356493E-2</v>
      </c>
      <c r="O89" s="466">
        <f t="shared" si="38"/>
        <v>721.79</v>
      </c>
      <c r="P89" s="465">
        <f t="shared" si="39"/>
        <v>1.0657502288633611</v>
      </c>
      <c r="Q89" s="463">
        <v>7.6899999999999995</v>
      </c>
      <c r="R89" s="465">
        <f t="shared" si="40"/>
        <v>1.1354575790686E-2</v>
      </c>
      <c r="S89" s="466">
        <f t="shared" si="41"/>
        <v>44.529999999999973</v>
      </c>
      <c r="T89" s="465">
        <f t="shared" si="42"/>
        <v>6.5750228863361154E-2</v>
      </c>
      <c r="U89" s="372">
        <f t="shared" si="43"/>
        <v>7146.6196999999956</v>
      </c>
      <c r="V89" s="378" t="s">
        <v>423</v>
      </c>
      <c r="W89" s="378" t="s">
        <v>456</v>
      </c>
      <c r="X89" s="379"/>
      <c r="Y89" s="379"/>
      <c r="Z89" s="379">
        <v>1</v>
      </c>
      <c r="AA89" s="467" t="s">
        <v>441</v>
      </c>
    </row>
    <row r="90" spans="2:36" s="148" customFormat="1" ht="27" customHeight="1">
      <c r="B90" s="841"/>
      <c r="C90" s="842"/>
      <c r="D90" s="368">
        <v>18</v>
      </c>
      <c r="E90" s="461" t="s">
        <v>789</v>
      </c>
      <c r="F90" s="462">
        <f t="shared" si="34"/>
        <v>1189.1600000000001</v>
      </c>
      <c r="G90" s="376">
        <v>153.44000000000003</v>
      </c>
      <c r="H90" s="463">
        <v>1771.0999999999997</v>
      </c>
      <c r="I90" s="464">
        <v>1771.0999999999997</v>
      </c>
      <c r="J90" s="465">
        <f t="shared" si="35"/>
        <v>1</v>
      </c>
      <c r="K90" s="464">
        <v>1810.11</v>
      </c>
      <c r="L90" s="465">
        <f t="shared" si="36"/>
        <v>1.0220258596352552</v>
      </c>
      <c r="M90" s="464">
        <v>39.01</v>
      </c>
      <c r="N90" s="465">
        <f t="shared" si="37"/>
        <v>2.202585963525493E-2</v>
      </c>
      <c r="O90" s="466">
        <f t="shared" si="38"/>
        <v>1849.12</v>
      </c>
      <c r="P90" s="465">
        <f t="shared" si="39"/>
        <v>1.0440517192705099</v>
      </c>
      <c r="Q90" s="463">
        <v>7.7499999999999991</v>
      </c>
      <c r="R90" s="465">
        <f t="shared" si="40"/>
        <v>4.3758116424820739E-3</v>
      </c>
      <c r="S90" s="466">
        <f t="shared" si="41"/>
        <v>78.020000000000209</v>
      </c>
      <c r="T90" s="465">
        <f t="shared" si="42"/>
        <v>4.4051719270509979E-2</v>
      </c>
      <c r="U90" s="372">
        <f t="shared" si="43"/>
        <v>11971.388800000033</v>
      </c>
      <c r="V90" s="378" t="s">
        <v>423</v>
      </c>
      <c r="W90" s="378" t="s">
        <v>456</v>
      </c>
      <c r="X90" s="379"/>
      <c r="Y90" s="379"/>
      <c r="Z90" s="379">
        <v>1</v>
      </c>
      <c r="AA90" s="467" t="s">
        <v>484</v>
      </c>
    </row>
    <row r="91" spans="2:36" s="148" customFormat="1" ht="27" customHeight="1">
      <c r="B91" s="841"/>
      <c r="C91" s="842"/>
      <c r="D91" s="368">
        <v>19</v>
      </c>
      <c r="E91" s="461" t="s">
        <v>593</v>
      </c>
      <c r="F91" s="462">
        <f t="shared" si="34"/>
        <v>1174.328</v>
      </c>
      <c r="G91" s="376">
        <v>144.79999999999998</v>
      </c>
      <c r="H91" s="463">
        <v>1926.48</v>
      </c>
      <c r="I91" s="464">
        <v>1926.48</v>
      </c>
      <c r="J91" s="465">
        <f t="shared" si="35"/>
        <v>1</v>
      </c>
      <c r="K91" s="464">
        <v>1967.1479999999999</v>
      </c>
      <c r="L91" s="465">
        <f t="shared" si="36"/>
        <v>1.0211100037373864</v>
      </c>
      <c r="M91" s="464">
        <v>40.667999999999992</v>
      </c>
      <c r="N91" s="465">
        <f t="shared" si="37"/>
        <v>2.1110003737386317E-2</v>
      </c>
      <c r="O91" s="466">
        <f t="shared" si="38"/>
        <v>2007.8159999999998</v>
      </c>
      <c r="P91" s="465">
        <f t="shared" si="39"/>
        <v>1.0422200074747725</v>
      </c>
      <c r="Q91" s="463">
        <v>8.1100000000000012</v>
      </c>
      <c r="R91" s="465">
        <f t="shared" si="40"/>
        <v>4.2097504256467765E-3</v>
      </c>
      <c r="S91" s="466">
        <f t="shared" si="41"/>
        <v>81.335999999999785</v>
      </c>
      <c r="T91" s="465">
        <f t="shared" si="42"/>
        <v>4.2220007474772531E-2</v>
      </c>
      <c r="U91" s="372">
        <f t="shared" si="43"/>
        <v>11777.452799999968</v>
      </c>
      <c r="V91" s="378" t="s">
        <v>423</v>
      </c>
      <c r="W91" s="378" t="s">
        <v>456</v>
      </c>
      <c r="X91" s="379"/>
      <c r="Y91" s="379"/>
      <c r="Z91" s="379">
        <v>1</v>
      </c>
      <c r="AA91" s="467" t="s">
        <v>342</v>
      </c>
    </row>
    <row r="92" spans="2:36" s="148" customFormat="1" ht="27" customHeight="1">
      <c r="B92" s="843"/>
      <c r="C92" s="844"/>
      <c r="D92" s="368">
        <v>20</v>
      </c>
      <c r="E92" s="461" t="s">
        <v>360</v>
      </c>
      <c r="F92" s="462">
        <f t="shared" si="34"/>
        <v>1166.1775000000002</v>
      </c>
      <c r="G92" s="376">
        <v>183.65000000000003</v>
      </c>
      <c r="H92" s="463">
        <v>270.64000000000004</v>
      </c>
      <c r="I92" s="464">
        <v>270.64000000000004</v>
      </c>
      <c r="J92" s="465">
        <f t="shared" si="35"/>
        <v>1</v>
      </c>
      <c r="K92" s="464">
        <v>277.94</v>
      </c>
      <c r="L92" s="465">
        <f t="shared" si="36"/>
        <v>1.026973100798108</v>
      </c>
      <c r="M92" s="464">
        <v>1.67</v>
      </c>
      <c r="N92" s="465">
        <f t="shared" si="37"/>
        <v>6.1705586757315979E-3</v>
      </c>
      <c r="O92" s="466">
        <f t="shared" si="38"/>
        <v>279.61</v>
      </c>
      <c r="P92" s="465">
        <f t="shared" si="39"/>
        <v>1.0331436594738397</v>
      </c>
      <c r="Q92" s="463">
        <v>6.35</v>
      </c>
      <c r="R92" s="465">
        <f t="shared" si="40"/>
        <v>2.3462902749039311E-2</v>
      </c>
      <c r="S92" s="466">
        <f t="shared" si="41"/>
        <v>8.9699999999999704</v>
      </c>
      <c r="T92" s="465">
        <f t="shared" si="42"/>
        <v>3.3143659473839675E-2</v>
      </c>
      <c r="U92" s="372">
        <f t="shared" si="43"/>
        <v>1647.3404999999948</v>
      </c>
      <c r="V92" s="378" t="s">
        <v>423</v>
      </c>
      <c r="W92" s="378" t="s">
        <v>456</v>
      </c>
      <c r="X92" s="379"/>
      <c r="Y92" s="379"/>
      <c r="Z92" s="379">
        <v>1</v>
      </c>
      <c r="AA92" s="467" t="s">
        <v>353</v>
      </c>
    </row>
    <row r="93" spans="2:36" ht="17.100000000000001" customHeight="1">
      <c r="B93" s="856" t="s">
        <v>453</v>
      </c>
      <c r="C93" s="857"/>
      <c r="D93" s="867" t="s">
        <v>661</v>
      </c>
      <c r="E93" s="900" t="s">
        <v>662</v>
      </c>
      <c r="F93" s="886" t="s">
        <v>663</v>
      </c>
      <c r="G93" s="870" t="s">
        <v>664</v>
      </c>
      <c r="H93" s="901" t="s">
        <v>665</v>
      </c>
      <c r="I93" s="868" t="s">
        <v>666</v>
      </c>
      <c r="J93" s="869"/>
      <c r="K93" s="868" t="s">
        <v>667</v>
      </c>
      <c r="L93" s="869"/>
      <c r="M93" s="868" t="s">
        <v>668</v>
      </c>
      <c r="N93" s="869"/>
      <c r="O93" s="868" t="s">
        <v>669</v>
      </c>
      <c r="P93" s="869"/>
      <c r="Q93" s="868" t="s">
        <v>424</v>
      </c>
      <c r="R93" s="869"/>
      <c r="S93" s="872" t="s">
        <v>425</v>
      </c>
      <c r="T93" s="873"/>
      <c r="U93" s="874"/>
      <c r="V93" s="864" t="s">
        <v>171</v>
      </c>
      <c r="W93" s="864" t="s">
        <v>245</v>
      </c>
      <c r="X93" s="864" t="s">
        <v>670</v>
      </c>
      <c r="Y93" s="864" t="s">
        <v>455</v>
      </c>
      <c r="Z93" s="864" t="s">
        <v>246</v>
      </c>
      <c r="AA93" s="870" t="s">
        <v>172</v>
      </c>
      <c r="AC93" s="875" t="s">
        <v>247</v>
      </c>
      <c r="AD93" s="876"/>
      <c r="AE93" s="876"/>
      <c r="AF93" s="876"/>
      <c r="AG93" s="876"/>
      <c r="AH93" s="876"/>
      <c r="AI93" s="876"/>
      <c r="AJ93" s="877"/>
    </row>
    <row r="94" spans="2:36">
      <c r="B94" s="858"/>
      <c r="C94" s="859"/>
      <c r="D94" s="867"/>
      <c r="E94" s="867"/>
      <c r="F94" s="886"/>
      <c r="G94" s="871"/>
      <c r="H94" s="871"/>
      <c r="I94" s="459" t="s">
        <v>671</v>
      </c>
      <c r="J94" s="369" t="s">
        <v>672</v>
      </c>
      <c r="K94" s="459" t="s">
        <v>671</v>
      </c>
      <c r="L94" s="369" t="s">
        <v>672</v>
      </c>
      <c r="M94" s="459" t="s">
        <v>671</v>
      </c>
      <c r="N94" s="369" t="s">
        <v>672</v>
      </c>
      <c r="O94" s="459" t="s">
        <v>671</v>
      </c>
      <c r="P94" s="369" t="s">
        <v>672</v>
      </c>
      <c r="Q94" s="459" t="s">
        <v>671</v>
      </c>
      <c r="R94" s="369" t="s">
        <v>672</v>
      </c>
      <c r="S94" s="459" t="s">
        <v>671</v>
      </c>
      <c r="T94" s="369" t="s">
        <v>672</v>
      </c>
      <c r="U94" s="369" t="s">
        <v>673</v>
      </c>
      <c r="V94" s="866"/>
      <c r="W94" s="866"/>
      <c r="X94" s="866"/>
      <c r="Y94" s="866"/>
      <c r="Z94" s="866"/>
      <c r="AA94" s="871"/>
      <c r="AC94" s="878"/>
      <c r="AD94" s="879"/>
      <c r="AE94" s="879"/>
      <c r="AF94" s="879"/>
      <c r="AG94" s="879"/>
      <c r="AH94" s="879"/>
      <c r="AI94" s="879"/>
      <c r="AJ94" s="880"/>
    </row>
    <row r="95" spans="2:36" s="148" customFormat="1" ht="27" customHeight="1">
      <c r="B95" s="890" t="s">
        <v>679</v>
      </c>
      <c r="C95" s="891"/>
      <c r="D95" s="368">
        <v>1</v>
      </c>
      <c r="E95" s="461"/>
      <c r="F95" s="462">
        <f>IFERROR(Q95*G95,"-")</f>
        <v>0</v>
      </c>
      <c r="G95" s="376"/>
      <c r="H95" s="463"/>
      <c r="I95" s="464"/>
      <c r="J95" s="465" t="str">
        <f>IFERROR(I95/H95,"-")</f>
        <v>-</v>
      </c>
      <c r="K95" s="464"/>
      <c r="L95" s="465" t="str">
        <f>IFERROR(K95/H95,"-")</f>
        <v>-</v>
      </c>
      <c r="M95" s="464"/>
      <c r="N95" s="465" t="str">
        <f>IFERROR(M95/H95,"-")</f>
        <v>-</v>
      </c>
      <c r="O95" s="466">
        <f>IFERROR(K95+M95,"-")</f>
        <v>0</v>
      </c>
      <c r="P95" s="465" t="str">
        <f>IFERROR(O95/H95,"-")</f>
        <v>-</v>
      </c>
      <c r="Q95" s="463"/>
      <c r="R95" s="465" t="str">
        <f>IFERROR(Q95/H95,"-")</f>
        <v>-</v>
      </c>
      <c r="S95" s="466">
        <f>IFERROR(O95-H95,"-")</f>
        <v>0</v>
      </c>
      <c r="T95" s="465" t="str">
        <f>IFERROR(S95/H95,"-")</f>
        <v>-</v>
      </c>
      <c r="U95" s="372">
        <f>IFERROR(S95*G95,"-")</f>
        <v>0</v>
      </c>
      <c r="V95" s="379"/>
      <c r="W95" s="379"/>
      <c r="X95" s="379"/>
      <c r="Y95" s="379"/>
      <c r="Z95" s="379">
        <v>1</v>
      </c>
      <c r="AA95" s="467"/>
      <c r="AC95" s="881"/>
      <c r="AD95" s="882"/>
      <c r="AE95" s="882"/>
      <c r="AF95" s="882"/>
      <c r="AG95" s="882"/>
      <c r="AH95" s="882"/>
      <c r="AI95" s="882"/>
      <c r="AJ95" s="883"/>
    </row>
    <row r="96" spans="2:36" s="148" customFormat="1" ht="27" customHeight="1">
      <c r="B96" s="892"/>
      <c r="C96" s="893"/>
      <c r="D96" s="368">
        <v>2</v>
      </c>
      <c r="E96" s="461"/>
      <c r="F96" s="462">
        <f t="shared" ref="F96:F114" si="46">IFERROR(Q96*G96,"-")</f>
        <v>0</v>
      </c>
      <c r="G96" s="376"/>
      <c r="H96" s="463"/>
      <c r="I96" s="464"/>
      <c r="J96" s="465" t="str">
        <f t="shared" ref="J96:J114" si="47">IFERROR(I96/H96,"-")</f>
        <v>-</v>
      </c>
      <c r="K96" s="464"/>
      <c r="L96" s="465" t="str">
        <f t="shared" ref="L96:L114" si="48">IFERROR(K96/H96,"-")</f>
        <v>-</v>
      </c>
      <c r="M96" s="464"/>
      <c r="N96" s="465" t="str">
        <f t="shared" ref="N96:N114" si="49">IFERROR(M96/H96,"-")</f>
        <v>-</v>
      </c>
      <c r="O96" s="466">
        <f t="shared" ref="O96:O114" si="50">IFERROR(K96+M96,"-")</f>
        <v>0</v>
      </c>
      <c r="P96" s="465" t="str">
        <f t="shared" ref="P96:P114" si="51">IFERROR(O96/H96,"-")</f>
        <v>-</v>
      </c>
      <c r="Q96" s="463"/>
      <c r="R96" s="465" t="str">
        <f t="shared" ref="R96:R114" si="52">IFERROR(Q96/H96,"-")</f>
        <v>-</v>
      </c>
      <c r="S96" s="466">
        <f t="shared" ref="S96:S114" si="53">IFERROR(O96-H96,"-")</f>
        <v>0</v>
      </c>
      <c r="T96" s="465" t="str">
        <f t="shared" ref="T96:T114" si="54">IFERROR(S96/H96,"-")</f>
        <v>-</v>
      </c>
      <c r="U96" s="372">
        <f t="shared" ref="U96:U114" si="55">IFERROR(S96*G96,"-")</f>
        <v>0</v>
      </c>
      <c r="V96" s="379"/>
      <c r="W96" s="379"/>
      <c r="X96" s="379"/>
      <c r="Y96" s="379"/>
      <c r="Z96" s="379">
        <v>1</v>
      </c>
      <c r="AA96" s="467"/>
      <c r="AC96" s="161" t="s">
        <v>244</v>
      </c>
      <c r="AD96" s="161" t="s">
        <v>456</v>
      </c>
      <c r="AE96" s="156" t="s">
        <v>674</v>
      </c>
      <c r="AF96" s="156" t="s">
        <v>339</v>
      </c>
      <c r="AG96" s="156" t="s">
        <v>436</v>
      </c>
      <c r="AH96" s="156" t="s">
        <v>215</v>
      </c>
      <c r="AI96" s="156" t="s">
        <v>216</v>
      </c>
      <c r="AJ96" s="156" t="s">
        <v>390</v>
      </c>
    </row>
    <row r="97" spans="2:36" s="148" customFormat="1" ht="27" customHeight="1">
      <c r="B97" s="892"/>
      <c r="C97" s="893"/>
      <c r="D97" s="368">
        <v>3</v>
      </c>
      <c r="E97" s="461"/>
      <c r="F97" s="462">
        <f t="shared" si="46"/>
        <v>0</v>
      </c>
      <c r="G97" s="376"/>
      <c r="H97" s="463"/>
      <c r="I97" s="464"/>
      <c r="J97" s="465" t="str">
        <f t="shared" si="47"/>
        <v>-</v>
      </c>
      <c r="K97" s="464"/>
      <c r="L97" s="465" t="str">
        <f t="shared" si="48"/>
        <v>-</v>
      </c>
      <c r="M97" s="464"/>
      <c r="N97" s="465" t="str">
        <f t="shared" si="49"/>
        <v>-</v>
      </c>
      <c r="O97" s="466">
        <f t="shared" si="50"/>
        <v>0</v>
      </c>
      <c r="P97" s="465" t="str">
        <f t="shared" si="51"/>
        <v>-</v>
      </c>
      <c r="Q97" s="463"/>
      <c r="R97" s="465" t="str">
        <f t="shared" si="52"/>
        <v>-</v>
      </c>
      <c r="S97" s="466">
        <f t="shared" si="53"/>
        <v>0</v>
      </c>
      <c r="T97" s="465" t="str">
        <f t="shared" si="54"/>
        <v>-</v>
      </c>
      <c r="U97" s="372">
        <f t="shared" si="55"/>
        <v>0</v>
      </c>
      <c r="V97" s="379"/>
      <c r="W97" s="379"/>
      <c r="X97" s="379"/>
      <c r="Y97" s="379"/>
      <c r="Z97" s="379">
        <v>1</v>
      </c>
      <c r="AA97" s="467"/>
      <c r="AC97" s="388">
        <f>SUM(Z95:Z114)</f>
        <v>20</v>
      </c>
      <c r="AD97" s="382">
        <f>SUMIF($W$95:$W$114,TRIM(AD96),$Z$95:$Z$114)</f>
        <v>0</v>
      </c>
      <c r="AE97" s="382">
        <f t="shared" ref="AE97:AJ97" si="56">SUMIF($W$95:$W$114,TRIM(AE96),$Z$95:$Z$114)</f>
        <v>0</v>
      </c>
      <c r="AF97" s="382">
        <f t="shared" si="56"/>
        <v>0</v>
      </c>
      <c r="AG97" s="382">
        <f t="shared" si="56"/>
        <v>0</v>
      </c>
      <c r="AH97" s="382">
        <f t="shared" si="56"/>
        <v>0</v>
      </c>
      <c r="AI97" s="382">
        <f t="shared" si="56"/>
        <v>0</v>
      </c>
      <c r="AJ97" s="382">
        <f t="shared" si="56"/>
        <v>0</v>
      </c>
    </row>
    <row r="98" spans="2:36" s="148" customFormat="1" ht="27" customHeight="1">
      <c r="B98" s="892"/>
      <c r="C98" s="893"/>
      <c r="D98" s="368">
        <v>4</v>
      </c>
      <c r="E98" s="461"/>
      <c r="F98" s="462">
        <f t="shared" si="46"/>
        <v>0</v>
      </c>
      <c r="G98" s="376"/>
      <c r="H98" s="463"/>
      <c r="I98" s="464"/>
      <c r="J98" s="465" t="str">
        <f t="shared" si="47"/>
        <v>-</v>
      </c>
      <c r="K98" s="464"/>
      <c r="L98" s="465" t="str">
        <f t="shared" si="48"/>
        <v>-</v>
      </c>
      <c r="M98" s="464"/>
      <c r="N98" s="465" t="str">
        <f t="shared" si="49"/>
        <v>-</v>
      </c>
      <c r="O98" s="466">
        <f t="shared" si="50"/>
        <v>0</v>
      </c>
      <c r="P98" s="465" t="str">
        <f t="shared" si="51"/>
        <v>-</v>
      </c>
      <c r="Q98" s="463"/>
      <c r="R98" s="465" t="str">
        <f t="shared" si="52"/>
        <v>-</v>
      </c>
      <c r="S98" s="466">
        <f t="shared" si="53"/>
        <v>0</v>
      </c>
      <c r="T98" s="465" t="str">
        <f t="shared" si="54"/>
        <v>-</v>
      </c>
      <c r="U98" s="372">
        <f t="shared" si="55"/>
        <v>0</v>
      </c>
      <c r="V98" s="379"/>
      <c r="W98" s="379"/>
      <c r="X98" s="379"/>
      <c r="Y98" s="379"/>
      <c r="Z98" s="379">
        <v>1</v>
      </c>
      <c r="AA98" s="467"/>
      <c r="AC98" s="389" t="s">
        <v>11</v>
      </c>
      <c r="AD98" s="386">
        <f>SUMIF($W$95:$W114,TRIM(AD96),$F$95:$F$114)</f>
        <v>0</v>
      </c>
      <c r="AE98" s="386">
        <f>SUMIF($W$95:$W114,TRIM(AE96),$F$95:$F$114)</f>
        <v>0</v>
      </c>
      <c r="AF98" s="386">
        <f>SUMIF($W$95:$W114,TRIM(AF96),$F$95:$F$114)</f>
        <v>0</v>
      </c>
      <c r="AG98" s="386">
        <f>SUMIF($W$95:$W114,TRIM(AG96),$F$95:$F$114)</f>
        <v>0</v>
      </c>
      <c r="AH98" s="386">
        <f>SUMIF($W$95:$W114,TRIM(AH96),$F$95:$F$114)</f>
        <v>0</v>
      </c>
      <c r="AI98" s="386">
        <f>SUMIF($W$95:$W114,TRIM(AI96),$F$95:$F$114)</f>
        <v>0</v>
      </c>
      <c r="AJ98" s="386">
        <f>SUMIF($W$95:$W114,TRIM(AJ96),$F$95:$F$114)</f>
        <v>0</v>
      </c>
    </row>
    <row r="99" spans="2:36" s="148" customFormat="1" ht="27" customHeight="1">
      <c r="B99" s="892"/>
      <c r="C99" s="893"/>
      <c r="D99" s="368">
        <v>5</v>
      </c>
      <c r="E99" s="461"/>
      <c r="F99" s="462">
        <f t="shared" si="46"/>
        <v>0</v>
      </c>
      <c r="G99" s="376"/>
      <c r="H99" s="463"/>
      <c r="I99" s="464"/>
      <c r="J99" s="465" t="str">
        <f t="shared" si="47"/>
        <v>-</v>
      </c>
      <c r="K99" s="464"/>
      <c r="L99" s="465" t="str">
        <f t="shared" si="48"/>
        <v>-</v>
      </c>
      <c r="M99" s="464"/>
      <c r="N99" s="465" t="str">
        <f t="shared" si="49"/>
        <v>-</v>
      </c>
      <c r="O99" s="466">
        <f t="shared" si="50"/>
        <v>0</v>
      </c>
      <c r="P99" s="465" t="str">
        <f t="shared" si="51"/>
        <v>-</v>
      </c>
      <c r="Q99" s="463"/>
      <c r="R99" s="465" t="str">
        <f t="shared" si="52"/>
        <v>-</v>
      </c>
      <c r="S99" s="466">
        <f t="shared" si="53"/>
        <v>0</v>
      </c>
      <c r="T99" s="465" t="str">
        <f t="shared" si="54"/>
        <v>-</v>
      </c>
      <c r="U99" s="372">
        <f t="shared" si="55"/>
        <v>0</v>
      </c>
      <c r="V99" s="379"/>
      <c r="W99" s="379"/>
      <c r="X99" s="379"/>
      <c r="Y99" s="379"/>
      <c r="Z99" s="379">
        <v>1</v>
      </c>
      <c r="AA99" s="467"/>
      <c r="AC99" s="368" t="s">
        <v>675</v>
      </c>
      <c r="AD99" s="468">
        <f t="shared" ref="AD99:AJ99" si="57">AD97/$AC97</f>
        <v>0</v>
      </c>
      <c r="AE99" s="468">
        <f t="shared" si="57"/>
        <v>0</v>
      </c>
      <c r="AF99" s="468">
        <f t="shared" si="57"/>
        <v>0</v>
      </c>
      <c r="AG99" s="468">
        <f t="shared" si="57"/>
        <v>0</v>
      </c>
      <c r="AH99" s="468">
        <f t="shared" si="57"/>
        <v>0</v>
      </c>
      <c r="AI99" s="468">
        <f t="shared" si="57"/>
        <v>0</v>
      </c>
      <c r="AJ99" s="468">
        <f t="shared" si="57"/>
        <v>0</v>
      </c>
    </row>
    <row r="100" spans="2:36" s="148" customFormat="1" ht="27" customHeight="1">
      <c r="B100" s="892"/>
      <c r="C100" s="893"/>
      <c r="D100" s="368">
        <v>6</v>
      </c>
      <c r="E100" s="461"/>
      <c r="F100" s="462">
        <f t="shared" si="46"/>
        <v>0</v>
      </c>
      <c r="G100" s="376"/>
      <c r="H100" s="463"/>
      <c r="I100" s="464"/>
      <c r="J100" s="465" t="str">
        <f t="shared" si="47"/>
        <v>-</v>
      </c>
      <c r="K100" s="464"/>
      <c r="L100" s="465" t="str">
        <f t="shared" si="48"/>
        <v>-</v>
      </c>
      <c r="M100" s="464"/>
      <c r="N100" s="465" t="str">
        <f t="shared" si="49"/>
        <v>-</v>
      </c>
      <c r="O100" s="466">
        <f t="shared" si="50"/>
        <v>0</v>
      </c>
      <c r="P100" s="465" t="str">
        <f t="shared" si="51"/>
        <v>-</v>
      </c>
      <c r="Q100" s="463"/>
      <c r="R100" s="465" t="str">
        <f t="shared" si="52"/>
        <v>-</v>
      </c>
      <c r="S100" s="466">
        <f t="shared" si="53"/>
        <v>0</v>
      </c>
      <c r="T100" s="465" t="str">
        <f t="shared" si="54"/>
        <v>-</v>
      </c>
      <c r="U100" s="372">
        <f t="shared" si="55"/>
        <v>0</v>
      </c>
      <c r="V100" s="379"/>
      <c r="W100" s="379"/>
      <c r="X100" s="379"/>
      <c r="Y100" s="379"/>
      <c r="Z100" s="379">
        <v>1</v>
      </c>
      <c r="AA100" s="467"/>
    </row>
    <row r="101" spans="2:36" s="148" customFormat="1" ht="27" customHeight="1">
      <c r="B101" s="892"/>
      <c r="C101" s="893"/>
      <c r="D101" s="368">
        <v>7</v>
      </c>
      <c r="E101" s="461"/>
      <c r="F101" s="462">
        <f t="shared" si="46"/>
        <v>0</v>
      </c>
      <c r="G101" s="376"/>
      <c r="H101" s="463"/>
      <c r="I101" s="464"/>
      <c r="J101" s="465" t="str">
        <f t="shared" si="47"/>
        <v>-</v>
      </c>
      <c r="K101" s="464"/>
      <c r="L101" s="465" t="str">
        <f t="shared" si="48"/>
        <v>-</v>
      </c>
      <c r="M101" s="464"/>
      <c r="N101" s="465" t="str">
        <f t="shared" si="49"/>
        <v>-</v>
      </c>
      <c r="O101" s="466">
        <f t="shared" si="50"/>
        <v>0</v>
      </c>
      <c r="P101" s="465" t="str">
        <f t="shared" si="51"/>
        <v>-</v>
      </c>
      <c r="Q101" s="463"/>
      <c r="R101" s="465" t="str">
        <f t="shared" si="52"/>
        <v>-</v>
      </c>
      <c r="S101" s="466">
        <f t="shared" si="53"/>
        <v>0</v>
      </c>
      <c r="T101" s="465" t="str">
        <f t="shared" si="54"/>
        <v>-</v>
      </c>
      <c r="U101" s="372">
        <f t="shared" si="55"/>
        <v>0</v>
      </c>
      <c r="V101" s="379"/>
      <c r="W101" s="379"/>
      <c r="X101" s="379"/>
      <c r="Y101" s="379"/>
      <c r="Z101" s="379">
        <v>1</v>
      </c>
      <c r="AA101" s="467"/>
    </row>
    <row r="102" spans="2:36" s="148" customFormat="1" ht="27" customHeight="1">
      <c r="B102" s="892"/>
      <c r="C102" s="893"/>
      <c r="D102" s="368">
        <v>8</v>
      </c>
      <c r="E102" s="461"/>
      <c r="F102" s="462">
        <f t="shared" si="46"/>
        <v>0</v>
      </c>
      <c r="G102" s="376"/>
      <c r="H102" s="463"/>
      <c r="I102" s="464"/>
      <c r="J102" s="465" t="str">
        <f t="shared" si="47"/>
        <v>-</v>
      </c>
      <c r="K102" s="464"/>
      <c r="L102" s="465" t="str">
        <f t="shared" si="48"/>
        <v>-</v>
      </c>
      <c r="M102" s="464"/>
      <c r="N102" s="465" t="str">
        <f t="shared" si="49"/>
        <v>-</v>
      </c>
      <c r="O102" s="466">
        <f t="shared" si="50"/>
        <v>0</v>
      </c>
      <c r="P102" s="465" t="str">
        <f t="shared" si="51"/>
        <v>-</v>
      </c>
      <c r="Q102" s="463"/>
      <c r="R102" s="465" t="str">
        <f t="shared" si="52"/>
        <v>-</v>
      </c>
      <c r="S102" s="466">
        <f t="shared" si="53"/>
        <v>0</v>
      </c>
      <c r="T102" s="465" t="str">
        <f t="shared" si="54"/>
        <v>-</v>
      </c>
      <c r="U102" s="372">
        <f t="shared" si="55"/>
        <v>0</v>
      </c>
      <c r="V102" s="379"/>
      <c r="W102" s="379"/>
      <c r="X102" s="379"/>
      <c r="Y102" s="379"/>
      <c r="Z102" s="379">
        <v>1</v>
      </c>
      <c r="AA102" s="467"/>
    </row>
    <row r="103" spans="2:36" s="148" customFormat="1" ht="27" customHeight="1">
      <c r="B103" s="892"/>
      <c r="C103" s="893"/>
      <c r="D103" s="368">
        <v>9</v>
      </c>
      <c r="E103" s="461"/>
      <c r="F103" s="462">
        <f t="shared" si="46"/>
        <v>0</v>
      </c>
      <c r="G103" s="376"/>
      <c r="H103" s="463"/>
      <c r="I103" s="464"/>
      <c r="J103" s="465" t="str">
        <f t="shared" si="47"/>
        <v>-</v>
      </c>
      <c r="K103" s="464"/>
      <c r="L103" s="465" t="str">
        <f t="shared" si="48"/>
        <v>-</v>
      </c>
      <c r="M103" s="464"/>
      <c r="N103" s="465" t="str">
        <f t="shared" si="49"/>
        <v>-</v>
      </c>
      <c r="O103" s="466">
        <f t="shared" si="50"/>
        <v>0</v>
      </c>
      <c r="P103" s="465" t="str">
        <f t="shared" si="51"/>
        <v>-</v>
      </c>
      <c r="Q103" s="463"/>
      <c r="R103" s="465" t="str">
        <f t="shared" si="52"/>
        <v>-</v>
      </c>
      <c r="S103" s="466">
        <f t="shared" si="53"/>
        <v>0</v>
      </c>
      <c r="T103" s="465" t="str">
        <f t="shared" si="54"/>
        <v>-</v>
      </c>
      <c r="U103" s="372">
        <f t="shared" si="55"/>
        <v>0</v>
      </c>
      <c r="V103" s="379"/>
      <c r="W103" s="379"/>
      <c r="X103" s="379"/>
      <c r="Y103" s="379"/>
      <c r="Z103" s="379">
        <v>1</v>
      </c>
      <c r="AA103" s="467"/>
    </row>
    <row r="104" spans="2:36" s="148" customFormat="1" ht="27" customHeight="1">
      <c r="B104" s="892"/>
      <c r="C104" s="893"/>
      <c r="D104" s="368">
        <v>10</v>
      </c>
      <c r="E104" s="461"/>
      <c r="F104" s="462">
        <f t="shared" si="46"/>
        <v>0</v>
      </c>
      <c r="G104" s="376"/>
      <c r="H104" s="463"/>
      <c r="I104" s="464"/>
      <c r="J104" s="465" t="str">
        <f t="shared" si="47"/>
        <v>-</v>
      </c>
      <c r="K104" s="464"/>
      <c r="L104" s="465" t="str">
        <f t="shared" si="48"/>
        <v>-</v>
      </c>
      <c r="M104" s="464"/>
      <c r="N104" s="465" t="str">
        <f t="shared" si="49"/>
        <v>-</v>
      </c>
      <c r="O104" s="466">
        <f t="shared" si="50"/>
        <v>0</v>
      </c>
      <c r="P104" s="465" t="str">
        <f t="shared" si="51"/>
        <v>-</v>
      </c>
      <c r="Q104" s="463"/>
      <c r="R104" s="465" t="str">
        <f t="shared" si="52"/>
        <v>-</v>
      </c>
      <c r="S104" s="466">
        <f t="shared" si="53"/>
        <v>0</v>
      </c>
      <c r="T104" s="465" t="str">
        <f t="shared" si="54"/>
        <v>-</v>
      </c>
      <c r="U104" s="372">
        <f t="shared" si="55"/>
        <v>0</v>
      </c>
      <c r="V104" s="379"/>
      <c r="W104" s="379"/>
      <c r="X104" s="379"/>
      <c r="Y104" s="379"/>
      <c r="Z104" s="379">
        <v>1</v>
      </c>
      <c r="AA104" s="467"/>
    </row>
    <row r="105" spans="2:36" s="148" customFormat="1" ht="27" customHeight="1">
      <c r="B105" s="892"/>
      <c r="C105" s="893"/>
      <c r="D105" s="368">
        <v>11</v>
      </c>
      <c r="E105" s="461"/>
      <c r="F105" s="462">
        <f t="shared" si="46"/>
        <v>0</v>
      </c>
      <c r="G105" s="376"/>
      <c r="H105" s="463"/>
      <c r="I105" s="464"/>
      <c r="J105" s="465" t="str">
        <f t="shared" si="47"/>
        <v>-</v>
      </c>
      <c r="K105" s="464"/>
      <c r="L105" s="465" t="str">
        <f t="shared" si="48"/>
        <v>-</v>
      </c>
      <c r="M105" s="464"/>
      <c r="N105" s="465" t="str">
        <f t="shared" si="49"/>
        <v>-</v>
      </c>
      <c r="O105" s="466">
        <f t="shared" si="50"/>
        <v>0</v>
      </c>
      <c r="P105" s="465" t="str">
        <f t="shared" si="51"/>
        <v>-</v>
      </c>
      <c r="Q105" s="463"/>
      <c r="R105" s="465" t="str">
        <f t="shared" si="52"/>
        <v>-</v>
      </c>
      <c r="S105" s="466">
        <f t="shared" si="53"/>
        <v>0</v>
      </c>
      <c r="T105" s="465" t="str">
        <f t="shared" si="54"/>
        <v>-</v>
      </c>
      <c r="U105" s="372">
        <f t="shared" si="55"/>
        <v>0</v>
      </c>
      <c r="V105" s="379"/>
      <c r="W105" s="379"/>
      <c r="X105" s="379"/>
      <c r="Y105" s="379"/>
      <c r="Z105" s="379">
        <v>1</v>
      </c>
      <c r="AA105" s="467"/>
      <c r="AE105" s="383"/>
    </row>
    <row r="106" spans="2:36" s="148" customFormat="1" ht="27" customHeight="1">
      <c r="B106" s="892"/>
      <c r="C106" s="893"/>
      <c r="D106" s="368">
        <v>12</v>
      </c>
      <c r="E106" s="461"/>
      <c r="F106" s="462">
        <f t="shared" si="46"/>
        <v>0</v>
      </c>
      <c r="G106" s="376"/>
      <c r="H106" s="463"/>
      <c r="I106" s="464"/>
      <c r="J106" s="465" t="str">
        <f t="shared" si="47"/>
        <v>-</v>
      </c>
      <c r="K106" s="464"/>
      <c r="L106" s="465" t="str">
        <f t="shared" si="48"/>
        <v>-</v>
      </c>
      <c r="M106" s="464"/>
      <c r="N106" s="465" t="str">
        <f t="shared" si="49"/>
        <v>-</v>
      </c>
      <c r="O106" s="466">
        <f t="shared" si="50"/>
        <v>0</v>
      </c>
      <c r="P106" s="465" t="str">
        <f t="shared" si="51"/>
        <v>-</v>
      </c>
      <c r="Q106" s="463"/>
      <c r="R106" s="465" t="str">
        <f t="shared" si="52"/>
        <v>-</v>
      </c>
      <c r="S106" s="466">
        <f t="shared" si="53"/>
        <v>0</v>
      </c>
      <c r="T106" s="465" t="str">
        <f t="shared" si="54"/>
        <v>-</v>
      </c>
      <c r="U106" s="372">
        <f t="shared" si="55"/>
        <v>0</v>
      </c>
      <c r="V106" s="379"/>
      <c r="W106" s="379"/>
      <c r="X106" s="379"/>
      <c r="Y106" s="379"/>
      <c r="Z106" s="379">
        <v>1</v>
      </c>
      <c r="AA106" s="467"/>
    </row>
    <row r="107" spans="2:36" s="148" customFormat="1" ht="27" customHeight="1">
      <c r="B107" s="892"/>
      <c r="C107" s="893"/>
      <c r="D107" s="368">
        <v>13</v>
      </c>
      <c r="E107" s="461"/>
      <c r="F107" s="462">
        <f t="shared" si="46"/>
        <v>0</v>
      </c>
      <c r="G107" s="376"/>
      <c r="H107" s="463"/>
      <c r="I107" s="464"/>
      <c r="J107" s="465" t="str">
        <f t="shared" si="47"/>
        <v>-</v>
      </c>
      <c r="K107" s="464"/>
      <c r="L107" s="465" t="str">
        <f t="shared" si="48"/>
        <v>-</v>
      </c>
      <c r="M107" s="464"/>
      <c r="N107" s="465" t="str">
        <f t="shared" si="49"/>
        <v>-</v>
      </c>
      <c r="O107" s="466">
        <f t="shared" si="50"/>
        <v>0</v>
      </c>
      <c r="P107" s="465" t="str">
        <f t="shared" si="51"/>
        <v>-</v>
      </c>
      <c r="Q107" s="463"/>
      <c r="R107" s="465" t="str">
        <f t="shared" si="52"/>
        <v>-</v>
      </c>
      <c r="S107" s="466">
        <f t="shared" si="53"/>
        <v>0</v>
      </c>
      <c r="T107" s="465" t="str">
        <f t="shared" si="54"/>
        <v>-</v>
      </c>
      <c r="U107" s="372">
        <f t="shared" si="55"/>
        <v>0</v>
      </c>
      <c r="V107" s="379"/>
      <c r="W107" s="379"/>
      <c r="X107" s="379"/>
      <c r="Y107" s="379"/>
      <c r="Z107" s="379">
        <v>1</v>
      </c>
      <c r="AA107" s="467"/>
    </row>
    <row r="108" spans="2:36" s="148" customFormat="1" ht="27" customHeight="1">
      <c r="B108" s="892"/>
      <c r="C108" s="893"/>
      <c r="D108" s="368">
        <v>14</v>
      </c>
      <c r="E108" s="461"/>
      <c r="F108" s="462">
        <f t="shared" si="46"/>
        <v>0</v>
      </c>
      <c r="G108" s="376"/>
      <c r="H108" s="463"/>
      <c r="I108" s="464"/>
      <c r="J108" s="465" t="str">
        <f t="shared" si="47"/>
        <v>-</v>
      </c>
      <c r="K108" s="464"/>
      <c r="L108" s="465" t="str">
        <f t="shared" si="48"/>
        <v>-</v>
      </c>
      <c r="M108" s="464"/>
      <c r="N108" s="465" t="str">
        <f t="shared" si="49"/>
        <v>-</v>
      </c>
      <c r="O108" s="466">
        <f t="shared" si="50"/>
        <v>0</v>
      </c>
      <c r="P108" s="465" t="str">
        <f t="shared" si="51"/>
        <v>-</v>
      </c>
      <c r="Q108" s="463"/>
      <c r="R108" s="465" t="str">
        <f t="shared" si="52"/>
        <v>-</v>
      </c>
      <c r="S108" s="466">
        <f t="shared" si="53"/>
        <v>0</v>
      </c>
      <c r="T108" s="465" t="str">
        <f t="shared" si="54"/>
        <v>-</v>
      </c>
      <c r="U108" s="372">
        <f t="shared" si="55"/>
        <v>0</v>
      </c>
      <c r="V108" s="379"/>
      <c r="W108" s="379"/>
      <c r="X108" s="379"/>
      <c r="Y108" s="379"/>
      <c r="Z108" s="379">
        <v>1</v>
      </c>
      <c r="AA108" s="467"/>
    </row>
    <row r="109" spans="2:36" s="148" customFormat="1" ht="27" customHeight="1">
      <c r="B109" s="892"/>
      <c r="C109" s="893"/>
      <c r="D109" s="368">
        <v>15</v>
      </c>
      <c r="E109" s="461"/>
      <c r="F109" s="462">
        <f t="shared" si="46"/>
        <v>0</v>
      </c>
      <c r="G109" s="376"/>
      <c r="H109" s="463"/>
      <c r="I109" s="464"/>
      <c r="J109" s="465" t="str">
        <f t="shared" si="47"/>
        <v>-</v>
      </c>
      <c r="K109" s="464"/>
      <c r="L109" s="465" t="str">
        <f t="shared" si="48"/>
        <v>-</v>
      </c>
      <c r="M109" s="464"/>
      <c r="N109" s="465" t="str">
        <f t="shared" si="49"/>
        <v>-</v>
      </c>
      <c r="O109" s="466">
        <f t="shared" si="50"/>
        <v>0</v>
      </c>
      <c r="P109" s="465" t="str">
        <f t="shared" si="51"/>
        <v>-</v>
      </c>
      <c r="Q109" s="463"/>
      <c r="R109" s="465" t="str">
        <f t="shared" si="52"/>
        <v>-</v>
      </c>
      <c r="S109" s="466">
        <f t="shared" si="53"/>
        <v>0</v>
      </c>
      <c r="T109" s="465" t="str">
        <f t="shared" si="54"/>
        <v>-</v>
      </c>
      <c r="U109" s="372">
        <f t="shared" si="55"/>
        <v>0</v>
      </c>
      <c r="V109" s="379"/>
      <c r="W109" s="379"/>
      <c r="X109" s="379"/>
      <c r="Y109" s="379"/>
      <c r="Z109" s="379">
        <v>1</v>
      </c>
      <c r="AA109" s="467"/>
    </row>
    <row r="110" spans="2:36" s="148" customFormat="1" ht="27" customHeight="1">
      <c r="B110" s="892"/>
      <c r="C110" s="893"/>
      <c r="D110" s="368">
        <v>16</v>
      </c>
      <c r="E110" s="461"/>
      <c r="F110" s="462">
        <f t="shared" si="46"/>
        <v>0</v>
      </c>
      <c r="G110" s="376"/>
      <c r="H110" s="463"/>
      <c r="I110" s="464"/>
      <c r="J110" s="465" t="str">
        <f t="shared" si="47"/>
        <v>-</v>
      </c>
      <c r="K110" s="464"/>
      <c r="L110" s="465" t="str">
        <f t="shared" si="48"/>
        <v>-</v>
      </c>
      <c r="M110" s="464"/>
      <c r="N110" s="465" t="str">
        <f t="shared" si="49"/>
        <v>-</v>
      </c>
      <c r="O110" s="466">
        <f t="shared" si="50"/>
        <v>0</v>
      </c>
      <c r="P110" s="465" t="str">
        <f t="shared" si="51"/>
        <v>-</v>
      </c>
      <c r="Q110" s="463"/>
      <c r="R110" s="465" t="str">
        <f t="shared" si="52"/>
        <v>-</v>
      </c>
      <c r="S110" s="466">
        <f t="shared" si="53"/>
        <v>0</v>
      </c>
      <c r="T110" s="465" t="str">
        <f t="shared" si="54"/>
        <v>-</v>
      </c>
      <c r="U110" s="372">
        <f t="shared" si="55"/>
        <v>0</v>
      </c>
      <c r="V110" s="379"/>
      <c r="W110" s="379"/>
      <c r="X110" s="379"/>
      <c r="Y110" s="379"/>
      <c r="Z110" s="379">
        <v>1</v>
      </c>
      <c r="AA110" s="467"/>
    </row>
    <row r="111" spans="2:36" s="148" customFormat="1" ht="27" customHeight="1">
      <c r="B111" s="892"/>
      <c r="C111" s="893"/>
      <c r="D111" s="368">
        <v>17</v>
      </c>
      <c r="E111" s="461"/>
      <c r="F111" s="462">
        <f t="shared" si="46"/>
        <v>0</v>
      </c>
      <c r="G111" s="376"/>
      <c r="H111" s="463"/>
      <c r="I111" s="464"/>
      <c r="J111" s="465" t="str">
        <f t="shared" si="47"/>
        <v>-</v>
      </c>
      <c r="K111" s="464"/>
      <c r="L111" s="465" t="str">
        <f t="shared" si="48"/>
        <v>-</v>
      </c>
      <c r="M111" s="464"/>
      <c r="N111" s="465" t="str">
        <f t="shared" si="49"/>
        <v>-</v>
      </c>
      <c r="O111" s="466">
        <f t="shared" si="50"/>
        <v>0</v>
      </c>
      <c r="P111" s="465" t="str">
        <f t="shared" si="51"/>
        <v>-</v>
      </c>
      <c r="Q111" s="463"/>
      <c r="R111" s="465" t="str">
        <f t="shared" si="52"/>
        <v>-</v>
      </c>
      <c r="S111" s="466">
        <f t="shared" si="53"/>
        <v>0</v>
      </c>
      <c r="T111" s="465" t="str">
        <f t="shared" si="54"/>
        <v>-</v>
      </c>
      <c r="U111" s="372">
        <f t="shared" si="55"/>
        <v>0</v>
      </c>
      <c r="V111" s="379"/>
      <c r="W111" s="379"/>
      <c r="X111" s="379"/>
      <c r="Y111" s="379"/>
      <c r="Z111" s="379">
        <v>1</v>
      </c>
      <c r="AA111" s="467"/>
    </row>
    <row r="112" spans="2:36" s="148" customFormat="1" ht="27" customHeight="1">
      <c r="B112" s="892"/>
      <c r="C112" s="893"/>
      <c r="D112" s="368">
        <v>18</v>
      </c>
      <c r="E112" s="461"/>
      <c r="F112" s="462">
        <f t="shared" si="46"/>
        <v>0</v>
      </c>
      <c r="G112" s="376"/>
      <c r="H112" s="463"/>
      <c r="I112" s="464"/>
      <c r="J112" s="465" t="str">
        <f t="shared" si="47"/>
        <v>-</v>
      </c>
      <c r="K112" s="464"/>
      <c r="L112" s="465" t="str">
        <f t="shared" si="48"/>
        <v>-</v>
      </c>
      <c r="M112" s="464"/>
      <c r="N112" s="465" t="str">
        <f t="shared" si="49"/>
        <v>-</v>
      </c>
      <c r="O112" s="466">
        <f t="shared" si="50"/>
        <v>0</v>
      </c>
      <c r="P112" s="465" t="str">
        <f t="shared" si="51"/>
        <v>-</v>
      </c>
      <c r="Q112" s="463"/>
      <c r="R112" s="465" t="str">
        <f t="shared" si="52"/>
        <v>-</v>
      </c>
      <c r="S112" s="466">
        <f t="shared" si="53"/>
        <v>0</v>
      </c>
      <c r="T112" s="465" t="str">
        <f t="shared" si="54"/>
        <v>-</v>
      </c>
      <c r="U112" s="372">
        <f t="shared" si="55"/>
        <v>0</v>
      </c>
      <c r="V112" s="379"/>
      <c r="W112" s="379"/>
      <c r="X112" s="379"/>
      <c r="Y112" s="379"/>
      <c r="Z112" s="379">
        <v>1</v>
      </c>
      <c r="AA112" s="467"/>
    </row>
    <row r="113" spans="2:27" s="148" customFormat="1" ht="27" customHeight="1">
      <c r="B113" s="892"/>
      <c r="C113" s="893"/>
      <c r="D113" s="368">
        <v>19</v>
      </c>
      <c r="E113" s="461"/>
      <c r="F113" s="462">
        <f t="shared" si="46"/>
        <v>0</v>
      </c>
      <c r="G113" s="376"/>
      <c r="H113" s="463"/>
      <c r="I113" s="464"/>
      <c r="J113" s="465" t="str">
        <f t="shared" si="47"/>
        <v>-</v>
      </c>
      <c r="K113" s="464"/>
      <c r="L113" s="465" t="str">
        <f t="shared" si="48"/>
        <v>-</v>
      </c>
      <c r="M113" s="464"/>
      <c r="N113" s="465" t="str">
        <f t="shared" si="49"/>
        <v>-</v>
      </c>
      <c r="O113" s="466">
        <f t="shared" si="50"/>
        <v>0</v>
      </c>
      <c r="P113" s="465" t="str">
        <f t="shared" si="51"/>
        <v>-</v>
      </c>
      <c r="Q113" s="463"/>
      <c r="R113" s="465" t="str">
        <f t="shared" si="52"/>
        <v>-</v>
      </c>
      <c r="S113" s="466">
        <f t="shared" si="53"/>
        <v>0</v>
      </c>
      <c r="T113" s="465" t="str">
        <f t="shared" si="54"/>
        <v>-</v>
      </c>
      <c r="U113" s="372">
        <f t="shared" si="55"/>
        <v>0</v>
      </c>
      <c r="V113" s="379"/>
      <c r="W113" s="379"/>
      <c r="X113" s="379"/>
      <c r="Y113" s="379"/>
      <c r="Z113" s="379">
        <v>1</v>
      </c>
      <c r="AA113" s="467"/>
    </row>
    <row r="114" spans="2:27" s="148" customFormat="1" ht="27" customHeight="1">
      <c r="B114" s="894"/>
      <c r="C114" s="895"/>
      <c r="D114" s="368">
        <v>20</v>
      </c>
      <c r="E114" s="461"/>
      <c r="F114" s="462">
        <f t="shared" si="46"/>
        <v>0</v>
      </c>
      <c r="G114" s="376"/>
      <c r="H114" s="463"/>
      <c r="I114" s="464"/>
      <c r="J114" s="465" t="str">
        <f t="shared" si="47"/>
        <v>-</v>
      </c>
      <c r="K114" s="464"/>
      <c r="L114" s="465" t="str">
        <f t="shared" si="48"/>
        <v>-</v>
      </c>
      <c r="M114" s="464"/>
      <c r="N114" s="465" t="str">
        <f t="shared" si="49"/>
        <v>-</v>
      </c>
      <c r="O114" s="466">
        <f t="shared" si="50"/>
        <v>0</v>
      </c>
      <c r="P114" s="465" t="str">
        <f t="shared" si="51"/>
        <v>-</v>
      </c>
      <c r="Q114" s="463"/>
      <c r="R114" s="465" t="str">
        <f t="shared" si="52"/>
        <v>-</v>
      </c>
      <c r="S114" s="466">
        <f t="shared" si="53"/>
        <v>0</v>
      </c>
      <c r="T114" s="465" t="str">
        <f t="shared" si="54"/>
        <v>-</v>
      </c>
      <c r="U114" s="372">
        <f t="shared" si="55"/>
        <v>0</v>
      </c>
      <c r="V114" s="379"/>
      <c r="W114" s="379"/>
      <c r="X114" s="379"/>
      <c r="Y114" s="379"/>
      <c r="Z114" s="379">
        <v>1</v>
      </c>
      <c r="AA114" s="467"/>
    </row>
    <row r="118" spans="2:27" ht="14.1" customHeight="1"/>
    <row r="128" spans="2:27" ht="14.1" customHeight="1"/>
    <row r="138" ht="14.1" customHeight="1"/>
    <row r="148" ht="14.1" customHeight="1"/>
    <row r="158" ht="14.1" customHeight="1"/>
    <row r="168" ht="14.1" customHeight="1"/>
  </sheetData>
  <mergeCells count="101">
    <mergeCell ref="AA93:AA94"/>
    <mergeCell ref="B95:C114"/>
    <mergeCell ref="G93:G94"/>
    <mergeCell ref="H93:H94"/>
    <mergeCell ref="I93:J93"/>
    <mergeCell ref="K93:L93"/>
    <mergeCell ref="M93:N93"/>
    <mergeCell ref="O93:P93"/>
    <mergeCell ref="Q93:R93"/>
    <mergeCell ref="S93:U93"/>
    <mergeCell ref="V93:V94"/>
    <mergeCell ref="B93:C94"/>
    <mergeCell ref="D93:D94"/>
    <mergeCell ref="E93:E94"/>
    <mergeCell ref="F93:F94"/>
    <mergeCell ref="H71:H72"/>
    <mergeCell ref="I71:J71"/>
    <mergeCell ref="I27:J27"/>
    <mergeCell ref="F27:F28"/>
    <mergeCell ref="G27:G28"/>
    <mergeCell ref="H27:H28"/>
    <mergeCell ref="W93:W94"/>
    <mergeCell ref="X93:X94"/>
    <mergeCell ref="Y93:Y94"/>
    <mergeCell ref="H49:H50"/>
    <mergeCell ref="I49:J49"/>
    <mergeCell ref="K49:L49"/>
    <mergeCell ref="M49:N49"/>
    <mergeCell ref="B27:C28"/>
    <mergeCell ref="D27:D28"/>
    <mergeCell ref="E27:E28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G49:G50"/>
    <mergeCell ref="AC93:AJ95"/>
    <mergeCell ref="AC49:AJ51"/>
    <mergeCell ref="Z49:Z50"/>
    <mergeCell ref="AA49:AA50"/>
    <mergeCell ref="AC71:AJ73"/>
    <mergeCell ref="K71:L71"/>
    <mergeCell ref="M71:N71"/>
    <mergeCell ref="O71:P71"/>
    <mergeCell ref="Q71:R71"/>
    <mergeCell ref="S71:U71"/>
    <mergeCell ref="V71:V72"/>
    <mergeCell ref="W71:W72"/>
    <mergeCell ref="X71:X72"/>
    <mergeCell ref="Y71:Y72"/>
    <mergeCell ref="Z71:Z72"/>
    <mergeCell ref="AA71:AA72"/>
    <mergeCell ref="O49:P49"/>
    <mergeCell ref="Q49:R49"/>
    <mergeCell ref="S49:U49"/>
    <mergeCell ref="V49:V50"/>
    <mergeCell ref="W49:W50"/>
    <mergeCell ref="X49:X50"/>
    <mergeCell ref="Y49:Y50"/>
    <mergeCell ref="Z93:Z94"/>
    <mergeCell ref="B2:AA2"/>
    <mergeCell ref="E5:E6"/>
    <mergeCell ref="F5:F6"/>
    <mergeCell ref="G5:P5"/>
    <mergeCell ref="Q5:R5"/>
    <mergeCell ref="S5:U5"/>
    <mergeCell ref="B7:C26"/>
    <mergeCell ref="X3:X6"/>
    <mergeCell ref="Y3:Y6"/>
    <mergeCell ref="Z3:Z6"/>
    <mergeCell ref="AA3:AA6"/>
    <mergeCell ref="B73:C92"/>
    <mergeCell ref="AC3:AJ5"/>
    <mergeCell ref="B3:C6"/>
    <mergeCell ref="D3:F3"/>
    <mergeCell ref="G3:U3"/>
    <mergeCell ref="V3:V6"/>
    <mergeCell ref="W3:W6"/>
    <mergeCell ref="D4:D6"/>
    <mergeCell ref="E4:F4"/>
    <mergeCell ref="G4:P4"/>
    <mergeCell ref="Q4:U4"/>
    <mergeCell ref="K27:L27"/>
    <mergeCell ref="M27:N27"/>
    <mergeCell ref="O27:P27"/>
    <mergeCell ref="Q27:R27"/>
    <mergeCell ref="X27:X28"/>
    <mergeCell ref="Y27:Y28"/>
    <mergeCell ref="Z27:Z28"/>
    <mergeCell ref="AA27:AA28"/>
    <mergeCell ref="S27:U27"/>
    <mergeCell ref="V27:V28"/>
    <mergeCell ref="W27:W28"/>
    <mergeCell ref="AC27:AJ29"/>
    <mergeCell ref="B29:C48"/>
  </mergeCells>
  <phoneticPr fontId="13" type="noConversion"/>
  <dataValidations count="1">
    <dataValidation type="list" allowBlank="1" showInputMessage="1" showErrorMessage="1" sqref="V98:V114 V1:W2 W3:W6 V29:V48 V115:W1048576 V3:V26 V93:W93 W107 V27:W27 V73:V92 V51:V70 V49:W49 V95:W97 V71:W71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 codeName="工作表35">
    <tabColor rgb="FF92D050"/>
    <pageSetUpPr fitToPage="1"/>
  </sheetPr>
  <dimension ref="B2:AJ114"/>
  <sheetViews>
    <sheetView zoomScale="70" zoomScaleNormal="70" workbookViewId="0">
      <pane xSplit="4" ySplit="2" topLeftCell="E70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AA73" sqref="AA73:AA92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5.85546875" style="146" bestFit="1" customWidth="1"/>
    <col min="9" max="9" width="16.85546875" style="146" customWidth="1"/>
    <col min="10" max="10" width="14" style="146" customWidth="1"/>
    <col min="11" max="11" width="15.42578125" style="146" bestFit="1" customWidth="1"/>
    <col min="12" max="12" width="12.28515625" style="146" bestFit="1" customWidth="1"/>
    <col min="13" max="13" width="19.140625" style="146" bestFit="1" customWidth="1"/>
    <col min="14" max="14" width="15.28515625" style="146" bestFit="1" customWidth="1"/>
    <col min="15" max="15" width="19.140625" style="146" bestFit="1" customWidth="1"/>
    <col min="16" max="16" width="12.5703125" style="146" bestFit="1" customWidth="1"/>
    <col min="17" max="17" width="9.140625" style="146" bestFit="1" customWidth="1"/>
    <col min="18" max="18" width="12.28515625" style="146" bestFit="1" customWidth="1"/>
    <col min="19" max="19" width="12.5703125" style="146" bestFit="1" customWidth="1"/>
    <col min="20" max="20" width="12.42578125" style="146" bestFit="1" customWidth="1"/>
    <col min="21" max="21" width="11.42578125" style="146" bestFit="1" customWidth="1"/>
    <col min="22" max="22" width="12.42578125" style="146" bestFit="1" customWidth="1"/>
    <col min="23" max="23" width="15.28515625" style="146" bestFit="1" customWidth="1"/>
    <col min="24" max="24" width="66.85546875" style="146" bestFit="1" customWidth="1"/>
    <col min="25" max="25" width="113.42578125" style="146" bestFit="1" customWidth="1"/>
    <col min="26" max="26" width="11.42578125" style="146" bestFit="1" customWidth="1"/>
    <col min="27" max="27" width="37.7109375" style="146" bestFit="1" customWidth="1"/>
    <col min="28" max="28" width="19.42578125" style="146" bestFit="1" customWidth="1"/>
    <col min="29" max="29" width="21.5703125" style="146" customWidth="1"/>
    <col min="30" max="30" width="19.42578125" style="146" bestFit="1" customWidth="1"/>
    <col min="31" max="36" width="14.42578125" style="146" customWidth="1"/>
    <col min="37" max="16384" width="8.85546875" style="146"/>
  </cols>
  <sheetData>
    <row r="2" spans="2:36" ht="41.1" customHeight="1">
      <c r="B2" s="884" t="s">
        <v>460</v>
      </c>
      <c r="C2" s="885"/>
      <c r="D2" s="885"/>
      <c r="E2" s="885"/>
      <c r="F2" s="885"/>
      <c r="G2" s="885"/>
      <c r="H2" s="885"/>
      <c r="I2" s="885"/>
      <c r="J2" s="885"/>
      <c r="K2" s="885"/>
      <c r="L2" s="885"/>
      <c r="M2" s="885"/>
      <c r="N2" s="885"/>
      <c r="O2" s="885"/>
      <c r="P2" s="885"/>
      <c r="Q2" s="885"/>
      <c r="R2" s="885"/>
      <c r="S2" s="885"/>
      <c r="T2" s="885"/>
      <c r="U2" s="885"/>
      <c r="V2" s="885"/>
      <c r="W2" s="885"/>
      <c r="X2" s="885"/>
      <c r="Y2" s="885"/>
      <c r="AA2" s="147"/>
      <c r="AB2" s="147"/>
      <c r="AC2" s="147"/>
      <c r="AD2" s="147"/>
    </row>
    <row r="3" spans="2:36" ht="17.100000000000001" customHeight="1">
      <c r="B3" s="854" t="s">
        <v>453</v>
      </c>
      <c r="C3" s="855"/>
      <c r="D3" s="860" t="s">
        <v>170</v>
      </c>
      <c r="E3" s="860"/>
      <c r="F3" s="860"/>
      <c r="G3" s="861" t="s">
        <v>184</v>
      </c>
      <c r="H3" s="862"/>
      <c r="I3" s="862"/>
      <c r="J3" s="862"/>
      <c r="K3" s="862"/>
      <c r="L3" s="862"/>
      <c r="M3" s="862"/>
      <c r="N3" s="862"/>
      <c r="O3" s="862"/>
      <c r="P3" s="862"/>
      <c r="Q3" s="862"/>
      <c r="R3" s="862"/>
      <c r="S3" s="862"/>
      <c r="T3" s="862"/>
      <c r="U3" s="863"/>
      <c r="V3" s="864" t="s">
        <v>171</v>
      </c>
      <c r="W3" s="864" t="s">
        <v>245</v>
      </c>
      <c r="X3" s="896" t="s">
        <v>454</v>
      </c>
      <c r="Y3" s="896" t="s">
        <v>455</v>
      </c>
      <c r="Z3" s="864" t="s">
        <v>246</v>
      </c>
      <c r="AA3" s="870" t="s">
        <v>172</v>
      </c>
      <c r="AC3" s="845" t="s">
        <v>247</v>
      </c>
      <c r="AD3" s="846"/>
      <c r="AE3" s="846"/>
      <c r="AF3" s="846"/>
      <c r="AG3" s="846"/>
      <c r="AH3" s="846"/>
      <c r="AI3" s="846"/>
      <c r="AJ3" s="847"/>
    </row>
    <row r="4" spans="2:36" ht="17.100000000000001" customHeight="1">
      <c r="B4" s="856"/>
      <c r="C4" s="857"/>
      <c r="D4" s="867" t="s">
        <v>169</v>
      </c>
      <c r="E4" s="860" t="s">
        <v>173</v>
      </c>
      <c r="F4" s="860"/>
      <c r="G4" s="861" t="s">
        <v>185</v>
      </c>
      <c r="H4" s="862"/>
      <c r="I4" s="862"/>
      <c r="J4" s="862"/>
      <c r="K4" s="862"/>
      <c r="L4" s="862"/>
      <c r="M4" s="862"/>
      <c r="N4" s="862"/>
      <c r="O4" s="862"/>
      <c r="P4" s="863"/>
      <c r="Q4" s="861" t="s">
        <v>174</v>
      </c>
      <c r="R4" s="862"/>
      <c r="S4" s="862"/>
      <c r="T4" s="862"/>
      <c r="U4" s="863"/>
      <c r="V4" s="865"/>
      <c r="W4" s="865"/>
      <c r="X4" s="897"/>
      <c r="Y4" s="897"/>
      <c r="Z4" s="865"/>
      <c r="AA4" s="899"/>
      <c r="AC4" s="848"/>
      <c r="AD4" s="849"/>
      <c r="AE4" s="849"/>
      <c r="AF4" s="849"/>
      <c r="AG4" s="849"/>
      <c r="AH4" s="849"/>
      <c r="AI4" s="849"/>
      <c r="AJ4" s="850"/>
    </row>
    <row r="5" spans="2:36" ht="17.100000000000001" customHeight="1">
      <c r="B5" s="856"/>
      <c r="C5" s="857"/>
      <c r="D5" s="867"/>
      <c r="E5" s="867" t="s">
        <v>175</v>
      </c>
      <c r="F5" s="903" t="s">
        <v>702</v>
      </c>
      <c r="G5" s="887" t="s">
        <v>186</v>
      </c>
      <c r="H5" s="888"/>
      <c r="I5" s="888"/>
      <c r="J5" s="888"/>
      <c r="K5" s="888"/>
      <c r="L5" s="888"/>
      <c r="M5" s="888"/>
      <c r="N5" s="888"/>
      <c r="O5" s="888"/>
      <c r="P5" s="889"/>
      <c r="Q5" s="887" t="s">
        <v>168</v>
      </c>
      <c r="R5" s="889"/>
      <c r="S5" s="887" t="s">
        <v>176</v>
      </c>
      <c r="T5" s="888"/>
      <c r="U5" s="889"/>
      <c r="V5" s="865"/>
      <c r="W5" s="865"/>
      <c r="X5" s="897"/>
      <c r="Y5" s="897"/>
      <c r="Z5" s="865"/>
      <c r="AA5" s="899"/>
      <c r="AC5" s="851"/>
      <c r="AD5" s="852"/>
      <c r="AE5" s="852"/>
      <c r="AF5" s="852"/>
      <c r="AG5" s="852"/>
      <c r="AH5" s="852"/>
      <c r="AI5" s="852"/>
      <c r="AJ5" s="853"/>
    </row>
    <row r="6" spans="2:36" ht="38.450000000000003" customHeight="1">
      <c r="B6" s="858"/>
      <c r="C6" s="859"/>
      <c r="D6" s="867"/>
      <c r="E6" s="867"/>
      <c r="F6" s="886"/>
      <c r="G6" s="369" t="s">
        <v>177</v>
      </c>
      <c r="H6" s="369" t="s">
        <v>252</v>
      </c>
      <c r="I6" s="459" t="s">
        <v>671</v>
      </c>
      <c r="J6" s="369" t="s">
        <v>672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66"/>
      <c r="W6" s="866"/>
      <c r="X6" s="898"/>
      <c r="Y6" s="898"/>
      <c r="Z6" s="866"/>
      <c r="AA6" s="871"/>
      <c r="AC6" s="161" t="s">
        <v>244</v>
      </c>
      <c r="AD6" s="161" t="s">
        <v>456</v>
      </c>
      <c r="AE6" s="156" t="s">
        <v>389</v>
      </c>
      <c r="AF6" s="156" t="s">
        <v>339</v>
      </c>
      <c r="AG6" s="156" t="s">
        <v>436</v>
      </c>
      <c r="AH6" s="156" t="s">
        <v>215</v>
      </c>
      <c r="AI6" s="156" t="s">
        <v>216</v>
      </c>
      <c r="AJ6" s="156" t="s">
        <v>390</v>
      </c>
    </row>
    <row r="7" spans="2:36" s="148" customFormat="1" ht="27" customHeight="1">
      <c r="B7" s="890" t="s">
        <v>564</v>
      </c>
      <c r="C7" s="891"/>
      <c r="D7" s="368">
        <v>1</v>
      </c>
      <c r="E7" s="371" t="s">
        <v>337</v>
      </c>
      <c r="F7" s="372">
        <v>15522.904700000005</v>
      </c>
      <c r="G7" s="373">
        <v>4768.8900000000003</v>
      </c>
      <c r="H7" s="373">
        <v>4725.7</v>
      </c>
      <c r="I7" s="373">
        <v>4725.7</v>
      </c>
      <c r="J7" s="465">
        <f>IFERROR(I7/H7,"-")</f>
        <v>1</v>
      </c>
      <c r="K7" s="374">
        <f t="shared" ref="K7:K26" si="0">H7/G7</f>
        <v>0.99094338514832581</v>
      </c>
      <c r="L7" s="373">
        <v>148.47999999999999</v>
      </c>
      <c r="M7" s="374">
        <f t="shared" ref="M7:M26" si="1">L7/G7</f>
        <v>3.1135127880911488E-2</v>
      </c>
      <c r="N7" s="373">
        <v>147.43000000000004</v>
      </c>
      <c r="O7" s="374">
        <f t="shared" ref="O7:O26" si="2">(H7+L7)/G7</f>
        <v>1.0220785130292371</v>
      </c>
      <c r="P7" s="375">
        <v>15522.904700000005</v>
      </c>
      <c r="Q7" s="373">
        <v>0</v>
      </c>
      <c r="R7" s="374">
        <f t="shared" ref="R7:R26" si="3">Q7/G7</f>
        <v>0</v>
      </c>
      <c r="S7" s="385">
        <f>Q7*N7</f>
        <v>0</v>
      </c>
      <c r="T7" s="376">
        <f t="shared" ref="T7:T26" si="4">((H7+L7)-G7)-Q7</f>
        <v>105.28999999999905</v>
      </c>
      <c r="U7" s="374">
        <f t="shared" ref="U7:U26" si="5">T7/G7</f>
        <v>2.2078513029237211E-2</v>
      </c>
      <c r="V7" s="378" t="s">
        <v>174</v>
      </c>
      <c r="W7" s="378" t="s">
        <v>215</v>
      </c>
      <c r="X7" s="379" t="s">
        <v>504</v>
      </c>
      <c r="Y7" s="379" t="s">
        <v>571</v>
      </c>
      <c r="Z7" s="379">
        <v>1</v>
      </c>
      <c r="AA7" s="380" t="s">
        <v>342</v>
      </c>
      <c r="AB7" s="381" t="s">
        <v>457</v>
      </c>
      <c r="AC7" s="388">
        <f>SUM(Z7:Z26)</f>
        <v>20</v>
      </c>
      <c r="AD7" s="382">
        <f t="shared" ref="AD7:AJ7" si="6">SUMIF($W$7:$W$26,TRIM(AD6),$Z$7:$Z$26)</f>
        <v>0</v>
      </c>
      <c r="AE7" s="382">
        <f t="shared" si="6"/>
        <v>0</v>
      </c>
      <c r="AF7" s="382">
        <f t="shared" si="6"/>
        <v>0</v>
      </c>
      <c r="AG7" s="382">
        <f t="shared" si="6"/>
        <v>14</v>
      </c>
      <c r="AH7" s="382">
        <f t="shared" si="6"/>
        <v>2</v>
      </c>
      <c r="AI7" s="382">
        <f t="shared" si="6"/>
        <v>4</v>
      </c>
      <c r="AJ7" s="382">
        <f t="shared" si="6"/>
        <v>0</v>
      </c>
    </row>
    <row r="8" spans="2:36" s="148" customFormat="1" ht="27" customHeight="1">
      <c r="B8" s="892"/>
      <c r="C8" s="893"/>
      <c r="D8" s="368">
        <v>2</v>
      </c>
      <c r="E8" s="371" t="s">
        <v>591</v>
      </c>
      <c r="F8" s="372">
        <v>9063.2451000000347</v>
      </c>
      <c r="G8" s="373">
        <v>22815.390000000003</v>
      </c>
      <c r="H8" s="373">
        <v>22741.280000000002</v>
      </c>
      <c r="I8" s="373">
        <v>22741.280000000002</v>
      </c>
      <c r="J8" s="465">
        <f t="shared" ref="J8:J26" si="7">IFERROR(I8/H8,"-")</f>
        <v>1</v>
      </c>
      <c r="K8" s="374">
        <f t="shared" si="0"/>
        <v>0.99675175396957927</v>
      </c>
      <c r="L8" s="373">
        <v>304.89999999999998</v>
      </c>
      <c r="M8" s="374">
        <f t="shared" si="1"/>
        <v>1.3363786461682221E-2</v>
      </c>
      <c r="N8" s="373">
        <v>39.389999999999993</v>
      </c>
      <c r="O8" s="374">
        <f t="shared" si="2"/>
        <v>1.0101155404312616</v>
      </c>
      <c r="P8" s="375">
        <v>9090.8181000000332</v>
      </c>
      <c r="Q8" s="373">
        <v>0.7</v>
      </c>
      <c r="R8" s="374">
        <f t="shared" si="3"/>
        <v>3.0681044680805361E-5</v>
      </c>
      <c r="S8" s="385">
        <f t="shared" ref="S8:S26" si="8">Q8*N8</f>
        <v>27.572999999999993</v>
      </c>
      <c r="T8" s="376">
        <f t="shared" si="4"/>
        <v>230.09000000000088</v>
      </c>
      <c r="U8" s="374">
        <f t="shared" si="5"/>
        <v>1.0084859386580762E-2</v>
      </c>
      <c r="V8" s="378" t="s">
        <v>174</v>
      </c>
      <c r="W8" s="378" t="s">
        <v>216</v>
      </c>
      <c r="X8" s="379" t="s">
        <v>612</v>
      </c>
      <c r="Y8" s="379" t="s">
        <v>573</v>
      </c>
      <c r="Z8" s="379">
        <v>1</v>
      </c>
      <c r="AA8" s="380" t="s">
        <v>342</v>
      </c>
      <c r="AC8" s="389"/>
      <c r="AD8" s="386">
        <f t="shared" ref="AD8:AJ8" si="9">SUMIF($W$7:$W$26,TRIM(AD6),$F$7:$F$26)</f>
        <v>0</v>
      </c>
      <c r="AE8" s="386">
        <f t="shared" si="9"/>
        <v>0</v>
      </c>
      <c r="AF8" s="386">
        <f t="shared" si="9"/>
        <v>0</v>
      </c>
      <c r="AG8" s="386">
        <f t="shared" si="9"/>
        <v>61035.200699999972</v>
      </c>
      <c r="AH8" s="386">
        <f t="shared" si="9"/>
        <v>21192.504700000005</v>
      </c>
      <c r="AI8" s="386">
        <f t="shared" si="9"/>
        <v>22518.722300000023</v>
      </c>
      <c r="AJ8" s="386">
        <f t="shared" si="9"/>
        <v>0</v>
      </c>
    </row>
    <row r="9" spans="2:36" s="148" customFormat="1" ht="27" customHeight="1">
      <c r="B9" s="892"/>
      <c r="C9" s="893"/>
      <c r="D9" s="368">
        <v>3</v>
      </c>
      <c r="E9" s="371" t="s">
        <v>596</v>
      </c>
      <c r="F9" s="372">
        <v>7700.1992999999975</v>
      </c>
      <c r="G9" s="373">
        <v>2469.8699999999994</v>
      </c>
      <c r="H9" s="373">
        <v>2428.8200000000002</v>
      </c>
      <c r="I9" s="373">
        <v>2428.8200000000002</v>
      </c>
      <c r="J9" s="465">
        <f t="shared" si="7"/>
        <v>1</v>
      </c>
      <c r="K9" s="374">
        <f t="shared" si="0"/>
        <v>0.98337969204856968</v>
      </c>
      <c r="L9" s="373">
        <v>119.75999999999999</v>
      </c>
      <c r="M9" s="374">
        <f t="shared" si="1"/>
        <v>4.848838197961837E-2</v>
      </c>
      <c r="N9" s="373">
        <v>97.830000000000013</v>
      </c>
      <c r="O9" s="374">
        <f t="shared" si="2"/>
        <v>1.031868074028188</v>
      </c>
      <c r="P9" s="375">
        <v>7700.1992999999975</v>
      </c>
      <c r="Q9" s="373">
        <v>0</v>
      </c>
      <c r="R9" s="374">
        <f t="shared" si="3"/>
        <v>0</v>
      </c>
      <c r="S9" s="385">
        <f t="shared" si="8"/>
        <v>0</v>
      </c>
      <c r="T9" s="376">
        <f t="shared" si="4"/>
        <v>78.710000000000491</v>
      </c>
      <c r="U9" s="374">
        <f t="shared" si="5"/>
        <v>3.1868074028187927E-2</v>
      </c>
      <c r="V9" s="378" t="s">
        <v>174</v>
      </c>
      <c r="W9" s="378" t="s">
        <v>436</v>
      </c>
      <c r="X9" s="379" t="s">
        <v>610</v>
      </c>
      <c r="Y9" s="379" t="s">
        <v>611</v>
      </c>
      <c r="Z9" s="379">
        <v>1</v>
      </c>
      <c r="AA9" s="380" t="s">
        <v>585</v>
      </c>
      <c r="AC9" s="368"/>
      <c r="AD9" s="387">
        <f t="shared" ref="AD9:AJ9" si="10">AD7/$AC7</f>
        <v>0</v>
      </c>
      <c r="AE9" s="387">
        <f t="shared" si="10"/>
        <v>0</v>
      </c>
      <c r="AF9" s="387">
        <f t="shared" si="10"/>
        <v>0</v>
      </c>
      <c r="AG9" s="387">
        <f t="shared" si="10"/>
        <v>0.7</v>
      </c>
      <c r="AH9" s="387">
        <f t="shared" si="10"/>
        <v>0.1</v>
      </c>
      <c r="AI9" s="387">
        <f t="shared" si="10"/>
        <v>0.2</v>
      </c>
      <c r="AJ9" s="387">
        <f t="shared" si="10"/>
        <v>0</v>
      </c>
    </row>
    <row r="10" spans="2:36" s="148" customFormat="1" ht="27" customHeight="1">
      <c r="B10" s="892"/>
      <c r="C10" s="893"/>
      <c r="D10" s="368">
        <v>4</v>
      </c>
      <c r="E10" s="371" t="s">
        <v>363</v>
      </c>
      <c r="F10" s="372">
        <v>6673.4315999999999</v>
      </c>
      <c r="G10" s="373">
        <v>746.3599999999999</v>
      </c>
      <c r="H10" s="373">
        <v>733.74</v>
      </c>
      <c r="I10" s="373">
        <v>733.74</v>
      </c>
      <c r="J10" s="465">
        <f t="shared" si="7"/>
        <v>1</v>
      </c>
      <c r="K10" s="374">
        <f t="shared" si="0"/>
        <v>0.98309126962859761</v>
      </c>
      <c r="L10" s="373">
        <v>29.200000000000003</v>
      </c>
      <c r="M10" s="374">
        <f t="shared" si="1"/>
        <v>3.9123211318934571E-2</v>
      </c>
      <c r="N10" s="373">
        <v>426.69</v>
      </c>
      <c r="O10" s="374">
        <f t="shared" si="2"/>
        <v>1.0222144809475322</v>
      </c>
      <c r="P10" s="375">
        <v>7074.5201999999999</v>
      </c>
      <c r="Q10" s="373">
        <v>0.94000000000000006</v>
      </c>
      <c r="R10" s="374">
        <f t="shared" si="3"/>
        <v>1.2594458438287155E-3</v>
      </c>
      <c r="S10" s="385">
        <f t="shared" si="8"/>
        <v>401.08860000000004</v>
      </c>
      <c r="T10" s="376">
        <f t="shared" si="4"/>
        <v>15.640000000000155</v>
      </c>
      <c r="U10" s="374">
        <f t="shared" si="5"/>
        <v>2.0955035103703518E-2</v>
      </c>
      <c r="V10" s="378" t="s">
        <v>174</v>
      </c>
      <c r="W10" s="378" t="s">
        <v>436</v>
      </c>
      <c r="X10" s="379" t="s">
        <v>508</v>
      </c>
      <c r="Y10" s="379" t="s">
        <v>573</v>
      </c>
      <c r="Z10" s="379">
        <v>1</v>
      </c>
      <c r="AA10" s="380" t="s">
        <v>364</v>
      </c>
    </row>
    <row r="11" spans="2:36" s="148" customFormat="1" ht="27" customHeight="1">
      <c r="B11" s="892"/>
      <c r="C11" s="893"/>
      <c r="D11" s="368">
        <v>5</v>
      </c>
      <c r="E11" s="371" t="s">
        <v>496</v>
      </c>
      <c r="F11" s="372">
        <v>5838.5984999999973</v>
      </c>
      <c r="G11" s="373">
        <v>1067.0900000000001</v>
      </c>
      <c r="H11" s="373">
        <v>1037.92</v>
      </c>
      <c r="I11" s="373">
        <v>1037.92</v>
      </c>
      <c r="J11" s="465">
        <f t="shared" si="7"/>
        <v>1</v>
      </c>
      <c r="K11" s="374">
        <f t="shared" si="0"/>
        <v>0.97266397398532456</v>
      </c>
      <c r="L11" s="373">
        <v>78.52000000000001</v>
      </c>
      <c r="M11" s="374">
        <f t="shared" si="1"/>
        <v>7.3583296629150308E-2</v>
      </c>
      <c r="N11" s="373">
        <v>118.30999999999997</v>
      </c>
      <c r="O11" s="374">
        <f t="shared" si="2"/>
        <v>1.0462472706144748</v>
      </c>
      <c r="P11" s="375">
        <v>5838.5984999999973</v>
      </c>
      <c r="Q11" s="373">
        <v>0</v>
      </c>
      <c r="R11" s="374">
        <f t="shared" si="3"/>
        <v>0</v>
      </c>
      <c r="S11" s="385">
        <f t="shared" si="8"/>
        <v>0</v>
      </c>
      <c r="T11" s="376">
        <f t="shared" si="4"/>
        <v>49.349999999999909</v>
      </c>
      <c r="U11" s="374">
        <f t="shared" si="5"/>
        <v>4.6247270614474791E-2</v>
      </c>
      <c r="V11" s="378" t="s">
        <v>174</v>
      </c>
      <c r="W11" s="378" t="s">
        <v>436</v>
      </c>
      <c r="X11" s="379" t="s">
        <v>610</v>
      </c>
      <c r="Y11" s="379" t="s">
        <v>611</v>
      </c>
      <c r="Z11" s="379">
        <v>1</v>
      </c>
      <c r="AA11" s="380" t="s">
        <v>492</v>
      </c>
    </row>
    <row r="12" spans="2:36" s="148" customFormat="1" ht="27" customHeight="1">
      <c r="B12" s="892"/>
      <c r="C12" s="893"/>
      <c r="D12" s="368">
        <v>6</v>
      </c>
      <c r="E12" s="371" t="s">
        <v>483</v>
      </c>
      <c r="F12" s="372">
        <v>5747.7725999999993</v>
      </c>
      <c r="G12" s="373">
        <v>1173.1399999999999</v>
      </c>
      <c r="H12" s="373">
        <v>1145.8600000000001</v>
      </c>
      <c r="I12" s="373">
        <v>1145.8600000000001</v>
      </c>
      <c r="J12" s="465">
        <f t="shared" si="7"/>
        <v>1</v>
      </c>
      <c r="K12" s="374">
        <f t="shared" si="0"/>
        <v>0.97674616840274842</v>
      </c>
      <c r="L12" s="373">
        <v>57.6</v>
      </c>
      <c r="M12" s="374">
        <f t="shared" si="1"/>
        <v>4.9098999266924667E-2</v>
      </c>
      <c r="N12" s="373">
        <v>191.21</v>
      </c>
      <c r="O12" s="374">
        <f t="shared" si="2"/>
        <v>1.0258451676696729</v>
      </c>
      <c r="P12" s="375">
        <v>5797.4871999999996</v>
      </c>
      <c r="Q12" s="373">
        <v>0.26</v>
      </c>
      <c r="R12" s="374">
        <f t="shared" si="3"/>
        <v>2.2162742724653498E-4</v>
      </c>
      <c r="S12" s="385">
        <f t="shared" si="8"/>
        <v>49.714600000000004</v>
      </c>
      <c r="T12" s="376">
        <f t="shared" si="4"/>
        <v>30.060000000000162</v>
      </c>
      <c r="U12" s="374">
        <f t="shared" si="5"/>
        <v>2.5623540242426451E-2</v>
      </c>
      <c r="V12" s="378" t="s">
        <v>174</v>
      </c>
      <c r="W12" s="378" t="s">
        <v>436</v>
      </c>
      <c r="X12" s="379" t="s">
        <v>508</v>
      </c>
      <c r="Y12" s="379" t="s">
        <v>573</v>
      </c>
      <c r="Z12" s="379">
        <v>1</v>
      </c>
      <c r="AA12" s="380" t="s">
        <v>484</v>
      </c>
    </row>
    <row r="13" spans="2:36" s="148" customFormat="1" ht="27" customHeight="1">
      <c r="B13" s="892"/>
      <c r="C13" s="893"/>
      <c r="D13" s="368">
        <v>7</v>
      </c>
      <c r="E13" s="371" t="s">
        <v>594</v>
      </c>
      <c r="F13" s="372">
        <v>5669.6000000000022</v>
      </c>
      <c r="G13" s="373">
        <v>314.35000000000002</v>
      </c>
      <c r="H13" s="373">
        <v>314.66999999999996</v>
      </c>
      <c r="I13" s="373">
        <v>314.66999999999996</v>
      </c>
      <c r="J13" s="465">
        <f t="shared" si="7"/>
        <v>1</v>
      </c>
      <c r="K13" s="374">
        <f t="shared" si="0"/>
        <v>1.0010179735963096</v>
      </c>
      <c r="L13" s="373">
        <v>7.7</v>
      </c>
      <c r="M13" s="374">
        <f t="shared" si="1"/>
        <v>2.4494989661205661E-2</v>
      </c>
      <c r="N13" s="373">
        <v>760</v>
      </c>
      <c r="O13" s="374">
        <f t="shared" si="2"/>
        <v>1.0255129632575153</v>
      </c>
      <c r="P13" s="375">
        <v>6095.2000000000025</v>
      </c>
      <c r="Q13" s="373">
        <v>0.56000000000000005</v>
      </c>
      <c r="R13" s="374">
        <f t="shared" si="3"/>
        <v>1.7814537935422301E-3</v>
      </c>
      <c r="S13" s="385">
        <f t="shared" si="8"/>
        <v>425.6</v>
      </c>
      <c r="T13" s="376">
        <f t="shared" si="4"/>
        <v>7.4599999999999245</v>
      </c>
      <c r="U13" s="374">
        <f t="shared" si="5"/>
        <v>2.3731509463973035E-2</v>
      </c>
      <c r="V13" s="378" t="s">
        <v>174</v>
      </c>
      <c r="W13" s="378" t="s">
        <v>215</v>
      </c>
      <c r="X13" s="379" t="s">
        <v>654</v>
      </c>
      <c r="Y13" s="379" t="s">
        <v>573</v>
      </c>
      <c r="Z13" s="379">
        <v>1</v>
      </c>
      <c r="AA13" s="380" t="s">
        <v>582</v>
      </c>
      <c r="AE13" s="383"/>
    </row>
    <row r="14" spans="2:36" s="148" customFormat="1" ht="27" customHeight="1">
      <c r="B14" s="892"/>
      <c r="C14" s="893"/>
      <c r="D14" s="368">
        <v>8</v>
      </c>
      <c r="E14" s="371" t="s">
        <v>480</v>
      </c>
      <c r="F14" s="372">
        <v>5239.5700000000006</v>
      </c>
      <c r="G14" s="373">
        <v>157.1</v>
      </c>
      <c r="H14" s="373">
        <v>149.29</v>
      </c>
      <c r="I14" s="373">
        <v>149.29</v>
      </c>
      <c r="J14" s="465">
        <f t="shared" si="7"/>
        <v>1</v>
      </c>
      <c r="K14" s="374">
        <f t="shared" si="0"/>
        <v>0.95028644175684274</v>
      </c>
      <c r="L14" s="373">
        <v>16.14</v>
      </c>
      <c r="M14" s="374">
        <f t="shared" si="1"/>
        <v>0.10273711012094208</v>
      </c>
      <c r="N14" s="373">
        <v>629</v>
      </c>
      <c r="O14" s="374">
        <f t="shared" si="2"/>
        <v>1.0530235518777848</v>
      </c>
      <c r="P14" s="375">
        <v>5239.5700000000006</v>
      </c>
      <c r="Q14" s="373">
        <v>0</v>
      </c>
      <c r="R14" s="374">
        <f t="shared" si="3"/>
        <v>0</v>
      </c>
      <c r="S14" s="385">
        <f t="shared" si="8"/>
        <v>0</v>
      </c>
      <c r="T14" s="376">
        <f t="shared" si="4"/>
        <v>8.3300000000000125</v>
      </c>
      <c r="U14" s="374">
        <f t="shared" si="5"/>
        <v>5.302355187778493E-2</v>
      </c>
      <c r="V14" s="378" t="s">
        <v>174</v>
      </c>
      <c r="W14" s="378" t="s">
        <v>436</v>
      </c>
      <c r="X14" s="379" t="s">
        <v>512</v>
      </c>
      <c r="Y14" s="379" t="s">
        <v>655</v>
      </c>
      <c r="Z14" s="379">
        <v>1</v>
      </c>
      <c r="AA14" s="380" t="s">
        <v>473</v>
      </c>
      <c r="AE14" s="383"/>
    </row>
    <row r="15" spans="2:36" s="148" customFormat="1" ht="27" customHeight="1">
      <c r="B15" s="892"/>
      <c r="C15" s="893"/>
      <c r="D15" s="368">
        <v>9</v>
      </c>
      <c r="E15" s="371" t="s">
        <v>474</v>
      </c>
      <c r="F15" s="372">
        <v>4973.453799999992</v>
      </c>
      <c r="G15" s="373">
        <v>1012.82</v>
      </c>
      <c r="H15" s="373">
        <v>1016.6999999999999</v>
      </c>
      <c r="I15" s="373">
        <v>1016.6999999999999</v>
      </c>
      <c r="J15" s="465">
        <f t="shared" si="7"/>
        <v>1</v>
      </c>
      <c r="K15" s="374">
        <f t="shared" si="0"/>
        <v>1.0038308880156395</v>
      </c>
      <c r="L15" s="373">
        <v>5.26</v>
      </c>
      <c r="M15" s="374">
        <f t="shared" si="1"/>
        <v>5.1934203510989119E-3</v>
      </c>
      <c r="N15" s="373">
        <v>605.77999999999986</v>
      </c>
      <c r="O15" s="374">
        <f t="shared" si="2"/>
        <v>1.0090243083667383</v>
      </c>
      <c r="P15" s="375">
        <v>5536.8291999999919</v>
      </c>
      <c r="Q15" s="373">
        <v>0.93</v>
      </c>
      <c r="R15" s="374">
        <f t="shared" si="3"/>
        <v>9.1822831302699397E-4</v>
      </c>
      <c r="S15" s="385">
        <f t="shared" si="8"/>
        <v>563.3753999999999</v>
      </c>
      <c r="T15" s="376">
        <f t="shared" si="4"/>
        <v>8.209999999999873</v>
      </c>
      <c r="U15" s="374">
        <f t="shared" si="5"/>
        <v>8.106080053711294E-3</v>
      </c>
      <c r="V15" s="378" t="s">
        <v>174</v>
      </c>
      <c r="W15" s="378" t="s">
        <v>216</v>
      </c>
      <c r="X15" s="379" t="s">
        <v>507</v>
      </c>
      <c r="Y15" s="379" t="s">
        <v>572</v>
      </c>
      <c r="Z15" s="379">
        <v>1</v>
      </c>
      <c r="AA15" s="380" t="s">
        <v>344</v>
      </c>
      <c r="AE15" s="383"/>
    </row>
    <row r="16" spans="2:36" s="148" customFormat="1" ht="27" customHeight="1">
      <c r="B16" s="892"/>
      <c r="C16" s="893"/>
      <c r="D16" s="368">
        <v>10</v>
      </c>
      <c r="E16" s="371" t="s">
        <v>440</v>
      </c>
      <c r="F16" s="372">
        <v>4907.3062000000054</v>
      </c>
      <c r="G16" s="373">
        <v>400.78</v>
      </c>
      <c r="H16" s="373">
        <v>392.73</v>
      </c>
      <c r="I16" s="373">
        <v>392.73</v>
      </c>
      <c r="J16" s="465">
        <f t="shared" si="7"/>
        <v>1</v>
      </c>
      <c r="K16" s="374">
        <f t="shared" si="0"/>
        <v>0.97991416737362158</v>
      </c>
      <c r="L16" s="373">
        <v>22.070000000000004</v>
      </c>
      <c r="M16" s="374">
        <f t="shared" si="1"/>
        <v>5.5067618144618011E-2</v>
      </c>
      <c r="N16" s="373">
        <v>368.13999999999993</v>
      </c>
      <c r="O16" s="374">
        <f t="shared" si="2"/>
        <v>1.0349817855182395</v>
      </c>
      <c r="P16" s="375">
        <v>5161.3228000000063</v>
      </c>
      <c r="Q16" s="373">
        <v>0.69</v>
      </c>
      <c r="R16" s="374">
        <f t="shared" si="3"/>
        <v>1.721642796546734E-3</v>
      </c>
      <c r="S16" s="385">
        <f t="shared" si="8"/>
        <v>254.01659999999993</v>
      </c>
      <c r="T16" s="376">
        <f t="shared" si="4"/>
        <v>13.330000000000039</v>
      </c>
      <c r="U16" s="374">
        <f t="shared" si="5"/>
        <v>3.3260142721692802E-2</v>
      </c>
      <c r="V16" s="378" t="s">
        <v>174</v>
      </c>
      <c r="W16" s="378" t="s">
        <v>436</v>
      </c>
      <c r="X16" s="379" t="s">
        <v>509</v>
      </c>
      <c r="Y16" s="379" t="s">
        <v>510</v>
      </c>
      <c r="Z16" s="379">
        <v>1</v>
      </c>
      <c r="AA16" s="380" t="s">
        <v>441</v>
      </c>
      <c r="AE16" s="383"/>
    </row>
    <row r="17" spans="2:36" s="148" customFormat="1" ht="27" customHeight="1">
      <c r="B17" s="892"/>
      <c r="C17" s="893"/>
      <c r="D17" s="368">
        <v>11</v>
      </c>
      <c r="E17" s="371" t="s">
        <v>476</v>
      </c>
      <c r="F17" s="372">
        <v>4640.081200000006</v>
      </c>
      <c r="G17" s="373">
        <v>1115.5</v>
      </c>
      <c r="H17" s="373">
        <v>1109.43</v>
      </c>
      <c r="I17" s="373">
        <v>1109.43</v>
      </c>
      <c r="J17" s="465">
        <f t="shared" si="7"/>
        <v>1</v>
      </c>
      <c r="K17" s="374">
        <f t="shared" si="0"/>
        <v>0.99455849394890194</v>
      </c>
      <c r="L17" s="373">
        <v>17.93</v>
      </c>
      <c r="M17" s="374">
        <f t="shared" si="1"/>
        <v>1.6073509636934109E-2</v>
      </c>
      <c r="N17" s="373">
        <v>407.74000000000007</v>
      </c>
      <c r="O17" s="374">
        <f t="shared" si="2"/>
        <v>1.010632003585836</v>
      </c>
      <c r="P17" s="375">
        <v>4835.7964000000056</v>
      </c>
      <c r="Q17" s="373">
        <v>0.48</v>
      </c>
      <c r="R17" s="374">
        <f t="shared" si="3"/>
        <v>4.3030031376064545E-4</v>
      </c>
      <c r="S17" s="385">
        <f t="shared" si="8"/>
        <v>195.71520000000004</v>
      </c>
      <c r="T17" s="376">
        <f t="shared" si="4"/>
        <v>11.380000000000127</v>
      </c>
      <c r="U17" s="374">
        <f t="shared" si="5"/>
        <v>1.0201703272075415E-2</v>
      </c>
      <c r="V17" s="378" t="s">
        <v>174</v>
      </c>
      <c r="W17" s="378" t="s">
        <v>216</v>
      </c>
      <c r="X17" s="379" t="s">
        <v>506</v>
      </c>
      <c r="Y17" s="379" t="s">
        <v>511</v>
      </c>
      <c r="Z17" s="379">
        <v>1</v>
      </c>
      <c r="AA17" s="380" t="s">
        <v>478</v>
      </c>
      <c r="AE17" s="383"/>
    </row>
    <row r="18" spans="2:36" s="148" customFormat="1" ht="27" customHeight="1">
      <c r="B18" s="892"/>
      <c r="C18" s="893"/>
      <c r="D18" s="368">
        <v>12</v>
      </c>
      <c r="E18" s="371" t="s">
        <v>513</v>
      </c>
      <c r="F18" s="372">
        <v>4086.7252999999996</v>
      </c>
      <c r="G18" s="373">
        <v>410.52</v>
      </c>
      <c r="H18" s="373">
        <v>400.17999999999995</v>
      </c>
      <c r="I18" s="373">
        <v>400.17999999999995</v>
      </c>
      <c r="J18" s="465">
        <f t="shared" si="7"/>
        <v>1</v>
      </c>
      <c r="K18" s="374">
        <f t="shared" si="0"/>
        <v>0.97481243301178988</v>
      </c>
      <c r="L18" s="373">
        <v>22.45</v>
      </c>
      <c r="M18" s="374">
        <f t="shared" si="1"/>
        <v>5.4686738770340054E-2</v>
      </c>
      <c r="N18" s="373">
        <v>370.50999999999993</v>
      </c>
      <c r="O18" s="374">
        <f t="shared" si="2"/>
        <v>1.0294991717821298</v>
      </c>
      <c r="P18" s="375">
        <v>4486.8760999999995</v>
      </c>
      <c r="Q18" s="373">
        <v>1.08</v>
      </c>
      <c r="R18" s="374">
        <f t="shared" si="3"/>
        <v>2.6308097047646889E-3</v>
      </c>
      <c r="S18" s="385">
        <f t="shared" si="8"/>
        <v>400.15079999999995</v>
      </c>
      <c r="T18" s="376">
        <f t="shared" si="4"/>
        <v>11.029999999999957</v>
      </c>
      <c r="U18" s="374">
        <f t="shared" si="5"/>
        <v>2.6868362077365187E-2</v>
      </c>
      <c r="V18" s="378" t="s">
        <v>174</v>
      </c>
      <c r="W18" s="378" t="s">
        <v>436</v>
      </c>
      <c r="X18" s="379" t="s">
        <v>509</v>
      </c>
      <c r="Y18" s="379" t="s">
        <v>510</v>
      </c>
      <c r="Z18" s="379">
        <v>1</v>
      </c>
      <c r="AA18" s="380" t="s">
        <v>356</v>
      </c>
    </row>
    <row r="19" spans="2:36" s="148" customFormat="1" ht="27" customHeight="1">
      <c r="B19" s="892"/>
      <c r="C19" s="893"/>
      <c r="D19" s="368">
        <v>13</v>
      </c>
      <c r="E19" s="371" t="s">
        <v>647</v>
      </c>
      <c r="F19" s="372">
        <v>3841.9421999999913</v>
      </c>
      <c r="G19" s="373">
        <v>4526.5600000000004</v>
      </c>
      <c r="H19" s="373">
        <v>4468.7299999999996</v>
      </c>
      <c r="I19" s="373">
        <v>4468.7299999999996</v>
      </c>
      <c r="J19" s="465">
        <f t="shared" si="7"/>
        <v>1</v>
      </c>
      <c r="K19" s="374">
        <f t="shared" si="0"/>
        <v>0.98722429394507072</v>
      </c>
      <c r="L19" s="373">
        <v>122.79</v>
      </c>
      <c r="M19" s="374">
        <f t="shared" si="1"/>
        <v>2.7126559683291505E-2</v>
      </c>
      <c r="N19" s="373">
        <v>62.43</v>
      </c>
      <c r="O19" s="374">
        <f t="shared" si="2"/>
        <v>1.0143508536283621</v>
      </c>
      <c r="P19" s="375">
        <v>4055.4527999999914</v>
      </c>
      <c r="Q19" s="373">
        <v>3.42</v>
      </c>
      <c r="R19" s="374">
        <f t="shared" si="3"/>
        <v>7.5554063129617188E-4</v>
      </c>
      <c r="S19" s="385">
        <f t="shared" si="8"/>
        <v>213.51059999999998</v>
      </c>
      <c r="T19" s="376">
        <f t="shared" si="4"/>
        <v>61.539999999999125</v>
      </c>
      <c r="U19" s="374">
        <f t="shared" si="5"/>
        <v>1.359531299706601E-2</v>
      </c>
      <c r="V19" s="378" t="s">
        <v>174</v>
      </c>
      <c r="W19" s="378" t="s">
        <v>216</v>
      </c>
      <c r="X19" s="379" t="s">
        <v>612</v>
      </c>
      <c r="Y19" s="379" t="s">
        <v>573</v>
      </c>
      <c r="Z19" s="379">
        <v>1</v>
      </c>
      <c r="AA19" s="380" t="s">
        <v>620</v>
      </c>
    </row>
    <row r="20" spans="2:36" s="148" customFormat="1" ht="27" customHeight="1">
      <c r="B20" s="892"/>
      <c r="C20" s="893"/>
      <c r="D20" s="368">
        <v>14</v>
      </c>
      <c r="E20" s="371" t="s">
        <v>489</v>
      </c>
      <c r="F20" s="372">
        <v>3493.5935999999879</v>
      </c>
      <c r="G20" s="373">
        <v>1121.83</v>
      </c>
      <c r="H20" s="373">
        <v>1127.01</v>
      </c>
      <c r="I20" s="373">
        <v>1127.01</v>
      </c>
      <c r="J20" s="465">
        <f t="shared" si="7"/>
        <v>1</v>
      </c>
      <c r="K20" s="374">
        <f t="shared" si="0"/>
        <v>1.0046174554076821</v>
      </c>
      <c r="L20" s="373">
        <v>9.4</v>
      </c>
      <c r="M20" s="374">
        <f t="shared" si="1"/>
        <v>8.3791661838246451E-3</v>
      </c>
      <c r="N20" s="373">
        <v>266.27999999999997</v>
      </c>
      <c r="O20" s="374">
        <f t="shared" si="2"/>
        <v>1.0129966215915069</v>
      </c>
      <c r="P20" s="375">
        <v>3882.3623999999877</v>
      </c>
      <c r="Q20" s="373">
        <v>1.46</v>
      </c>
      <c r="R20" s="374">
        <f t="shared" si="3"/>
        <v>1.3014449604663808E-3</v>
      </c>
      <c r="S20" s="385">
        <f t="shared" si="8"/>
        <v>388.76879999999994</v>
      </c>
      <c r="T20" s="376">
        <f t="shared" si="4"/>
        <v>13.120000000000154</v>
      </c>
      <c r="U20" s="374">
        <f t="shared" si="5"/>
        <v>1.1695176631040492E-2</v>
      </c>
      <c r="V20" s="378" t="s">
        <v>174</v>
      </c>
      <c r="W20" s="378" t="s">
        <v>436</v>
      </c>
      <c r="X20" s="379" t="s">
        <v>558</v>
      </c>
      <c r="Y20" s="379" t="s">
        <v>510</v>
      </c>
      <c r="Z20" s="379">
        <v>1</v>
      </c>
      <c r="AA20" s="380" t="s">
        <v>490</v>
      </c>
    </row>
    <row r="21" spans="2:36" s="148" customFormat="1" ht="27" customHeight="1">
      <c r="B21" s="892"/>
      <c r="C21" s="893"/>
      <c r="D21" s="368">
        <v>15</v>
      </c>
      <c r="E21" s="371" t="s">
        <v>338</v>
      </c>
      <c r="F21" s="372">
        <v>3426.7360000000017</v>
      </c>
      <c r="G21" s="373">
        <v>1645.9799999999998</v>
      </c>
      <c r="H21" s="373">
        <v>1570.16</v>
      </c>
      <c r="I21" s="373">
        <v>1570.16</v>
      </c>
      <c r="J21" s="465">
        <f t="shared" si="7"/>
        <v>1</v>
      </c>
      <c r="K21" s="374">
        <f t="shared" si="0"/>
        <v>0.95393625681964556</v>
      </c>
      <c r="L21" s="373">
        <v>131.19999999999999</v>
      </c>
      <c r="M21" s="374">
        <f t="shared" si="1"/>
        <v>7.9709352483019233E-2</v>
      </c>
      <c r="N21" s="373">
        <v>70.220000000000013</v>
      </c>
      <c r="O21" s="374">
        <f t="shared" si="2"/>
        <v>1.0336456093026649</v>
      </c>
      <c r="P21" s="375">
        <v>3888.783600000002</v>
      </c>
      <c r="Q21" s="373">
        <v>6.5799999999999992</v>
      </c>
      <c r="R21" s="374">
        <f t="shared" si="3"/>
        <v>3.9976184400782513E-3</v>
      </c>
      <c r="S21" s="385">
        <f t="shared" si="8"/>
        <v>462.04760000000005</v>
      </c>
      <c r="T21" s="376">
        <f t="shared" si="4"/>
        <v>48.800000000000338</v>
      </c>
      <c r="U21" s="374">
        <f t="shared" si="5"/>
        <v>2.9647990862586633E-2</v>
      </c>
      <c r="V21" s="378" t="s">
        <v>174</v>
      </c>
      <c r="W21" s="378" t="s">
        <v>436</v>
      </c>
      <c r="X21" s="379" t="s">
        <v>505</v>
      </c>
      <c r="Y21" s="379" t="s">
        <v>499</v>
      </c>
      <c r="Z21" s="379">
        <v>1</v>
      </c>
      <c r="AA21" s="380" t="s">
        <v>345</v>
      </c>
    </row>
    <row r="22" spans="2:36" s="148" customFormat="1" ht="27" customHeight="1">
      <c r="B22" s="892"/>
      <c r="C22" s="893"/>
      <c r="D22" s="368">
        <v>16</v>
      </c>
      <c r="E22" s="371" t="s">
        <v>362</v>
      </c>
      <c r="F22" s="372">
        <v>2993.8999999999937</v>
      </c>
      <c r="G22" s="373">
        <v>1119.52</v>
      </c>
      <c r="H22" s="373">
        <v>1137.56</v>
      </c>
      <c r="I22" s="373">
        <v>1137.56</v>
      </c>
      <c r="J22" s="465">
        <f t="shared" si="7"/>
        <v>1</v>
      </c>
      <c r="K22" s="374">
        <f t="shared" si="0"/>
        <v>1.0161140488780906</v>
      </c>
      <c r="L22" s="373">
        <v>3.6</v>
      </c>
      <c r="M22" s="374">
        <f t="shared" si="1"/>
        <v>3.2156638559382592E-3</v>
      </c>
      <c r="N22" s="373">
        <v>152.75</v>
      </c>
      <c r="O22" s="374">
        <f t="shared" si="2"/>
        <v>1.0193297127340288</v>
      </c>
      <c r="P22" s="375">
        <v>3305.5099999999934</v>
      </c>
      <c r="Q22" s="373">
        <v>2.04</v>
      </c>
      <c r="R22" s="374">
        <f t="shared" si="3"/>
        <v>1.8222095183650137E-3</v>
      </c>
      <c r="S22" s="385">
        <f t="shared" si="8"/>
        <v>311.61</v>
      </c>
      <c r="T22" s="376">
        <f t="shared" si="4"/>
        <v>19.599999999999874</v>
      </c>
      <c r="U22" s="374">
        <f t="shared" si="5"/>
        <v>1.7507503215663744E-2</v>
      </c>
      <c r="V22" s="378" t="s">
        <v>174</v>
      </c>
      <c r="W22" s="378" t="s">
        <v>436</v>
      </c>
      <c r="X22" s="379" t="s">
        <v>512</v>
      </c>
      <c r="Y22" s="379" t="s">
        <v>573</v>
      </c>
      <c r="Z22" s="379">
        <v>1</v>
      </c>
      <c r="AA22" s="380" t="s">
        <v>364</v>
      </c>
    </row>
    <row r="23" spans="2:36" s="148" customFormat="1" ht="27" customHeight="1">
      <c r="B23" s="892"/>
      <c r="C23" s="893"/>
      <c r="D23" s="368">
        <v>17</v>
      </c>
      <c r="E23" s="371" t="s">
        <v>592</v>
      </c>
      <c r="F23" s="372">
        <v>2992.64</v>
      </c>
      <c r="G23" s="373">
        <v>261.94</v>
      </c>
      <c r="H23" s="373">
        <v>261.78000000000003</v>
      </c>
      <c r="I23" s="373">
        <v>261.78000000000003</v>
      </c>
      <c r="J23" s="465">
        <f t="shared" si="7"/>
        <v>1</v>
      </c>
      <c r="K23" s="374">
        <f t="shared" si="0"/>
        <v>0.99938917309307485</v>
      </c>
      <c r="L23" s="373">
        <v>3.5</v>
      </c>
      <c r="M23" s="374">
        <f t="shared" si="1"/>
        <v>1.3361838588989846E-2</v>
      </c>
      <c r="N23" s="373">
        <v>896</v>
      </c>
      <c r="O23" s="374">
        <f t="shared" si="2"/>
        <v>1.0127510116820646</v>
      </c>
      <c r="P23" s="375">
        <v>2992.64</v>
      </c>
      <c r="Q23" s="373">
        <v>0</v>
      </c>
      <c r="R23" s="374">
        <f t="shared" si="3"/>
        <v>0</v>
      </c>
      <c r="S23" s="385">
        <f t="shared" si="8"/>
        <v>0</v>
      </c>
      <c r="T23" s="376">
        <f t="shared" si="4"/>
        <v>3.3400000000000318</v>
      </c>
      <c r="U23" s="374">
        <f t="shared" si="5"/>
        <v>1.2751011682064717E-2</v>
      </c>
      <c r="V23" s="378" t="s">
        <v>174</v>
      </c>
      <c r="W23" s="378" t="s">
        <v>436</v>
      </c>
      <c r="X23" s="379" t="s">
        <v>512</v>
      </c>
      <c r="Y23" s="379" t="s">
        <v>573</v>
      </c>
      <c r="Z23" s="379">
        <v>1</v>
      </c>
      <c r="AA23" s="380" t="s">
        <v>599</v>
      </c>
    </row>
    <row r="24" spans="2:36" s="148" customFormat="1" ht="27" customHeight="1">
      <c r="B24" s="892"/>
      <c r="C24" s="893"/>
      <c r="D24" s="368">
        <v>18</v>
      </c>
      <c r="E24" s="371" t="s">
        <v>648</v>
      </c>
      <c r="F24" s="372">
        <v>2719.9269000000008</v>
      </c>
      <c r="G24" s="373">
        <v>1866.6200000000001</v>
      </c>
      <c r="H24" s="373">
        <v>1833.66</v>
      </c>
      <c r="I24" s="373">
        <v>1833.66</v>
      </c>
      <c r="J24" s="465">
        <f t="shared" si="7"/>
        <v>1</v>
      </c>
      <c r="K24" s="374">
        <f t="shared" si="0"/>
        <v>0.98234241570324976</v>
      </c>
      <c r="L24" s="373">
        <v>80.319999999999993</v>
      </c>
      <c r="M24" s="374">
        <f t="shared" si="1"/>
        <v>4.3029647169750669E-2</v>
      </c>
      <c r="N24" s="373">
        <v>66.13</v>
      </c>
      <c r="O24" s="374">
        <f t="shared" si="2"/>
        <v>1.0253720628730003</v>
      </c>
      <c r="P24" s="375">
        <v>3131.9168000000009</v>
      </c>
      <c r="Q24" s="373">
        <v>6.23</v>
      </c>
      <c r="R24" s="374">
        <f t="shared" si="3"/>
        <v>3.3375834395859899E-3</v>
      </c>
      <c r="S24" s="385">
        <f t="shared" si="8"/>
        <v>411.98989999999998</v>
      </c>
      <c r="T24" s="376">
        <f t="shared" si="4"/>
        <v>41.129999999999896</v>
      </c>
      <c r="U24" s="374">
        <f t="shared" si="5"/>
        <v>2.2034479433414349E-2</v>
      </c>
      <c r="V24" s="378" t="s">
        <v>174</v>
      </c>
      <c r="W24" s="378" t="s">
        <v>436</v>
      </c>
      <c r="X24" s="379" t="s">
        <v>505</v>
      </c>
      <c r="Y24" s="379" t="s">
        <v>499</v>
      </c>
      <c r="Z24" s="379">
        <v>1</v>
      </c>
      <c r="AA24" s="380" t="s">
        <v>343</v>
      </c>
    </row>
    <row r="25" spans="2:36" s="148" customFormat="1" ht="27" customHeight="1">
      <c r="B25" s="892"/>
      <c r="C25" s="893"/>
      <c r="D25" s="368">
        <v>19</v>
      </c>
      <c r="E25" s="371" t="s">
        <v>434</v>
      </c>
      <c r="F25" s="372">
        <v>2663.8826999999937</v>
      </c>
      <c r="G25" s="373">
        <v>1205.52</v>
      </c>
      <c r="H25" s="373">
        <v>1168.29</v>
      </c>
      <c r="I25" s="373">
        <v>1168.29</v>
      </c>
      <c r="J25" s="465">
        <f t="shared" si="7"/>
        <v>1</v>
      </c>
      <c r="K25" s="374">
        <f t="shared" si="0"/>
        <v>0.96911706151702171</v>
      </c>
      <c r="L25" s="373">
        <v>70.800000000000011</v>
      </c>
      <c r="M25" s="374">
        <f t="shared" si="1"/>
        <v>5.8729842723472037E-2</v>
      </c>
      <c r="N25" s="373">
        <v>99.51</v>
      </c>
      <c r="O25" s="374">
        <f t="shared" si="2"/>
        <v>1.0278469042404936</v>
      </c>
      <c r="P25" s="375">
        <v>3340.5506999999934</v>
      </c>
      <c r="Q25" s="373">
        <v>6.8</v>
      </c>
      <c r="R25" s="374">
        <f t="shared" si="3"/>
        <v>5.6407193576216074E-3</v>
      </c>
      <c r="S25" s="385">
        <f t="shared" si="8"/>
        <v>676.66800000000001</v>
      </c>
      <c r="T25" s="376">
        <f t="shared" si="4"/>
        <v>26.769999999999936</v>
      </c>
      <c r="U25" s="374">
        <f t="shared" si="5"/>
        <v>2.2206184882872067E-2</v>
      </c>
      <c r="V25" s="378" t="s">
        <v>174</v>
      </c>
      <c r="W25" s="378" t="s">
        <v>436</v>
      </c>
      <c r="X25" s="379" t="s">
        <v>505</v>
      </c>
      <c r="Y25" s="379" t="s">
        <v>499</v>
      </c>
      <c r="Z25" s="379">
        <v>1</v>
      </c>
      <c r="AA25" s="380" t="s">
        <v>351</v>
      </c>
      <c r="AD25" s="384"/>
      <c r="AE25" s="383"/>
    </row>
    <row r="26" spans="2:36" s="148" customFormat="1" ht="27" customHeight="1">
      <c r="B26" s="894"/>
      <c r="C26" s="895"/>
      <c r="D26" s="368">
        <v>20</v>
      </c>
      <c r="E26" s="371" t="s">
        <v>495</v>
      </c>
      <c r="F26" s="372">
        <v>2550.9180000000006</v>
      </c>
      <c r="G26" s="373">
        <v>1450.77</v>
      </c>
      <c r="H26" s="373">
        <v>1417.26</v>
      </c>
      <c r="I26" s="373">
        <v>1417.26</v>
      </c>
      <c r="J26" s="465">
        <f t="shared" si="7"/>
        <v>1</v>
      </c>
      <c r="K26" s="374">
        <f t="shared" si="0"/>
        <v>0.97690192104882234</v>
      </c>
      <c r="L26" s="373">
        <v>74.150000000000006</v>
      </c>
      <c r="M26" s="374">
        <f t="shared" si="1"/>
        <v>5.1110789442847596E-2</v>
      </c>
      <c r="N26" s="373">
        <v>84.3</v>
      </c>
      <c r="O26" s="374">
        <f t="shared" si="2"/>
        <v>1.0280127104916701</v>
      </c>
      <c r="P26" s="375">
        <v>3425.9520000000011</v>
      </c>
      <c r="Q26" s="373">
        <v>10.38</v>
      </c>
      <c r="R26" s="374">
        <f t="shared" si="3"/>
        <v>7.1548212328625491E-3</v>
      </c>
      <c r="S26" s="385">
        <f t="shared" si="8"/>
        <v>875.03399999999999</v>
      </c>
      <c r="T26" s="376">
        <f t="shared" si="4"/>
        <v>30.260000000000097</v>
      </c>
      <c r="U26" s="374">
        <f t="shared" si="5"/>
        <v>2.0857889258807459E-2</v>
      </c>
      <c r="V26" s="378" t="s">
        <v>174</v>
      </c>
      <c r="W26" s="378" t="s">
        <v>436</v>
      </c>
      <c r="X26" s="379" t="s">
        <v>505</v>
      </c>
      <c r="Y26" s="379" t="s">
        <v>499</v>
      </c>
      <c r="Z26" s="379">
        <v>1</v>
      </c>
      <c r="AA26" s="380" t="s">
        <v>493</v>
      </c>
      <c r="AD26" s="384"/>
      <c r="AE26" s="383"/>
    </row>
    <row r="27" spans="2:36" ht="17.100000000000001" customHeight="1">
      <c r="B27" s="856" t="s">
        <v>453</v>
      </c>
      <c r="C27" s="857"/>
      <c r="D27" s="867" t="s">
        <v>661</v>
      </c>
      <c r="E27" s="900" t="s">
        <v>662</v>
      </c>
      <c r="F27" s="903" t="s">
        <v>702</v>
      </c>
      <c r="G27" s="870" t="s">
        <v>664</v>
      </c>
      <c r="H27" s="901" t="s">
        <v>665</v>
      </c>
      <c r="I27" s="868" t="s">
        <v>666</v>
      </c>
      <c r="J27" s="869"/>
      <c r="K27" s="868" t="s">
        <v>667</v>
      </c>
      <c r="L27" s="869"/>
      <c r="M27" s="868" t="s">
        <v>668</v>
      </c>
      <c r="N27" s="869"/>
      <c r="O27" s="868" t="s">
        <v>669</v>
      </c>
      <c r="P27" s="869"/>
      <c r="Q27" s="868" t="s">
        <v>424</v>
      </c>
      <c r="R27" s="902"/>
      <c r="S27" s="869"/>
      <c r="T27" s="872" t="s">
        <v>425</v>
      </c>
      <c r="U27" s="873"/>
      <c r="V27" s="864" t="s">
        <v>171</v>
      </c>
      <c r="W27" s="864" t="s">
        <v>245</v>
      </c>
      <c r="X27" s="864" t="s">
        <v>670</v>
      </c>
      <c r="Y27" s="864" t="s">
        <v>455</v>
      </c>
      <c r="Z27" s="864" t="s">
        <v>246</v>
      </c>
      <c r="AA27" s="870" t="s">
        <v>172</v>
      </c>
      <c r="AC27" s="875" t="s">
        <v>247</v>
      </c>
      <c r="AD27" s="876"/>
      <c r="AE27" s="876"/>
      <c r="AF27" s="876"/>
      <c r="AG27" s="876"/>
      <c r="AH27" s="876"/>
      <c r="AI27" s="876"/>
      <c r="AJ27" s="877"/>
    </row>
    <row r="28" spans="2:36" ht="16.5" customHeight="1">
      <c r="B28" s="858"/>
      <c r="C28" s="859"/>
      <c r="D28" s="867"/>
      <c r="E28" s="867"/>
      <c r="F28" s="886"/>
      <c r="G28" s="871"/>
      <c r="H28" s="871"/>
      <c r="I28" s="459" t="s">
        <v>671</v>
      </c>
      <c r="J28" s="369" t="s">
        <v>672</v>
      </c>
      <c r="K28" s="459" t="s">
        <v>671</v>
      </c>
      <c r="L28" s="369" t="s">
        <v>672</v>
      </c>
      <c r="M28" s="459" t="s">
        <v>671</v>
      </c>
      <c r="N28" s="369" t="s">
        <v>672</v>
      </c>
      <c r="O28" s="459" t="s">
        <v>671</v>
      </c>
      <c r="P28" s="369" t="s">
        <v>672</v>
      </c>
      <c r="Q28" s="459" t="s">
        <v>671</v>
      </c>
      <c r="R28" s="369" t="s">
        <v>672</v>
      </c>
      <c r="S28" s="369" t="s">
        <v>673</v>
      </c>
      <c r="T28" s="459" t="s">
        <v>671</v>
      </c>
      <c r="U28" s="369" t="s">
        <v>672</v>
      </c>
      <c r="V28" s="866"/>
      <c r="W28" s="866"/>
      <c r="X28" s="866"/>
      <c r="Y28" s="866"/>
      <c r="Z28" s="866"/>
      <c r="AA28" s="871"/>
      <c r="AC28" s="878"/>
      <c r="AD28" s="879"/>
      <c r="AE28" s="879"/>
      <c r="AF28" s="879"/>
      <c r="AG28" s="879"/>
      <c r="AH28" s="879"/>
      <c r="AI28" s="879"/>
      <c r="AJ28" s="880"/>
    </row>
    <row r="29" spans="2:36" s="148" customFormat="1" ht="27" customHeight="1">
      <c r="B29" s="890" t="s">
        <v>565</v>
      </c>
      <c r="C29" s="891"/>
      <c r="D29" s="368">
        <v>1</v>
      </c>
      <c r="E29" s="461" t="s">
        <v>337</v>
      </c>
      <c r="F29" s="372">
        <f>IFERROR(T29*G29,"-")</f>
        <v>19174.745799999928</v>
      </c>
      <c r="G29" s="376">
        <v>147.43000000000004</v>
      </c>
      <c r="H29" s="463">
        <v>5097.04</v>
      </c>
      <c r="I29" s="463">
        <v>5097.04</v>
      </c>
      <c r="J29" s="465">
        <f>IFERROR(I29/H29,"-")</f>
        <v>1</v>
      </c>
      <c r="K29" s="464">
        <v>5060.28</v>
      </c>
      <c r="L29" s="465">
        <f>IFERROR(K29/H29,"-")</f>
        <v>0.99278797105771188</v>
      </c>
      <c r="M29" s="464">
        <v>166.82</v>
      </c>
      <c r="N29" s="465">
        <f>IFERROR(M29/H29,"-")</f>
        <v>3.272879946007879E-2</v>
      </c>
      <c r="O29" s="466">
        <f>IFERROR(K29+M29,"-")</f>
        <v>5227.0999999999995</v>
      </c>
      <c r="P29" s="465">
        <f>IFERROR(O29/H29,"-")</f>
        <v>1.0255167705177906</v>
      </c>
      <c r="Q29" s="463">
        <v>0</v>
      </c>
      <c r="R29" s="465">
        <f>IFERROR(Q29/H29,"-")</f>
        <v>0</v>
      </c>
      <c r="S29" s="495">
        <f>IFERROR(Q29*G29,"-")</f>
        <v>0</v>
      </c>
      <c r="T29" s="466">
        <f>IFERROR(O29-H29,"-")</f>
        <v>130.05999999999949</v>
      </c>
      <c r="U29" s="465">
        <f>IFERROR(T29/H29,"-")</f>
        <v>2.5516770517790617E-2</v>
      </c>
      <c r="V29" s="378" t="s">
        <v>174</v>
      </c>
      <c r="W29" s="378" t="s">
        <v>215</v>
      </c>
      <c r="X29" s="379" t="s">
        <v>504</v>
      </c>
      <c r="Y29" s="379" t="s">
        <v>571</v>
      </c>
      <c r="Z29" s="379">
        <v>1</v>
      </c>
      <c r="AA29" s="467" t="s">
        <v>342</v>
      </c>
      <c r="AC29" s="881"/>
      <c r="AD29" s="882"/>
      <c r="AE29" s="882"/>
      <c r="AF29" s="882"/>
      <c r="AG29" s="882"/>
      <c r="AH29" s="882"/>
      <c r="AI29" s="882"/>
      <c r="AJ29" s="883"/>
    </row>
    <row r="30" spans="2:36" s="148" customFormat="1" ht="27" customHeight="1">
      <c r="B30" s="892"/>
      <c r="C30" s="893"/>
      <c r="D30" s="368">
        <v>2</v>
      </c>
      <c r="E30" s="461" t="s">
        <v>591</v>
      </c>
      <c r="F30" s="372">
        <f t="shared" ref="F30:F48" si="11">IFERROR(T30*G30,"-")</f>
        <v>10239.824400000107</v>
      </c>
      <c r="G30" s="376">
        <v>39.389999999999993</v>
      </c>
      <c r="H30" s="463">
        <v>25015.949999999997</v>
      </c>
      <c r="I30" s="463">
        <v>25015.949999999997</v>
      </c>
      <c r="J30" s="465">
        <f t="shared" ref="J30:J48" si="12">IFERROR(I30/H30,"-")</f>
        <v>1</v>
      </c>
      <c r="K30" s="464">
        <v>24863.21</v>
      </c>
      <c r="L30" s="465">
        <f t="shared" ref="L30:L48" si="13">IFERROR(K30/H30,"-")</f>
        <v>0.99389429543950969</v>
      </c>
      <c r="M30" s="464">
        <v>412.7</v>
      </c>
      <c r="N30" s="465">
        <f t="shared" ref="N30:N48" si="14">IFERROR(M30/H30,"-")</f>
        <v>1.6497474611198056E-2</v>
      </c>
      <c r="O30" s="466">
        <f t="shared" ref="O30:O48" si="15">IFERROR(K30+M30,"-")</f>
        <v>25275.91</v>
      </c>
      <c r="P30" s="465">
        <f t="shared" ref="P30:P48" si="16">IFERROR(O30/H30,"-")</f>
        <v>1.0103917700507077</v>
      </c>
      <c r="Q30" s="463">
        <v>0</v>
      </c>
      <c r="R30" s="465">
        <f t="shared" ref="R30:R48" si="17">IFERROR(Q30/H30,"-")</f>
        <v>0</v>
      </c>
      <c r="S30" s="495">
        <f t="shared" ref="S30:S48" si="18">IFERROR(Q30*G30,"-")</f>
        <v>0</v>
      </c>
      <c r="T30" s="466">
        <f t="shared" ref="T30:T48" si="19">IFERROR(O30-H30,"-")</f>
        <v>259.96000000000276</v>
      </c>
      <c r="U30" s="465">
        <f t="shared" ref="U30:U48" si="20">IFERROR(T30/H30,"-")</f>
        <v>1.0391770050707761E-2</v>
      </c>
      <c r="V30" s="378" t="s">
        <v>174</v>
      </c>
      <c r="W30" s="378" t="s">
        <v>216</v>
      </c>
      <c r="X30" s="379" t="s">
        <v>612</v>
      </c>
      <c r="Y30" s="379" t="s">
        <v>731</v>
      </c>
      <c r="Z30" s="379">
        <v>1</v>
      </c>
      <c r="AA30" s="467" t="s">
        <v>342</v>
      </c>
      <c r="AC30" s="161" t="s">
        <v>244</v>
      </c>
      <c r="AD30" s="161" t="s">
        <v>456</v>
      </c>
      <c r="AE30" s="156" t="s">
        <v>674</v>
      </c>
      <c r="AF30" s="156" t="s">
        <v>339</v>
      </c>
      <c r="AG30" s="156" t="s">
        <v>436</v>
      </c>
      <c r="AH30" s="156" t="s">
        <v>215</v>
      </c>
      <c r="AI30" s="156" t="s">
        <v>216</v>
      </c>
      <c r="AJ30" s="156" t="s">
        <v>390</v>
      </c>
    </row>
    <row r="31" spans="2:36" s="148" customFormat="1" ht="27" customHeight="1">
      <c r="B31" s="892"/>
      <c r="C31" s="893"/>
      <c r="D31" s="368">
        <v>3</v>
      </c>
      <c r="E31" s="461" t="s">
        <v>427</v>
      </c>
      <c r="F31" s="372">
        <f t="shared" si="11"/>
        <v>6452.1469000000197</v>
      </c>
      <c r="G31" s="376">
        <v>157.87000000000003</v>
      </c>
      <c r="H31" s="463">
        <v>1844.4299999999998</v>
      </c>
      <c r="I31" s="463">
        <v>1844.4299999999998</v>
      </c>
      <c r="J31" s="465">
        <f t="shared" si="12"/>
        <v>1</v>
      </c>
      <c r="K31" s="464">
        <v>1848.1399999999999</v>
      </c>
      <c r="L31" s="465">
        <f t="shared" si="13"/>
        <v>1.0020114615355422</v>
      </c>
      <c r="M31" s="464">
        <v>37.159999999999997</v>
      </c>
      <c r="N31" s="465">
        <f t="shared" si="14"/>
        <v>2.0147145730659337E-2</v>
      </c>
      <c r="O31" s="466">
        <f t="shared" si="15"/>
        <v>1885.3</v>
      </c>
      <c r="P31" s="465">
        <f t="shared" si="16"/>
        <v>1.0221586072662014</v>
      </c>
      <c r="Q31" s="463">
        <v>2.91</v>
      </c>
      <c r="R31" s="465">
        <f t="shared" si="17"/>
        <v>1.5777231990371011E-3</v>
      </c>
      <c r="S31" s="495">
        <f t="shared" si="18"/>
        <v>459.40170000000012</v>
      </c>
      <c r="T31" s="466">
        <f t="shared" si="19"/>
        <v>40.870000000000118</v>
      </c>
      <c r="U31" s="465">
        <f t="shared" si="20"/>
        <v>2.2158607266201547E-2</v>
      </c>
      <c r="V31" s="378" t="s">
        <v>174</v>
      </c>
      <c r="W31" s="378" t="s">
        <v>436</v>
      </c>
      <c r="X31" s="379" t="s">
        <v>610</v>
      </c>
      <c r="Y31" s="379" t="s">
        <v>611</v>
      </c>
      <c r="Z31" s="379">
        <v>1</v>
      </c>
      <c r="AA31" s="467" t="s">
        <v>342</v>
      </c>
      <c r="AC31" s="388">
        <f>SUM(Z29:Z48)</f>
        <v>20</v>
      </c>
      <c r="AD31" s="382">
        <f>SUMIF($W$29:$W$48,TRIM(AD30),$Z$29:$Z$48)</f>
        <v>0</v>
      </c>
      <c r="AE31" s="382">
        <f t="shared" ref="AE31:AJ31" si="21">SUMIF($W$29:$W$48,TRIM(AE30),$Z$29:$Z$48)</f>
        <v>0</v>
      </c>
      <c r="AF31" s="382">
        <f t="shared" si="21"/>
        <v>0</v>
      </c>
      <c r="AG31" s="382">
        <f t="shared" si="21"/>
        <v>15</v>
      </c>
      <c r="AH31" s="382">
        <f t="shared" si="21"/>
        <v>2</v>
      </c>
      <c r="AI31" s="382">
        <f t="shared" si="21"/>
        <v>3</v>
      </c>
      <c r="AJ31" s="382">
        <f t="shared" si="21"/>
        <v>0</v>
      </c>
    </row>
    <row r="32" spans="2:36" s="148" customFormat="1" ht="27" customHeight="1">
      <c r="B32" s="892"/>
      <c r="C32" s="893"/>
      <c r="D32" s="368">
        <v>4</v>
      </c>
      <c r="E32" s="461" t="s">
        <v>496</v>
      </c>
      <c r="F32" s="372">
        <f t="shared" si="11"/>
        <v>6380.4582999999793</v>
      </c>
      <c r="G32" s="376">
        <v>118.30999999999997</v>
      </c>
      <c r="H32" s="463">
        <v>1004.01</v>
      </c>
      <c r="I32" s="463">
        <v>1004.01</v>
      </c>
      <c r="J32" s="465">
        <f t="shared" si="12"/>
        <v>1</v>
      </c>
      <c r="K32" s="464">
        <v>973.08999999999992</v>
      </c>
      <c r="L32" s="465">
        <f t="shared" si="13"/>
        <v>0.96920349398910366</v>
      </c>
      <c r="M32" s="464">
        <v>84.85</v>
      </c>
      <c r="N32" s="465">
        <f t="shared" si="14"/>
        <v>8.4511110447107102E-2</v>
      </c>
      <c r="O32" s="466">
        <f t="shared" si="15"/>
        <v>1057.9399999999998</v>
      </c>
      <c r="P32" s="465">
        <f t="shared" si="16"/>
        <v>1.0537146044362107</v>
      </c>
      <c r="Q32" s="463">
        <v>1.23</v>
      </c>
      <c r="R32" s="465">
        <f t="shared" si="17"/>
        <v>1.2250873995278931E-3</v>
      </c>
      <c r="S32" s="495">
        <f t="shared" si="18"/>
        <v>145.52129999999997</v>
      </c>
      <c r="T32" s="466">
        <f t="shared" si="19"/>
        <v>53.929999999999836</v>
      </c>
      <c r="U32" s="465">
        <f t="shared" si="20"/>
        <v>5.3714604436210629E-2</v>
      </c>
      <c r="V32" s="378" t="s">
        <v>174</v>
      </c>
      <c r="W32" s="378" t="s">
        <v>436</v>
      </c>
      <c r="X32" s="379" t="s">
        <v>610</v>
      </c>
      <c r="Y32" s="379" t="s">
        <v>611</v>
      </c>
      <c r="Z32" s="379">
        <v>1</v>
      </c>
      <c r="AA32" s="467" t="s">
        <v>492</v>
      </c>
      <c r="AC32" s="389"/>
      <c r="AD32" s="386">
        <f>SUMIF($W$29:$W$48,TRIM(AD30),$F$29:$F$48)</f>
        <v>0</v>
      </c>
      <c r="AE32" s="386">
        <f t="shared" ref="AE32:AJ32" si="22">SUMIF($W$29:$W$48,TRIM(AE30),$F$29:$F$48)</f>
        <v>0</v>
      </c>
      <c r="AF32" s="386">
        <f t="shared" si="22"/>
        <v>0</v>
      </c>
      <c r="AG32" s="386">
        <f t="shared" si="22"/>
        <v>63568.978299999799</v>
      </c>
      <c r="AH32" s="386">
        <f t="shared" si="22"/>
        <v>22091.945799999929</v>
      </c>
      <c r="AI32" s="386">
        <f t="shared" si="22"/>
        <v>18279.149400000002</v>
      </c>
      <c r="AJ32" s="386">
        <f t="shared" si="22"/>
        <v>0</v>
      </c>
    </row>
    <row r="33" spans="2:36" s="148" customFormat="1" ht="27" customHeight="1">
      <c r="B33" s="892"/>
      <c r="C33" s="893"/>
      <c r="D33" s="368">
        <v>5</v>
      </c>
      <c r="E33" s="461" t="s">
        <v>596</v>
      </c>
      <c r="F33" s="372">
        <f t="shared" si="11"/>
        <v>6249.3803999999882</v>
      </c>
      <c r="G33" s="376">
        <v>97.83</v>
      </c>
      <c r="H33" s="463">
        <v>1404.52</v>
      </c>
      <c r="I33" s="463">
        <v>1404.52</v>
      </c>
      <c r="J33" s="465">
        <f t="shared" si="12"/>
        <v>1</v>
      </c>
      <c r="K33" s="464">
        <v>1374.6399999999999</v>
      </c>
      <c r="L33" s="465">
        <f t="shared" si="13"/>
        <v>0.97872582804089647</v>
      </c>
      <c r="M33" s="464">
        <v>93.76</v>
      </c>
      <c r="N33" s="465">
        <f t="shared" si="14"/>
        <v>6.6755902372340734E-2</v>
      </c>
      <c r="O33" s="466">
        <f t="shared" si="15"/>
        <v>1468.3999999999999</v>
      </c>
      <c r="P33" s="465">
        <f t="shared" si="16"/>
        <v>1.0454817304132371</v>
      </c>
      <c r="Q33" s="463">
        <v>0</v>
      </c>
      <c r="R33" s="465">
        <f t="shared" si="17"/>
        <v>0</v>
      </c>
      <c r="S33" s="495">
        <f t="shared" si="18"/>
        <v>0</v>
      </c>
      <c r="T33" s="466">
        <f t="shared" si="19"/>
        <v>63.879999999999882</v>
      </c>
      <c r="U33" s="465">
        <f t="shared" si="20"/>
        <v>4.5481730413237179E-2</v>
      </c>
      <c r="V33" s="378" t="s">
        <v>174</v>
      </c>
      <c r="W33" s="378" t="s">
        <v>436</v>
      </c>
      <c r="X33" s="379" t="s">
        <v>610</v>
      </c>
      <c r="Y33" s="379" t="s">
        <v>611</v>
      </c>
      <c r="Z33" s="379">
        <v>1</v>
      </c>
      <c r="AA33" s="467" t="s">
        <v>585</v>
      </c>
      <c r="AC33" s="368"/>
      <c r="AD33" s="387">
        <f t="shared" ref="AD33:AJ33" si="23">AD31/$AC31</f>
        <v>0</v>
      </c>
      <c r="AE33" s="387">
        <f t="shared" si="23"/>
        <v>0</v>
      </c>
      <c r="AF33" s="387">
        <f t="shared" si="23"/>
        <v>0</v>
      </c>
      <c r="AG33" s="387">
        <f t="shared" si="23"/>
        <v>0.75</v>
      </c>
      <c r="AH33" s="387">
        <f t="shared" si="23"/>
        <v>0.1</v>
      </c>
      <c r="AI33" s="387">
        <f t="shared" si="23"/>
        <v>0.15</v>
      </c>
      <c r="AJ33" s="387">
        <f t="shared" si="23"/>
        <v>0</v>
      </c>
    </row>
    <row r="34" spans="2:36" s="148" customFormat="1" ht="27" customHeight="1">
      <c r="B34" s="892"/>
      <c r="C34" s="893"/>
      <c r="D34" s="368">
        <v>6</v>
      </c>
      <c r="E34" s="461" t="s">
        <v>392</v>
      </c>
      <c r="F34" s="372">
        <f t="shared" si="11"/>
        <v>6091.5759999998381</v>
      </c>
      <c r="G34" s="376">
        <v>127.84000000000002</v>
      </c>
      <c r="H34" s="463">
        <v>4464.51</v>
      </c>
      <c r="I34" s="463">
        <v>4464.51</v>
      </c>
      <c r="J34" s="465">
        <f t="shared" si="12"/>
        <v>1</v>
      </c>
      <c r="K34" s="464">
        <v>4376.2999999999993</v>
      </c>
      <c r="L34" s="465">
        <f t="shared" si="13"/>
        <v>0.98024195264429892</v>
      </c>
      <c r="M34" s="464">
        <v>135.85999999999999</v>
      </c>
      <c r="N34" s="465">
        <f t="shared" si="14"/>
        <v>3.0431111140976273E-2</v>
      </c>
      <c r="O34" s="466">
        <f t="shared" si="15"/>
        <v>4512.1599999999989</v>
      </c>
      <c r="P34" s="465">
        <f t="shared" si="16"/>
        <v>1.0106730637852752</v>
      </c>
      <c r="Q34" s="463">
        <v>5.5599999999999987</v>
      </c>
      <c r="R34" s="465">
        <f t="shared" si="17"/>
        <v>1.2453774322378041E-3</v>
      </c>
      <c r="S34" s="495">
        <f t="shared" si="18"/>
        <v>710.79039999999998</v>
      </c>
      <c r="T34" s="466">
        <f t="shared" si="19"/>
        <v>47.649999999998727</v>
      </c>
      <c r="U34" s="465">
        <f t="shared" si="20"/>
        <v>1.0673063785275142E-2</v>
      </c>
      <c r="V34" s="378" t="s">
        <v>174</v>
      </c>
      <c r="W34" s="378" t="s">
        <v>436</v>
      </c>
      <c r="X34" s="379" t="s">
        <v>720</v>
      </c>
      <c r="Y34" s="379" t="s">
        <v>721</v>
      </c>
      <c r="Z34" s="379">
        <v>1</v>
      </c>
      <c r="AA34" s="467" t="s">
        <v>342</v>
      </c>
    </row>
    <row r="35" spans="2:36" s="148" customFormat="1" ht="27" customHeight="1">
      <c r="B35" s="892"/>
      <c r="C35" s="893"/>
      <c r="D35" s="368">
        <v>7</v>
      </c>
      <c r="E35" s="461" t="s">
        <v>476</v>
      </c>
      <c r="F35" s="372">
        <f t="shared" si="11"/>
        <v>4937.7313999999596</v>
      </c>
      <c r="G35" s="376">
        <v>407.74000000000007</v>
      </c>
      <c r="H35" s="463">
        <v>1225.43</v>
      </c>
      <c r="I35" s="463">
        <v>1225.43</v>
      </c>
      <c r="J35" s="465">
        <f t="shared" si="12"/>
        <v>1</v>
      </c>
      <c r="K35" s="464">
        <v>1209.3499999999999</v>
      </c>
      <c r="L35" s="465">
        <f t="shared" si="13"/>
        <v>0.98687807545106598</v>
      </c>
      <c r="M35" s="464">
        <v>28.19</v>
      </c>
      <c r="N35" s="465">
        <f t="shared" si="14"/>
        <v>2.3004169964828673E-2</v>
      </c>
      <c r="O35" s="466">
        <f t="shared" si="15"/>
        <v>1237.54</v>
      </c>
      <c r="P35" s="465">
        <f t="shared" si="16"/>
        <v>1.0098822454158947</v>
      </c>
      <c r="Q35" s="463">
        <v>0.7</v>
      </c>
      <c r="R35" s="465">
        <f t="shared" si="17"/>
        <v>5.7122805872224442E-4</v>
      </c>
      <c r="S35" s="495">
        <f t="shared" si="18"/>
        <v>285.41800000000001</v>
      </c>
      <c r="T35" s="466">
        <f t="shared" si="19"/>
        <v>12.1099999999999</v>
      </c>
      <c r="U35" s="465">
        <f t="shared" si="20"/>
        <v>9.882245415894747E-3</v>
      </c>
      <c r="V35" s="378" t="s">
        <v>174</v>
      </c>
      <c r="W35" s="378" t="s">
        <v>216</v>
      </c>
      <c r="X35" s="379" t="s">
        <v>506</v>
      </c>
      <c r="Y35" s="379" t="s">
        <v>511</v>
      </c>
      <c r="Z35" s="379">
        <v>1</v>
      </c>
      <c r="AA35" s="467" t="s">
        <v>478</v>
      </c>
    </row>
    <row r="36" spans="2:36" s="148" customFormat="1" ht="27" customHeight="1">
      <c r="B36" s="892"/>
      <c r="C36" s="893"/>
      <c r="D36" s="368">
        <v>8</v>
      </c>
      <c r="E36" s="461" t="s">
        <v>480</v>
      </c>
      <c r="F36" s="372">
        <f t="shared" si="11"/>
        <v>4201.7200000000039</v>
      </c>
      <c r="G36" s="376">
        <v>629</v>
      </c>
      <c r="H36" s="463">
        <v>159.70999999999998</v>
      </c>
      <c r="I36" s="463">
        <v>159.70999999999998</v>
      </c>
      <c r="J36" s="465">
        <f t="shared" si="12"/>
        <v>1</v>
      </c>
      <c r="K36" s="464">
        <v>153.44</v>
      </c>
      <c r="L36" s="465">
        <f t="shared" si="13"/>
        <v>0.96074134368542996</v>
      </c>
      <c r="M36" s="464">
        <v>12.950000000000001</v>
      </c>
      <c r="N36" s="465">
        <f t="shared" si="14"/>
        <v>8.1084465593888946E-2</v>
      </c>
      <c r="O36" s="466">
        <f t="shared" si="15"/>
        <v>166.39</v>
      </c>
      <c r="P36" s="465">
        <f t="shared" si="16"/>
        <v>1.0418258092793189</v>
      </c>
      <c r="Q36" s="463">
        <v>0.94</v>
      </c>
      <c r="R36" s="465">
        <f t="shared" si="17"/>
        <v>5.8856677728382698E-3</v>
      </c>
      <c r="S36" s="495">
        <f t="shared" si="18"/>
        <v>591.26</v>
      </c>
      <c r="T36" s="466">
        <f t="shared" si="19"/>
        <v>6.6800000000000068</v>
      </c>
      <c r="U36" s="465">
        <f t="shared" si="20"/>
        <v>4.1825809279318817E-2</v>
      </c>
      <c r="V36" s="378" t="s">
        <v>174</v>
      </c>
      <c r="W36" s="378" t="s">
        <v>436</v>
      </c>
      <c r="X36" s="379" t="s">
        <v>512</v>
      </c>
      <c r="Y36" s="379" t="s">
        <v>655</v>
      </c>
      <c r="Z36" s="379">
        <v>1</v>
      </c>
      <c r="AA36" s="467" t="s">
        <v>473</v>
      </c>
    </row>
    <row r="37" spans="2:36" s="148" customFormat="1" ht="27" customHeight="1">
      <c r="B37" s="892"/>
      <c r="C37" s="893"/>
      <c r="D37" s="368">
        <v>9</v>
      </c>
      <c r="E37" s="461" t="s">
        <v>595</v>
      </c>
      <c r="F37" s="372">
        <f t="shared" si="11"/>
        <v>3956.0703000000594</v>
      </c>
      <c r="G37" s="376">
        <v>193.82999999999998</v>
      </c>
      <c r="H37" s="463">
        <v>2413.52</v>
      </c>
      <c r="I37" s="463">
        <v>2413.52</v>
      </c>
      <c r="J37" s="465">
        <f t="shared" si="12"/>
        <v>1</v>
      </c>
      <c r="K37" s="464">
        <v>2422.9300000000003</v>
      </c>
      <c r="L37" s="465">
        <f t="shared" si="13"/>
        <v>1.0038988697006863</v>
      </c>
      <c r="M37" s="464">
        <v>11</v>
      </c>
      <c r="N37" s="465">
        <f t="shared" si="14"/>
        <v>4.5576585236501042E-3</v>
      </c>
      <c r="O37" s="466">
        <f t="shared" si="15"/>
        <v>2433.9300000000003</v>
      </c>
      <c r="P37" s="465">
        <f t="shared" si="16"/>
        <v>1.0084565282243363</v>
      </c>
      <c r="Q37" s="463">
        <v>3.12</v>
      </c>
      <c r="R37" s="465">
        <f t="shared" si="17"/>
        <v>1.2927176903443933E-3</v>
      </c>
      <c r="S37" s="495">
        <f t="shared" si="18"/>
        <v>604.74959999999999</v>
      </c>
      <c r="T37" s="466">
        <f t="shared" si="19"/>
        <v>20.410000000000309</v>
      </c>
      <c r="U37" s="465">
        <f t="shared" si="20"/>
        <v>8.4565282243363668E-3</v>
      </c>
      <c r="V37" s="378" t="s">
        <v>174</v>
      </c>
      <c r="W37" s="378" t="s">
        <v>436</v>
      </c>
      <c r="X37" s="379" t="s">
        <v>512</v>
      </c>
      <c r="Y37" s="379" t="s">
        <v>573</v>
      </c>
      <c r="Z37" s="379">
        <v>1</v>
      </c>
      <c r="AA37" s="467" t="s">
        <v>600</v>
      </c>
    </row>
    <row r="38" spans="2:36" s="148" customFormat="1" ht="27" customHeight="1">
      <c r="B38" s="892"/>
      <c r="C38" s="893"/>
      <c r="D38" s="368">
        <v>10</v>
      </c>
      <c r="E38" s="461" t="s">
        <v>483</v>
      </c>
      <c r="F38" s="372">
        <f t="shared" si="11"/>
        <v>3826.1120999999985</v>
      </c>
      <c r="G38" s="376">
        <v>191.21</v>
      </c>
      <c r="H38" s="463">
        <v>1239.4100000000001</v>
      </c>
      <c r="I38" s="463">
        <v>1239.4100000000001</v>
      </c>
      <c r="J38" s="465">
        <f t="shared" si="12"/>
        <v>1</v>
      </c>
      <c r="K38" s="464">
        <v>1238.42</v>
      </c>
      <c r="L38" s="465">
        <f t="shared" si="13"/>
        <v>0.99920123284466</v>
      </c>
      <c r="M38" s="464">
        <v>21</v>
      </c>
      <c r="N38" s="465">
        <f t="shared" si="14"/>
        <v>1.6943545719334197E-2</v>
      </c>
      <c r="O38" s="466">
        <f t="shared" si="15"/>
        <v>1259.42</v>
      </c>
      <c r="P38" s="465">
        <f t="shared" si="16"/>
        <v>1.0161447785639941</v>
      </c>
      <c r="Q38" s="463">
        <v>0.72</v>
      </c>
      <c r="R38" s="465">
        <f t="shared" si="17"/>
        <v>5.8092156752002965E-4</v>
      </c>
      <c r="S38" s="495">
        <f t="shared" si="18"/>
        <v>137.6712</v>
      </c>
      <c r="T38" s="466">
        <f t="shared" si="19"/>
        <v>20.009999999999991</v>
      </c>
      <c r="U38" s="465">
        <f t="shared" si="20"/>
        <v>1.6144778563994149E-2</v>
      </c>
      <c r="V38" s="378" t="s">
        <v>174</v>
      </c>
      <c r="W38" s="378" t="s">
        <v>436</v>
      </c>
      <c r="X38" s="379" t="s">
        <v>512</v>
      </c>
      <c r="Y38" s="379" t="s">
        <v>573</v>
      </c>
      <c r="Z38" s="379">
        <v>1</v>
      </c>
      <c r="AA38" s="467" t="s">
        <v>484</v>
      </c>
    </row>
    <row r="39" spans="2:36" s="148" customFormat="1" ht="27" customHeight="1">
      <c r="B39" s="892"/>
      <c r="C39" s="893"/>
      <c r="D39" s="368">
        <v>11</v>
      </c>
      <c r="E39" s="461" t="s">
        <v>362</v>
      </c>
      <c r="F39" s="372">
        <f t="shared" si="11"/>
        <v>3803.474999999979</v>
      </c>
      <c r="G39" s="376">
        <v>152.75</v>
      </c>
      <c r="H39" s="463">
        <v>1195.8399999999999</v>
      </c>
      <c r="I39" s="463">
        <v>1195.8399999999999</v>
      </c>
      <c r="J39" s="465">
        <f t="shared" si="12"/>
        <v>1</v>
      </c>
      <c r="K39" s="464">
        <v>1218.6399999999999</v>
      </c>
      <c r="L39" s="465">
        <f t="shared" si="13"/>
        <v>1.0190660957987689</v>
      </c>
      <c r="M39" s="464">
        <v>2.1</v>
      </c>
      <c r="N39" s="465">
        <f t="shared" si="14"/>
        <v>1.7560877709392564E-3</v>
      </c>
      <c r="O39" s="466">
        <f t="shared" si="15"/>
        <v>1220.7399999999998</v>
      </c>
      <c r="P39" s="465">
        <f t="shared" si="16"/>
        <v>1.0208221835697082</v>
      </c>
      <c r="Q39" s="463">
        <v>1</v>
      </c>
      <c r="R39" s="465">
        <f t="shared" si="17"/>
        <v>8.3623227187583631E-4</v>
      </c>
      <c r="S39" s="495">
        <f t="shared" si="18"/>
        <v>152.75</v>
      </c>
      <c r="T39" s="466">
        <f t="shared" si="19"/>
        <v>24.899999999999864</v>
      </c>
      <c r="U39" s="465">
        <f t="shared" si="20"/>
        <v>2.0822183569708209E-2</v>
      </c>
      <c r="V39" s="378" t="s">
        <v>174</v>
      </c>
      <c r="W39" s="378" t="s">
        <v>436</v>
      </c>
      <c r="X39" s="379" t="s">
        <v>512</v>
      </c>
      <c r="Y39" s="379" t="s">
        <v>573</v>
      </c>
      <c r="Z39" s="379">
        <v>1</v>
      </c>
      <c r="AA39" s="467" t="s">
        <v>364</v>
      </c>
      <c r="AE39" s="383"/>
    </row>
    <row r="40" spans="2:36" s="148" customFormat="1" ht="27" customHeight="1">
      <c r="B40" s="892"/>
      <c r="C40" s="893"/>
      <c r="D40" s="368">
        <v>12</v>
      </c>
      <c r="E40" s="461" t="s">
        <v>498</v>
      </c>
      <c r="F40" s="372">
        <f t="shared" si="11"/>
        <v>3796.9040999999961</v>
      </c>
      <c r="G40" s="376">
        <v>421.40999999999997</v>
      </c>
      <c r="H40" s="463">
        <v>209.57999999999998</v>
      </c>
      <c r="I40" s="463">
        <v>209.57999999999998</v>
      </c>
      <c r="J40" s="465">
        <f t="shared" si="12"/>
        <v>1</v>
      </c>
      <c r="K40" s="464">
        <v>206.26999999999998</v>
      </c>
      <c r="L40" s="465">
        <f t="shared" si="13"/>
        <v>0.98420650825460443</v>
      </c>
      <c r="M40" s="464">
        <v>12.319999999999999</v>
      </c>
      <c r="N40" s="465">
        <f t="shared" si="14"/>
        <v>5.8784235136940546E-2</v>
      </c>
      <c r="O40" s="466">
        <f t="shared" si="15"/>
        <v>218.58999999999997</v>
      </c>
      <c r="P40" s="465">
        <f t="shared" si="16"/>
        <v>1.0429907433915449</v>
      </c>
      <c r="Q40" s="463">
        <v>1.24</v>
      </c>
      <c r="R40" s="465">
        <f t="shared" si="17"/>
        <v>5.9165950949518088E-3</v>
      </c>
      <c r="S40" s="495">
        <f t="shared" si="18"/>
        <v>522.5483999999999</v>
      </c>
      <c r="T40" s="466">
        <f t="shared" si="19"/>
        <v>9.0099999999999909</v>
      </c>
      <c r="U40" s="465">
        <f t="shared" si="20"/>
        <v>4.2990743391544954E-2</v>
      </c>
      <c r="V40" s="378" t="s">
        <v>174</v>
      </c>
      <c r="W40" s="378" t="s">
        <v>436</v>
      </c>
      <c r="X40" s="379" t="s">
        <v>506</v>
      </c>
      <c r="Y40" s="379" t="s">
        <v>732</v>
      </c>
      <c r="Z40" s="379">
        <v>1</v>
      </c>
      <c r="AA40" s="467" t="s">
        <v>450</v>
      </c>
    </row>
    <row r="41" spans="2:36" s="148" customFormat="1" ht="27" customHeight="1">
      <c r="B41" s="892"/>
      <c r="C41" s="893"/>
      <c r="D41" s="368">
        <v>13</v>
      </c>
      <c r="E41" s="461" t="s">
        <v>363</v>
      </c>
      <c r="F41" s="372">
        <f t="shared" si="11"/>
        <v>3349.5165000000097</v>
      </c>
      <c r="G41" s="376">
        <v>426.69</v>
      </c>
      <c r="H41" s="463">
        <v>797.2</v>
      </c>
      <c r="I41" s="463">
        <v>797.2</v>
      </c>
      <c r="J41" s="465">
        <f t="shared" si="12"/>
        <v>1</v>
      </c>
      <c r="K41" s="464">
        <v>798.09</v>
      </c>
      <c r="L41" s="465">
        <f t="shared" si="13"/>
        <v>1.0011164074259911</v>
      </c>
      <c r="M41" s="464">
        <v>6.9599999999999991</v>
      </c>
      <c r="N41" s="465">
        <f t="shared" si="14"/>
        <v>8.7305569493226279E-3</v>
      </c>
      <c r="O41" s="466">
        <f t="shared" si="15"/>
        <v>805.05000000000007</v>
      </c>
      <c r="P41" s="465">
        <f t="shared" si="16"/>
        <v>1.0098469643753136</v>
      </c>
      <c r="Q41" s="463">
        <v>1.7000000000000002</v>
      </c>
      <c r="R41" s="465">
        <f t="shared" si="17"/>
        <v>2.1324636226793779E-3</v>
      </c>
      <c r="S41" s="495">
        <f t="shared" si="18"/>
        <v>725.37300000000005</v>
      </c>
      <c r="T41" s="466">
        <f t="shared" si="19"/>
        <v>7.8500000000000227</v>
      </c>
      <c r="U41" s="465">
        <f t="shared" si="20"/>
        <v>9.8469643753136254E-3</v>
      </c>
      <c r="V41" s="378" t="s">
        <v>174</v>
      </c>
      <c r="W41" s="378" t="s">
        <v>436</v>
      </c>
      <c r="X41" s="379" t="s">
        <v>508</v>
      </c>
      <c r="Y41" s="379" t="s">
        <v>733</v>
      </c>
      <c r="Z41" s="379">
        <v>1</v>
      </c>
      <c r="AA41" s="467" t="s">
        <v>364</v>
      </c>
    </row>
    <row r="42" spans="2:36" s="148" customFormat="1" ht="27" customHeight="1">
      <c r="B42" s="892"/>
      <c r="C42" s="893"/>
      <c r="D42" s="368">
        <v>14</v>
      </c>
      <c r="E42" s="461" t="s">
        <v>594</v>
      </c>
      <c r="F42" s="372">
        <f t="shared" si="11"/>
        <v>3207.1999999999775</v>
      </c>
      <c r="G42" s="376">
        <v>760</v>
      </c>
      <c r="H42" s="463">
        <v>295.40999999999997</v>
      </c>
      <c r="I42" s="463">
        <v>295.40999999999997</v>
      </c>
      <c r="J42" s="465">
        <f t="shared" si="12"/>
        <v>1</v>
      </c>
      <c r="K42" s="464">
        <v>291.12999999999994</v>
      </c>
      <c r="L42" s="465">
        <f t="shared" si="13"/>
        <v>0.98551166175823424</v>
      </c>
      <c r="M42" s="464">
        <v>8.5</v>
      </c>
      <c r="N42" s="465">
        <f t="shared" si="14"/>
        <v>2.8773568938086053E-2</v>
      </c>
      <c r="O42" s="466">
        <f t="shared" si="15"/>
        <v>299.62999999999994</v>
      </c>
      <c r="P42" s="465">
        <f t="shared" si="16"/>
        <v>1.0142852306963204</v>
      </c>
      <c r="Q42" s="463">
        <v>0.14000000000000001</v>
      </c>
      <c r="R42" s="465">
        <f t="shared" si="17"/>
        <v>4.7391760603906444E-4</v>
      </c>
      <c r="S42" s="495">
        <f t="shared" si="18"/>
        <v>106.4</v>
      </c>
      <c r="T42" s="466">
        <f t="shared" si="19"/>
        <v>4.2199999999999704</v>
      </c>
      <c r="U42" s="465">
        <f t="shared" si="20"/>
        <v>1.428523069632027E-2</v>
      </c>
      <c r="V42" s="378" t="s">
        <v>174</v>
      </c>
      <c r="W42" s="378" t="s">
        <v>436</v>
      </c>
      <c r="X42" s="379" t="s">
        <v>654</v>
      </c>
      <c r="Y42" s="379" t="s">
        <v>573</v>
      </c>
      <c r="Z42" s="379">
        <v>1</v>
      </c>
      <c r="AA42" s="467" t="s">
        <v>582</v>
      </c>
    </row>
    <row r="43" spans="2:36" s="148" customFormat="1" ht="27" customHeight="1">
      <c r="B43" s="892"/>
      <c r="C43" s="893"/>
      <c r="D43" s="368">
        <v>15</v>
      </c>
      <c r="E43" s="461" t="s">
        <v>440</v>
      </c>
      <c r="F43" s="372">
        <f t="shared" si="11"/>
        <v>3188.0923999999459</v>
      </c>
      <c r="G43" s="376">
        <v>368.13999999999993</v>
      </c>
      <c r="H43" s="463">
        <v>449.41000000000008</v>
      </c>
      <c r="I43" s="463">
        <v>449.41000000000008</v>
      </c>
      <c r="J43" s="465">
        <f t="shared" si="12"/>
        <v>1</v>
      </c>
      <c r="K43" s="464">
        <v>431.11999999999995</v>
      </c>
      <c r="L43" s="465">
        <f t="shared" si="13"/>
        <v>0.9593021962128121</v>
      </c>
      <c r="M43" s="464">
        <v>26.95</v>
      </c>
      <c r="N43" s="465">
        <f t="shared" si="14"/>
        <v>5.9967512961438318E-2</v>
      </c>
      <c r="O43" s="466">
        <f t="shared" si="15"/>
        <v>458.06999999999994</v>
      </c>
      <c r="P43" s="465">
        <f t="shared" si="16"/>
        <v>1.0192697091742504</v>
      </c>
      <c r="Q43" s="463">
        <v>0.84</v>
      </c>
      <c r="R43" s="465">
        <f t="shared" si="17"/>
        <v>1.8691172871097657E-3</v>
      </c>
      <c r="S43" s="495">
        <f t="shared" si="18"/>
        <v>309.23759999999993</v>
      </c>
      <c r="T43" s="466">
        <f t="shared" si="19"/>
        <v>8.6599999999998545</v>
      </c>
      <c r="U43" s="465">
        <f t="shared" si="20"/>
        <v>1.9269709174250357E-2</v>
      </c>
      <c r="V43" s="378" t="s">
        <v>174</v>
      </c>
      <c r="W43" s="378" t="s">
        <v>436</v>
      </c>
      <c r="X43" s="379" t="s">
        <v>509</v>
      </c>
      <c r="Y43" s="379" t="s">
        <v>510</v>
      </c>
      <c r="Z43" s="379">
        <v>1</v>
      </c>
      <c r="AA43" s="467" t="s">
        <v>441</v>
      </c>
    </row>
    <row r="44" spans="2:36" s="148" customFormat="1" ht="27" customHeight="1">
      <c r="B44" s="892"/>
      <c r="C44" s="893"/>
      <c r="D44" s="368">
        <v>16</v>
      </c>
      <c r="E44" s="461" t="s">
        <v>474</v>
      </c>
      <c r="F44" s="372">
        <f t="shared" si="11"/>
        <v>3101.5935999999333</v>
      </c>
      <c r="G44" s="376">
        <v>605.77999999999986</v>
      </c>
      <c r="H44" s="463">
        <v>1090.21</v>
      </c>
      <c r="I44" s="463">
        <v>1090.21</v>
      </c>
      <c r="J44" s="465">
        <f t="shared" si="12"/>
        <v>1</v>
      </c>
      <c r="K44" s="464">
        <v>1091.3599999999999</v>
      </c>
      <c r="L44" s="465">
        <f t="shared" si="13"/>
        <v>1.0010548426449948</v>
      </c>
      <c r="M44" s="464">
        <v>3.97</v>
      </c>
      <c r="N44" s="465">
        <f t="shared" si="14"/>
        <v>3.641500261417525E-3</v>
      </c>
      <c r="O44" s="466">
        <f t="shared" si="15"/>
        <v>1095.33</v>
      </c>
      <c r="P44" s="465">
        <f t="shared" si="16"/>
        <v>1.0046963429064124</v>
      </c>
      <c r="Q44" s="463">
        <v>1.05</v>
      </c>
      <c r="R44" s="465">
        <f t="shared" si="17"/>
        <v>9.6311719760413129E-4</v>
      </c>
      <c r="S44" s="495">
        <f t="shared" si="18"/>
        <v>636.06899999999985</v>
      </c>
      <c r="T44" s="466">
        <f t="shared" si="19"/>
        <v>5.1199999999998909</v>
      </c>
      <c r="U44" s="465">
        <f t="shared" si="20"/>
        <v>4.6963429064124261E-3</v>
      </c>
      <c r="V44" s="378" t="s">
        <v>174</v>
      </c>
      <c r="W44" s="379" t="s">
        <v>216</v>
      </c>
      <c r="X44" s="379" t="s">
        <v>507</v>
      </c>
      <c r="Y44" s="379" t="s">
        <v>572</v>
      </c>
      <c r="Z44" s="379">
        <v>1</v>
      </c>
      <c r="AA44" s="467" t="s">
        <v>344</v>
      </c>
    </row>
    <row r="45" spans="2:36" s="148" customFormat="1" ht="27" customHeight="1">
      <c r="B45" s="892"/>
      <c r="C45" s="893"/>
      <c r="D45" s="368">
        <v>17</v>
      </c>
      <c r="E45" s="461" t="s">
        <v>598</v>
      </c>
      <c r="F45" s="372">
        <f t="shared" si="11"/>
        <v>3089.143800000003</v>
      </c>
      <c r="G45" s="376">
        <v>114.53999999999999</v>
      </c>
      <c r="H45" s="463">
        <v>1004.01</v>
      </c>
      <c r="I45" s="463">
        <v>1004.01</v>
      </c>
      <c r="J45" s="465">
        <f t="shared" si="12"/>
        <v>1</v>
      </c>
      <c r="K45" s="464">
        <v>981.68</v>
      </c>
      <c r="L45" s="465">
        <f t="shared" si="13"/>
        <v>0.97775918566548137</v>
      </c>
      <c r="M45" s="464">
        <v>49.3</v>
      </c>
      <c r="N45" s="465">
        <f t="shared" si="14"/>
        <v>4.9103096582703357E-2</v>
      </c>
      <c r="O45" s="466">
        <f t="shared" si="15"/>
        <v>1030.98</v>
      </c>
      <c r="P45" s="465">
        <f t="shared" si="16"/>
        <v>1.0268622822481848</v>
      </c>
      <c r="Q45" s="463">
        <v>3.2</v>
      </c>
      <c r="R45" s="465">
        <f t="shared" si="17"/>
        <v>3.1872192508042752E-3</v>
      </c>
      <c r="S45" s="495">
        <f t="shared" si="18"/>
        <v>366.52800000000002</v>
      </c>
      <c r="T45" s="466">
        <f t="shared" si="19"/>
        <v>26.970000000000027</v>
      </c>
      <c r="U45" s="465">
        <f t="shared" si="20"/>
        <v>2.6862282248184807E-2</v>
      </c>
      <c r="V45" s="378" t="s">
        <v>174</v>
      </c>
      <c r="W45" s="378" t="s">
        <v>436</v>
      </c>
      <c r="X45" s="379" t="s">
        <v>610</v>
      </c>
      <c r="Y45" s="379" t="s">
        <v>611</v>
      </c>
      <c r="Z45" s="379">
        <v>1</v>
      </c>
      <c r="AA45" s="467" t="s">
        <v>492</v>
      </c>
    </row>
    <row r="46" spans="2:36" s="148" customFormat="1" ht="27" customHeight="1">
      <c r="B46" s="892"/>
      <c r="C46" s="893"/>
      <c r="D46" s="368">
        <v>18</v>
      </c>
      <c r="E46" s="461" t="s">
        <v>338</v>
      </c>
      <c r="F46" s="372">
        <f t="shared" si="11"/>
        <v>3042.6326000000113</v>
      </c>
      <c r="G46" s="376">
        <v>70.220000000000013</v>
      </c>
      <c r="H46" s="463">
        <v>1718.2199999999998</v>
      </c>
      <c r="I46" s="463">
        <v>1718.2199999999998</v>
      </c>
      <c r="J46" s="465">
        <f t="shared" si="12"/>
        <v>1</v>
      </c>
      <c r="K46" s="464">
        <v>1660.31</v>
      </c>
      <c r="L46" s="465">
        <f t="shared" si="13"/>
        <v>0.96629651616207479</v>
      </c>
      <c r="M46" s="464">
        <v>101.24000000000001</v>
      </c>
      <c r="N46" s="465">
        <f t="shared" si="14"/>
        <v>5.8921441957374504E-2</v>
      </c>
      <c r="O46" s="466">
        <f t="shared" si="15"/>
        <v>1761.55</v>
      </c>
      <c r="P46" s="465">
        <f t="shared" si="16"/>
        <v>1.0252179581194494</v>
      </c>
      <c r="Q46" s="463">
        <v>4.07</v>
      </c>
      <c r="R46" s="465">
        <f t="shared" si="17"/>
        <v>2.3687304303290618E-3</v>
      </c>
      <c r="S46" s="495">
        <f t="shared" si="18"/>
        <v>285.79540000000009</v>
      </c>
      <c r="T46" s="466">
        <f t="shared" si="19"/>
        <v>43.330000000000155</v>
      </c>
      <c r="U46" s="465">
        <f t="shared" si="20"/>
        <v>2.5217958119449289E-2</v>
      </c>
      <c r="V46" s="378" t="s">
        <v>174</v>
      </c>
      <c r="W46" s="378" t="s">
        <v>436</v>
      </c>
      <c r="X46" s="379" t="s">
        <v>505</v>
      </c>
      <c r="Y46" s="379" t="s">
        <v>499</v>
      </c>
      <c r="Z46" s="379">
        <v>1</v>
      </c>
      <c r="AA46" s="467" t="s">
        <v>345</v>
      </c>
    </row>
    <row r="47" spans="2:36" s="148" customFormat="1" ht="27" customHeight="1">
      <c r="B47" s="892"/>
      <c r="C47" s="893"/>
      <c r="D47" s="368">
        <v>19</v>
      </c>
      <c r="E47" s="461" t="s">
        <v>434</v>
      </c>
      <c r="F47" s="372">
        <f t="shared" si="11"/>
        <v>2934.5499000000009</v>
      </c>
      <c r="G47" s="376">
        <v>99.51</v>
      </c>
      <c r="H47" s="463">
        <v>1252.3200000000002</v>
      </c>
      <c r="I47" s="463">
        <v>1252.3200000000002</v>
      </c>
      <c r="J47" s="465">
        <f t="shared" si="12"/>
        <v>1</v>
      </c>
      <c r="K47" s="464">
        <v>1203.3700000000001</v>
      </c>
      <c r="L47" s="465">
        <f t="shared" si="13"/>
        <v>0.9609125463140411</v>
      </c>
      <c r="M47" s="464">
        <v>78.44</v>
      </c>
      <c r="N47" s="465">
        <f t="shared" si="14"/>
        <v>6.2635748051616189E-2</v>
      </c>
      <c r="O47" s="466">
        <f t="shared" si="15"/>
        <v>1281.8100000000002</v>
      </c>
      <c r="P47" s="465">
        <f t="shared" si="16"/>
        <v>1.0235482943656573</v>
      </c>
      <c r="Q47" s="463">
        <v>5.3599999999999994</v>
      </c>
      <c r="R47" s="465">
        <f t="shared" si="17"/>
        <v>4.2800562156637273E-3</v>
      </c>
      <c r="S47" s="495">
        <f t="shared" si="18"/>
        <v>533.37360000000001</v>
      </c>
      <c r="T47" s="466">
        <f t="shared" si="19"/>
        <v>29.490000000000009</v>
      </c>
      <c r="U47" s="465">
        <f t="shared" si="20"/>
        <v>2.3548294365657346E-2</v>
      </c>
      <c r="V47" s="378" t="s">
        <v>174</v>
      </c>
      <c r="W47" s="378" t="s">
        <v>436</v>
      </c>
      <c r="X47" s="379" t="s">
        <v>505</v>
      </c>
      <c r="Y47" s="379" t="s">
        <v>499</v>
      </c>
      <c r="Z47" s="379">
        <v>1</v>
      </c>
      <c r="AA47" s="467" t="s">
        <v>351</v>
      </c>
    </row>
    <row r="48" spans="2:36" s="148" customFormat="1" ht="27" customHeight="1">
      <c r="B48" s="894"/>
      <c r="C48" s="895"/>
      <c r="D48" s="368">
        <v>20</v>
      </c>
      <c r="E48" s="461" t="s">
        <v>570</v>
      </c>
      <c r="F48" s="372">
        <f t="shared" si="11"/>
        <v>2917.2</v>
      </c>
      <c r="G48" s="376">
        <v>130</v>
      </c>
      <c r="H48" s="463">
        <v>220.89999999999998</v>
      </c>
      <c r="I48" s="463">
        <v>220.89999999999998</v>
      </c>
      <c r="J48" s="465">
        <f t="shared" si="12"/>
        <v>1</v>
      </c>
      <c r="K48" s="464">
        <v>223.29999999999998</v>
      </c>
      <c r="L48" s="465">
        <f t="shared" si="13"/>
        <v>1.0108646446355818</v>
      </c>
      <c r="M48" s="464">
        <v>20.04</v>
      </c>
      <c r="N48" s="465">
        <f t="shared" si="14"/>
        <v>9.0719782707107288E-2</v>
      </c>
      <c r="O48" s="466">
        <f t="shared" si="15"/>
        <v>243.33999999999997</v>
      </c>
      <c r="P48" s="465">
        <f t="shared" si="16"/>
        <v>1.1015844273426889</v>
      </c>
      <c r="Q48" s="463">
        <v>7.35</v>
      </c>
      <c r="R48" s="465">
        <f t="shared" si="17"/>
        <v>3.3272974196468991E-2</v>
      </c>
      <c r="S48" s="495">
        <f t="shared" si="18"/>
        <v>955.5</v>
      </c>
      <c r="T48" s="466">
        <f t="shared" si="19"/>
        <v>22.439999999999998</v>
      </c>
      <c r="U48" s="465">
        <f t="shared" si="20"/>
        <v>0.10158442734268899</v>
      </c>
      <c r="V48" s="378" t="s">
        <v>174</v>
      </c>
      <c r="W48" s="378" t="s">
        <v>215</v>
      </c>
      <c r="X48" s="379" t="s">
        <v>509</v>
      </c>
      <c r="Y48" s="379" t="s">
        <v>734</v>
      </c>
      <c r="Z48" s="379">
        <v>1</v>
      </c>
      <c r="AA48" s="467" t="s">
        <v>542</v>
      </c>
    </row>
    <row r="49" spans="2:36" ht="17.100000000000001" customHeight="1">
      <c r="B49" s="856" t="s">
        <v>453</v>
      </c>
      <c r="C49" s="857"/>
      <c r="D49" s="867" t="s">
        <v>661</v>
      </c>
      <c r="E49" s="900" t="s">
        <v>662</v>
      </c>
      <c r="F49" s="903" t="s">
        <v>702</v>
      </c>
      <c r="G49" s="870" t="s">
        <v>664</v>
      </c>
      <c r="H49" s="901" t="s">
        <v>665</v>
      </c>
      <c r="I49" s="868" t="s">
        <v>666</v>
      </c>
      <c r="J49" s="869"/>
      <c r="K49" s="868" t="s">
        <v>667</v>
      </c>
      <c r="L49" s="869"/>
      <c r="M49" s="868" t="s">
        <v>668</v>
      </c>
      <c r="N49" s="869"/>
      <c r="O49" s="868" t="s">
        <v>669</v>
      </c>
      <c r="P49" s="869"/>
      <c r="Q49" s="868" t="s">
        <v>424</v>
      </c>
      <c r="R49" s="902"/>
      <c r="S49" s="869"/>
      <c r="T49" s="872" t="s">
        <v>425</v>
      </c>
      <c r="U49" s="873"/>
      <c r="V49" s="864" t="s">
        <v>171</v>
      </c>
      <c r="W49" s="864" t="s">
        <v>245</v>
      </c>
      <c r="X49" s="864" t="s">
        <v>670</v>
      </c>
      <c r="Y49" s="864" t="s">
        <v>455</v>
      </c>
      <c r="Z49" s="864" t="s">
        <v>246</v>
      </c>
      <c r="AA49" s="870" t="s">
        <v>172</v>
      </c>
      <c r="AC49" s="875" t="s">
        <v>247</v>
      </c>
      <c r="AD49" s="876"/>
      <c r="AE49" s="876"/>
      <c r="AF49" s="876"/>
      <c r="AG49" s="876"/>
      <c r="AH49" s="876"/>
      <c r="AI49" s="876"/>
      <c r="AJ49" s="877"/>
    </row>
    <row r="50" spans="2:36" ht="16.5" customHeight="1">
      <c r="B50" s="858"/>
      <c r="C50" s="859"/>
      <c r="D50" s="867"/>
      <c r="E50" s="867"/>
      <c r="F50" s="886"/>
      <c r="G50" s="871"/>
      <c r="H50" s="871"/>
      <c r="I50" s="459" t="s">
        <v>671</v>
      </c>
      <c r="J50" s="369" t="s">
        <v>672</v>
      </c>
      <c r="K50" s="459" t="s">
        <v>671</v>
      </c>
      <c r="L50" s="369" t="s">
        <v>672</v>
      </c>
      <c r="M50" s="459" t="s">
        <v>671</v>
      </c>
      <c r="N50" s="369" t="s">
        <v>672</v>
      </c>
      <c r="O50" s="459" t="s">
        <v>671</v>
      </c>
      <c r="P50" s="369" t="s">
        <v>672</v>
      </c>
      <c r="Q50" s="459" t="s">
        <v>671</v>
      </c>
      <c r="R50" s="369" t="s">
        <v>672</v>
      </c>
      <c r="S50" s="369" t="s">
        <v>673</v>
      </c>
      <c r="T50" s="459" t="s">
        <v>671</v>
      </c>
      <c r="U50" s="369" t="s">
        <v>672</v>
      </c>
      <c r="V50" s="866"/>
      <c r="W50" s="866"/>
      <c r="X50" s="866"/>
      <c r="Y50" s="866"/>
      <c r="Z50" s="866"/>
      <c r="AA50" s="871"/>
      <c r="AC50" s="878"/>
      <c r="AD50" s="879"/>
      <c r="AE50" s="879"/>
      <c r="AF50" s="879"/>
      <c r="AG50" s="879"/>
      <c r="AH50" s="879"/>
      <c r="AI50" s="879"/>
      <c r="AJ50" s="880"/>
    </row>
    <row r="51" spans="2:36" s="148" customFormat="1" ht="27" customHeight="1">
      <c r="B51" s="890" t="s">
        <v>677</v>
      </c>
      <c r="C51" s="891"/>
      <c r="D51" s="368">
        <v>1</v>
      </c>
      <c r="E51" s="461" t="s">
        <v>337</v>
      </c>
      <c r="F51" s="372">
        <v>16208.454199999993</v>
      </c>
      <c r="G51" s="376">
        <v>147.43000000000004</v>
      </c>
      <c r="H51" s="463">
        <v>5108.130000000001</v>
      </c>
      <c r="I51" s="463">
        <v>5108.130000000001</v>
      </c>
      <c r="J51" s="465">
        <f>IFERROR(I51/H51,"-")</f>
        <v>1</v>
      </c>
      <c r="K51" s="464">
        <v>5108.130000000001</v>
      </c>
      <c r="L51" s="465">
        <f>IFERROR(K51/H51,"-")</f>
        <v>1</v>
      </c>
      <c r="M51" s="464">
        <v>109.94</v>
      </c>
      <c r="N51" s="465">
        <f>IFERROR(M51/H51,"-")</f>
        <v>2.1522553263131513E-2</v>
      </c>
      <c r="O51" s="466">
        <f>IFERROR(K51+M51,"-")</f>
        <v>5218.0700000000006</v>
      </c>
      <c r="P51" s="465">
        <f>IFERROR(O51/H51,"-")</f>
        <v>1.0215225532631313</v>
      </c>
      <c r="Q51" s="463">
        <v>28.470000000000002</v>
      </c>
      <c r="R51" s="465">
        <f>IFERROR(Q51/H51,"-")</f>
        <v>5.5734681771998753E-3</v>
      </c>
      <c r="S51" s="495">
        <f>IFERROR(Q51*G51,"-")</f>
        <v>4197.3321000000014</v>
      </c>
      <c r="T51" s="466">
        <f>IFERROR(O51-H51,"-")</f>
        <v>109.9399999999996</v>
      </c>
      <c r="U51" s="465">
        <f>IFERROR(T51/H51,"-")</f>
        <v>2.1522553263131437E-2</v>
      </c>
      <c r="V51" s="378" t="s">
        <v>174</v>
      </c>
      <c r="W51" s="378" t="s">
        <v>215</v>
      </c>
      <c r="X51" s="379" t="s">
        <v>504</v>
      </c>
      <c r="Y51" s="379" t="s">
        <v>571</v>
      </c>
      <c r="Z51" s="379">
        <v>1</v>
      </c>
      <c r="AA51" s="467" t="s">
        <v>342</v>
      </c>
      <c r="AC51" s="881"/>
      <c r="AD51" s="882"/>
      <c r="AE51" s="882"/>
      <c r="AF51" s="882"/>
      <c r="AG51" s="882"/>
      <c r="AH51" s="882"/>
      <c r="AI51" s="882"/>
      <c r="AJ51" s="883"/>
    </row>
    <row r="52" spans="2:36" s="148" customFormat="1" ht="27" customHeight="1">
      <c r="B52" s="892"/>
      <c r="C52" s="893"/>
      <c r="D52" s="368">
        <v>2</v>
      </c>
      <c r="E52" s="461" t="s">
        <v>392</v>
      </c>
      <c r="F52" s="372">
        <v>9906.3215999999866</v>
      </c>
      <c r="G52" s="376">
        <v>127.84000000000002</v>
      </c>
      <c r="H52" s="463">
        <v>4456.47</v>
      </c>
      <c r="I52" s="463">
        <v>4456.47</v>
      </c>
      <c r="J52" s="465">
        <f t="shared" ref="J52:J70" si="24">IFERROR(I52/H52,"-")</f>
        <v>1</v>
      </c>
      <c r="K52" s="464">
        <v>4461.54</v>
      </c>
      <c r="L52" s="465">
        <f t="shared" ref="L52:L70" si="25">IFERROR(K52/H52,"-")</f>
        <v>1.0011376717446767</v>
      </c>
      <c r="M52" s="464">
        <v>72.42</v>
      </c>
      <c r="N52" s="465">
        <f t="shared" ref="N52:N70" si="26">IFERROR(M52/H52,"-")</f>
        <v>1.6250530128105876E-2</v>
      </c>
      <c r="O52" s="466">
        <f t="shared" ref="O52:O70" si="27">IFERROR(K52+M52,"-")</f>
        <v>4533.96</v>
      </c>
      <c r="P52" s="465">
        <f t="shared" ref="P52:P70" si="28">IFERROR(O52/H52,"-")</f>
        <v>1.0173882018727827</v>
      </c>
      <c r="Q52" s="463">
        <v>28.56</v>
      </c>
      <c r="R52" s="465">
        <f t="shared" ref="R52:R70" si="29">IFERROR(Q52/H52,"-")</f>
        <v>6.408659768830486E-3</v>
      </c>
      <c r="S52" s="495">
        <f t="shared" ref="S52:S70" si="30">IFERROR(Q52*G52,"-")</f>
        <v>3651.1104000000005</v>
      </c>
      <c r="T52" s="466">
        <f t="shared" ref="T52:T70" si="31">IFERROR(O52-H52,"-")</f>
        <v>77.489999999999782</v>
      </c>
      <c r="U52" s="465">
        <f t="shared" ref="U52:U70" si="32">IFERROR(T52/H52,"-")</f>
        <v>1.7388201872782668E-2</v>
      </c>
      <c r="V52" s="378" t="s">
        <v>174</v>
      </c>
      <c r="W52" s="378" t="s">
        <v>436</v>
      </c>
      <c r="X52" s="379" t="s">
        <v>720</v>
      </c>
      <c r="Y52" s="379" t="s">
        <v>721</v>
      </c>
      <c r="Z52" s="379">
        <v>1</v>
      </c>
      <c r="AA52" s="467" t="s">
        <v>342</v>
      </c>
      <c r="AC52" s="161" t="s">
        <v>244</v>
      </c>
      <c r="AD52" s="161" t="s">
        <v>456</v>
      </c>
      <c r="AE52" s="156" t="s">
        <v>674</v>
      </c>
      <c r="AF52" s="156" t="s">
        <v>339</v>
      </c>
      <c r="AG52" s="156" t="s">
        <v>436</v>
      </c>
      <c r="AH52" s="156" t="s">
        <v>215</v>
      </c>
      <c r="AI52" s="156" t="s">
        <v>216</v>
      </c>
      <c r="AJ52" s="156" t="s">
        <v>390</v>
      </c>
    </row>
    <row r="53" spans="2:36" s="148" customFormat="1" ht="27" customHeight="1">
      <c r="B53" s="892"/>
      <c r="C53" s="893"/>
      <c r="D53" s="368">
        <v>3</v>
      </c>
      <c r="E53" s="461" t="s">
        <v>750</v>
      </c>
      <c r="F53" s="372">
        <v>8601.0288</v>
      </c>
      <c r="G53" s="376">
        <v>113.68000000000004</v>
      </c>
      <c r="H53" s="463">
        <v>2023.3000000000002</v>
      </c>
      <c r="I53" s="463">
        <v>2023.3000000000002</v>
      </c>
      <c r="J53" s="465">
        <f t="shared" si="24"/>
        <v>1</v>
      </c>
      <c r="K53" s="464">
        <v>2023.3000000000002</v>
      </c>
      <c r="L53" s="465">
        <f t="shared" si="25"/>
        <v>1</v>
      </c>
      <c r="M53" s="464">
        <v>75.66</v>
      </c>
      <c r="N53" s="465">
        <f t="shared" si="26"/>
        <v>3.7394355755449013E-2</v>
      </c>
      <c r="O53" s="466">
        <f t="shared" si="27"/>
        <v>2098.96</v>
      </c>
      <c r="P53" s="465">
        <f t="shared" si="28"/>
        <v>1.037394355755449</v>
      </c>
      <c r="Q53" s="463">
        <v>9.8899999999999988</v>
      </c>
      <c r="R53" s="465">
        <f t="shared" si="29"/>
        <v>4.8880541689319415E-3</v>
      </c>
      <c r="S53" s="495">
        <f t="shared" si="30"/>
        <v>1124.2952000000002</v>
      </c>
      <c r="T53" s="466">
        <f t="shared" si="31"/>
        <v>75.659999999999854</v>
      </c>
      <c r="U53" s="465">
        <f t="shared" si="32"/>
        <v>3.7394355755448944E-2</v>
      </c>
      <c r="V53" s="378" t="s">
        <v>174</v>
      </c>
      <c r="W53" s="378" t="s">
        <v>436</v>
      </c>
      <c r="X53" s="379" t="s">
        <v>505</v>
      </c>
      <c r="Y53" s="379" t="s">
        <v>499</v>
      </c>
      <c r="Z53" s="379">
        <v>1</v>
      </c>
      <c r="AA53" s="467" t="s">
        <v>697</v>
      </c>
      <c r="AC53" s="388">
        <f>SUM(Z51:Z70)</f>
        <v>20</v>
      </c>
      <c r="AD53" s="382">
        <f>SUMIF($W$51:$W$70,TRIM(AD52),$Z$51:$Z$70)</f>
        <v>0</v>
      </c>
      <c r="AE53" s="382">
        <f t="shared" ref="AE53:AJ53" si="33">SUMIF($W$51:$W$70,TRIM(AE52),$Z$51:$Z$70)</f>
        <v>0</v>
      </c>
      <c r="AF53" s="382">
        <f t="shared" si="33"/>
        <v>0</v>
      </c>
      <c r="AG53" s="382">
        <f t="shared" si="33"/>
        <v>15</v>
      </c>
      <c r="AH53" s="382">
        <f t="shared" si="33"/>
        <v>1</v>
      </c>
      <c r="AI53" s="382">
        <f t="shared" si="33"/>
        <v>4</v>
      </c>
      <c r="AJ53" s="382">
        <f t="shared" si="33"/>
        <v>0</v>
      </c>
    </row>
    <row r="54" spans="2:36" s="148" customFormat="1" ht="27" customHeight="1">
      <c r="B54" s="892"/>
      <c r="C54" s="893"/>
      <c r="D54" s="368">
        <v>4</v>
      </c>
      <c r="E54" s="461" t="s">
        <v>480</v>
      </c>
      <c r="F54" s="372">
        <v>8151.8399999999992</v>
      </c>
      <c r="G54" s="376">
        <v>629</v>
      </c>
      <c r="H54" s="463">
        <v>283.54000000000002</v>
      </c>
      <c r="I54" s="463">
        <v>283.54000000000002</v>
      </c>
      <c r="J54" s="465">
        <f t="shared" si="24"/>
        <v>1</v>
      </c>
      <c r="K54" s="464">
        <v>283.54000000000002</v>
      </c>
      <c r="L54" s="465">
        <f t="shared" si="25"/>
        <v>1</v>
      </c>
      <c r="M54" s="464">
        <v>12.959999999999999</v>
      </c>
      <c r="N54" s="465">
        <f t="shared" si="26"/>
        <v>4.5707836636806089E-2</v>
      </c>
      <c r="O54" s="466">
        <f t="shared" si="27"/>
        <v>296.5</v>
      </c>
      <c r="P54" s="465">
        <f t="shared" si="28"/>
        <v>1.045707836636806</v>
      </c>
      <c r="Q54" s="463">
        <v>1.33</v>
      </c>
      <c r="R54" s="465">
        <f t="shared" si="29"/>
        <v>4.690696198067292E-3</v>
      </c>
      <c r="S54" s="495">
        <f t="shared" si="30"/>
        <v>836.57</v>
      </c>
      <c r="T54" s="466">
        <f t="shared" si="31"/>
        <v>12.95999999999998</v>
      </c>
      <c r="U54" s="465">
        <f t="shared" si="32"/>
        <v>4.5707836636806019E-2</v>
      </c>
      <c r="V54" s="378" t="s">
        <v>174</v>
      </c>
      <c r="W54" s="378" t="s">
        <v>436</v>
      </c>
      <c r="X54" s="379" t="s">
        <v>512</v>
      </c>
      <c r="Y54" s="379" t="s">
        <v>655</v>
      </c>
      <c r="Z54" s="379">
        <v>1</v>
      </c>
      <c r="AA54" s="467" t="s">
        <v>473</v>
      </c>
      <c r="AC54" s="389"/>
      <c r="AD54" s="386">
        <f>SUMIF($W$51:$W$70,TRIM(AD52),$F$51:$F$70)</f>
        <v>0</v>
      </c>
      <c r="AE54" s="386">
        <f t="shared" ref="AE54:AJ54" si="34">SUMIF($W$51:$W$70,TRIM(AE52),$F$51:$F$70)</f>
        <v>0</v>
      </c>
      <c r="AF54" s="386">
        <f t="shared" si="34"/>
        <v>0</v>
      </c>
      <c r="AG54" s="386">
        <f t="shared" si="34"/>
        <v>93055.681799999991</v>
      </c>
      <c r="AH54" s="386">
        <f t="shared" si="34"/>
        <v>16208.454199999993</v>
      </c>
      <c r="AI54" s="386">
        <f t="shared" si="34"/>
        <v>25409.8969</v>
      </c>
      <c r="AJ54" s="386">
        <f t="shared" si="34"/>
        <v>0</v>
      </c>
    </row>
    <row r="55" spans="2:36" s="148" customFormat="1" ht="27" customHeight="1">
      <c r="B55" s="892"/>
      <c r="C55" s="893"/>
      <c r="D55" s="368">
        <v>5</v>
      </c>
      <c r="E55" s="461" t="s">
        <v>476</v>
      </c>
      <c r="F55" s="372">
        <v>7596.1962000000094</v>
      </c>
      <c r="G55" s="376">
        <v>407.74000000000007</v>
      </c>
      <c r="H55" s="463">
        <v>1196.9699999999998</v>
      </c>
      <c r="I55" s="463">
        <v>1196.9699999999998</v>
      </c>
      <c r="J55" s="465">
        <f t="shared" si="24"/>
        <v>1</v>
      </c>
      <c r="K55" s="464">
        <v>1196.9699999999998</v>
      </c>
      <c r="L55" s="465">
        <f t="shared" si="25"/>
        <v>1</v>
      </c>
      <c r="M55" s="464">
        <v>18.63</v>
      </c>
      <c r="N55" s="465">
        <f t="shared" si="26"/>
        <v>1.5564299857139278E-2</v>
      </c>
      <c r="O55" s="466">
        <f t="shared" si="27"/>
        <v>1215.5999999999999</v>
      </c>
      <c r="P55" s="465">
        <f t="shared" si="28"/>
        <v>1.0155642998571395</v>
      </c>
      <c r="Q55" s="463">
        <v>3.3499999999999996</v>
      </c>
      <c r="R55" s="465">
        <f t="shared" si="29"/>
        <v>2.7987334686750713E-3</v>
      </c>
      <c r="S55" s="495">
        <f t="shared" si="30"/>
        <v>1365.9290000000001</v>
      </c>
      <c r="T55" s="466">
        <f t="shared" si="31"/>
        <v>18.630000000000109</v>
      </c>
      <c r="U55" s="465">
        <f t="shared" si="32"/>
        <v>1.556429985713937E-2</v>
      </c>
      <c r="V55" s="378" t="s">
        <v>174</v>
      </c>
      <c r="W55" s="378" t="s">
        <v>216</v>
      </c>
      <c r="X55" s="379" t="s">
        <v>506</v>
      </c>
      <c r="Y55" s="379" t="s">
        <v>511</v>
      </c>
      <c r="Z55" s="379">
        <v>1</v>
      </c>
      <c r="AA55" s="467" t="s">
        <v>478</v>
      </c>
      <c r="AC55" s="368"/>
      <c r="AD55" s="387">
        <f t="shared" ref="AD55:AJ55" si="35">AD53/$AC53</f>
        <v>0</v>
      </c>
      <c r="AE55" s="387">
        <f t="shared" si="35"/>
        <v>0</v>
      </c>
      <c r="AF55" s="387">
        <f t="shared" si="35"/>
        <v>0</v>
      </c>
      <c r="AG55" s="387">
        <f t="shared" si="35"/>
        <v>0.75</v>
      </c>
      <c r="AH55" s="387">
        <f t="shared" si="35"/>
        <v>0.05</v>
      </c>
      <c r="AI55" s="387">
        <f t="shared" si="35"/>
        <v>0.2</v>
      </c>
      <c r="AJ55" s="387">
        <f t="shared" si="35"/>
        <v>0</v>
      </c>
    </row>
    <row r="56" spans="2:36" s="148" customFormat="1" ht="27" customHeight="1">
      <c r="B56" s="892"/>
      <c r="C56" s="893"/>
      <c r="D56" s="368">
        <v>6</v>
      </c>
      <c r="E56" s="461" t="s">
        <v>363</v>
      </c>
      <c r="F56" s="372">
        <v>6925.1787000000077</v>
      </c>
      <c r="G56" s="376">
        <v>426.69</v>
      </c>
      <c r="H56" s="463">
        <v>1026.4000000000001</v>
      </c>
      <c r="I56" s="463">
        <v>1026.4000000000001</v>
      </c>
      <c r="J56" s="465">
        <f t="shared" si="24"/>
        <v>1</v>
      </c>
      <c r="K56" s="464">
        <v>1027.5400000000002</v>
      </c>
      <c r="L56" s="465">
        <f t="shared" si="25"/>
        <v>1.0011106780982075</v>
      </c>
      <c r="M56" s="464">
        <v>15.09</v>
      </c>
      <c r="N56" s="465">
        <f t="shared" si="26"/>
        <v>1.4701870615744348E-2</v>
      </c>
      <c r="O56" s="466">
        <f t="shared" si="27"/>
        <v>1042.6300000000001</v>
      </c>
      <c r="P56" s="465">
        <f t="shared" si="28"/>
        <v>1.0158125487139518</v>
      </c>
      <c r="Q56" s="463">
        <v>1.5300000000000002</v>
      </c>
      <c r="R56" s="465">
        <f t="shared" si="29"/>
        <v>1.4906469212782542E-3</v>
      </c>
      <c r="S56" s="495">
        <f t="shared" si="30"/>
        <v>652.83570000000009</v>
      </c>
      <c r="T56" s="466">
        <f t="shared" si="31"/>
        <v>16.230000000000018</v>
      </c>
      <c r="U56" s="465">
        <f t="shared" si="32"/>
        <v>1.5812548713951692E-2</v>
      </c>
      <c r="V56" s="378" t="s">
        <v>174</v>
      </c>
      <c r="W56" s="378" t="s">
        <v>436</v>
      </c>
      <c r="X56" s="379" t="s">
        <v>508</v>
      </c>
      <c r="Y56" s="379" t="s">
        <v>733</v>
      </c>
      <c r="Z56" s="379">
        <v>1</v>
      </c>
      <c r="AA56" s="467" t="s">
        <v>364</v>
      </c>
    </row>
    <row r="57" spans="2:36" s="148" customFormat="1" ht="27" customHeight="1">
      <c r="B57" s="892"/>
      <c r="C57" s="893"/>
      <c r="D57" s="368">
        <v>7</v>
      </c>
      <c r="E57" s="461" t="s">
        <v>647</v>
      </c>
      <c r="F57" s="372">
        <v>6892.2720000000018</v>
      </c>
      <c r="G57" s="376">
        <v>62.43</v>
      </c>
      <c r="H57" s="463">
        <v>2589.89</v>
      </c>
      <c r="I57" s="463">
        <v>2589.89</v>
      </c>
      <c r="J57" s="465">
        <f t="shared" si="24"/>
        <v>1</v>
      </c>
      <c r="K57" s="464">
        <v>2589.89</v>
      </c>
      <c r="L57" s="465">
        <f t="shared" si="25"/>
        <v>1</v>
      </c>
      <c r="M57" s="464">
        <v>110.4</v>
      </c>
      <c r="N57" s="465">
        <f t="shared" si="26"/>
        <v>4.2627293051056225E-2</v>
      </c>
      <c r="O57" s="466">
        <f t="shared" si="27"/>
        <v>2700.29</v>
      </c>
      <c r="P57" s="465">
        <f t="shared" si="28"/>
        <v>1.0426272930510563</v>
      </c>
      <c r="Q57" s="463">
        <v>15.23</v>
      </c>
      <c r="R57" s="465">
        <f t="shared" si="29"/>
        <v>5.8805586337643692E-3</v>
      </c>
      <c r="S57" s="495">
        <f t="shared" si="30"/>
        <v>950.80889999999999</v>
      </c>
      <c r="T57" s="466">
        <f t="shared" si="31"/>
        <v>110.40000000000009</v>
      </c>
      <c r="U57" s="465">
        <f t="shared" si="32"/>
        <v>4.262729305105626E-2</v>
      </c>
      <c r="V57" s="378" t="s">
        <v>174</v>
      </c>
      <c r="W57" s="378" t="s">
        <v>216</v>
      </c>
      <c r="X57" s="379" t="s">
        <v>612</v>
      </c>
      <c r="Y57" s="379" t="s">
        <v>768</v>
      </c>
      <c r="Z57" s="379">
        <v>1</v>
      </c>
      <c r="AA57" s="467" t="s">
        <v>620</v>
      </c>
    </row>
    <row r="58" spans="2:36" s="148" customFormat="1" ht="27" customHeight="1">
      <c r="B58" s="892"/>
      <c r="C58" s="893"/>
      <c r="D58" s="368">
        <v>8</v>
      </c>
      <c r="E58" s="461" t="s">
        <v>709</v>
      </c>
      <c r="F58" s="372">
        <v>6148.5424000000021</v>
      </c>
      <c r="G58" s="376">
        <v>40.04</v>
      </c>
      <c r="H58" s="463">
        <v>3019.96</v>
      </c>
      <c r="I58" s="463">
        <v>3019.96</v>
      </c>
      <c r="J58" s="465">
        <f t="shared" si="24"/>
        <v>1</v>
      </c>
      <c r="K58" s="464">
        <v>3019.96</v>
      </c>
      <c r="L58" s="465">
        <f t="shared" si="25"/>
        <v>1</v>
      </c>
      <c r="M58" s="464">
        <v>153.56</v>
      </c>
      <c r="N58" s="465">
        <f t="shared" si="26"/>
        <v>5.0848355607359036E-2</v>
      </c>
      <c r="O58" s="466">
        <f t="shared" si="27"/>
        <v>3173.52</v>
      </c>
      <c r="P58" s="465">
        <f t="shared" si="28"/>
        <v>1.0508483556073591</v>
      </c>
      <c r="Q58" s="463">
        <v>21.18</v>
      </c>
      <c r="R58" s="465">
        <f t="shared" si="29"/>
        <v>7.0133379250056291E-3</v>
      </c>
      <c r="S58" s="495">
        <f t="shared" si="30"/>
        <v>848.04719999999998</v>
      </c>
      <c r="T58" s="466">
        <f t="shared" si="31"/>
        <v>153.55999999999995</v>
      </c>
      <c r="U58" s="465">
        <f t="shared" si="32"/>
        <v>5.0848355607359022E-2</v>
      </c>
      <c r="V58" s="378" t="s">
        <v>174</v>
      </c>
      <c r="W58" s="378" t="s">
        <v>216</v>
      </c>
      <c r="X58" s="379" t="s">
        <v>612</v>
      </c>
      <c r="Y58" s="379" t="s">
        <v>731</v>
      </c>
      <c r="Z58" s="379">
        <v>1</v>
      </c>
      <c r="AA58" s="467" t="s">
        <v>588</v>
      </c>
    </row>
    <row r="59" spans="2:36" s="148" customFormat="1" ht="27" customHeight="1">
      <c r="B59" s="892"/>
      <c r="C59" s="893"/>
      <c r="D59" s="368">
        <v>9</v>
      </c>
      <c r="E59" s="461" t="s">
        <v>648</v>
      </c>
      <c r="F59" s="372">
        <v>6025.7656000000043</v>
      </c>
      <c r="G59" s="376">
        <v>66.13</v>
      </c>
      <c r="H59" s="463">
        <v>1954.3999999999999</v>
      </c>
      <c r="I59" s="463">
        <v>1954.3999999999999</v>
      </c>
      <c r="J59" s="465">
        <f t="shared" si="24"/>
        <v>1</v>
      </c>
      <c r="K59" s="464">
        <v>1954.3999999999999</v>
      </c>
      <c r="L59" s="465">
        <f t="shared" si="25"/>
        <v>1</v>
      </c>
      <c r="M59" s="464">
        <v>91.12</v>
      </c>
      <c r="N59" s="465">
        <f t="shared" si="26"/>
        <v>4.6623004502660666E-2</v>
      </c>
      <c r="O59" s="466">
        <f t="shared" si="27"/>
        <v>2045.52</v>
      </c>
      <c r="P59" s="465">
        <f t="shared" si="28"/>
        <v>1.0466230045026608</v>
      </c>
      <c r="Q59" s="463">
        <v>9.16</v>
      </c>
      <c r="R59" s="465">
        <f t="shared" si="29"/>
        <v>4.6868604175194437E-3</v>
      </c>
      <c r="S59" s="495">
        <f t="shared" si="30"/>
        <v>605.75079999999991</v>
      </c>
      <c r="T59" s="466">
        <f t="shared" si="31"/>
        <v>91.120000000000118</v>
      </c>
      <c r="U59" s="465">
        <f t="shared" si="32"/>
        <v>4.6623004502660728E-2</v>
      </c>
      <c r="V59" s="378" t="s">
        <v>174</v>
      </c>
      <c r="W59" s="378" t="s">
        <v>436</v>
      </c>
      <c r="X59" s="379" t="s">
        <v>505</v>
      </c>
      <c r="Y59" s="379" t="s">
        <v>499</v>
      </c>
      <c r="Z59" s="379">
        <v>1</v>
      </c>
      <c r="AA59" s="467" t="s">
        <v>343</v>
      </c>
    </row>
    <row r="60" spans="2:36" s="148" customFormat="1" ht="27" customHeight="1">
      <c r="B60" s="892"/>
      <c r="C60" s="893"/>
      <c r="D60" s="368">
        <v>10</v>
      </c>
      <c r="E60" s="461" t="s">
        <v>594</v>
      </c>
      <c r="F60" s="372">
        <v>5958.4000000000015</v>
      </c>
      <c r="G60" s="376">
        <v>760</v>
      </c>
      <c r="H60" s="463">
        <v>275.98999999999995</v>
      </c>
      <c r="I60" s="463">
        <v>275.98999999999995</v>
      </c>
      <c r="J60" s="465">
        <f t="shared" si="24"/>
        <v>1</v>
      </c>
      <c r="K60" s="464">
        <v>275.98999999999995</v>
      </c>
      <c r="L60" s="465">
        <f t="shared" si="25"/>
        <v>1</v>
      </c>
      <c r="M60" s="464">
        <v>7.84</v>
      </c>
      <c r="N60" s="465">
        <f t="shared" si="26"/>
        <v>2.8406826334287479E-2</v>
      </c>
      <c r="O60" s="466">
        <f t="shared" si="27"/>
        <v>283.82999999999993</v>
      </c>
      <c r="P60" s="465">
        <f t="shared" si="28"/>
        <v>1.0284068263342874</v>
      </c>
      <c r="Q60" s="463">
        <v>0.79999999999999993</v>
      </c>
      <c r="R60" s="465">
        <f t="shared" si="29"/>
        <v>2.8986557483966814E-3</v>
      </c>
      <c r="S60" s="495">
        <f t="shared" si="30"/>
        <v>608</v>
      </c>
      <c r="T60" s="466">
        <f t="shared" si="31"/>
        <v>7.839999999999975</v>
      </c>
      <c r="U60" s="465">
        <f t="shared" si="32"/>
        <v>2.8406826334287389E-2</v>
      </c>
      <c r="V60" s="378" t="s">
        <v>174</v>
      </c>
      <c r="W60" s="378" t="s">
        <v>436</v>
      </c>
      <c r="X60" s="379" t="s">
        <v>654</v>
      </c>
      <c r="Y60" s="379" t="s">
        <v>573</v>
      </c>
      <c r="Z60" s="379">
        <v>1</v>
      </c>
      <c r="AA60" s="467" t="s">
        <v>582</v>
      </c>
    </row>
    <row r="61" spans="2:36" s="148" customFormat="1" ht="27" customHeight="1">
      <c r="B61" s="892"/>
      <c r="C61" s="893"/>
      <c r="D61" s="368">
        <v>11</v>
      </c>
      <c r="E61" s="461" t="s">
        <v>434</v>
      </c>
      <c r="F61" s="372">
        <v>5932.7862000000014</v>
      </c>
      <c r="G61" s="376">
        <v>99.51</v>
      </c>
      <c r="H61" s="463">
        <v>1268.0399999999997</v>
      </c>
      <c r="I61" s="463">
        <v>1268.0399999999997</v>
      </c>
      <c r="J61" s="465">
        <f t="shared" si="24"/>
        <v>1</v>
      </c>
      <c r="K61" s="464">
        <v>1268.0399999999997</v>
      </c>
      <c r="L61" s="465">
        <f t="shared" si="25"/>
        <v>1</v>
      </c>
      <c r="M61" s="464">
        <v>59.620000000000005</v>
      </c>
      <c r="N61" s="465">
        <f t="shared" si="26"/>
        <v>4.7017444244661068E-2</v>
      </c>
      <c r="O61" s="466">
        <f t="shared" si="27"/>
        <v>1327.6599999999999</v>
      </c>
      <c r="P61" s="465">
        <f t="shared" si="28"/>
        <v>1.0470174442446611</v>
      </c>
      <c r="Q61" s="463">
        <v>8.9600000000000009</v>
      </c>
      <c r="R61" s="465">
        <f t="shared" si="29"/>
        <v>7.0660231538437297E-3</v>
      </c>
      <c r="S61" s="495">
        <f t="shared" si="30"/>
        <v>891.60960000000011</v>
      </c>
      <c r="T61" s="466">
        <f t="shared" si="31"/>
        <v>59.620000000000118</v>
      </c>
      <c r="U61" s="465">
        <f t="shared" si="32"/>
        <v>4.7017444244661158E-2</v>
      </c>
      <c r="V61" s="378" t="s">
        <v>174</v>
      </c>
      <c r="W61" s="378" t="s">
        <v>436</v>
      </c>
      <c r="X61" s="379" t="s">
        <v>505</v>
      </c>
      <c r="Y61" s="379" t="s">
        <v>499</v>
      </c>
      <c r="Z61" s="379">
        <v>1</v>
      </c>
      <c r="AA61" s="467" t="s">
        <v>351</v>
      </c>
      <c r="AE61" s="383"/>
    </row>
    <row r="62" spans="2:36" s="148" customFormat="1" ht="27" customHeight="1">
      <c r="B62" s="892"/>
      <c r="C62" s="893"/>
      <c r="D62" s="368">
        <v>12</v>
      </c>
      <c r="E62" s="461" t="s">
        <v>440</v>
      </c>
      <c r="F62" s="372">
        <v>5875.5143999999946</v>
      </c>
      <c r="G62" s="376">
        <v>368.13999999999993</v>
      </c>
      <c r="H62" s="463">
        <v>453.65</v>
      </c>
      <c r="I62" s="463">
        <v>453.65</v>
      </c>
      <c r="J62" s="465">
        <f t="shared" si="24"/>
        <v>1</v>
      </c>
      <c r="K62" s="464">
        <v>453.65</v>
      </c>
      <c r="L62" s="465">
        <f t="shared" si="25"/>
        <v>1</v>
      </c>
      <c r="M62" s="464">
        <v>15.96</v>
      </c>
      <c r="N62" s="465">
        <f t="shared" si="26"/>
        <v>3.518130717513502E-2</v>
      </c>
      <c r="O62" s="466">
        <f t="shared" si="27"/>
        <v>469.60999999999996</v>
      </c>
      <c r="P62" s="465">
        <f t="shared" si="28"/>
        <v>1.035181307175135</v>
      </c>
      <c r="Q62" s="463">
        <v>2.27</v>
      </c>
      <c r="R62" s="465">
        <f t="shared" si="29"/>
        <v>5.0038575994709577E-3</v>
      </c>
      <c r="S62" s="495">
        <f t="shared" si="30"/>
        <v>835.67779999999982</v>
      </c>
      <c r="T62" s="466">
        <f t="shared" si="31"/>
        <v>15.95999999999998</v>
      </c>
      <c r="U62" s="465">
        <f t="shared" si="32"/>
        <v>3.5181307175134971E-2</v>
      </c>
      <c r="V62" s="378" t="s">
        <v>174</v>
      </c>
      <c r="W62" s="378" t="s">
        <v>436</v>
      </c>
      <c r="X62" s="379" t="s">
        <v>769</v>
      </c>
      <c r="Y62" s="379" t="s">
        <v>732</v>
      </c>
      <c r="Z62" s="379">
        <v>1</v>
      </c>
      <c r="AA62" s="467" t="s">
        <v>441</v>
      </c>
    </row>
    <row r="63" spans="2:36" s="148" customFormat="1" ht="27" customHeight="1">
      <c r="B63" s="892"/>
      <c r="C63" s="893"/>
      <c r="D63" s="368">
        <v>13</v>
      </c>
      <c r="E63" s="461" t="s">
        <v>427</v>
      </c>
      <c r="F63" s="372">
        <v>5479.6676999999972</v>
      </c>
      <c r="G63" s="376">
        <v>157.87000000000003</v>
      </c>
      <c r="H63" s="463">
        <v>1899.02</v>
      </c>
      <c r="I63" s="463">
        <v>1899.02</v>
      </c>
      <c r="J63" s="465">
        <f t="shared" si="24"/>
        <v>1</v>
      </c>
      <c r="K63" s="464">
        <v>1903.9</v>
      </c>
      <c r="L63" s="465">
        <f t="shared" si="25"/>
        <v>1.0025697465008268</v>
      </c>
      <c r="M63" s="464">
        <v>29.830000000000002</v>
      </c>
      <c r="N63" s="465">
        <f t="shared" si="26"/>
        <v>1.5708102073701172E-2</v>
      </c>
      <c r="O63" s="466">
        <f t="shared" si="27"/>
        <v>1933.73</v>
      </c>
      <c r="P63" s="465">
        <f t="shared" si="28"/>
        <v>1.0182778485745279</v>
      </c>
      <c r="Q63" s="463">
        <v>13.33</v>
      </c>
      <c r="R63" s="465">
        <f t="shared" si="29"/>
        <v>7.0194100114796057E-3</v>
      </c>
      <c r="S63" s="495">
        <f t="shared" si="30"/>
        <v>2104.4071000000004</v>
      </c>
      <c r="T63" s="466">
        <f t="shared" si="31"/>
        <v>34.710000000000036</v>
      </c>
      <c r="U63" s="465">
        <f t="shared" si="32"/>
        <v>1.8277848574527935E-2</v>
      </c>
      <c r="V63" s="378" t="s">
        <v>174</v>
      </c>
      <c r="W63" s="378" t="s">
        <v>436</v>
      </c>
      <c r="X63" s="379" t="s">
        <v>610</v>
      </c>
      <c r="Y63" s="379" t="s">
        <v>611</v>
      </c>
      <c r="Z63" s="379">
        <v>1</v>
      </c>
      <c r="AA63" s="467" t="s">
        <v>342</v>
      </c>
    </row>
    <row r="64" spans="2:36" s="148" customFormat="1" ht="27" customHeight="1">
      <c r="B64" s="892"/>
      <c r="C64" s="893"/>
      <c r="D64" s="368">
        <v>14</v>
      </c>
      <c r="E64" s="461" t="s">
        <v>513</v>
      </c>
      <c r="F64" s="372">
        <v>5476.1378000000004</v>
      </c>
      <c r="G64" s="376">
        <v>370.50999999999993</v>
      </c>
      <c r="H64" s="463">
        <v>415.8</v>
      </c>
      <c r="I64" s="463">
        <v>415.8</v>
      </c>
      <c r="J64" s="465">
        <f t="shared" si="24"/>
        <v>1</v>
      </c>
      <c r="K64" s="464">
        <v>415.8</v>
      </c>
      <c r="L64" s="465">
        <f t="shared" si="25"/>
        <v>1</v>
      </c>
      <c r="M64" s="464">
        <v>14.780000000000001</v>
      </c>
      <c r="N64" s="465">
        <f t="shared" si="26"/>
        <v>3.5545935545935547E-2</v>
      </c>
      <c r="O64" s="466">
        <f t="shared" si="27"/>
        <v>430.58000000000004</v>
      </c>
      <c r="P64" s="465">
        <f t="shared" si="28"/>
        <v>1.0355459355459355</v>
      </c>
      <c r="Q64" s="463">
        <v>2.54</v>
      </c>
      <c r="R64" s="465">
        <f t="shared" si="29"/>
        <v>6.1087061087061086E-3</v>
      </c>
      <c r="S64" s="495">
        <f t="shared" si="30"/>
        <v>941.09539999999981</v>
      </c>
      <c r="T64" s="466">
        <f t="shared" si="31"/>
        <v>14.78000000000003</v>
      </c>
      <c r="U64" s="465">
        <f t="shared" si="32"/>
        <v>3.5545935545935617E-2</v>
      </c>
      <c r="V64" s="378" t="s">
        <v>174</v>
      </c>
      <c r="W64" s="378" t="s">
        <v>436</v>
      </c>
      <c r="X64" s="379" t="s">
        <v>769</v>
      </c>
      <c r="Y64" s="379" t="s">
        <v>732</v>
      </c>
      <c r="Z64" s="379">
        <v>1</v>
      </c>
      <c r="AA64" s="467" t="s">
        <v>356</v>
      </c>
    </row>
    <row r="65" spans="2:36" s="148" customFormat="1" ht="27" customHeight="1">
      <c r="B65" s="892"/>
      <c r="C65" s="893"/>
      <c r="D65" s="368">
        <v>15</v>
      </c>
      <c r="E65" s="461" t="s">
        <v>753</v>
      </c>
      <c r="F65" s="372">
        <v>5135.4756000000016</v>
      </c>
      <c r="G65" s="376">
        <v>126.99</v>
      </c>
      <c r="H65" s="463">
        <v>1067.8700000000001</v>
      </c>
      <c r="I65" s="463">
        <v>1067.8700000000001</v>
      </c>
      <c r="J65" s="465">
        <f t="shared" si="24"/>
        <v>1</v>
      </c>
      <c r="K65" s="464">
        <v>1067.8700000000001</v>
      </c>
      <c r="L65" s="465">
        <f t="shared" si="25"/>
        <v>1</v>
      </c>
      <c r="M65" s="464">
        <v>40.440000000000005</v>
      </c>
      <c r="N65" s="465">
        <f t="shared" si="26"/>
        <v>3.7869778156517181E-2</v>
      </c>
      <c r="O65" s="466">
        <f t="shared" si="27"/>
        <v>1108.3100000000002</v>
      </c>
      <c r="P65" s="465">
        <f t="shared" si="28"/>
        <v>1.0378697781565172</v>
      </c>
      <c r="Q65" s="463">
        <v>5.64</v>
      </c>
      <c r="R65" s="465">
        <f t="shared" si="29"/>
        <v>5.2815417607012085E-3</v>
      </c>
      <c r="S65" s="495">
        <f t="shared" si="30"/>
        <v>716.22359999999992</v>
      </c>
      <c r="T65" s="466">
        <f t="shared" si="31"/>
        <v>40.440000000000055</v>
      </c>
      <c r="U65" s="465">
        <f t="shared" si="32"/>
        <v>3.7869778156517223E-2</v>
      </c>
      <c r="V65" s="378" t="s">
        <v>174</v>
      </c>
      <c r="W65" s="378" t="s">
        <v>436</v>
      </c>
      <c r="X65" s="379" t="s">
        <v>610</v>
      </c>
      <c r="Y65" s="379" t="s">
        <v>611</v>
      </c>
      <c r="Z65" s="379">
        <v>1</v>
      </c>
      <c r="AA65" s="467" t="s">
        <v>342</v>
      </c>
    </row>
    <row r="66" spans="2:36" s="148" customFormat="1" ht="27" customHeight="1">
      <c r="B66" s="892"/>
      <c r="C66" s="893"/>
      <c r="D66" s="368">
        <v>16</v>
      </c>
      <c r="E66" s="461" t="s">
        <v>338</v>
      </c>
      <c r="F66" s="372">
        <v>5095.1631999999981</v>
      </c>
      <c r="G66" s="376">
        <v>70.220000000000013</v>
      </c>
      <c r="H66" s="463">
        <v>1724.1</v>
      </c>
      <c r="I66" s="463">
        <v>1724.1</v>
      </c>
      <c r="J66" s="465">
        <f t="shared" si="24"/>
        <v>1</v>
      </c>
      <c r="K66" s="464">
        <v>1724.1</v>
      </c>
      <c r="L66" s="465">
        <f t="shared" si="25"/>
        <v>1</v>
      </c>
      <c r="M66" s="464">
        <v>72.56</v>
      </c>
      <c r="N66" s="465">
        <f t="shared" si="26"/>
        <v>4.2085725885969497E-2</v>
      </c>
      <c r="O66" s="466">
        <f t="shared" si="27"/>
        <v>1796.6599999999999</v>
      </c>
      <c r="P66" s="465">
        <f t="shared" si="28"/>
        <v>1.0420857258859695</v>
      </c>
      <c r="Q66" s="463">
        <v>11.850000000000001</v>
      </c>
      <c r="R66" s="465">
        <f t="shared" si="29"/>
        <v>6.8731512093266065E-3</v>
      </c>
      <c r="S66" s="495">
        <f t="shared" si="30"/>
        <v>832.1070000000002</v>
      </c>
      <c r="T66" s="466">
        <f t="shared" si="31"/>
        <v>72.559999999999945</v>
      </c>
      <c r="U66" s="465">
        <f t="shared" si="32"/>
        <v>4.2085725885969462E-2</v>
      </c>
      <c r="V66" s="378" t="s">
        <v>174</v>
      </c>
      <c r="W66" s="378" t="s">
        <v>436</v>
      </c>
      <c r="X66" s="379" t="s">
        <v>505</v>
      </c>
      <c r="Y66" s="379" t="s">
        <v>499</v>
      </c>
      <c r="Z66" s="379">
        <v>1</v>
      </c>
      <c r="AA66" s="467" t="s">
        <v>345</v>
      </c>
    </row>
    <row r="67" spans="2:36" s="148" customFormat="1" ht="27" customHeight="1">
      <c r="B67" s="892"/>
      <c r="C67" s="893"/>
      <c r="D67" s="368">
        <v>17</v>
      </c>
      <c r="E67" s="461" t="s">
        <v>495</v>
      </c>
      <c r="F67" s="372">
        <v>5080.7609999999986</v>
      </c>
      <c r="G67" s="376">
        <v>84.3</v>
      </c>
      <c r="H67" s="463">
        <v>1502.0300000000002</v>
      </c>
      <c r="I67" s="463">
        <v>1502.0300000000002</v>
      </c>
      <c r="J67" s="465">
        <f t="shared" si="24"/>
        <v>1</v>
      </c>
      <c r="K67" s="464">
        <v>1502.0300000000002</v>
      </c>
      <c r="L67" s="465">
        <f t="shared" si="25"/>
        <v>1</v>
      </c>
      <c r="M67" s="464">
        <v>60.269999999999996</v>
      </c>
      <c r="N67" s="465">
        <f t="shared" si="26"/>
        <v>4.0125696557325743E-2</v>
      </c>
      <c r="O67" s="466">
        <f t="shared" si="27"/>
        <v>1562.3000000000002</v>
      </c>
      <c r="P67" s="465">
        <f t="shared" si="28"/>
        <v>1.0401256965573258</v>
      </c>
      <c r="Q67" s="463">
        <v>8.5500000000000007</v>
      </c>
      <c r="R67" s="465">
        <f t="shared" si="29"/>
        <v>5.6922964255041505E-3</v>
      </c>
      <c r="S67" s="495">
        <f t="shared" si="30"/>
        <v>720.76499999999999</v>
      </c>
      <c r="T67" s="466">
        <f t="shared" si="31"/>
        <v>60.269999999999982</v>
      </c>
      <c r="U67" s="465">
        <f t="shared" si="32"/>
        <v>4.0125696557325737E-2</v>
      </c>
      <c r="V67" s="378" t="s">
        <v>174</v>
      </c>
      <c r="W67" s="378" t="s">
        <v>436</v>
      </c>
      <c r="X67" s="379" t="s">
        <v>505</v>
      </c>
      <c r="Y67" s="379" t="s">
        <v>499</v>
      </c>
      <c r="Z67" s="379">
        <v>1</v>
      </c>
      <c r="AA67" s="467" t="s">
        <v>493</v>
      </c>
    </row>
    <row r="68" spans="2:36" s="148" customFormat="1" ht="27" customHeight="1">
      <c r="B68" s="892"/>
      <c r="C68" s="893"/>
      <c r="D68" s="368">
        <v>18</v>
      </c>
      <c r="E68" s="461" t="s">
        <v>591</v>
      </c>
      <c r="F68" s="372">
        <v>4772.8862999999856</v>
      </c>
      <c r="G68" s="376">
        <v>39.389999999999993</v>
      </c>
      <c r="H68" s="463">
        <v>24458.579999999998</v>
      </c>
      <c r="I68" s="463">
        <v>24458.579999999998</v>
      </c>
      <c r="J68" s="465">
        <f t="shared" si="24"/>
        <v>1</v>
      </c>
      <c r="K68" s="464">
        <v>24458.579999999998</v>
      </c>
      <c r="L68" s="465">
        <f t="shared" si="25"/>
        <v>1</v>
      </c>
      <c r="M68" s="464">
        <v>121.16999999999999</v>
      </c>
      <c r="N68" s="465">
        <f t="shared" si="26"/>
        <v>4.9540897304749497E-3</v>
      </c>
      <c r="O68" s="466">
        <f t="shared" si="27"/>
        <v>24579.749999999996</v>
      </c>
      <c r="P68" s="465">
        <f t="shared" si="28"/>
        <v>1.004954089730475</v>
      </c>
      <c r="Q68" s="463">
        <v>33.58</v>
      </c>
      <c r="R68" s="465">
        <f t="shared" si="29"/>
        <v>1.3729333428187573E-3</v>
      </c>
      <c r="S68" s="495">
        <f t="shared" si="30"/>
        <v>1322.7161999999996</v>
      </c>
      <c r="T68" s="466">
        <f t="shared" si="31"/>
        <v>121.16999999999825</v>
      </c>
      <c r="U68" s="465">
        <f t="shared" si="32"/>
        <v>4.9540897304748786E-3</v>
      </c>
      <c r="V68" s="378" t="s">
        <v>174</v>
      </c>
      <c r="W68" s="378" t="s">
        <v>216</v>
      </c>
      <c r="X68" s="379" t="s">
        <v>770</v>
      </c>
      <c r="Y68" s="379" t="s">
        <v>731</v>
      </c>
      <c r="Z68" s="379">
        <v>1</v>
      </c>
      <c r="AA68" s="467" t="s">
        <v>342</v>
      </c>
    </row>
    <row r="69" spans="2:36" s="148" customFormat="1" ht="27" customHeight="1">
      <c r="B69" s="892"/>
      <c r="C69" s="893"/>
      <c r="D69" s="368">
        <v>19</v>
      </c>
      <c r="E69" s="461" t="s">
        <v>498</v>
      </c>
      <c r="F69" s="372">
        <v>4770.3612000000003</v>
      </c>
      <c r="G69" s="376">
        <v>421.40999999999997</v>
      </c>
      <c r="H69" s="463">
        <v>218.64000000000001</v>
      </c>
      <c r="I69" s="463">
        <v>218.64000000000001</v>
      </c>
      <c r="J69" s="465">
        <f t="shared" si="24"/>
        <v>1</v>
      </c>
      <c r="K69" s="464">
        <v>218.64000000000001</v>
      </c>
      <c r="L69" s="465">
        <f t="shared" si="25"/>
        <v>1</v>
      </c>
      <c r="M69" s="464">
        <v>11.32</v>
      </c>
      <c r="N69" s="465">
        <f t="shared" si="26"/>
        <v>5.1774606659348701E-2</v>
      </c>
      <c r="O69" s="466">
        <f t="shared" si="27"/>
        <v>229.96</v>
      </c>
      <c r="P69" s="465">
        <f t="shared" si="28"/>
        <v>1.0517746066593487</v>
      </c>
      <c r="Q69" s="463">
        <v>1.7200000000000002</v>
      </c>
      <c r="R69" s="465">
        <f t="shared" si="29"/>
        <v>7.8668130259787784E-3</v>
      </c>
      <c r="S69" s="495">
        <f t="shared" si="30"/>
        <v>724.8252</v>
      </c>
      <c r="T69" s="466">
        <f t="shared" si="31"/>
        <v>11.319999999999993</v>
      </c>
      <c r="U69" s="465">
        <f t="shared" si="32"/>
        <v>5.1774606659348667E-2</v>
      </c>
      <c r="V69" s="378" t="s">
        <v>174</v>
      </c>
      <c r="W69" s="378" t="s">
        <v>436</v>
      </c>
      <c r="X69" s="379" t="s">
        <v>506</v>
      </c>
      <c r="Y69" s="379" t="s">
        <v>732</v>
      </c>
      <c r="Z69" s="379">
        <v>1</v>
      </c>
      <c r="AA69" s="467" t="s">
        <v>450</v>
      </c>
    </row>
    <row r="70" spans="2:36" s="148" customFormat="1" ht="27" customHeight="1">
      <c r="B70" s="894"/>
      <c r="C70" s="895"/>
      <c r="D70" s="368">
        <v>20</v>
      </c>
      <c r="E70" s="461" t="s">
        <v>592</v>
      </c>
      <c r="F70" s="372">
        <v>4641.28</v>
      </c>
      <c r="G70" s="376">
        <v>896</v>
      </c>
      <c r="H70" s="463">
        <v>267.83000000000004</v>
      </c>
      <c r="I70" s="463">
        <v>267.83000000000004</v>
      </c>
      <c r="J70" s="465">
        <f t="shared" si="24"/>
        <v>1</v>
      </c>
      <c r="K70" s="464">
        <v>267.83000000000004</v>
      </c>
      <c r="L70" s="465">
        <f t="shared" si="25"/>
        <v>1</v>
      </c>
      <c r="M70" s="464">
        <v>5.18</v>
      </c>
      <c r="N70" s="465">
        <f t="shared" si="26"/>
        <v>1.9340626516820367E-2</v>
      </c>
      <c r="O70" s="466">
        <f t="shared" si="27"/>
        <v>273.01000000000005</v>
      </c>
      <c r="P70" s="465">
        <f t="shared" si="28"/>
        <v>1.0193406265168203</v>
      </c>
      <c r="Q70" s="463">
        <v>0.53</v>
      </c>
      <c r="R70" s="465">
        <f t="shared" si="29"/>
        <v>1.9788671918754431E-3</v>
      </c>
      <c r="S70" s="495">
        <f t="shared" si="30"/>
        <v>474.88</v>
      </c>
      <c r="T70" s="466">
        <f t="shared" si="31"/>
        <v>5.1800000000000068</v>
      </c>
      <c r="U70" s="465">
        <f t="shared" si="32"/>
        <v>1.9340626516820395E-2</v>
      </c>
      <c r="V70" s="378" t="s">
        <v>174</v>
      </c>
      <c r="W70" s="378" t="s">
        <v>436</v>
      </c>
      <c r="X70" s="379" t="s">
        <v>771</v>
      </c>
      <c r="Y70" s="379" t="s">
        <v>573</v>
      </c>
      <c r="Z70" s="379">
        <v>1</v>
      </c>
      <c r="AA70" s="467" t="s">
        <v>599</v>
      </c>
    </row>
    <row r="71" spans="2:36" ht="17.100000000000001" customHeight="1">
      <c r="B71" s="856" t="s">
        <v>453</v>
      </c>
      <c r="C71" s="857"/>
      <c r="D71" s="867" t="s">
        <v>661</v>
      </c>
      <c r="E71" s="900" t="s">
        <v>662</v>
      </c>
      <c r="F71" s="903" t="s">
        <v>702</v>
      </c>
      <c r="G71" s="870" t="s">
        <v>664</v>
      </c>
      <c r="H71" s="901" t="s">
        <v>665</v>
      </c>
      <c r="I71" s="868" t="s">
        <v>666</v>
      </c>
      <c r="J71" s="869"/>
      <c r="K71" s="868" t="s">
        <v>667</v>
      </c>
      <c r="L71" s="869"/>
      <c r="M71" s="868" t="s">
        <v>668</v>
      </c>
      <c r="N71" s="869"/>
      <c r="O71" s="868" t="s">
        <v>669</v>
      </c>
      <c r="P71" s="869"/>
      <c r="Q71" s="868" t="s">
        <v>424</v>
      </c>
      <c r="R71" s="902"/>
      <c r="S71" s="869"/>
      <c r="T71" s="872" t="s">
        <v>425</v>
      </c>
      <c r="U71" s="873"/>
      <c r="V71" s="864" t="s">
        <v>171</v>
      </c>
      <c r="W71" s="864" t="s">
        <v>245</v>
      </c>
      <c r="X71" s="864" t="s">
        <v>670</v>
      </c>
      <c r="Y71" s="864" t="s">
        <v>455</v>
      </c>
      <c r="Z71" s="864" t="s">
        <v>246</v>
      </c>
      <c r="AA71" s="870" t="s">
        <v>172</v>
      </c>
      <c r="AC71" s="875" t="s">
        <v>247</v>
      </c>
      <c r="AD71" s="876"/>
      <c r="AE71" s="876"/>
      <c r="AF71" s="876"/>
      <c r="AG71" s="876"/>
      <c r="AH71" s="876"/>
      <c r="AI71" s="876"/>
      <c r="AJ71" s="877"/>
    </row>
    <row r="72" spans="2:36" ht="16.5" customHeight="1">
      <c r="B72" s="858"/>
      <c r="C72" s="859"/>
      <c r="D72" s="867"/>
      <c r="E72" s="867"/>
      <c r="F72" s="886"/>
      <c r="G72" s="871"/>
      <c r="H72" s="871"/>
      <c r="I72" s="459" t="s">
        <v>671</v>
      </c>
      <c r="J72" s="369" t="s">
        <v>672</v>
      </c>
      <c r="K72" s="459" t="s">
        <v>671</v>
      </c>
      <c r="L72" s="369" t="s">
        <v>672</v>
      </c>
      <c r="M72" s="459" t="s">
        <v>671</v>
      </c>
      <c r="N72" s="369" t="s">
        <v>672</v>
      </c>
      <c r="O72" s="459" t="s">
        <v>671</v>
      </c>
      <c r="P72" s="369" t="s">
        <v>672</v>
      </c>
      <c r="Q72" s="459" t="s">
        <v>671</v>
      </c>
      <c r="R72" s="369" t="s">
        <v>672</v>
      </c>
      <c r="S72" s="369" t="s">
        <v>673</v>
      </c>
      <c r="T72" s="459" t="s">
        <v>671</v>
      </c>
      <c r="U72" s="369" t="s">
        <v>672</v>
      </c>
      <c r="V72" s="866"/>
      <c r="W72" s="866"/>
      <c r="X72" s="866"/>
      <c r="Y72" s="866"/>
      <c r="Z72" s="866"/>
      <c r="AA72" s="871"/>
      <c r="AC72" s="878"/>
      <c r="AD72" s="879"/>
      <c r="AE72" s="879"/>
      <c r="AF72" s="879"/>
      <c r="AG72" s="879"/>
      <c r="AH72" s="879"/>
      <c r="AI72" s="879"/>
      <c r="AJ72" s="880"/>
    </row>
    <row r="73" spans="2:36" s="148" customFormat="1" ht="27" customHeight="1">
      <c r="B73" s="890" t="s">
        <v>678</v>
      </c>
      <c r="C73" s="891"/>
      <c r="D73" s="368">
        <v>1</v>
      </c>
      <c r="E73" s="461" t="s">
        <v>337</v>
      </c>
      <c r="F73" s="372">
        <v>17150.531899999991</v>
      </c>
      <c r="G73" s="376">
        <v>147.43000000000004</v>
      </c>
      <c r="H73" s="463">
        <v>4816.09</v>
      </c>
      <c r="I73" s="463">
        <v>4816.09</v>
      </c>
      <c r="J73" s="465">
        <f>IFERROR(I73/H73,"-")</f>
        <v>1</v>
      </c>
      <c r="K73" s="464">
        <v>4816.09</v>
      </c>
      <c r="L73" s="465">
        <f>IFERROR(K73/H73,"-")</f>
        <v>1</v>
      </c>
      <c r="M73" s="464">
        <v>116.33</v>
      </c>
      <c r="N73" s="465">
        <f>IFERROR(M73/H73,"-")</f>
        <v>2.4154448940945868E-2</v>
      </c>
      <c r="O73" s="466">
        <f>IFERROR(K73+M73,"-")</f>
        <v>4932.42</v>
      </c>
      <c r="P73" s="465">
        <f>IFERROR(O73/H73,"-")</f>
        <v>1.0241544489409458</v>
      </c>
      <c r="Q73" s="463">
        <v>20.209999999999997</v>
      </c>
      <c r="R73" s="465">
        <f>IFERROR(Q73/H73,"-")</f>
        <v>4.1963501512637842E-3</v>
      </c>
      <c r="S73" s="495">
        <f>IFERROR(Q73*G73,"-")</f>
        <v>2979.5603000000001</v>
      </c>
      <c r="T73" s="466">
        <f>IFERROR(O73-H73,"-")</f>
        <v>116.32999999999993</v>
      </c>
      <c r="U73" s="465">
        <f>IFERROR(T73/H73,"-")</f>
        <v>2.4154448940945854E-2</v>
      </c>
      <c r="V73" s="378" t="s">
        <v>174</v>
      </c>
      <c r="W73" s="378" t="s">
        <v>215</v>
      </c>
      <c r="X73" s="379"/>
      <c r="Y73" s="379"/>
      <c r="Z73" s="379">
        <v>1</v>
      </c>
      <c r="AA73" s="467" t="s">
        <v>342</v>
      </c>
      <c r="AC73" s="881"/>
      <c r="AD73" s="882"/>
      <c r="AE73" s="882"/>
      <c r="AF73" s="882"/>
      <c r="AG73" s="882"/>
      <c r="AH73" s="882"/>
      <c r="AI73" s="882"/>
      <c r="AJ73" s="883"/>
    </row>
    <row r="74" spans="2:36" s="148" customFormat="1" ht="27" customHeight="1">
      <c r="B74" s="892"/>
      <c r="C74" s="893"/>
      <c r="D74" s="368">
        <v>2</v>
      </c>
      <c r="E74" s="461" t="s">
        <v>476</v>
      </c>
      <c r="F74" s="372">
        <v>9549.2708000000075</v>
      </c>
      <c r="G74" s="376">
        <v>407.74000000000007</v>
      </c>
      <c r="H74" s="463">
        <v>1130.72</v>
      </c>
      <c r="I74" s="463">
        <v>1130.72</v>
      </c>
      <c r="J74" s="465">
        <f t="shared" ref="J74:J92" si="36">IFERROR(I74/H74,"-")</f>
        <v>1</v>
      </c>
      <c r="K74" s="464">
        <v>1130.72</v>
      </c>
      <c r="L74" s="465">
        <f t="shared" ref="L74:L92" si="37">IFERROR(K74/H74,"-")</f>
        <v>1</v>
      </c>
      <c r="M74" s="464">
        <v>23.419999999999998</v>
      </c>
      <c r="N74" s="465">
        <f t="shared" ref="N74:N92" si="38">IFERROR(M74/H74,"-")</f>
        <v>2.0712466393094663E-2</v>
      </c>
      <c r="O74" s="466">
        <f t="shared" ref="O74:O92" si="39">IFERROR(K74+M74,"-")</f>
        <v>1154.1400000000001</v>
      </c>
      <c r="P74" s="465">
        <f t="shared" ref="P74:P92" si="40">IFERROR(O74/H74,"-")</f>
        <v>1.0207124663930947</v>
      </c>
      <c r="Q74" s="463">
        <v>2.16</v>
      </c>
      <c r="R74" s="465">
        <f t="shared" ref="R74:R92" si="41">IFERROR(Q74/H74,"-")</f>
        <v>1.9102872506013867E-3</v>
      </c>
      <c r="S74" s="495">
        <f t="shared" ref="S74:S92" si="42">IFERROR(Q74*G74,"-")</f>
        <v>880.7184000000002</v>
      </c>
      <c r="T74" s="466">
        <f t="shared" ref="T74:T92" si="43">IFERROR(O74-H74,"-")</f>
        <v>23.420000000000073</v>
      </c>
      <c r="U74" s="465">
        <f t="shared" ref="U74:U92" si="44">IFERROR(T74/H74,"-")</f>
        <v>2.0712466393094729E-2</v>
      </c>
      <c r="V74" s="378" t="s">
        <v>174</v>
      </c>
      <c r="W74" s="378" t="s">
        <v>216</v>
      </c>
      <c r="X74" s="379"/>
      <c r="Y74" s="379"/>
      <c r="Z74" s="379">
        <v>1</v>
      </c>
      <c r="AA74" s="467" t="s">
        <v>478</v>
      </c>
      <c r="AC74" s="161" t="s">
        <v>244</v>
      </c>
      <c r="AD74" s="161" t="s">
        <v>456</v>
      </c>
      <c r="AE74" s="156" t="s">
        <v>674</v>
      </c>
      <c r="AF74" s="156" t="s">
        <v>339</v>
      </c>
      <c r="AG74" s="156" t="s">
        <v>436</v>
      </c>
      <c r="AH74" s="156" t="s">
        <v>215</v>
      </c>
      <c r="AI74" s="156" t="s">
        <v>216</v>
      </c>
      <c r="AJ74" s="156" t="s">
        <v>390</v>
      </c>
    </row>
    <row r="75" spans="2:36" s="148" customFormat="1" ht="27" customHeight="1">
      <c r="B75" s="892"/>
      <c r="C75" s="893"/>
      <c r="D75" s="368">
        <v>3</v>
      </c>
      <c r="E75" s="461" t="s">
        <v>392</v>
      </c>
      <c r="F75" s="372">
        <v>9070.2479999999996</v>
      </c>
      <c r="G75" s="376">
        <v>127.84000000000002</v>
      </c>
      <c r="H75" s="463">
        <v>4232.4800000000005</v>
      </c>
      <c r="I75" s="463">
        <v>4232.4800000000005</v>
      </c>
      <c r="J75" s="465">
        <f t="shared" si="36"/>
        <v>1</v>
      </c>
      <c r="K75" s="464">
        <v>4232.4800000000005</v>
      </c>
      <c r="L75" s="465">
        <f t="shared" si="37"/>
        <v>1</v>
      </c>
      <c r="M75" s="464">
        <v>70.949999999999989</v>
      </c>
      <c r="N75" s="465">
        <f t="shared" si="38"/>
        <v>1.6763221562771703E-2</v>
      </c>
      <c r="O75" s="466">
        <f t="shared" si="39"/>
        <v>4303.43</v>
      </c>
      <c r="P75" s="465">
        <f t="shared" si="40"/>
        <v>1.0167632215627718</v>
      </c>
      <c r="Q75" s="463">
        <v>26.279999999999994</v>
      </c>
      <c r="R75" s="465">
        <f t="shared" si="41"/>
        <v>6.2091256190224152E-3</v>
      </c>
      <c r="S75" s="495">
        <f t="shared" si="42"/>
        <v>3359.6351999999997</v>
      </c>
      <c r="T75" s="466">
        <f t="shared" si="43"/>
        <v>70.949999999999818</v>
      </c>
      <c r="U75" s="465">
        <f t="shared" si="44"/>
        <v>1.6763221562771664E-2</v>
      </c>
      <c r="V75" s="378" t="s">
        <v>174</v>
      </c>
      <c r="W75" s="378" t="s">
        <v>436</v>
      </c>
      <c r="X75" s="379"/>
      <c r="Y75" s="379"/>
      <c r="Z75" s="379">
        <v>1</v>
      </c>
      <c r="AA75" s="467" t="s">
        <v>342</v>
      </c>
      <c r="AC75" s="388">
        <f>SUM(Z73:Z92)</f>
        <v>20</v>
      </c>
      <c r="AD75" s="382">
        <f>SUMIF($W$73:$W$92,TRIM(AD74),$Z$73:$Z$92)</f>
        <v>0</v>
      </c>
      <c r="AE75" s="382">
        <f t="shared" ref="AE75:AJ75" si="45">SUMIF($W$73:$W$92,TRIM(AE74),$Z$73:$Z$92)</f>
        <v>0</v>
      </c>
      <c r="AF75" s="382">
        <f t="shared" si="45"/>
        <v>0</v>
      </c>
      <c r="AG75" s="382">
        <f t="shared" si="45"/>
        <v>14</v>
      </c>
      <c r="AH75" s="382">
        <f t="shared" si="45"/>
        <v>1</v>
      </c>
      <c r="AI75" s="382">
        <f t="shared" si="45"/>
        <v>5</v>
      </c>
      <c r="AJ75" s="382">
        <f t="shared" si="45"/>
        <v>0</v>
      </c>
    </row>
    <row r="76" spans="2:36" s="148" customFormat="1" ht="27" customHeight="1">
      <c r="B76" s="892"/>
      <c r="C76" s="893"/>
      <c r="D76" s="368">
        <v>4</v>
      </c>
      <c r="E76" s="461" t="s">
        <v>750</v>
      </c>
      <c r="F76" s="372">
        <v>8282.7248000000018</v>
      </c>
      <c r="G76" s="376">
        <v>113.68000000000004</v>
      </c>
      <c r="H76" s="463">
        <v>1958.9</v>
      </c>
      <c r="I76" s="463">
        <v>1958.9</v>
      </c>
      <c r="J76" s="465">
        <f t="shared" si="36"/>
        <v>1</v>
      </c>
      <c r="K76" s="464">
        <v>1958.9</v>
      </c>
      <c r="L76" s="465">
        <f t="shared" si="37"/>
        <v>1</v>
      </c>
      <c r="M76" s="464">
        <v>72.86</v>
      </c>
      <c r="N76" s="465">
        <f t="shared" si="38"/>
        <v>3.7194343764357547E-2</v>
      </c>
      <c r="O76" s="466">
        <f t="shared" si="39"/>
        <v>2031.76</v>
      </c>
      <c r="P76" s="465">
        <f t="shared" si="40"/>
        <v>1.0371943437643576</v>
      </c>
      <c r="Q76" s="463">
        <v>7.21</v>
      </c>
      <c r="R76" s="465">
        <f t="shared" si="41"/>
        <v>3.6806370922456478E-3</v>
      </c>
      <c r="S76" s="495">
        <f t="shared" si="42"/>
        <v>819.6328000000002</v>
      </c>
      <c r="T76" s="466">
        <f t="shared" si="43"/>
        <v>72.8599999999999</v>
      </c>
      <c r="U76" s="465">
        <f t="shared" si="44"/>
        <v>3.7194343764357492E-2</v>
      </c>
      <c r="V76" s="378" t="s">
        <v>174</v>
      </c>
      <c r="W76" s="378" t="s">
        <v>436</v>
      </c>
      <c r="X76" s="379"/>
      <c r="Y76" s="379"/>
      <c r="Z76" s="379">
        <v>1</v>
      </c>
      <c r="AA76" s="467" t="s">
        <v>697</v>
      </c>
      <c r="AC76" s="389"/>
      <c r="AD76" s="386">
        <f>SUMIF($W$73:$W$92,TRIM(AD74),$F$73:$F$92)</f>
        <v>0</v>
      </c>
      <c r="AE76" s="386">
        <f t="shared" ref="AE76:AJ76" si="46">SUMIF($W$73:$W$92,TRIM(AE74),$F$73:$F$92)</f>
        <v>0</v>
      </c>
      <c r="AF76" s="386">
        <f t="shared" si="46"/>
        <v>0</v>
      </c>
      <c r="AG76" s="386">
        <f t="shared" si="46"/>
        <v>85694.064900000012</v>
      </c>
      <c r="AH76" s="386">
        <f t="shared" si="46"/>
        <v>17150.531899999991</v>
      </c>
      <c r="AI76" s="386">
        <f t="shared" si="46"/>
        <v>31135.338600000017</v>
      </c>
      <c r="AJ76" s="386">
        <f t="shared" si="46"/>
        <v>0</v>
      </c>
    </row>
    <row r="77" spans="2:36" s="148" customFormat="1" ht="27" customHeight="1">
      <c r="B77" s="892"/>
      <c r="C77" s="893"/>
      <c r="D77" s="368">
        <v>5</v>
      </c>
      <c r="E77" s="461" t="s">
        <v>362</v>
      </c>
      <c r="F77" s="372">
        <v>6239.8374999999987</v>
      </c>
      <c r="G77" s="376">
        <v>152.75</v>
      </c>
      <c r="H77" s="463">
        <v>1399.7199999999998</v>
      </c>
      <c r="I77" s="463">
        <v>1399.7199999999998</v>
      </c>
      <c r="J77" s="465">
        <f t="shared" si="36"/>
        <v>1</v>
      </c>
      <c r="K77" s="464">
        <v>1399.7199999999998</v>
      </c>
      <c r="L77" s="465">
        <f t="shared" si="37"/>
        <v>1</v>
      </c>
      <c r="M77" s="464">
        <v>40.85</v>
      </c>
      <c r="N77" s="465">
        <f t="shared" si="38"/>
        <v>2.918440831023348E-2</v>
      </c>
      <c r="O77" s="466">
        <f t="shared" si="39"/>
        <v>1440.5699999999997</v>
      </c>
      <c r="P77" s="465">
        <f t="shared" si="40"/>
        <v>1.0291844083102335</v>
      </c>
      <c r="Q77" s="463">
        <v>8.1999999999999993</v>
      </c>
      <c r="R77" s="465">
        <f t="shared" si="41"/>
        <v>5.8583145200468666E-3</v>
      </c>
      <c r="S77" s="495">
        <f t="shared" si="42"/>
        <v>1252.55</v>
      </c>
      <c r="T77" s="466">
        <f t="shared" si="43"/>
        <v>40.849999999999909</v>
      </c>
      <c r="U77" s="465">
        <f t="shared" si="44"/>
        <v>2.9184408310233414E-2</v>
      </c>
      <c r="V77" s="378" t="s">
        <v>174</v>
      </c>
      <c r="W77" s="378" t="s">
        <v>436</v>
      </c>
      <c r="X77" s="379"/>
      <c r="Y77" s="379"/>
      <c r="Z77" s="379">
        <v>1</v>
      </c>
      <c r="AA77" s="467" t="s">
        <v>364</v>
      </c>
      <c r="AC77" s="368"/>
      <c r="AD77" s="387">
        <f t="shared" ref="AD77:AJ77" si="47">AD75/$AC75</f>
        <v>0</v>
      </c>
      <c r="AE77" s="387">
        <f t="shared" si="47"/>
        <v>0</v>
      </c>
      <c r="AF77" s="387">
        <f t="shared" si="47"/>
        <v>0</v>
      </c>
      <c r="AG77" s="387">
        <f t="shared" si="47"/>
        <v>0.7</v>
      </c>
      <c r="AH77" s="387">
        <f t="shared" si="47"/>
        <v>0.05</v>
      </c>
      <c r="AI77" s="387">
        <f t="shared" si="47"/>
        <v>0.25</v>
      </c>
      <c r="AJ77" s="387">
        <f t="shared" si="47"/>
        <v>0</v>
      </c>
    </row>
    <row r="78" spans="2:36" s="148" customFormat="1" ht="27" customHeight="1">
      <c r="B78" s="892"/>
      <c r="C78" s="893"/>
      <c r="D78" s="368">
        <v>6</v>
      </c>
      <c r="E78" s="461" t="s">
        <v>594</v>
      </c>
      <c r="F78" s="372">
        <v>6232.0000000000045</v>
      </c>
      <c r="G78" s="376">
        <v>760</v>
      </c>
      <c r="H78" s="463">
        <v>257.61</v>
      </c>
      <c r="I78" s="463">
        <v>257.61</v>
      </c>
      <c r="J78" s="465">
        <f t="shared" si="36"/>
        <v>1</v>
      </c>
      <c r="K78" s="464">
        <v>257.61</v>
      </c>
      <c r="L78" s="465">
        <f t="shared" si="37"/>
        <v>1</v>
      </c>
      <c r="M78" s="464">
        <v>8.1999999999999993</v>
      </c>
      <c r="N78" s="465">
        <f t="shared" si="38"/>
        <v>3.1831062458755478E-2</v>
      </c>
      <c r="O78" s="466">
        <f t="shared" si="39"/>
        <v>265.81</v>
      </c>
      <c r="P78" s="465">
        <f t="shared" si="40"/>
        <v>1.0318310624587554</v>
      </c>
      <c r="Q78" s="463">
        <v>0.82000000000000006</v>
      </c>
      <c r="R78" s="465">
        <f t="shared" si="41"/>
        <v>3.1831062458755484E-3</v>
      </c>
      <c r="S78" s="495">
        <f t="shared" si="42"/>
        <v>623.20000000000005</v>
      </c>
      <c r="T78" s="466">
        <f t="shared" si="43"/>
        <v>8.1999999999999886</v>
      </c>
      <c r="U78" s="465">
        <f t="shared" si="44"/>
        <v>3.1831062458755437E-2</v>
      </c>
      <c r="V78" s="378" t="s">
        <v>174</v>
      </c>
      <c r="W78" s="378" t="s">
        <v>436</v>
      </c>
      <c r="X78" s="379"/>
      <c r="Y78" s="379"/>
      <c r="Z78" s="379">
        <v>1</v>
      </c>
      <c r="AA78" s="467" t="s">
        <v>582</v>
      </c>
    </row>
    <row r="79" spans="2:36" s="148" customFormat="1" ht="27" customHeight="1">
      <c r="B79" s="892"/>
      <c r="C79" s="893"/>
      <c r="D79" s="368">
        <v>7</v>
      </c>
      <c r="E79" s="461" t="s">
        <v>480</v>
      </c>
      <c r="F79" s="372">
        <v>6006.9500000000016</v>
      </c>
      <c r="G79" s="376">
        <v>629</v>
      </c>
      <c r="H79" s="463">
        <v>274.92</v>
      </c>
      <c r="I79" s="463">
        <v>274.92</v>
      </c>
      <c r="J79" s="465">
        <f t="shared" si="36"/>
        <v>1</v>
      </c>
      <c r="K79" s="464">
        <v>275.92</v>
      </c>
      <c r="L79" s="465">
        <f t="shared" si="37"/>
        <v>1.0036374217954314</v>
      </c>
      <c r="M79" s="464">
        <v>8.5499999999999989</v>
      </c>
      <c r="N79" s="465">
        <f t="shared" si="38"/>
        <v>3.109995635093845E-2</v>
      </c>
      <c r="O79" s="466">
        <f t="shared" si="39"/>
        <v>284.47000000000003</v>
      </c>
      <c r="P79" s="465">
        <f t="shared" si="40"/>
        <v>1.0347373781463698</v>
      </c>
      <c r="Q79" s="463">
        <v>1.19</v>
      </c>
      <c r="R79" s="465">
        <f t="shared" si="41"/>
        <v>4.3285319365633634E-3</v>
      </c>
      <c r="S79" s="495">
        <f t="shared" si="42"/>
        <v>748.51</v>
      </c>
      <c r="T79" s="466">
        <f t="shared" si="43"/>
        <v>9.5500000000000114</v>
      </c>
      <c r="U79" s="465">
        <f t="shared" si="44"/>
        <v>3.4737378146369895E-2</v>
      </c>
      <c r="V79" s="378" t="s">
        <v>174</v>
      </c>
      <c r="W79" s="378" t="s">
        <v>436</v>
      </c>
      <c r="X79" s="379"/>
      <c r="Y79" s="379"/>
      <c r="Z79" s="379">
        <v>1</v>
      </c>
      <c r="AA79" s="467" t="s">
        <v>473</v>
      </c>
    </row>
    <row r="80" spans="2:36" s="148" customFormat="1" ht="27" customHeight="1">
      <c r="B80" s="892"/>
      <c r="C80" s="893"/>
      <c r="D80" s="368">
        <v>8</v>
      </c>
      <c r="E80" s="461" t="s">
        <v>789</v>
      </c>
      <c r="F80" s="372">
        <v>5985.6944000000021</v>
      </c>
      <c r="G80" s="376">
        <v>153.44000000000003</v>
      </c>
      <c r="H80" s="463">
        <v>1771.0999999999997</v>
      </c>
      <c r="I80" s="463">
        <v>1771.0999999999997</v>
      </c>
      <c r="J80" s="465">
        <f t="shared" si="36"/>
        <v>1</v>
      </c>
      <c r="K80" s="464">
        <v>1771.0999999999997</v>
      </c>
      <c r="L80" s="465">
        <f t="shared" si="37"/>
        <v>1</v>
      </c>
      <c r="M80" s="464">
        <v>39.01</v>
      </c>
      <c r="N80" s="465">
        <f t="shared" si="38"/>
        <v>2.202585963525493E-2</v>
      </c>
      <c r="O80" s="466">
        <f t="shared" si="39"/>
        <v>1810.1099999999997</v>
      </c>
      <c r="P80" s="465">
        <f t="shared" si="40"/>
        <v>1.0220258596352549</v>
      </c>
      <c r="Q80" s="463">
        <v>7.7499999999999991</v>
      </c>
      <c r="R80" s="465">
        <f t="shared" si="41"/>
        <v>4.3758116424820739E-3</v>
      </c>
      <c r="S80" s="495">
        <f t="shared" si="42"/>
        <v>1189.1600000000001</v>
      </c>
      <c r="T80" s="466">
        <f t="shared" si="43"/>
        <v>39.009999999999991</v>
      </c>
      <c r="U80" s="465">
        <f t="shared" si="44"/>
        <v>2.2025859635254927E-2</v>
      </c>
      <c r="V80" s="378" t="s">
        <v>174</v>
      </c>
      <c r="W80" s="378" t="s">
        <v>436</v>
      </c>
      <c r="X80" s="379"/>
      <c r="Y80" s="379"/>
      <c r="Z80" s="379">
        <v>1</v>
      </c>
      <c r="AA80" s="467" t="s">
        <v>484</v>
      </c>
    </row>
    <row r="81" spans="2:36" s="148" customFormat="1" ht="27" customHeight="1">
      <c r="B81" s="892"/>
      <c r="C81" s="893"/>
      <c r="D81" s="368">
        <v>9</v>
      </c>
      <c r="E81" s="461" t="s">
        <v>474</v>
      </c>
      <c r="F81" s="372">
        <v>5942.7018000000007</v>
      </c>
      <c r="G81" s="376">
        <v>605.77999999999986</v>
      </c>
      <c r="H81" s="463">
        <v>1037.8500000000001</v>
      </c>
      <c r="I81" s="463">
        <v>1037.8500000000001</v>
      </c>
      <c r="J81" s="465">
        <f t="shared" si="36"/>
        <v>1</v>
      </c>
      <c r="K81" s="464">
        <v>1037.8500000000001</v>
      </c>
      <c r="L81" s="465">
        <f t="shared" si="37"/>
        <v>1</v>
      </c>
      <c r="M81" s="464">
        <v>9.81</v>
      </c>
      <c r="N81" s="465">
        <f t="shared" si="38"/>
        <v>9.452232981644746E-3</v>
      </c>
      <c r="O81" s="466">
        <f t="shared" si="39"/>
        <v>1047.6600000000001</v>
      </c>
      <c r="P81" s="465">
        <f t="shared" si="40"/>
        <v>1.0094522329816447</v>
      </c>
      <c r="Q81" s="463">
        <v>1.1199999999999999</v>
      </c>
      <c r="R81" s="465">
        <f t="shared" si="41"/>
        <v>1.0791540203304907E-3</v>
      </c>
      <c r="S81" s="495">
        <f t="shared" si="42"/>
        <v>678.47359999999981</v>
      </c>
      <c r="T81" s="466">
        <f t="shared" si="43"/>
        <v>9.8099999999999454</v>
      </c>
      <c r="U81" s="465">
        <f t="shared" si="44"/>
        <v>9.4522329816446923E-3</v>
      </c>
      <c r="V81" s="378" t="s">
        <v>174</v>
      </c>
      <c r="W81" s="378" t="s">
        <v>216</v>
      </c>
      <c r="X81" s="379"/>
      <c r="Y81" s="379"/>
      <c r="Z81" s="379">
        <v>1</v>
      </c>
      <c r="AA81" s="467" t="s">
        <v>344</v>
      </c>
    </row>
    <row r="82" spans="2:36" s="148" customFormat="1" ht="27" customHeight="1">
      <c r="B82" s="892"/>
      <c r="C82" s="893"/>
      <c r="D82" s="368">
        <v>10</v>
      </c>
      <c r="E82" s="461" t="s">
        <v>593</v>
      </c>
      <c r="F82" s="372">
        <v>5888.7264000000014</v>
      </c>
      <c r="G82" s="376">
        <v>144.79999999999998</v>
      </c>
      <c r="H82" s="463">
        <v>1926.48</v>
      </c>
      <c r="I82" s="463">
        <v>1926.48</v>
      </c>
      <c r="J82" s="465">
        <f t="shared" si="36"/>
        <v>1</v>
      </c>
      <c r="K82" s="464">
        <v>1926.48</v>
      </c>
      <c r="L82" s="465">
        <f t="shared" si="37"/>
        <v>1</v>
      </c>
      <c r="M82" s="464">
        <v>40.667999999999992</v>
      </c>
      <c r="N82" s="465">
        <f t="shared" si="38"/>
        <v>2.1110003737386317E-2</v>
      </c>
      <c r="O82" s="466">
        <f t="shared" si="39"/>
        <v>1967.1479999999999</v>
      </c>
      <c r="P82" s="465">
        <f t="shared" si="40"/>
        <v>1.0211100037373864</v>
      </c>
      <c r="Q82" s="463">
        <v>8.1100000000000012</v>
      </c>
      <c r="R82" s="465">
        <f t="shared" si="41"/>
        <v>4.2097504256467765E-3</v>
      </c>
      <c r="S82" s="495">
        <f t="shared" si="42"/>
        <v>1174.328</v>
      </c>
      <c r="T82" s="466">
        <f t="shared" si="43"/>
        <v>40.667999999999893</v>
      </c>
      <c r="U82" s="465">
        <f t="shared" si="44"/>
        <v>2.1110003737386265E-2</v>
      </c>
      <c r="V82" s="378" t="s">
        <v>174</v>
      </c>
      <c r="W82" s="378" t="s">
        <v>436</v>
      </c>
      <c r="X82" s="379"/>
      <c r="Y82" s="379"/>
      <c r="Z82" s="379">
        <v>1</v>
      </c>
      <c r="AA82" s="467" t="s">
        <v>342</v>
      </c>
    </row>
    <row r="83" spans="2:36" s="148" customFormat="1" ht="27" customHeight="1">
      <c r="B83" s="892"/>
      <c r="C83" s="893"/>
      <c r="D83" s="368">
        <v>11</v>
      </c>
      <c r="E83" s="461" t="s">
        <v>790</v>
      </c>
      <c r="F83" s="372">
        <v>5745.5076000000035</v>
      </c>
      <c r="G83" s="376">
        <v>413.9414285714285</v>
      </c>
      <c r="H83" s="463">
        <v>640.09999999999991</v>
      </c>
      <c r="I83" s="463">
        <v>640.09999999999991</v>
      </c>
      <c r="J83" s="465">
        <f t="shared" si="36"/>
        <v>1</v>
      </c>
      <c r="K83" s="464">
        <v>640.9</v>
      </c>
      <c r="L83" s="465">
        <f t="shared" si="37"/>
        <v>1.0012498047180129</v>
      </c>
      <c r="M83" s="464">
        <v>13.079999999999998</v>
      </c>
      <c r="N83" s="465">
        <f t="shared" si="38"/>
        <v>2.0434307139509451E-2</v>
      </c>
      <c r="O83" s="466">
        <f t="shared" si="39"/>
        <v>653.98</v>
      </c>
      <c r="P83" s="465">
        <f t="shared" si="40"/>
        <v>1.0216841118575224</v>
      </c>
      <c r="Q83" s="463">
        <v>2.1399999999999997</v>
      </c>
      <c r="R83" s="465">
        <f t="shared" si="41"/>
        <v>3.3432276206842681E-3</v>
      </c>
      <c r="S83" s="495">
        <f t="shared" si="42"/>
        <v>885.83465714285683</v>
      </c>
      <c r="T83" s="466">
        <f t="shared" si="43"/>
        <v>13.880000000000109</v>
      </c>
      <c r="U83" s="465">
        <f t="shared" si="44"/>
        <v>2.1684111857522437E-2</v>
      </c>
      <c r="V83" s="378" t="s">
        <v>174</v>
      </c>
      <c r="W83" s="378" t="s">
        <v>436</v>
      </c>
      <c r="X83" s="379"/>
      <c r="Y83" s="379"/>
      <c r="Z83" s="379">
        <v>1</v>
      </c>
      <c r="AA83" s="467" t="s">
        <v>785</v>
      </c>
      <c r="AE83" s="383"/>
    </row>
    <row r="84" spans="2:36" s="148" customFormat="1" ht="27" customHeight="1">
      <c r="B84" s="892"/>
      <c r="C84" s="893"/>
      <c r="D84" s="368">
        <v>12</v>
      </c>
      <c r="E84" s="461" t="s">
        <v>513</v>
      </c>
      <c r="F84" s="372">
        <v>5661.3927999999978</v>
      </c>
      <c r="G84" s="376">
        <v>370.50999999999993</v>
      </c>
      <c r="H84" s="463">
        <v>395.96000000000004</v>
      </c>
      <c r="I84" s="463">
        <v>395.96000000000004</v>
      </c>
      <c r="J84" s="465">
        <f t="shared" si="36"/>
        <v>1</v>
      </c>
      <c r="K84" s="464">
        <v>395.96000000000004</v>
      </c>
      <c r="L84" s="465">
        <f t="shared" si="37"/>
        <v>1</v>
      </c>
      <c r="M84" s="464">
        <v>15.28</v>
      </c>
      <c r="N84" s="465">
        <f t="shared" si="38"/>
        <v>3.8589756541064751E-2</v>
      </c>
      <c r="O84" s="466">
        <f t="shared" si="39"/>
        <v>411.24</v>
      </c>
      <c r="P84" s="465">
        <f t="shared" si="40"/>
        <v>1.0385897565410647</v>
      </c>
      <c r="Q84" s="463">
        <v>2.56</v>
      </c>
      <c r="R84" s="465">
        <f t="shared" si="41"/>
        <v>6.4652995252045655E-3</v>
      </c>
      <c r="S84" s="495">
        <f t="shared" si="42"/>
        <v>948.50559999999984</v>
      </c>
      <c r="T84" s="466">
        <f t="shared" si="43"/>
        <v>15.279999999999973</v>
      </c>
      <c r="U84" s="465">
        <f t="shared" si="44"/>
        <v>3.8589756541064682E-2</v>
      </c>
      <c r="V84" s="378" t="s">
        <v>174</v>
      </c>
      <c r="W84" s="378" t="s">
        <v>436</v>
      </c>
      <c r="X84" s="379"/>
      <c r="Y84" s="379"/>
      <c r="Z84" s="379">
        <v>1</v>
      </c>
      <c r="AA84" s="467" t="s">
        <v>356</v>
      </c>
    </row>
    <row r="85" spans="2:36" s="148" customFormat="1" ht="27" customHeight="1">
      <c r="B85" s="892"/>
      <c r="C85" s="893"/>
      <c r="D85" s="368">
        <v>13</v>
      </c>
      <c r="E85" s="461" t="s">
        <v>648</v>
      </c>
      <c r="F85" s="372">
        <v>5515.9032999999999</v>
      </c>
      <c r="G85" s="376">
        <v>66.13</v>
      </c>
      <c r="H85" s="463">
        <v>1798.8600000000001</v>
      </c>
      <c r="I85" s="463">
        <v>1798.8600000000001</v>
      </c>
      <c r="J85" s="465">
        <f t="shared" si="36"/>
        <v>1</v>
      </c>
      <c r="K85" s="464">
        <v>1798.8600000000001</v>
      </c>
      <c r="L85" s="465">
        <f t="shared" si="37"/>
        <v>1</v>
      </c>
      <c r="M85" s="464">
        <v>83.41</v>
      </c>
      <c r="N85" s="465">
        <f t="shared" si="38"/>
        <v>4.6368255450674307E-2</v>
      </c>
      <c r="O85" s="466">
        <f t="shared" si="39"/>
        <v>1882.2700000000002</v>
      </c>
      <c r="P85" s="465">
        <f t="shared" si="40"/>
        <v>1.0463682554506744</v>
      </c>
      <c r="Q85" s="463">
        <v>12.640000000000002</v>
      </c>
      <c r="R85" s="465">
        <f t="shared" si="41"/>
        <v>7.0266724481060239E-3</v>
      </c>
      <c r="S85" s="495">
        <f t="shared" si="42"/>
        <v>835.8832000000001</v>
      </c>
      <c r="T85" s="466">
        <f t="shared" si="43"/>
        <v>83.410000000000082</v>
      </c>
      <c r="U85" s="465">
        <f t="shared" si="44"/>
        <v>4.6368255450674356E-2</v>
      </c>
      <c r="V85" s="378" t="s">
        <v>174</v>
      </c>
      <c r="W85" s="378" t="s">
        <v>436</v>
      </c>
      <c r="X85" s="379"/>
      <c r="Y85" s="379"/>
      <c r="Z85" s="379">
        <v>1</v>
      </c>
      <c r="AA85" s="467" t="s">
        <v>343</v>
      </c>
    </row>
    <row r="86" spans="2:36" s="148" customFormat="1" ht="27" customHeight="1">
      <c r="B86" s="892"/>
      <c r="C86" s="893"/>
      <c r="D86" s="368">
        <v>14</v>
      </c>
      <c r="E86" s="461" t="s">
        <v>709</v>
      </c>
      <c r="F86" s="372">
        <v>5500.6951999999992</v>
      </c>
      <c r="G86" s="376">
        <v>40.04</v>
      </c>
      <c r="H86" s="463">
        <v>3346.79</v>
      </c>
      <c r="I86" s="463">
        <v>3346.79</v>
      </c>
      <c r="J86" s="465">
        <f t="shared" si="36"/>
        <v>1</v>
      </c>
      <c r="K86" s="464">
        <v>3346.79</v>
      </c>
      <c r="L86" s="465">
        <f t="shared" si="37"/>
        <v>1</v>
      </c>
      <c r="M86" s="464">
        <v>137.38</v>
      </c>
      <c r="N86" s="465">
        <f t="shared" si="38"/>
        <v>4.1048288061097352E-2</v>
      </c>
      <c r="O86" s="466">
        <f t="shared" si="39"/>
        <v>3484.17</v>
      </c>
      <c r="P86" s="465">
        <f t="shared" si="40"/>
        <v>1.0410482880610974</v>
      </c>
      <c r="Q86" s="463">
        <v>19.3</v>
      </c>
      <c r="R86" s="465">
        <f t="shared" si="41"/>
        <v>5.766719752359724E-3</v>
      </c>
      <c r="S86" s="495">
        <f t="shared" si="42"/>
        <v>772.77200000000005</v>
      </c>
      <c r="T86" s="466">
        <f t="shared" si="43"/>
        <v>137.38000000000011</v>
      </c>
      <c r="U86" s="465">
        <f t="shared" si="44"/>
        <v>4.1048288061097386E-2</v>
      </c>
      <c r="V86" s="378" t="s">
        <v>174</v>
      </c>
      <c r="W86" s="378" t="s">
        <v>436</v>
      </c>
      <c r="X86" s="379"/>
      <c r="Y86" s="379"/>
      <c r="Z86" s="379">
        <v>1</v>
      </c>
      <c r="AA86" s="467" t="s">
        <v>588</v>
      </c>
    </row>
    <row r="87" spans="2:36" s="148" customFormat="1" ht="27" customHeight="1">
      <c r="B87" s="892"/>
      <c r="C87" s="893"/>
      <c r="D87" s="368">
        <v>15</v>
      </c>
      <c r="E87" s="461" t="s">
        <v>440</v>
      </c>
      <c r="F87" s="372">
        <v>5500.0115999999989</v>
      </c>
      <c r="G87" s="376">
        <v>368.13999999999993</v>
      </c>
      <c r="H87" s="463">
        <v>425.71</v>
      </c>
      <c r="I87" s="463">
        <v>425.71</v>
      </c>
      <c r="J87" s="465">
        <f t="shared" si="36"/>
        <v>1</v>
      </c>
      <c r="K87" s="464">
        <v>425.71</v>
      </c>
      <c r="L87" s="465">
        <f t="shared" si="37"/>
        <v>1</v>
      </c>
      <c r="M87" s="464">
        <v>14.94</v>
      </c>
      <c r="N87" s="465">
        <f t="shared" si="38"/>
        <v>3.5094313029996944E-2</v>
      </c>
      <c r="O87" s="466">
        <f t="shared" si="39"/>
        <v>440.65</v>
      </c>
      <c r="P87" s="465">
        <f t="shared" si="40"/>
        <v>1.035094313029997</v>
      </c>
      <c r="Q87" s="463">
        <v>2.44</v>
      </c>
      <c r="R87" s="465">
        <f t="shared" si="41"/>
        <v>5.7316013248455526E-3</v>
      </c>
      <c r="S87" s="495">
        <f t="shared" si="42"/>
        <v>898.26159999999982</v>
      </c>
      <c r="T87" s="466">
        <f t="shared" si="43"/>
        <v>14.939999999999998</v>
      </c>
      <c r="U87" s="465">
        <f t="shared" si="44"/>
        <v>3.5094313029996944E-2</v>
      </c>
      <c r="V87" s="378" t="s">
        <v>174</v>
      </c>
      <c r="W87" s="378" t="s">
        <v>436</v>
      </c>
      <c r="X87" s="379"/>
      <c r="Y87" s="379"/>
      <c r="Z87" s="379">
        <v>1</v>
      </c>
      <c r="AA87" s="467" t="s">
        <v>441</v>
      </c>
    </row>
    <row r="88" spans="2:36" s="148" customFormat="1" ht="27" customHeight="1">
      <c r="B88" s="892"/>
      <c r="C88" s="893"/>
      <c r="D88" s="368">
        <v>16</v>
      </c>
      <c r="E88" s="461" t="s">
        <v>647</v>
      </c>
      <c r="F88" s="372">
        <v>5455.1333999999961</v>
      </c>
      <c r="G88" s="376">
        <v>62.43</v>
      </c>
      <c r="H88" s="463">
        <v>2709.02</v>
      </c>
      <c r="I88" s="463">
        <v>2709.02</v>
      </c>
      <c r="J88" s="465">
        <f t="shared" si="36"/>
        <v>1</v>
      </c>
      <c r="K88" s="464">
        <v>2709.02</v>
      </c>
      <c r="L88" s="465">
        <f t="shared" si="37"/>
        <v>1</v>
      </c>
      <c r="M88" s="464">
        <v>87.38000000000001</v>
      </c>
      <c r="N88" s="465">
        <f t="shared" si="38"/>
        <v>3.225520667990639E-2</v>
      </c>
      <c r="O88" s="466">
        <f t="shared" si="39"/>
        <v>2796.4</v>
      </c>
      <c r="P88" s="465">
        <f t="shared" si="40"/>
        <v>1.0322552066799064</v>
      </c>
      <c r="Q88" s="463">
        <v>12.37</v>
      </c>
      <c r="R88" s="465">
        <f t="shared" si="41"/>
        <v>4.5662269012410389E-3</v>
      </c>
      <c r="S88" s="495">
        <f t="shared" si="42"/>
        <v>772.25909999999999</v>
      </c>
      <c r="T88" s="466">
        <f t="shared" si="43"/>
        <v>87.380000000000109</v>
      </c>
      <c r="U88" s="465">
        <f t="shared" si="44"/>
        <v>3.2255206679906424E-2</v>
      </c>
      <c r="V88" s="378" t="s">
        <v>174</v>
      </c>
      <c r="W88" s="378" t="s">
        <v>216</v>
      </c>
      <c r="X88" s="379"/>
      <c r="Y88" s="379"/>
      <c r="Z88" s="379">
        <v>1</v>
      </c>
      <c r="AA88" s="467" t="s">
        <v>620</v>
      </c>
    </row>
    <row r="89" spans="2:36" s="148" customFormat="1" ht="27" customHeight="1">
      <c r="B89" s="892"/>
      <c r="C89" s="893"/>
      <c r="D89" s="368">
        <v>17</v>
      </c>
      <c r="E89" s="461" t="s">
        <v>591</v>
      </c>
      <c r="F89" s="372">
        <v>5167.5741000000207</v>
      </c>
      <c r="G89" s="376">
        <v>39.389999999999993</v>
      </c>
      <c r="H89" s="463">
        <v>31127.19</v>
      </c>
      <c r="I89" s="463">
        <v>31127.19</v>
      </c>
      <c r="J89" s="465">
        <f t="shared" si="36"/>
        <v>1</v>
      </c>
      <c r="K89" s="464">
        <v>31127.19</v>
      </c>
      <c r="L89" s="465">
        <f t="shared" si="37"/>
        <v>1</v>
      </c>
      <c r="M89" s="464">
        <v>131.19</v>
      </c>
      <c r="N89" s="465">
        <f t="shared" si="38"/>
        <v>4.2146432106463837E-3</v>
      </c>
      <c r="O89" s="466">
        <f t="shared" si="39"/>
        <v>31258.379999999997</v>
      </c>
      <c r="P89" s="465">
        <f t="shared" si="40"/>
        <v>1.0042146432106462</v>
      </c>
      <c r="Q89" s="463">
        <v>35.980000000000004</v>
      </c>
      <c r="R89" s="465">
        <f t="shared" si="41"/>
        <v>1.1559026047645163E-3</v>
      </c>
      <c r="S89" s="495">
        <f t="shared" si="42"/>
        <v>1417.2521999999999</v>
      </c>
      <c r="T89" s="466">
        <f t="shared" si="43"/>
        <v>131.18999999999869</v>
      </c>
      <c r="U89" s="465">
        <f t="shared" si="44"/>
        <v>4.2146432106463412E-3</v>
      </c>
      <c r="V89" s="378" t="s">
        <v>174</v>
      </c>
      <c r="W89" s="378" t="s">
        <v>216</v>
      </c>
      <c r="X89" s="379"/>
      <c r="Y89" s="379"/>
      <c r="Z89" s="379">
        <v>1</v>
      </c>
      <c r="AA89" s="467" t="s">
        <v>342</v>
      </c>
    </row>
    <row r="90" spans="2:36" s="148" customFormat="1" ht="27" customHeight="1">
      <c r="B90" s="892"/>
      <c r="C90" s="893"/>
      <c r="D90" s="368">
        <v>18</v>
      </c>
      <c r="E90" s="461" t="s">
        <v>592</v>
      </c>
      <c r="F90" s="372">
        <v>5044.480000000005</v>
      </c>
      <c r="G90" s="376">
        <v>896</v>
      </c>
      <c r="H90" s="463">
        <v>326.05000000000007</v>
      </c>
      <c r="I90" s="463">
        <v>326.05000000000007</v>
      </c>
      <c r="J90" s="465">
        <f t="shared" si="36"/>
        <v>1</v>
      </c>
      <c r="K90" s="464">
        <v>326.05000000000007</v>
      </c>
      <c r="L90" s="465">
        <f t="shared" si="37"/>
        <v>1</v>
      </c>
      <c r="M90" s="464">
        <v>5.63</v>
      </c>
      <c r="N90" s="465">
        <f t="shared" si="38"/>
        <v>1.7267290292899858E-2</v>
      </c>
      <c r="O90" s="466">
        <f t="shared" si="39"/>
        <v>331.68000000000006</v>
      </c>
      <c r="P90" s="465">
        <f t="shared" si="40"/>
        <v>1.0172672902928999</v>
      </c>
      <c r="Q90" s="463">
        <v>1.18</v>
      </c>
      <c r="R90" s="465">
        <f t="shared" si="41"/>
        <v>3.6190768287072527E-3</v>
      </c>
      <c r="S90" s="495">
        <f t="shared" si="42"/>
        <v>1057.28</v>
      </c>
      <c r="T90" s="466">
        <f t="shared" si="43"/>
        <v>5.6299999999999955</v>
      </c>
      <c r="U90" s="465">
        <f t="shared" si="44"/>
        <v>1.7267290292899844E-2</v>
      </c>
      <c r="V90" s="378" t="s">
        <v>174</v>
      </c>
      <c r="W90" s="378" t="s">
        <v>436</v>
      </c>
      <c r="X90" s="379"/>
      <c r="Y90" s="379"/>
      <c r="Z90" s="379">
        <v>1</v>
      </c>
      <c r="AA90" s="467" t="s">
        <v>599</v>
      </c>
    </row>
    <row r="91" spans="2:36" s="148" customFormat="1" ht="27" customHeight="1">
      <c r="B91" s="892"/>
      <c r="C91" s="893"/>
      <c r="D91" s="368">
        <v>19</v>
      </c>
      <c r="E91" s="461" t="s">
        <v>791</v>
      </c>
      <c r="F91" s="372">
        <v>5020.6584999999923</v>
      </c>
      <c r="G91" s="376">
        <v>46.149999999999991</v>
      </c>
      <c r="H91" s="463">
        <v>4800.7800000000007</v>
      </c>
      <c r="I91" s="463">
        <v>4800.7800000000007</v>
      </c>
      <c r="J91" s="465">
        <f t="shared" si="36"/>
        <v>1</v>
      </c>
      <c r="K91" s="464">
        <v>4800.7800000000007</v>
      </c>
      <c r="L91" s="465">
        <f t="shared" si="37"/>
        <v>1</v>
      </c>
      <c r="M91" s="464">
        <v>108.79</v>
      </c>
      <c r="N91" s="465">
        <f t="shared" si="38"/>
        <v>2.2660900936931079E-2</v>
      </c>
      <c r="O91" s="466">
        <f t="shared" si="39"/>
        <v>4909.5700000000006</v>
      </c>
      <c r="P91" s="465">
        <f t="shared" si="40"/>
        <v>1.022660900936931</v>
      </c>
      <c r="Q91" s="463">
        <v>14.13</v>
      </c>
      <c r="R91" s="465">
        <f t="shared" si="41"/>
        <v>2.9432717183457686E-3</v>
      </c>
      <c r="S91" s="495">
        <f t="shared" si="42"/>
        <v>652.09949999999992</v>
      </c>
      <c r="T91" s="466">
        <f t="shared" si="43"/>
        <v>108.78999999999996</v>
      </c>
      <c r="U91" s="465">
        <f t="shared" si="44"/>
        <v>2.2660900936931072E-2</v>
      </c>
      <c r="V91" s="378" t="s">
        <v>174</v>
      </c>
      <c r="W91" s="378" t="s">
        <v>216</v>
      </c>
      <c r="X91" s="379"/>
      <c r="Y91" s="379"/>
      <c r="Z91" s="379">
        <v>1</v>
      </c>
      <c r="AA91" s="467" t="s">
        <v>785</v>
      </c>
    </row>
    <row r="92" spans="2:36" s="148" customFormat="1" ht="27" customHeight="1">
      <c r="B92" s="894"/>
      <c r="C92" s="895"/>
      <c r="D92" s="368">
        <v>20</v>
      </c>
      <c r="E92" s="461" t="s">
        <v>496</v>
      </c>
      <c r="F92" s="372">
        <v>5019.8932999999988</v>
      </c>
      <c r="G92" s="376">
        <v>118.30999999999997</v>
      </c>
      <c r="H92" s="463">
        <v>851.36000000000013</v>
      </c>
      <c r="I92" s="463">
        <v>851.36000000000013</v>
      </c>
      <c r="J92" s="465">
        <f t="shared" si="36"/>
        <v>1</v>
      </c>
      <c r="K92" s="464">
        <v>851.36000000000013</v>
      </c>
      <c r="L92" s="465">
        <f t="shared" si="37"/>
        <v>1</v>
      </c>
      <c r="M92" s="464">
        <v>42.429999999999993</v>
      </c>
      <c r="N92" s="465">
        <f t="shared" si="38"/>
        <v>4.9837906408569804E-2</v>
      </c>
      <c r="O92" s="466">
        <f t="shared" si="39"/>
        <v>893.79000000000008</v>
      </c>
      <c r="P92" s="465">
        <f t="shared" si="40"/>
        <v>1.0498379064085697</v>
      </c>
      <c r="Q92" s="463">
        <v>7.05</v>
      </c>
      <c r="R92" s="465">
        <f t="shared" si="41"/>
        <v>8.2808682578462689E-3</v>
      </c>
      <c r="S92" s="495">
        <f t="shared" si="42"/>
        <v>834.0854999999998</v>
      </c>
      <c r="T92" s="466">
        <f t="shared" si="43"/>
        <v>42.42999999999995</v>
      </c>
      <c r="U92" s="465">
        <f t="shared" si="44"/>
        <v>4.9837906408569749E-2</v>
      </c>
      <c r="V92" s="378" t="s">
        <v>174</v>
      </c>
      <c r="W92" s="378" t="s">
        <v>436</v>
      </c>
      <c r="X92" s="379"/>
      <c r="Y92" s="379"/>
      <c r="Z92" s="379">
        <v>1</v>
      </c>
      <c r="AA92" s="467" t="s">
        <v>492</v>
      </c>
    </row>
    <row r="93" spans="2:36" ht="17.100000000000001" customHeight="1">
      <c r="B93" s="856" t="s">
        <v>453</v>
      </c>
      <c r="C93" s="857"/>
      <c r="D93" s="867" t="s">
        <v>661</v>
      </c>
      <c r="E93" s="900" t="s">
        <v>662</v>
      </c>
      <c r="F93" s="903" t="s">
        <v>702</v>
      </c>
      <c r="G93" s="870" t="s">
        <v>664</v>
      </c>
      <c r="H93" s="901" t="s">
        <v>665</v>
      </c>
      <c r="I93" s="868" t="s">
        <v>666</v>
      </c>
      <c r="J93" s="869"/>
      <c r="K93" s="868" t="s">
        <v>667</v>
      </c>
      <c r="L93" s="869"/>
      <c r="M93" s="868" t="s">
        <v>668</v>
      </c>
      <c r="N93" s="869"/>
      <c r="O93" s="868" t="s">
        <v>669</v>
      </c>
      <c r="P93" s="869"/>
      <c r="Q93" s="868" t="s">
        <v>424</v>
      </c>
      <c r="R93" s="902"/>
      <c r="S93" s="869"/>
      <c r="T93" s="872" t="s">
        <v>425</v>
      </c>
      <c r="U93" s="873"/>
      <c r="V93" s="864" t="s">
        <v>171</v>
      </c>
      <c r="W93" s="864" t="s">
        <v>245</v>
      </c>
      <c r="X93" s="864" t="s">
        <v>670</v>
      </c>
      <c r="Y93" s="864" t="s">
        <v>455</v>
      </c>
      <c r="Z93" s="864" t="s">
        <v>246</v>
      </c>
      <c r="AA93" s="870" t="s">
        <v>172</v>
      </c>
      <c r="AC93" s="875" t="s">
        <v>247</v>
      </c>
      <c r="AD93" s="876"/>
      <c r="AE93" s="876"/>
      <c r="AF93" s="876"/>
      <c r="AG93" s="876"/>
      <c r="AH93" s="876"/>
      <c r="AI93" s="876"/>
      <c r="AJ93" s="877"/>
    </row>
    <row r="94" spans="2:36" ht="16.5" customHeight="1">
      <c r="B94" s="858"/>
      <c r="C94" s="859"/>
      <c r="D94" s="867"/>
      <c r="E94" s="867"/>
      <c r="F94" s="886"/>
      <c r="G94" s="871"/>
      <c r="H94" s="871"/>
      <c r="I94" s="459" t="s">
        <v>671</v>
      </c>
      <c r="J94" s="369" t="s">
        <v>672</v>
      </c>
      <c r="K94" s="459" t="s">
        <v>671</v>
      </c>
      <c r="L94" s="369" t="s">
        <v>672</v>
      </c>
      <c r="M94" s="459" t="s">
        <v>671</v>
      </c>
      <c r="N94" s="369" t="s">
        <v>672</v>
      </c>
      <c r="O94" s="459" t="s">
        <v>671</v>
      </c>
      <c r="P94" s="369" t="s">
        <v>672</v>
      </c>
      <c r="Q94" s="459" t="s">
        <v>671</v>
      </c>
      <c r="R94" s="369" t="s">
        <v>672</v>
      </c>
      <c r="S94" s="369" t="s">
        <v>673</v>
      </c>
      <c r="T94" s="459" t="s">
        <v>671</v>
      </c>
      <c r="U94" s="369" t="s">
        <v>672</v>
      </c>
      <c r="V94" s="866"/>
      <c r="W94" s="866"/>
      <c r="X94" s="866"/>
      <c r="Y94" s="866"/>
      <c r="Z94" s="866"/>
      <c r="AA94" s="871"/>
      <c r="AC94" s="878"/>
      <c r="AD94" s="879"/>
      <c r="AE94" s="879"/>
      <c r="AF94" s="879"/>
      <c r="AG94" s="879"/>
      <c r="AH94" s="879"/>
      <c r="AI94" s="879"/>
      <c r="AJ94" s="880"/>
    </row>
    <row r="95" spans="2:36" s="148" customFormat="1" ht="27" customHeight="1">
      <c r="B95" s="890" t="s">
        <v>679</v>
      </c>
      <c r="C95" s="891"/>
      <c r="D95" s="368">
        <v>1</v>
      </c>
      <c r="E95" s="461"/>
      <c r="F95" s="372"/>
      <c r="G95" s="376"/>
      <c r="H95" s="463"/>
      <c r="I95" s="463"/>
      <c r="J95" s="465" t="str">
        <f>IFERROR(I95/H95,"-")</f>
        <v>-</v>
      </c>
      <c r="K95" s="464"/>
      <c r="L95" s="465" t="str">
        <f>IFERROR(K95/H95,"-")</f>
        <v>-</v>
      </c>
      <c r="M95" s="464"/>
      <c r="N95" s="465" t="str">
        <f>IFERROR(M95/H95,"-")</f>
        <v>-</v>
      </c>
      <c r="O95" s="466">
        <f>IFERROR(K95+M95,"-")</f>
        <v>0</v>
      </c>
      <c r="P95" s="465" t="str">
        <f>IFERROR(O95/H95,"-")</f>
        <v>-</v>
      </c>
      <c r="Q95" s="463"/>
      <c r="R95" s="465" t="str">
        <f>IFERROR(Q95/H95,"-")</f>
        <v>-</v>
      </c>
      <c r="S95" s="495">
        <f>IFERROR(Q95*G95,"-")</f>
        <v>0</v>
      </c>
      <c r="T95" s="466">
        <f>IFERROR(O95-H95,"-")</f>
        <v>0</v>
      </c>
      <c r="U95" s="465" t="str">
        <f>IFERROR(T95/H95,"-")</f>
        <v>-</v>
      </c>
      <c r="V95" s="378"/>
      <c r="W95" s="378"/>
      <c r="X95" s="379"/>
      <c r="Y95" s="379"/>
      <c r="Z95" s="379">
        <v>1</v>
      </c>
      <c r="AA95" s="467"/>
      <c r="AC95" s="881"/>
      <c r="AD95" s="882"/>
      <c r="AE95" s="882"/>
      <c r="AF95" s="882"/>
      <c r="AG95" s="882"/>
      <c r="AH95" s="882"/>
      <c r="AI95" s="882"/>
      <c r="AJ95" s="883"/>
    </row>
    <row r="96" spans="2:36" s="148" customFormat="1" ht="27" customHeight="1">
      <c r="B96" s="892"/>
      <c r="C96" s="893"/>
      <c r="D96" s="368">
        <v>2</v>
      </c>
      <c r="E96" s="461"/>
      <c r="F96" s="372"/>
      <c r="G96" s="376"/>
      <c r="H96" s="463"/>
      <c r="I96" s="463"/>
      <c r="J96" s="465" t="str">
        <f t="shared" ref="J96:J114" si="48">IFERROR(I96/H96,"-")</f>
        <v>-</v>
      </c>
      <c r="K96" s="464"/>
      <c r="L96" s="465" t="str">
        <f t="shared" ref="L96:L114" si="49">IFERROR(K96/H96,"-")</f>
        <v>-</v>
      </c>
      <c r="M96" s="464"/>
      <c r="N96" s="465" t="str">
        <f t="shared" ref="N96:N114" si="50">IFERROR(M96/H96,"-")</f>
        <v>-</v>
      </c>
      <c r="O96" s="466">
        <f t="shared" ref="O96:O114" si="51">IFERROR(K96+M96,"-")</f>
        <v>0</v>
      </c>
      <c r="P96" s="465" t="str">
        <f t="shared" ref="P96:P114" si="52">IFERROR(O96/H96,"-")</f>
        <v>-</v>
      </c>
      <c r="Q96" s="463"/>
      <c r="R96" s="465" t="str">
        <f t="shared" ref="R96:R114" si="53">IFERROR(Q96/H96,"-")</f>
        <v>-</v>
      </c>
      <c r="S96" s="495">
        <f t="shared" ref="S96:S114" si="54">IFERROR(Q96*G96,"-")</f>
        <v>0</v>
      </c>
      <c r="T96" s="466">
        <f t="shared" ref="T96:T114" si="55">IFERROR(O96-H96,"-")</f>
        <v>0</v>
      </c>
      <c r="U96" s="465" t="str">
        <f t="shared" ref="U96:U114" si="56">IFERROR(T96/H96,"-")</f>
        <v>-</v>
      </c>
      <c r="V96" s="378"/>
      <c r="W96" s="378"/>
      <c r="X96" s="379"/>
      <c r="Y96" s="379"/>
      <c r="Z96" s="379">
        <v>1</v>
      </c>
      <c r="AA96" s="467"/>
      <c r="AC96" s="161" t="s">
        <v>244</v>
      </c>
      <c r="AD96" s="161" t="s">
        <v>456</v>
      </c>
      <c r="AE96" s="156" t="s">
        <v>674</v>
      </c>
      <c r="AF96" s="156" t="s">
        <v>339</v>
      </c>
      <c r="AG96" s="156" t="s">
        <v>436</v>
      </c>
      <c r="AH96" s="156" t="s">
        <v>215</v>
      </c>
      <c r="AI96" s="156" t="s">
        <v>216</v>
      </c>
      <c r="AJ96" s="156" t="s">
        <v>390</v>
      </c>
    </row>
    <row r="97" spans="2:36" s="148" customFormat="1" ht="27" customHeight="1">
      <c r="B97" s="892"/>
      <c r="C97" s="893"/>
      <c r="D97" s="368">
        <v>3</v>
      </c>
      <c r="E97" s="461"/>
      <c r="F97" s="372"/>
      <c r="G97" s="376"/>
      <c r="H97" s="463"/>
      <c r="I97" s="463"/>
      <c r="J97" s="465" t="str">
        <f t="shared" si="48"/>
        <v>-</v>
      </c>
      <c r="K97" s="464"/>
      <c r="L97" s="465" t="str">
        <f t="shared" si="49"/>
        <v>-</v>
      </c>
      <c r="M97" s="464"/>
      <c r="N97" s="465" t="str">
        <f t="shared" si="50"/>
        <v>-</v>
      </c>
      <c r="O97" s="466">
        <f t="shared" si="51"/>
        <v>0</v>
      </c>
      <c r="P97" s="465" t="str">
        <f t="shared" si="52"/>
        <v>-</v>
      </c>
      <c r="Q97" s="463"/>
      <c r="R97" s="465" t="str">
        <f t="shared" si="53"/>
        <v>-</v>
      </c>
      <c r="S97" s="495">
        <f t="shared" si="54"/>
        <v>0</v>
      </c>
      <c r="T97" s="466">
        <f t="shared" si="55"/>
        <v>0</v>
      </c>
      <c r="U97" s="465" t="str">
        <f t="shared" si="56"/>
        <v>-</v>
      </c>
      <c r="V97" s="378"/>
      <c r="W97" s="378"/>
      <c r="X97" s="379"/>
      <c r="Y97" s="379"/>
      <c r="Z97" s="379">
        <v>1</v>
      </c>
      <c r="AA97" s="467"/>
      <c r="AC97" s="388">
        <f>SUM(Z95:Z114)</f>
        <v>20</v>
      </c>
      <c r="AD97" s="382">
        <f>SUMIF($W$95:$W$114,TRIM(AD96),$Z$95:$Z$114)</f>
        <v>0</v>
      </c>
      <c r="AE97" s="382">
        <f t="shared" ref="AE97:AJ97" si="57">SUMIF($W$95:$W$114,TRIM(AE96),$Z$95:$Z$114)</f>
        <v>0</v>
      </c>
      <c r="AF97" s="382">
        <f t="shared" si="57"/>
        <v>0</v>
      </c>
      <c r="AG97" s="382">
        <f t="shared" si="57"/>
        <v>0</v>
      </c>
      <c r="AH97" s="382">
        <f t="shared" si="57"/>
        <v>0</v>
      </c>
      <c r="AI97" s="382">
        <f t="shared" si="57"/>
        <v>0</v>
      </c>
      <c r="AJ97" s="382">
        <f t="shared" si="57"/>
        <v>0</v>
      </c>
    </row>
    <row r="98" spans="2:36" s="148" customFormat="1" ht="27" customHeight="1">
      <c r="B98" s="892"/>
      <c r="C98" s="893"/>
      <c r="D98" s="368">
        <v>4</v>
      </c>
      <c r="E98" s="461"/>
      <c r="F98" s="372"/>
      <c r="G98" s="376"/>
      <c r="H98" s="463"/>
      <c r="I98" s="463"/>
      <c r="J98" s="465" t="str">
        <f t="shared" si="48"/>
        <v>-</v>
      </c>
      <c r="K98" s="464"/>
      <c r="L98" s="465" t="str">
        <f t="shared" si="49"/>
        <v>-</v>
      </c>
      <c r="M98" s="464"/>
      <c r="N98" s="465" t="str">
        <f t="shared" si="50"/>
        <v>-</v>
      </c>
      <c r="O98" s="466">
        <f t="shared" si="51"/>
        <v>0</v>
      </c>
      <c r="P98" s="465" t="str">
        <f t="shared" si="52"/>
        <v>-</v>
      </c>
      <c r="Q98" s="463"/>
      <c r="R98" s="465" t="str">
        <f t="shared" si="53"/>
        <v>-</v>
      </c>
      <c r="S98" s="495">
        <f t="shared" si="54"/>
        <v>0</v>
      </c>
      <c r="T98" s="466">
        <f t="shared" si="55"/>
        <v>0</v>
      </c>
      <c r="U98" s="465" t="str">
        <f t="shared" si="56"/>
        <v>-</v>
      </c>
      <c r="V98" s="378"/>
      <c r="W98" s="378"/>
      <c r="X98" s="379"/>
      <c r="Y98" s="379"/>
      <c r="Z98" s="379">
        <v>1</v>
      </c>
      <c r="AA98" s="467"/>
      <c r="AC98" s="389"/>
      <c r="AD98" s="386">
        <f>SUMIF($W$95:$W$114,TRIM(AD96),$F$95:$F$114)</f>
        <v>0</v>
      </c>
      <c r="AE98" s="386">
        <f t="shared" ref="AE98:AJ98" si="58">SUMIF($W$95:$W$114,TRIM(AE96),$F$95:$F$114)</f>
        <v>0</v>
      </c>
      <c r="AF98" s="386">
        <f t="shared" si="58"/>
        <v>0</v>
      </c>
      <c r="AG98" s="386">
        <f t="shared" si="58"/>
        <v>0</v>
      </c>
      <c r="AH98" s="386">
        <f t="shared" si="58"/>
        <v>0</v>
      </c>
      <c r="AI98" s="386">
        <f t="shared" si="58"/>
        <v>0</v>
      </c>
      <c r="AJ98" s="386">
        <f t="shared" si="58"/>
        <v>0</v>
      </c>
    </row>
    <row r="99" spans="2:36" s="148" customFormat="1" ht="27" customHeight="1">
      <c r="B99" s="892"/>
      <c r="C99" s="893"/>
      <c r="D99" s="368">
        <v>5</v>
      </c>
      <c r="E99" s="461"/>
      <c r="F99" s="372"/>
      <c r="G99" s="376"/>
      <c r="H99" s="463"/>
      <c r="I99" s="463"/>
      <c r="J99" s="465" t="str">
        <f t="shared" si="48"/>
        <v>-</v>
      </c>
      <c r="K99" s="464"/>
      <c r="L99" s="465" t="str">
        <f t="shared" si="49"/>
        <v>-</v>
      </c>
      <c r="M99" s="464"/>
      <c r="N99" s="465" t="str">
        <f t="shared" si="50"/>
        <v>-</v>
      </c>
      <c r="O99" s="466">
        <f t="shared" si="51"/>
        <v>0</v>
      </c>
      <c r="P99" s="465" t="str">
        <f t="shared" si="52"/>
        <v>-</v>
      </c>
      <c r="Q99" s="463"/>
      <c r="R99" s="465" t="str">
        <f t="shared" si="53"/>
        <v>-</v>
      </c>
      <c r="S99" s="495">
        <f t="shared" si="54"/>
        <v>0</v>
      </c>
      <c r="T99" s="466">
        <f t="shared" si="55"/>
        <v>0</v>
      </c>
      <c r="U99" s="465" t="str">
        <f t="shared" si="56"/>
        <v>-</v>
      </c>
      <c r="V99" s="378"/>
      <c r="W99" s="378"/>
      <c r="X99" s="379"/>
      <c r="Y99" s="379"/>
      <c r="Z99" s="379">
        <v>1</v>
      </c>
      <c r="AA99" s="467"/>
      <c r="AC99" s="368"/>
      <c r="AD99" s="387">
        <f t="shared" ref="AD99:AJ99" si="59">AD97/$AC97</f>
        <v>0</v>
      </c>
      <c r="AE99" s="387">
        <f t="shared" si="59"/>
        <v>0</v>
      </c>
      <c r="AF99" s="387">
        <f t="shared" si="59"/>
        <v>0</v>
      </c>
      <c r="AG99" s="387">
        <f t="shared" si="59"/>
        <v>0</v>
      </c>
      <c r="AH99" s="387">
        <f t="shared" si="59"/>
        <v>0</v>
      </c>
      <c r="AI99" s="387">
        <f t="shared" si="59"/>
        <v>0</v>
      </c>
      <c r="AJ99" s="387">
        <f t="shared" si="59"/>
        <v>0</v>
      </c>
    </row>
    <row r="100" spans="2:36" s="148" customFormat="1" ht="27" customHeight="1">
      <c r="B100" s="892"/>
      <c r="C100" s="893"/>
      <c r="D100" s="368">
        <v>6</v>
      </c>
      <c r="E100" s="461"/>
      <c r="F100" s="372"/>
      <c r="G100" s="376"/>
      <c r="H100" s="463"/>
      <c r="I100" s="463"/>
      <c r="J100" s="465" t="str">
        <f t="shared" si="48"/>
        <v>-</v>
      </c>
      <c r="K100" s="464"/>
      <c r="L100" s="465" t="str">
        <f t="shared" si="49"/>
        <v>-</v>
      </c>
      <c r="M100" s="464"/>
      <c r="N100" s="465" t="str">
        <f t="shared" si="50"/>
        <v>-</v>
      </c>
      <c r="O100" s="466">
        <f t="shared" si="51"/>
        <v>0</v>
      </c>
      <c r="P100" s="465" t="str">
        <f t="shared" si="52"/>
        <v>-</v>
      </c>
      <c r="Q100" s="463"/>
      <c r="R100" s="465" t="str">
        <f t="shared" si="53"/>
        <v>-</v>
      </c>
      <c r="S100" s="495">
        <f t="shared" si="54"/>
        <v>0</v>
      </c>
      <c r="T100" s="466">
        <f t="shared" si="55"/>
        <v>0</v>
      </c>
      <c r="U100" s="465" t="str">
        <f t="shared" si="56"/>
        <v>-</v>
      </c>
      <c r="V100" s="378"/>
      <c r="W100" s="378"/>
      <c r="X100" s="379"/>
      <c r="Y100" s="379"/>
      <c r="Z100" s="379">
        <v>1</v>
      </c>
      <c r="AA100" s="467"/>
    </row>
    <row r="101" spans="2:36" s="148" customFormat="1" ht="27" customHeight="1">
      <c r="B101" s="892"/>
      <c r="C101" s="893"/>
      <c r="D101" s="368">
        <v>7</v>
      </c>
      <c r="E101" s="461"/>
      <c r="F101" s="372"/>
      <c r="G101" s="376"/>
      <c r="H101" s="463"/>
      <c r="I101" s="463"/>
      <c r="J101" s="465" t="str">
        <f t="shared" si="48"/>
        <v>-</v>
      </c>
      <c r="K101" s="464"/>
      <c r="L101" s="465" t="str">
        <f t="shared" si="49"/>
        <v>-</v>
      </c>
      <c r="M101" s="464"/>
      <c r="N101" s="465" t="str">
        <f t="shared" si="50"/>
        <v>-</v>
      </c>
      <c r="O101" s="466">
        <f t="shared" si="51"/>
        <v>0</v>
      </c>
      <c r="P101" s="465" t="str">
        <f t="shared" si="52"/>
        <v>-</v>
      </c>
      <c r="Q101" s="463"/>
      <c r="R101" s="465" t="str">
        <f t="shared" si="53"/>
        <v>-</v>
      </c>
      <c r="S101" s="495">
        <f t="shared" si="54"/>
        <v>0</v>
      </c>
      <c r="T101" s="466">
        <f t="shared" si="55"/>
        <v>0</v>
      </c>
      <c r="U101" s="465" t="str">
        <f t="shared" si="56"/>
        <v>-</v>
      </c>
      <c r="V101" s="378"/>
      <c r="W101" s="378"/>
      <c r="X101" s="379"/>
      <c r="Y101" s="379"/>
      <c r="Z101" s="379">
        <v>1</v>
      </c>
      <c r="AA101" s="467"/>
    </row>
    <row r="102" spans="2:36" s="148" customFormat="1" ht="27" customHeight="1">
      <c r="B102" s="892"/>
      <c r="C102" s="893"/>
      <c r="D102" s="368">
        <v>8</v>
      </c>
      <c r="E102" s="461"/>
      <c r="F102" s="372"/>
      <c r="G102" s="376"/>
      <c r="H102" s="463"/>
      <c r="I102" s="463"/>
      <c r="J102" s="465" t="str">
        <f t="shared" si="48"/>
        <v>-</v>
      </c>
      <c r="K102" s="464"/>
      <c r="L102" s="465" t="str">
        <f t="shared" si="49"/>
        <v>-</v>
      </c>
      <c r="M102" s="464"/>
      <c r="N102" s="465" t="str">
        <f t="shared" si="50"/>
        <v>-</v>
      </c>
      <c r="O102" s="466">
        <f t="shared" si="51"/>
        <v>0</v>
      </c>
      <c r="P102" s="465" t="str">
        <f t="shared" si="52"/>
        <v>-</v>
      </c>
      <c r="Q102" s="463"/>
      <c r="R102" s="465" t="str">
        <f t="shared" si="53"/>
        <v>-</v>
      </c>
      <c r="S102" s="495">
        <f t="shared" si="54"/>
        <v>0</v>
      </c>
      <c r="T102" s="466">
        <f t="shared" si="55"/>
        <v>0</v>
      </c>
      <c r="U102" s="465" t="str">
        <f t="shared" si="56"/>
        <v>-</v>
      </c>
      <c r="V102" s="378"/>
      <c r="W102" s="378"/>
      <c r="X102" s="379"/>
      <c r="Y102" s="379"/>
      <c r="Z102" s="379">
        <v>1</v>
      </c>
      <c r="AA102" s="467"/>
    </row>
    <row r="103" spans="2:36" s="148" customFormat="1" ht="27" customHeight="1">
      <c r="B103" s="892"/>
      <c r="C103" s="893"/>
      <c r="D103" s="368">
        <v>9</v>
      </c>
      <c r="E103" s="461"/>
      <c r="F103" s="372"/>
      <c r="G103" s="376"/>
      <c r="H103" s="463"/>
      <c r="I103" s="463"/>
      <c r="J103" s="465" t="str">
        <f t="shared" si="48"/>
        <v>-</v>
      </c>
      <c r="K103" s="464"/>
      <c r="L103" s="465" t="str">
        <f t="shared" si="49"/>
        <v>-</v>
      </c>
      <c r="M103" s="464"/>
      <c r="N103" s="465" t="str">
        <f t="shared" si="50"/>
        <v>-</v>
      </c>
      <c r="O103" s="466">
        <f t="shared" si="51"/>
        <v>0</v>
      </c>
      <c r="P103" s="465" t="str">
        <f t="shared" si="52"/>
        <v>-</v>
      </c>
      <c r="Q103" s="463"/>
      <c r="R103" s="465" t="str">
        <f t="shared" si="53"/>
        <v>-</v>
      </c>
      <c r="S103" s="495">
        <f t="shared" si="54"/>
        <v>0</v>
      </c>
      <c r="T103" s="466">
        <f t="shared" si="55"/>
        <v>0</v>
      </c>
      <c r="U103" s="465" t="str">
        <f t="shared" si="56"/>
        <v>-</v>
      </c>
      <c r="V103" s="378"/>
      <c r="W103" s="378"/>
      <c r="X103" s="379"/>
      <c r="Y103" s="379"/>
      <c r="Z103" s="379">
        <v>1</v>
      </c>
      <c r="AA103" s="467"/>
    </row>
    <row r="104" spans="2:36" s="148" customFormat="1" ht="27" customHeight="1">
      <c r="B104" s="892"/>
      <c r="C104" s="893"/>
      <c r="D104" s="368">
        <v>10</v>
      </c>
      <c r="E104" s="461"/>
      <c r="F104" s="372"/>
      <c r="G104" s="376"/>
      <c r="H104" s="463"/>
      <c r="I104" s="463"/>
      <c r="J104" s="465" t="str">
        <f t="shared" si="48"/>
        <v>-</v>
      </c>
      <c r="K104" s="464"/>
      <c r="L104" s="465" t="str">
        <f t="shared" si="49"/>
        <v>-</v>
      </c>
      <c r="M104" s="464"/>
      <c r="N104" s="465" t="str">
        <f t="shared" si="50"/>
        <v>-</v>
      </c>
      <c r="O104" s="466">
        <f t="shared" si="51"/>
        <v>0</v>
      </c>
      <c r="P104" s="465" t="str">
        <f t="shared" si="52"/>
        <v>-</v>
      </c>
      <c r="Q104" s="463"/>
      <c r="R104" s="465" t="str">
        <f t="shared" si="53"/>
        <v>-</v>
      </c>
      <c r="S104" s="495">
        <f t="shared" si="54"/>
        <v>0</v>
      </c>
      <c r="T104" s="466">
        <f t="shared" si="55"/>
        <v>0</v>
      </c>
      <c r="U104" s="465" t="str">
        <f t="shared" si="56"/>
        <v>-</v>
      </c>
      <c r="V104" s="378"/>
      <c r="W104" s="378"/>
      <c r="X104" s="379"/>
      <c r="Y104" s="379"/>
      <c r="Z104" s="379">
        <v>1</v>
      </c>
      <c r="AA104" s="467"/>
    </row>
    <row r="105" spans="2:36" s="148" customFormat="1" ht="27" customHeight="1">
      <c r="B105" s="892"/>
      <c r="C105" s="893"/>
      <c r="D105" s="368">
        <v>11</v>
      </c>
      <c r="E105" s="461"/>
      <c r="F105" s="372"/>
      <c r="G105" s="376"/>
      <c r="H105" s="463"/>
      <c r="I105" s="463"/>
      <c r="J105" s="465" t="str">
        <f t="shared" si="48"/>
        <v>-</v>
      </c>
      <c r="K105" s="464"/>
      <c r="L105" s="465" t="str">
        <f t="shared" si="49"/>
        <v>-</v>
      </c>
      <c r="M105" s="464"/>
      <c r="N105" s="465" t="str">
        <f t="shared" si="50"/>
        <v>-</v>
      </c>
      <c r="O105" s="466">
        <f t="shared" si="51"/>
        <v>0</v>
      </c>
      <c r="P105" s="465" t="str">
        <f t="shared" si="52"/>
        <v>-</v>
      </c>
      <c r="Q105" s="463"/>
      <c r="R105" s="465" t="str">
        <f t="shared" si="53"/>
        <v>-</v>
      </c>
      <c r="S105" s="495">
        <f t="shared" si="54"/>
        <v>0</v>
      </c>
      <c r="T105" s="466">
        <f t="shared" si="55"/>
        <v>0</v>
      </c>
      <c r="U105" s="465" t="str">
        <f t="shared" si="56"/>
        <v>-</v>
      </c>
      <c r="V105" s="378"/>
      <c r="W105" s="378"/>
      <c r="X105" s="379"/>
      <c r="Y105" s="379"/>
      <c r="Z105" s="379">
        <v>1</v>
      </c>
      <c r="AA105" s="467"/>
      <c r="AE105" s="383"/>
    </row>
    <row r="106" spans="2:36" s="148" customFormat="1" ht="27" customHeight="1">
      <c r="B106" s="892"/>
      <c r="C106" s="893"/>
      <c r="D106" s="368">
        <v>12</v>
      </c>
      <c r="E106" s="461"/>
      <c r="F106" s="372"/>
      <c r="G106" s="376"/>
      <c r="H106" s="463"/>
      <c r="I106" s="463"/>
      <c r="J106" s="465" t="str">
        <f t="shared" si="48"/>
        <v>-</v>
      </c>
      <c r="K106" s="464"/>
      <c r="L106" s="465" t="str">
        <f t="shared" si="49"/>
        <v>-</v>
      </c>
      <c r="M106" s="464"/>
      <c r="N106" s="465" t="str">
        <f t="shared" si="50"/>
        <v>-</v>
      </c>
      <c r="O106" s="466">
        <f t="shared" si="51"/>
        <v>0</v>
      </c>
      <c r="P106" s="465" t="str">
        <f t="shared" si="52"/>
        <v>-</v>
      </c>
      <c r="Q106" s="463"/>
      <c r="R106" s="465" t="str">
        <f t="shared" si="53"/>
        <v>-</v>
      </c>
      <c r="S106" s="495">
        <f t="shared" si="54"/>
        <v>0</v>
      </c>
      <c r="T106" s="466">
        <f t="shared" si="55"/>
        <v>0</v>
      </c>
      <c r="U106" s="465" t="str">
        <f t="shared" si="56"/>
        <v>-</v>
      </c>
      <c r="V106" s="378"/>
      <c r="W106" s="378"/>
      <c r="X106" s="379"/>
      <c r="Y106" s="379"/>
      <c r="Z106" s="379">
        <v>1</v>
      </c>
      <c r="AA106" s="467"/>
    </row>
    <row r="107" spans="2:36" s="148" customFormat="1" ht="27" customHeight="1">
      <c r="B107" s="892"/>
      <c r="C107" s="893"/>
      <c r="D107" s="368">
        <v>13</v>
      </c>
      <c r="E107" s="461"/>
      <c r="F107" s="372"/>
      <c r="G107" s="376"/>
      <c r="H107" s="463"/>
      <c r="I107" s="463"/>
      <c r="J107" s="465" t="str">
        <f t="shared" si="48"/>
        <v>-</v>
      </c>
      <c r="K107" s="464"/>
      <c r="L107" s="465" t="str">
        <f t="shared" si="49"/>
        <v>-</v>
      </c>
      <c r="M107" s="464"/>
      <c r="N107" s="465" t="str">
        <f t="shared" si="50"/>
        <v>-</v>
      </c>
      <c r="O107" s="466">
        <f t="shared" si="51"/>
        <v>0</v>
      </c>
      <c r="P107" s="465" t="str">
        <f t="shared" si="52"/>
        <v>-</v>
      </c>
      <c r="Q107" s="463"/>
      <c r="R107" s="465" t="str">
        <f t="shared" si="53"/>
        <v>-</v>
      </c>
      <c r="S107" s="495">
        <f t="shared" si="54"/>
        <v>0</v>
      </c>
      <c r="T107" s="466">
        <f t="shared" si="55"/>
        <v>0</v>
      </c>
      <c r="U107" s="465" t="str">
        <f t="shared" si="56"/>
        <v>-</v>
      </c>
      <c r="V107" s="378"/>
      <c r="W107" s="378"/>
      <c r="X107" s="379"/>
      <c r="Y107" s="379"/>
      <c r="Z107" s="379">
        <v>1</v>
      </c>
      <c r="AA107" s="467"/>
    </row>
    <row r="108" spans="2:36" s="148" customFormat="1" ht="27" customHeight="1">
      <c r="B108" s="892"/>
      <c r="C108" s="893"/>
      <c r="D108" s="368">
        <v>14</v>
      </c>
      <c r="E108" s="461"/>
      <c r="F108" s="372"/>
      <c r="G108" s="376"/>
      <c r="H108" s="463"/>
      <c r="I108" s="463"/>
      <c r="J108" s="465" t="str">
        <f t="shared" si="48"/>
        <v>-</v>
      </c>
      <c r="K108" s="464"/>
      <c r="L108" s="465" t="str">
        <f t="shared" si="49"/>
        <v>-</v>
      </c>
      <c r="M108" s="464"/>
      <c r="N108" s="465" t="str">
        <f t="shared" si="50"/>
        <v>-</v>
      </c>
      <c r="O108" s="466">
        <f t="shared" si="51"/>
        <v>0</v>
      </c>
      <c r="P108" s="465" t="str">
        <f t="shared" si="52"/>
        <v>-</v>
      </c>
      <c r="Q108" s="463"/>
      <c r="R108" s="465" t="str">
        <f t="shared" si="53"/>
        <v>-</v>
      </c>
      <c r="S108" s="495">
        <f t="shared" si="54"/>
        <v>0</v>
      </c>
      <c r="T108" s="466">
        <f t="shared" si="55"/>
        <v>0</v>
      </c>
      <c r="U108" s="465" t="str">
        <f t="shared" si="56"/>
        <v>-</v>
      </c>
      <c r="V108" s="378"/>
      <c r="W108" s="378"/>
      <c r="X108" s="379"/>
      <c r="Y108" s="379"/>
      <c r="Z108" s="379">
        <v>1</v>
      </c>
      <c r="AA108" s="467"/>
    </row>
    <row r="109" spans="2:36" s="148" customFormat="1" ht="27" customHeight="1">
      <c r="B109" s="892"/>
      <c r="C109" s="893"/>
      <c r="D109" s="368">
        <v>15</v>
      </c>
      <c r="E109" s="461"/>
      <c r="F109" s="372"/>
      <c r="G109" s="376"/>
      <c r="H109" s="463"/>
      <c r="I109" s="463"/>
      <c r="J109" s="465" t="str">
        <f t="shared" si="48"/>
        <v>-</v>
      </c>
      <c r="K109" s="464"/>
      <c r="L109" s="465" t="str">
        <f t="shared" si="49"/>
        <v>-</v>
      </c>
      <c r="M109" s="464"/>
      <c r="N109" s="465" t="str">
        <f t="shared" si="50"/>
        <v>-</v>
      </c>
      <c r="O109" s="466">
        <f t="shared" si="51"/>
        <v>0</v>
      </c>
      <c r="P109" s="465" t="str">
        <f t="shared" si="52"/>
        <v>-</v>
      </c>
      <c r="Q109" s="463"/>
      <c r="R109" s="465" t="str">
        <f t="shared" si="53"/>
        <v>-</v>
      </c>
      <c r="S109" s="495">
        <f t="shared" si="54"/>
        <v>0</v>
      </c>
      <c r="T109" s="466">
        <f t="shared" si="55"/>
        <v>0</v>
      </c>
      <c r="U109" s="465" t="str">
        <f t="shared" si="56"/>
        <v>-</v>
      </c>
      <c r="V109" s="378"/>
      <c r="W109" s="378"/>
      <c r="X109" s="379"/>
      <c r="Y109" s="379"/>
      <c r="Z109" s="379">
        <v>1</v>
      </c>
      <c r="AA109" s="467"/>
    </row>
    <row r="110" spans="2:36" s="148" customFormat="1" ht="27" customHeight="1">
      <c r="B110" s="892"/>
      <c r="C110" s="893"/>
      <c r="D110" s="368">
        <v>16</v>
      </c>
      <c r="E110" s="461"/>
      <c r="F110" s="372"/>
      <c r="G110" s="376"/>
      <c r="H110" s="463"/>
      <c r="I110" s="463"/>
      <c r="J110" s="465" t="str">
        <f t="shared" si="48"/>
        <v>-</v>
      </c>
      <c r="K110" s="464"/>
      <c r="L110" s="465" t="str">
        <f t="shared" si="49"/>
        <v>-</v>
      </c>
      <c r="M110" s="464"/>
      <c r="N110" s="465" t="str">
        <f t="shared" si="50"/>
        <v>-</v>
      </c>
      <c r="O110" s="466">
        <f t="shared" si="51"/>
        <v>0</v>
      </c>
      <c r="P110" s="465" t="str">
        <f t="shared" si="52"/>
        <v>-</v>
      </c>
      <c r="Q110" s="463"/>
      <c r="R110" s="465" t="str">
        <f t="shared" si="53"/>
        <v>-</v>
      </c>
      <c r="S110" s="495">
        <f t="shared" si="54"/>
        <v>0</v>
      </c>
      <c r="T110" s="466">
        <f t="shared" si="55"/>
        <v>0</v>
      </c>
      <c r="U110" s="465" t="str">
        <f t="shared" si="56"/>
        <v>-</v>
      </c>
      <c r="V110" s="378"/>
      <c r="W110" s="379"/>
      <c r="X110" s="379"/>
      <c r="Y110" s="379"/>
      <c r="Z110" s="379">
        <v>1</v>
      </c>
      <c r="AA110" s="467"/>
    </row>
    <row r="111" spans="2:36" s="148" customFormat="1" ht="27" customHeight="1">
      <c r="B111" s="892"/>
      <c r="C111" s="893"/>
      <c r="D111" s="368">
        <v>17</v>
      </c>
      <c r="E111" s="461"/>
      <c r="F111" s="372"/>
      <c r="G111" s="376"/>
      <c r="H111" s="463"/>
      <c r="I111" s="463"/>
      <c r="J111" s="465" t="str">
        <f t="shared" si="48"/>
        <v>-</v>
      </c>
      <c r="K111" s="464"/>
      <c r="L111" s="465" t="str">
        <f t="shared" si="49"/>
        <v>-</v>
      </c>
      <c r="M111" s="464"/>
      <c r="N111" s="465" t="str">
        <f t="shared" si="50"/>
        <v>-</v>
      </c>
      <c r="O111" s="466">
        <f t="shared" si="51"/>
        <v>0</v>
      </c>
      <c r="P111" s="465" t="str">
        <f t="shared" si="52"/>
        <v>-</v>
      </c>
      <c r="Q111" s="463"/>
      <c r="R111" s="465" t="str">
        <f t="shared" si="53"/>
        <v>-</v>
      </c>
      <c r="S111" s="495">
        <f t="shared" si="54"/>
        <v>0</v>
      </c>
      <c r="T111" s="466">
        <f t="shared" si="55"/>
        <v>0</v>
      </c>
      <c r="U111" s="465" t="str">
        <f t="shared" si="56"/>
        <v>-</v>
      </c>
      <c r="V111" s="378"/>
      <c r="W111" s="378"/>
      <c r="X111" s="379"/>
      <c r="Y111" s="379"/>
      <c r="Z111" s="379">
        <v>1</v>
      </c>
      <c r="AA111" s="467"/>
    </row>
    <row r="112" spans="2:36" s="148" customFormat="1" ht="27" customHeight="1">
      <c r="B112" s="892"/>
      <c r="C112" s="893"/>
      <c r="D112" s="368">
        <v>18</v>
      </c>
      <c r="E112" s="461"/>
      <c r="F112" s="372"/>
      <c r="G112" s="376"/>
      <c r="H112" s="463"/>
      <c r="I112" s="463"/>
      <c r="J112" s="465" t="str">
        <f t="shared" si="48"/>
        <v>-</v>
      </c>
      <c r="K112" s="464"/>
      <c r="L112" s="465" t="str">
        <f t="shared" si="49"/>
        <v>-</v>
      </c>
      <c r="M112" s="464"/>
      <c r="N112" s="465" t="str">
        <f t="shared" si="50"/>
        <v>-</v>
      </c>
      <c r="O112" s="466">
        <f t="shared" si="51"/>
        <v>0</v>
      </c>
      <c r="P112" s="465" t="str">
        <f t="shared" si="52"/>
        <v>-</v>
      </c>
      <c r="Q112" s="463"/>
      <c r="R112" s="465" t="str">
        <f t="shared" si="53"/>
        <v>-</v>
      </c>
      <c r="S112" s="495">
        <f t="shared" si="54"/>
        <v>0</v>
      </c>
      <c r="T112" s="466">
        <f t="shared" si="55"/>
        <v>0</v>
      </c>
      <c r="U112" s="465" t="str">
        <f t="shared" si="56"/>
        <v>-</v>
      </c>
      <c r="V112" s="378"/>
      <c r="W112" s="378"/>
      <c r="X112" s="379"/>
      <c r="Y112" s="379"/>
      <c r="Z112" s="379">
        <v>1</v>
      </c>
      <c r="AA112" s="467"/>
    </row>
    <row r="113" spans="2:27" s="148" customFormat="1" ht="27" customHeight="1">
      <c r="B113" s="892"/>
      <c r="C113" s="893"/>
      <c r="D113" s="368">
        <v>19</v>
      </c>
      <c r="E113" s="461"/>
      <c r="F113" s="372"/>
      <c r="G113" s="376"/>
      <c r="H113" s="463"/>
      <c r="I113" s="463"/>
      <c r="J113" s="465" t="str">
        <f t="shared" si="48"/>
        <v>-</v>
      </c>
      <c r="K113" s="464"/>
      <c r="L113" s="465" t="str">
        <f t="shared" si="49"/>
        <v>-</v>
      </c>
      <c r="M113" s="464"/>
      <c r="N113" s="465" t="str">
        <f t="shared" si="50"/>
        <v>-</v>
      </c>
      <c r="O113" s="466">
        <f t="shared" si="51"/>
        <v>0</v>
      </c>
      <c r="P113" s="465" t="str">
        <f t="shared" si="52"/>
        <v>-</v>
      </c>
      <c r="Q113" s="463"/>
      <c r="R113" s="465" t="str">
        <f t="shared" si="53"/>
        <v>-</v>
      </c>
      <c r="S113" s="495">
        <f t="shared" si="54"/>
        <v>0</v>
      </c>
      <c r="T113" s="466">
        <f t="shared" si="55"/>
        <v>0</v>
      </c>
      <c r="U113" s="465" t="str">
        <f t="shared" si="56"/>
        <v>-</v>
      </c>
      <c r="V113" s="378"/>
      <c r="W113" s="378"/>
      <c r="X113" s="379"/>
      <c r="Y113" s="379"/>
      <c r="Z113" s="379">
        <v>1</v>
      </c>
      <c r="AA113" s="467"/>
    </row>
    <row r="114" spans="2:27" s="148" customFormat="1" ht="27" customHeight="1">
      <c r="B114" s="894"/>
      <c r="C114" s="895"/>
      <c r="D114" s="368">
        <v>20</v>
      </c>
      <c r="E114" s="461"/>
      <c r="F114" s="372"/>
      <c r="G114" s="376"/>
      <c r="H114" s="463"/>
      <c r="I114" s="463"/>
      <c r="J114" s="465" t="str">
        <f t="shared" si="48"/>
        <v>-</v>
      </c>
      <c r="K114" s="464"/>
      <c r="L114" s="465" t="str">
        <f t="shared" si="49"/>
        <v>-</v>
      </c>
      <c r="M114" s="464"/>
      <c r="N114" s="465" t="str">
        <f t="shared" si="50"/>
        <v>-</v>
      </c>
      <c r="O114" s="466">
        <f t="shared" si="51"/>
        <v>0</v>
      </c>
      <c r="P114" s="465" t="str">
        <f t="shared" si="52"/>
        <v>-</v>
      </c>
      <c r="Q114" s="463"/>
      <c r="R114" s="465" t="str">
        <f t="shared" si="53"/>
        <v>-</v>
      </c>
      <c r="S114" s="495">
        <f t="shared" si="54"/>
        <v>0</v>
      </c>
      <c r="T114" s="466">
        <f t="shared" si="55"/>
        <v>0</v>
      </c>
      <c r="U114" s="465" t="str">
        <f t="shared" si="56"/>
        <v>-</v>
      </c>
      <c r="V114" s="378"/>
      <c r="W114" s="378"/>
      <c r="X114" s="379"/>
      <c r="Y114" s="379"/>
      <c r="Z114" s="379">
        <v>1</v>
      </c>
      <c r="AA114" s="467"/>
    </row>
  </sheetData>
  <mergeCells count="101">
    <mergeCell ref="B7:C26"/>
    <mergeCell ref="B2:Y2"/>
    <mergeCell ref="B3:C6"/>
    <mergeCell ref="D3:F3"/>
    <mergeCell ref="D4:D6"/>
    <mergeCell ref="E4:F4"/>
    <mergeCell ref="E5:E6"/>
    <mergeCell ref="F5:F6"/>
    <mergeCell ref="Z3:Z6"/>
    <mergeCell ref="G3:U3"/>
    <mergeCell ref="AA3:AA6"/>
    <mergeCell ref="AC3:AJ5"/>
    <mergeCell ref="G4:P4"/>
    <mergeCell ref="Q4:U4"/>
    <mergeCell ref="G5:P5"/>
    <mergeCell ref="Q5:R5"/>
    <mergeCell ref="S5:U5"/>
    <mergeCell ref="Y3:Y6"/>
    <mergeCell ref="V3:V6"/>
    <mergeCell ref="W3:W6"/>
    <mergeCell ref="X3:X6"/>
    <mergeCell ref="Y27:Y28"/>
    <mergeCell ref="Z27:Z28"/>
    <mergeCell ref="AA27:AA28"/>
    <mergeCell ref="AC27:AJ29"/>
    <mergeCell ref="B29:C48"/>
    <mergeCell ref="D27:D28"/>
    <mergeCell ref="E27:E28"/>
    <mergeCell ref="F27:F28"/>
    <mergeCell ref="G27:G28"/>
    <mergeCell ref="H27:H28"/>
    <mergeCell ref="I27:J27"/>
    <mergeCell ref="K27:L27"/>
    <mergeCell ref="M27:N27"/>
    <mergeCell ref="O27:P27"/>
    <mergeCell ref="Q27:S27"/>
    <mergeCell ref="T27:U27"/>
    <mergeCell ref="V27:V28"/>
    <mergeCell ref="B27:C28"/>
    <mergeCell ref="W27:W28"/>
    <mergeCell ref="X27:X28"/>
    <mergeCell ref="Y49:Y50"/>
    <mergeCell ref="Z49:Z50"/>
    <mergeCell ref="AA49:AA50"/>
    <mergeCell ref="AC49:AJ51"/>
    <mergeCell ref="B51:C70"/>
    <mergeCell ref="Q49:S49"/>
    <mergeCell ref="T49:U49"/>
    <mergeCell ref="V49:V50"/>
    <mergeCell ref="W49:W50"/>
    <mergeCell ref="X49:X50"/>
    <mergeCell ref="H49:H50"/>
    <mergeCell ref="I49:J49"/>
    <mergeCell ref="K49:L49"/>
    <mergeCell ref="M49:N49"/>
    <mergeCell ref="O49:P49"/>
    <mergeCell ref="B49:C50"/>
    <mergeCell ref="D49:D50"/>
    <mergeCell ref="E49:E50"/>
    <mergeCell ref="F49:F50"/>
    <mergeCell ref="G49:G50"/>
    <mergeCell ref="Y71:Y72"/>
    <mergeCell ref="Z71:Z72"/>
    <mergeCell ref="AA71:AA72"/>
    <mergeCell ref="AC71:AJ73"/>
    <mergeCell ref="B73:C92"/>
    <mergeCell ref="Q71:S71"/>
    <mergeCell ref="T71:U71"/>
    <mergeCell ref="V71:V72"/>
    <mergeCell ref="W71:W72"/>
    <mergeCell ref="X71:X72"/>
    <mergeCell ref="H71:H72"/>
    <mergeCell ref="I71:J71"/>
    <mergeCell ref="K71:L71"/>
    <mergeCell ref="M71:N71"/>
    <mergeCell ref="O71:P71"/>
    <mergeCell ref="B71:C72"/>
    <mergeCell ref="D71:D72"/>
    <mergeCell ref="E71:E72"/>
    <mergeCell ref="F71:F72"/>
    <mergeCell ref="G71:G72"/>
    <mergeCell ref="Y93:Y94"/>
    <mergeCell ref="Z93:Z94"/>
    <mergeCell ref="AA93:AA94"/>
    <mergeCell ref="AC93:AJ95"/>
    <mergeCell ref="B95:C114"/>
    <mergeCell ref="Q93:S93"/>
    <mergeCell ref="T93:U93"/>
    <mergeCell ref="V93:V94"/>
    <mergeCell ref="W93:W94"/>
    <mergeCell ref="X93:X94"/>
    <mergeCell ref="H93:H94"/>
    <mergeCell ref="I93:J93"/>
    <mergeCell ref="K93:L93"/>
    <mergeCell ref="M93:N93"/>
    <mergeCell ref="O93:P93"/>
    <mergeCell ref="B93:C94"/>
    <mergeCell ref="D93:D94"/>
    <mergeCell ref="E93:E94"/>
    <mergeCell ref="F93:F94"/>
    <mergeCell ref="G93:G94"/>
  </mergeCells>
  <phoneticPr fontId="13" type="noConversion"/>
  <dataValidations count="1">
    <dataValidation type="list" allowBlank="1" showInputMessage="1" showErrorMessage="1" sqref="V3:W27 V93:W93 T1:U2 V29:V48 W111:W114 V49:W49 W29:W43 W45:W48 W59:W67 V73:V92 W73 T115:U1048576 V95:V114 W95:W109 V51:V71 W69:W71 W51:W54 W56 W75:W80 W82:W87 W90 W92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07" t="s">
        <v>12</v>
      </c>
      <c r="D21" s="905"/>
      <c r="E21" s="906"/>
      <c r="F21" s="49" t="s">
        <v>46</v>
      </c>
      <c r="G21" s="49" t="s">
        <v>48</v>
      </c>
      <c r="H21" s="49" t="s">
        <v>49</v>
      </c>
      <c r="I21" s="8" t="s">
        <v>13</v>
      </c>
      <c r="J21" s="920" t="s">
        <v>51</v>
      </c>
      <c r="K21" s="906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09" t="s">
        <v>14</v>
      </c>
      <c r="D22" s="905"/>
      <c r="E22" s="906"/>
      <c r="F22" s="4">
        <v>3</v>
      </c>
      <c r="G22" s="4">
        <v>3000</v>
      </c>
      <c r="H22" s="4">
        <v>1000</v>
      </c>
      <c r="I22" s="4">
        <v>10</v>
      </c>
      <c r="J22" s="908" t="s">
        <v>76</v>
      </c>
      <c r="K22" s="906"/>
      <c r="M22" s="52" t="s">
        <v>26</v>
      </c>
      <c r="N22" s="57" t="s">
        <v>47</v>
      </c>
      <c r="O22" s="915" t="s">
        <v>12</v>
      </c>
      <c r="P22" s="905"/>
      <c r="Q22" s="906"/>
      <c r="R22" s="921" t="s">
        <v>53</v>
      </c>
      <c r="S22" s="905"/>
      <c r="T22" s="906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20" t="s">
        <v>51</v>
      </c>
      <c r="AA22" s="906"/>
    </row>
    <row r="23" spans="1:27" ht="15.75" customHeight="1">
      <c r="A23" s="23"/>
      <c r="B23" s="6">
        <v>2</v>
      </c>
      <c r="C23" s="904"/>
      <c r="D23" s="905"/>
      <c r="E23" s="906"/>
      <c r="F23" s="4"/>
      <c r="G23" s="4"/>
      <c r="H23" s="4"/>
      <c r="I23" s="4"/>
      <c r="J23" s="904"/>
      <c r="K23" s="906"/>
      <c r="M23" s="56" t="s">
        <v>42</v>
      </c>
      <c r="N23" s="24">
        <v>1</v>
      </c>
      <c r="O23" s="908" t="s">
        <v>82</v>
      </c>
      <c r="P23" s="905"/>
      <c r="Q23" s="906"/>
      <c r="R23" s="908" t="s">
        <v>85</v>
      </c>
      <c r="S23" s="905"/>
      <c r="T23" s="906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08" t="s">
        <v>86</v>
      </c>
      <c r="AA23" s="906"/>
    </row>
    <row r="24" spans="1:27" ht="15.75" customHeight="1">
      <c r="A24" s="23"/>
      <c r="B24" s="6">
        <v>3</v>
      </c>
      <c r="C24" s="904"/>
      <c r="D24" s="905"/>
      <c r="E24" s="906"/>
      <c r="F24" s="4"/>
      <c r="G24" s="4"/>
      <c r="H24" s="4"/>
      <c r="I24" s="4"/>
      <c r="J24" s="904"/>
      <c r="K24" s="906"/>
      <c r="M24" s="25"/>
      <c r="N24" s="24">
        <v>2</v>
      </c>
      <c r="O24" s="909"/>
      <c r="P24" s="905"/>
      <c r="Q24" s="906"/>
      <c r="R24" s="909"/>
      <c r="S24" s="905"/>
      <c r="T24" s="906"/>
      <c r="U24" s="4"/>
      <c r="V24" s="14"/>
      <c r="W24" s="4"/>
      <c r="X24" s="16">
        <f t="shared" si="16"/>
        <v>0</v>
      </c>
      <c r="Y24" s="4"/>
      <c r="Z24" s="909"/>
      <c r="AA24" s="906"/>
    </row>
    <row r="25" spans="1:27" ht="15.75" customHeight="1">
      <c r="A25" s="23"/>
      <c r="B25" s="6">
        <v>4</v>
      </c>
      <c r="C25" s="904"/>
      <c r="D25" s="905"/>
      <c r="E25" s="906"/>
      <c r="F25" s="4"/>
      <c r="G25" s="4"/>
      <c r="H25" s="4"/>
      <c r="I25" s="4"/>
      <c r="J25" s="904"/>
      <c r="K25" s="906"/>
      <c r="M25" s="25"/>
      <c r="N25" s="24">
        <v>3</v>
      </c>
      <c r="O25" s="909"/>
      <c r="P25" s="905"/>
      <c r="Q25" s="906"/>
      <c r="R25" s="909"/>
      <c r="S25" s="905"/>
      <c r="T25" s="906"/>
      <c r="U25" s="4"/>
      <c r="V25" s="14"/>
      <c r="W25" s="4"/>
      <c r="X25" s="16">
        <f t="shared" si="16"/>
        <v>0</v>
      </c>
      <c r="Y25" s="4"/>
      <c r="Z25" s="909"/>
      <c r="AA25" s="906"/>
    </row>
    <row r="26" spans="1:27" ht="15.75" customHeight="1">
      <c r="A26" s="23"/>
      <c r="B26" s="26">
        <v>5</v>
      </c>
      <c r="C26" s="918"/>
      <c r="D26" s="914"/>
      <c r="E26" s="911"/>
      <c r="F26" s="27"/>
      <c r="G26" s="27"/>
      <c r="H26" s="27"/>
      <c r="I26" s="27"/>
      <c r="J26" s="918"/>
      <c r="K26" s="911"/>
      <c r="M26" s="25"/>
      <c r="N26" s="24">
        <v>4</v>
      </c>
      <c r="O26" s="909"/>
      <c r="P26" s="905"/>
      <c r="Q26" s="906"/>
      <c r="R26" s="909"/>
      <c r="S26" s="905"/>
      <c r="T26" s="906"/>
      <c r="U26" s="4"/>
      <c r="V26" s="14"/>
      <c r="W26" s="4"/>
      <c r="X26" s="16">
        <f t="shared" si="16"/>
        <v>0</v>
      </c>
      <c r="Y26" s="4"/>
      <c r="Z26" s="909"/>
      <c r="AA26" s="906"/>
    </row>
    <row r="27" spans="1:27" ht="15.75" customHeight="1">
      <c r="A27" s="23"/>
      <c r="B27" s="69" t="s">
        <v>101</v>
      </c>
      <c r="C27" s="912" t="s">
        <v>75</v>
      </c>
      <c r="D27" s="919"/>
      <c r="E27" s="913"/>
      <c r="F27" s="28">
        <v>4</v>
      </c>
      <c r="G27" s="28">
        <v>2800</v>
      </c>
      <c r="H27" s="28">
        <v>700</v>
      </c>
      <c r="I27" s="28" t="s">
        <v>15</v>
      </c>
      <c r="J27" s="912" t="s">
        <v>77</v>
      </c>
      <c r="K27" s="913"/>
      <c r="M27" s="25"/>
      <c r="N27" s="29">
        <v>5</v>
      </c>
      <c r="O27" s="910"/>
      <c r="P27" s="914"/>
      <c r="Q27" s="911"/>
      <c r="R27" s="910"/>
      <c r="S27" s="914"/>
      <c r="T27" s="911"/>
      <c r="U27" s="27"/>
      <c r="V27" s="30"/>
      <c r="W27" s="27"/>
      <c r="X27" s="31">
        <f t="shared" si="16"/>
        <v>0</v>
      </c>
      <c r="Y27" s="4"/>
      <c r="Z27" s="910"/>
      <c r="AA27" s="911"/>
    </row>
    <row r="28" spans="1:27" ht="15.75" customHeight="1">
      <c r="A28" s="23"/>
      <c r="B28" s="70" t="s">
        <v>102</v>
      </c>
      <c r="C28" s="904"/>
      <c r="D28" s="905"/>
      <c r="E28" s="906"/>
      <c r="F28" s="4"/>
      <c r="G28" s="4"/>
      <c r="H28" s="4"/>
      <c r="I28" s="4"/>
      <c r="J28" s="904"/>
      <c r="K28" s="906"/>
      <c r="M28" s="32"/>
      <c r="N28" s="55"/>
      <c r="O28" s="916"/>
      <c r="P28" s="905"/>
      <c r="Q28" s="905"/>
      <c r="R28" s="916"/>
      <c r="S28" s="905"/>
      <c r="T28" s="905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16"/>
      <c r="AA28" s="906"/>
    </row>
    <row r="29" spans="1:27" ht="15.75" customHeight="1">
      <c r="A29" s="23"/>
      <c r="B29" s="70" t="s">
        <v>100</v>
      </c>
      <c r="C29" s="904"/>
      <c r="D29" s="905"/>
      <c r="E29" s="906"/>
      <c r="F29" s="4"/>
      <c r="G29" s="4"/>
      <c r="H29" s="4"/>
      <c r="I29" s="4"/>
      <c r="J29" s="904"/>
      <c r="K29" s="906"/>
      <c r="M29" s="56" t="s">
        <v>43</v>
      </c>
      <c r="N29" s="24">
        <v>1</v>
      </c>
      <c r="O29" s="929" t="s">
        <v>16</v>
      </c>
      <c r="P29" s="925"/>
      <c r="Q29" s="926"/>
      <c r="R29" s="924" t="s">
        <v>87</v>
      </c>
      <c r="S29" s="925"/>
      <c r="T29" s="926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24" t="s">
        <v>88</v>
      </c>
      <c r="AA29" s="926"/>
    </row>
    <row r="30" spans="1:27" ht="15.75" customHeight="1">
      <c r="A30" s="23"/>
      <c r="B30" s="70" t="s">
        <v>99</v>
      </c>
      <c r="C30" s="904"/>
      <c r="D30" s="905"/>
      <c r="E30" s="906"/>
      <c r="F30" s="4"/>
      <c r="G30" s="4"/>
      <c r="H30" s="4"/>
      <c r="I30" s="4"/>
      <c r="J30" s="904"/>
      <c r="K30" s="906"/>
      <c r="M30" s="25"/>
      <c r="N30" s="24">
        <v>2</v>
      </c>
      <c r="O30" s="909"/>
      <c r="P30" s="905"/>
      <c r="Q30" s="906"/>
      <c r="R30" s="909"/>
      <c r="S30" s="905"/>
      <c r="T30" s="906"/>
      <c r="U30" s="4"/>
      <c r="V30" s="14"/>
      <c r="W30" s="4"/>
      <c r="X30" s="16">
        <f t="shared" si="17"/>
        <v>0</v>
      </c>
      <c r="Y30" s="4"/>
      <c r="Z30" s="909"/>
      <c r="AA30" s="906"/>
    </row>
    <row r="31" spans="1:27" ht="15.75" customHeight="1">
      <c r="A31" s="20"/>
      <c r="B31" s="70" t="s">
        <v>103</v>
      </c>
      <c r="C31" s="904"/>
      <c r="D31" s="905"/>
      <c r="E31" s="906"/>
      <c r="F31" s="4"/>
      <c r="G31" s="4"/>
      <c r="H31" s="4"/>
      <c r="I31" s="4"/>
      <c r="J31" s="904"/>
      <c r="K31" s="906"/>
      <c r="M31" s="25"/>
      <c r="N31" s="24">
        <v>3</v>
      </c>
      <c r="O31" s="909"/>
      <c r="P31" s="905"/>
      <c r="Q31" s="906"/>
      <c r="R31" s="909"/>
      <c r="S31" s="905"/>
      <c r="T31" s="906"/>
      <c r="U31" s="4"/>
      <c r="V31" s="14"/>
      <c r="W31" s="4"/>
      <c r="X31" s="16">
        <f t="shared" si="17"/>
        <v>0</v>
      </c>
      <c r="Y31" s="4"/>
      <c r="Z31" s="909"/>
      <c r="AA31" s="906"/>
    </row>
    <row r="32" spans="1:27" ht="15.75" customHeight="1">
      <c r="A32" s="67"/>
      <c r="M32" s="25"/>
      <c r="N32" s="24">
        <v>4</v>
      </c>
      <c r="O32" s="909"/>
      <c r="P32" s="905"/>
      <c r="Q32" s="906"/>
      <c r="R32" s="909"/>
      <c r="S32" s="905"/>
      <c r="T32" s="906"/>
      <c r="U32" s="4"/>
      <c r="V32" s="14"/>
      <c r="W32" s="4"/>
      <c r="X32" s="16">
        <f t="shared" si="17"/>
        <v>0</v>
      </c>
      <c r="Y32" s="4"/>
      <c r="Z32" s="909"/>
      <c r="AA32" s="906"/>
    </row>
    <row r="33" spans="1:27" ht="15.75" customHeight="1">
      <c r="A33" s="18"/>
      <c r="B33" s="49" t="s">
        <v>47</v>
      </c>
      <c r="C33" s="907" t="s">
        <v>12</v>
      </c>
      <c r="D33" s="905"/>
      <c r="E33" s="906"/>
      <c r="F33" s="49" t="s">
        <v>46</v>
      </c>
      <c r="G33" s="49" t="s">
        <v>48</v>
      </c>
      <c r="H33" s="49" t="s">
        <v>49</v>
      </c>
      <c r="I33" s="8" t="s">
        <v>13</v>
      </c>
      <c r="J33" s="920" t="s">
        <v>51</v>
      </c>
      <c r="K33" s="906"/>
      <c r="M33" s="25"/>
      <c r="N33" s="29">
        <v>5</v>
      </c>
      <c r="O33" s="909"/>
      <c r="P33" s="905"/>
      <c r="Q33" s="906"/>
      <c r="R33" s="909"/>
      <c r="S33" s="905"/>
      <c r="T33" s="906"/>
      <c r="U33" s="27"/>
      <c r="V33" s="30"/>
      <c r="W33" s="27"/>
      <c r="X33" s="31">
        <f t="shared" si="17"/>
        <v>0</v>
      </c>
      <c r="Y33" s="4"/>
      <c r="Z33" s="909"/>
      <c r="AA33" s="906"/>
    </row>
    <row r="34" spans="1:27" ht="15.75" customHeight="1">
      <c r="A34" s="52" t="s">
        <v>35</v>
      </c>
      <c r="B34" s="6">
        <v>1</v>
      </c>
      <c r="C34" s="908" t="s">
        <v>79</v>
      </c>
      <c r="D34" s="905"/>
      <c r="E34" s="906"/>
      <c r="F34" s="4">
        <v>3</v>
      </c>
      <c r="G34" s="4">
        <v>2500</v>
      </c>
      <c r="H34" s="4">
        <v>833.33</v>
      </c>
      <c r="I34" s="4">
        <v>20</v>
      </c>
      <c r="J34" s="908" t="s">
        <v>78</v>
      </c>
      <c r="K34" s="906"/>
      <c r="M34" s="68"/>
      <c r="N34" s="45"/>
      <c r="O34" s="916"/>
      <c r="P34" s="905"/>
      <c r="Q34" s="905"/>
      <c r="R34" s="916"/>
      <c r="S34" s="905"/>
      <c r="T34" s="905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16"/>
      <c r="AA34" s="906"/>
    </row>
    <row r="35" spans="1:27" ht="15.75" customHeight="1">
      <c r="A35" s="23"/>
      <c r="B35" s="6">
        <v>2</v>
      </c>
      <c r="C35" s="909"/>
      <c r="D35" s="905"/>
      <c r="E35" s="906"/>
      <c r="F35" s="4"/>
      <c r="G35" s="4"/>
      <c r="H35" s="4"/>
      <c r="I35" s="4"/>
      <c r="J35" s="909"/>
      <c r="K35" s="906"/>
      <c r="M35" s="1"/>
      <c r="N35" s="1"/>
      <c r="O35" s="927"/>
      <c r="P35" s="928"/>
      <c r="Q35" s="928"/>
      <c r="R35" s="927"/>
      <c r="S35" s="928"/>
      <c r="T35" s="928"/>
      <c r="U35" s="1"/>
      <c r="V35" s="38"/>
      <c r="W35" s="1"/>
      <c r="X35" s="1"/>
      <c r="Y35" s="927"/>
      <c r="Z35" s="928"/>
      <c r="AA35" s="928"/>
    </row>
    <row r="36" spans="1:27" ht="15.75" customHeight="1">
      <c r="A36" s="23"/>
      <c r="B36" s="6">
        <v>3</v>
      </c>
      <c r="C36" s="909"/>
      <c r="D36" s="905"/>
      <c r="E36" s="906"/>
      <c r="F36" s="4"/>
      <c r="G36" s="4"/>
      <c r="H36" s="4"/>
      <c r="I36" s="4"/>
      <c r="J36" s="909"/>
      <c r="K36" s="906"/>
      <c r="M36" s="52" t="s">
        <v>27</v>
      </c>
      <c r="N36" s="57" t="s">
        <v>47</v>
      </c>
      <c r="O36" s="915" t="s">
        <v>12</v>
      </c>
      <c r="P36" s="916"/>
      <c r="Q36" s="917"/>
      <c r="R36" s="921" t="s">
        <v>53</v>
      </c>
      <c r="S36" s="922"/>
      <c r="T36" s="923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20" t="s">
        <v>51</v>
      </c>
      <c r="AA36" s="930"/>
    </row>
    <row r="37" spans="1:27" ht="15.75" customHeight="1">
      <c r="A37" s="23"/>
      <c r="B37" s="6">
        <v>4</v>
      </c>
      <c r="C37" s="909"/>
      <c r="D37" s="905"/>
      <c r="E37" s="906"/>
      <c r="F37" s="4"/>
      <c r="G37" s="4"/>
      <c r="H37" s="4"/>
      <c r="I37" s="4"/>
      <c r="J37" s="909"/>
      <c r="K37" s="906"/>
      <c r="M37" s="56" t="s">
        <v>42</v>
      </c>
      <c r="N37" s="24">
        <v>1</v>
      </c>
      <c r="O37" s="908" t="s">
        <v>89</v>
      </c>
      <c r="P37" s="905"/>
      <c r="Q37" s="906"/>
      <c r="R37" s="908" t="s">
        <v>90</v>
      </c>
      <c r="S37" s="905"/>
      <c r="T37" s="906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08" t="s">
        <v>91</v>
      </c>
      <c r="AA37" s="906"/>
    </row>
    <row r="38" spans="1:27" ht="15.75" customHeight="1">
      <c r="A38" s="23"/>
      <c r="B38" s="26">
        <v>5</v>
      </c>
      <c r="C38" s="910"/>
      <c r="D38" s="914"/>
      <c r="E38" s="911"/>
      <c r="F38" s="27"/>
      <c r="G38" s="27"/>
      <c r="H38" s="27"/>
      <c r="I38" s="27"/>
      <c r="J38" s="910"/>
      <c r="K38" s="911"/>
      <c r="M38" s="25"/>
      <c r="N38" s="24">
        <v>2</v>
      </c>
      <c r="O38" s="909"/>
      <c r="P38" s="905"/>
      <c r="Q38" s="906"/>
      <c r="R38" s="909"/>
      <c r="S38" s="905"/>
      <c r="T38" s="906"/>
      <c r="U38" s="4"/>
      <c r="V38" s="14"/>
      <c r="W38" s="4"/>
      <c r="X38" s="16">
        <f t="shared" si="18"/>
        <v>0</v>
      </c>
      <c r="Y38" s="4"/>
      <c r="Z38" s="909"/>
      <c r="AA38" s="906"/>
    </row>
    <row r="39" spans="1:27" ht="14.25">
      <c r="A39" s="23"/>
      <c r="B39" s="69" t="s">
        <v>101</v>
      </c>
      <c r="C39" s="912" t="s">
        <v>80</v>
      </c>
      <c r="D39" s="919"/>
      <c r="E39" s="913"/>
      <c r="F39" s="28">
        <v>7</v>
      </c>
      <c r="G39" s="28">
        <v>2200</v>
      </c>
      <c r="H39" s="28">
        <v>314.29000000000002</v>
      </c>
      <c r="I39" s="28">
        <v>-15</v>
      </c>
      <c r="J39" s="912" t="s">
        <v>81</v>
      </c>
      <c r="K39" s="913"/>
      <c r="M39" s="25"/>
      <c r="N39" s="24">
        <v>3</v>
      </c>
      <c r="O39" s="909"/>
      <c r="P39" s="905"/>
      <c r="Q39" s="906"/>
      <c r="R39" s="909"/>
      <c r="S39" s="905"/>
      <c r="T39" s="906"/>
      <c r="U39" s="4"/>
      <c r="V39" s="14"/>
      <c r="W39" s="4"/>
      <c r="X39" s="16">
        <f t="shared" si="18"/>
        <v>0</v>
      </c>
      <c r="Y39" s="4"/>
      <c r="Z39" s="909"/>
      <c r="AA39" s="906"/>
    </row>
    <row r="40" spans="1:27" ht="14.25">
      <c r="A40" s="23"/>
      <c r="B40" s="70" t="s">
        <v>102</v>
      </c>
      <c r="C40" s="909"/>
      <c r="D40" s="905"/>
      <c r="E40" s="906"/>
      <c r="F40" s="4"/>
      <c r="G40" s="4"/>
      <c r="H40" s="4"/>
      <c r="I40" s="4"/>
      <c r="J40" s="909"/>
      <c r="K40" s="906"/>
      <c r="M40" s="25"/>
      <c r="N40" s="24">
        <v>4</v>
      </c>
      <c r="O40" s="909"/>
      <c r="P40" s="905"/>
      <c r="Q40" s="906"/>
      <c r="R40" s="909"/>
      <c r="S40" s="905"/>
      <c r="T40" s="906"/>
      <c r="U40" s="4"/>
      <c r="V40" s="14"/>
      <c r="W40" s="4"/>
      <c r="X40" s="16">
        <f t="shared" si="18"/>
        <v>0</v>
      </c>
      <c r="Y40" s="4"/>
      <c r="Z40" s="909"/>
      <c r="AA40" s="906"/>
    </row>
    <row r="41" spans="1:27" ht="14.25">
      <c r="A41" s="23"/>
      <c r="B41" s="70" t="s">
        <v>100</v>
      </c>
      <c r="C41" s="909"/>
      <c r="D41" s="905"/>
      <c r="E41" s="906"/>
      <c r="F41" s="4"/>
      <c r="G41" s="4"/>
      <c r="H41" s="4"/>
      <c r="I41" s="4"/>
      <c r="J41" s="909"/>
      <c r="K41" s="906"/>
      <c r="M41" s="25"/>
      <c r="N41" s="29">
        <v>5</v>
      </c>
      <c r="O41" s="910"/>
      <c r="P41" s="914"/>
      <c r="Q41" s="911"/>
      <c r="R41" s="910"/>
      <c r="S41" s="914"/>
      <c r="T41" s="911"/>
      <c r="U41" s="27"/>
      <c r="V41" s="30"/>
      <c r="W41" s="27"/>
      <c r="X41" s="31">
        <f t="shared" si="18"/>
        <v>0</v>
      </c>
      <c r="Y41" s="4"/>
      <c r="Z41" s="909"/>
      <c r="AA41" s="906"/>
    </row>
    <row r="42" spans="1:27" ht="14.25">
      <c r="A42" s="23"/>
      <c r="B42" s="70" t="s">
        <v>99</v>
      </c>
      <c r="C42" s="909"/>
      <c r="D42" s="905"/>
      <c r="E42" s="906"/>
      <c r="F42" s="4"/>
      <c r="G42" s="4"/>
      <c r="H42" s="4"/>
      <c r="I42" s="4"/>
      <c r="J42" s="909"/>
      <c r="K42" s="906"/>
      <c r="M42" s="32"/>
      <c r="N42" s="54"/>
      <c r="O42" s="916"/>
      <c r="P42" s="905"/>
      <c r="Q42" s="905"/>
      <c r="R42" s="916"/>
      <c r="S42" s="905"/>
      <c r="T42" s="905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16"/>
      <c r="AA42" s="906"/>
    </row>
    <row r="43" spans="1:27" ht="14.25">
      <c r="A43" s="20"/>
      <c r="B43" s="70" t="s">
        <v>103</v>
      </c>
      <c r="C43" s="909"/>
      <c r="D43" s="905"/>
      <c r="E43" s="906"/>
      <c r="F43" s="4"/>
      <c r="G43" s="4"/>
      <c r="H43" s="4"/>
      <c r="I43" s="4"/>
      <c r="J43" s="909"/>
      <c r="K43" s="906"/>
      <c r="M43" s="56" t="s">
        <v>43</v>
      </c>
      <c r="N43" s="24">
        <v>1</v>
      </c>
      <c r="O43" s="908" t="s">
        <v>89</v>
      </c>
      <c r="P43" s="905"/>
      <c r="Q43" s="906"/>
      <c r="R43" s="924" t="s">
        <v>93</v>
      </c>
      <c r="S43" s="925"/>
      <c r="T43" s="926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08" t="s">
        <v>92</v>
      </c>
      <c r="AA43" s="906"/>
    </row>
    <row r="44" spans="1:27" ht="14.25">
      <c r="A44" s="67"/>
      <c r="M44" s="25"/>
      <c r="N44" s="24">
        <v>2</v>
      </c>
      <c r="O44" s="909"/>
      <c r="P44" s="905"/>
      <c r="Q44" s="906"/>
      <c r="R44" s="909"/>
      <c r="S44" s="905"/>
      <c r="T44" s="906"/>
      <c r="U44" s="4"/>
      <c r="V44" s="14"/>
      <c r="W44" s="4"/>
      <c r="X44" s="37">
        <f t="shared" si="19"/>
        <v>0</v>
      </c>
      <c r="Y44" s="4"/>
      <c r="Z44" s="909"/>
      <c r="AA44" s="906"/>
    </row>
    <row r="45" spans="1:27" ht="14.25">
      <c r="A45" s="18"/>
      <c r="B45" s="49" t="s">
        <v>47</v>
      </c>
      <c r="C45" s="907" t="s">
        <v>12</v>
      </c>
      <c r="D45" s="905"/>
      <c r="E45" s="906"/>
      <c r="F45" s="49" t="s">
        <v>46</v>
      </c>
      <c r="G45" s="49" t="s">
        <v>48</v>
      </c>
      <c r="H45" s="49" t="s">
        <v>49</v>
      </c>
      <c r="I45" s="8" t="s">
        <v>13</v>
      </c>
      <c r="J45" s="920" t="s">
        <v>51</v>
      </c>
      <c r="K45" s="906"/>
      <c r="M45" s="25"/>
      <c r="N45" s="24">
        <v>3</v>
      </c>
      <c r="O45" s="909"/>
      <c r="P45" s="905"/>
      <c r="Q45" s="906"/>
      <c r="R45" s="909"/>
      <c r="S45" s="905"/>
      <c r="T45" s="906"/>
      <c r="U45" s="4"/>
      <c r="V45" s="14"/>
      <c r="W45" s="4"/>
      <c r="X45" s="37">
        <f t="shared" si="19"/>
        <v>0</v>
      </c>
      <c r="Y45" s="4"/>
      <c r="Z45" s="909"/>
      <c r="AA45" s="906"/>
    </row>
    <row r="46" spans="1:27" ht="14.25">
      <c r="A46" s="52" t="s">
        <v>36</v>
      </c>
      <c r="B46" s="6">
        <v>1</v>
      </c>
      <c r="C46" s="908" t="s">
        <v>82</v>
      </c>
      <c r="D46" s="905"/>
      <c r="E46" s="906"/>
      <c r="F46" s="4">
        <v>15</v>
      </c>
      <c r="G46" s="4">
        <v>1200</v>
      </c>
      <c r="H46" s="4">
        <v>80</v>
      </c>
      <c r="I46" s="4">
        <v>5</v>
      </c>
      <c r="J46" s="908" t="s">
        <v>83</v>
      </c>
      <c r="K46" s="906"/>
      <c r="M46" s="25"/>
      <c r="N46" s="24">
        <v>4</v>
      </c>
      <c r="O46" s="909"/>
      <c r="P46" s="905"/>
      <c r="Q46" s="906"/>
      <c r="R46" s="909"/>
      <c r="S46" s="905"/>
      <c r="T46" s="906"/>
      <c r="U46" s="4"/>
      <c r="V46" s="14"/>
      <c r="W46" s="4"/>
      <c r="X46" s="37">
        <f t="shared" si="19"/>
        <v>0</v>
      </c>
      <c r="Y46" s="4"/>
      <c r="Z46" s="909"/>
      <c r="AA46" s="906"/>
    </row>
    <row r="47" spans="1:27" ht="14.25">
      <c r="A47" s="23"/>
      <c r="B47" s="6">
        <v>2</v>
      </c>
      <c r="C47" s="909"/>
      <c r="D47" s="905"/>
      <c r="E47" s="906"/>
      <c r="F47" s="4"/>
      <c r="G47" s="4"/>
      <c r="H47" s="4"/>
      <c r="I47" s="4"/>
      <c r="J47" s="909"/>
      <c r="K47" s="906"/>
      <c r="M47" s="25"/>
      <c r="N47" s="29">
        <v>5</v>
      </c>
      <c r="O47" s="909"/>
      <c r="P47" s="905"/>
      <c r="Q47" s="906"/>
      <c r="R47" s="909"/>
      <c r="S47" s="905"/>
      <c r="T47" s="906"/>
      <c r="U47" s="27"/>
      <c r="V47" s="30"/>
      <c r="W47" s="27"/>
      <c r="X47" s="40">
        <f t="shared" si="19"/>
        <v>0</v>
      </c>
      <c r="Y47" s="4"/>
      <c r="Z47" s="909"/>
      <c r="AA47" s="906"/>
    </row>
    <row r="48" spans="1:27" ht="14.25">
      <c r="A48" s="23"/>
      <c r="B48" s="6">
        <v>3</v>
      </c>
      <c r="C48" s="909"/>
      <c r="D48" s="905"/>
      <c r="E48" s="906"/>
      <c r="F48" s="4"/>
      <c r="G48" s="4"/>
      <c r="H48" s="4"/>
      <c r="I48" s="4"/>
      <c r="J48" s="909"/>
      <c r="K48" s="906"/>
      <c r="M48" s="68"/>
      <c r="N48" s="45"/>
      <c r="O48" s="916"/>
      <c r="P48" s="905"/>
      <c r="Q48" s="905"/>
      <c r="R48" s="916"/>
      <c r="S48" s="905"/>
      <c r="T48" s="905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16"/>
      <c r="AA48" s="906"/>
    </row>
    <row r="49" spans="1:27" ht="14.25">
      <c r="A49" s="23"/>
      <c r="B49" s="6">
        <v>4</v>
      </c>
      <c r="C49" s="909"/>
      <c r="D49" s="905"/>
      <c r="E49" s="906"/>
      <c r="F49" s="4"/>
      <c r="G49" s="4"/>
      <c r="H49" s="4"/>
      <c r="I49" s="4"/>
      <c r="J49" s="909"/>
      <c r="K49" s="90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10"/>
      <c r="D50" s="914"/>
      <c r="E50" s="911"/>
      <c r="F50" s="27"/>
      <c r="G50" s="27"/>
      <c r="H50" s="27"/>
      <c r="I50" s="27"/>
      <c r="J50" s="910"/>
      <c r="K50" s="911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12" t="s">
        <v>89</v>
      </c>
      <c r="D51" s="919"/>
      <c r="E51" s="913"/>
      <c r="F51" s="28">
        <v>18</v>
      </c>
      <c r="G51" s="28">
        <v>800</v>
      </c>
      <c r="H51" s="28">
        <v>44.44</v>
      </c>
      <c r="I51" s="28">
        <v>-15</v>
      </c>
      <c r="J51" s="912" t="s">
        <v>84</v>
      </c>
      <c r="K51" s="913"/>
      <c r="M51" s="8"/>
      <c r="N51" s="8" t="s">
        <v>18</v>
      </c>
      <c r="O51" s="915" t="s">
        <v>12</v>
      </c>
      <c r="P51" s="916"/>
      <c r="Q51" s="917"/>
      <c r="R51" s="921" t="s">
        <v>53</v>
      </c>
      <c r="S51" s="922"/>
      <c r="T51" s="923"/>
      <c r="U51" s="57" t="s">
        <v>54</v>
      </c>
      <c r="V51" s="39" t="s">
        <v>19</v>
      </c>
      <c r="W51" s="57" t="s">
        <v>57</v>
      </c>
      <c r="X51" s="8" t="s">
        <v>2</v>
      </c>
      <c r="Y51" s="915" t="s">
        <v>50</v>
      </c>
      <c r="Z51" s="916"/>
      <c r="AA51" s="917"/>
    </row>
    <row r="52" spans="1:27" ht="14.25">
      <c r="A52" s="23"/>
      <c r="B52" s="70" t="s">
        <v>102</v>
      </c>
      <c r="C52" s="909"/>
      <c r="D52" s="905"/>
      <c r="E52" s="906"/>
      <c r="F52" s="4"/>
      <c r="G52" s="4"/>
      <c r="H52" s="4"/>
      <c r="I52" s="4"/>
      <c r="J52" s="909"/>
      <c r="K52" s="906"/>
      <c r="M52" s="56" t="s">
        <v>42</v>
      </c>
      <c r="N52" s="24">
        <v>1</v>
      </c>
      <c r="O52" s="908" t="s">
        <v>89</v>
      </c>
      <c r="P52" s="905"/>
      <c r="Q52" s="906"/>
      <c r="R52" s="924" t="s">
        <v>93</v>
      </c>
      <c r="S52" s="925"/>
      <c r="T52" s="926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08" t="s">
        <v>97</v>
      </c>
      <c r="Z52" s="905"/>
      <c r="AA52" s="906"/>
    </row>
    <row r="53" spans="1:27" ht="14.25">
      <c r="A53" s="23"/>
      <c r="B53" s="70" t="s">
        <v>100</v>
      </c>
      <c r="C53" s="909"/>
      <c r="D53" s="905"/>
      <c r="E53" s="906"/>
      <c r="F53" s="4"/>
      <c r="G53" s="4"/>
      <c r="H53" s="4"/>
      <c r="I53" s="4"/>
      <c r="J53" s="909"/>
      <c r="K53" s="906"/>
      <c r="M53" s="25"/>
      <c r="N53" s="29">
        <v>2</v>
      </c>
      <c r="O53" s="910"/>
      <c r="P53" s="914"/>
      <c r="Q53" s="911"/>
      <c r="R53" s="910"/>
      <c r="S53" s="914"/>
      <c r="T53" s="911"/>
      <c r="U53" s="27"/>
      <c r="V53" s="30"/>
      <c r="W53" s="30"/>
      <c r="X53" s="41">
        <f t="shared" si="20"/>
        <v>0</v>
      </c>
      <c r="Y53" s="910"/>
      <c r="Z53" s="914"/>
      <c r="AA53" s="911"/>
    </row>
    <row r="54" spans="1:27" ht="14.25">
      <c r="A54" s="23"/>
      <c r="B54" s="70" t="s">
        <v>99</v>
      </c>
      <c r="C54" s="909"/>
      <c r="D54" s="905"/>
      <c r="E54" s="906"/>
      <c r="F54" s="4"/>
      <c r="G54" s="4"/>
      <c r="H54" s="4"/>
      <c r="I54" s="4"/>
      <c r="J54" s="909"/>
      <c r="K54" s="906"/>
      <c r="M54" s="56" t="s">
        <v>43</v>
      </c>
      <c r="N54" s="42">
        <v>1</v>
      </c>
      <c r="O54" s="912" t="s">
        <v>94</v>
      </c>
      <c r="P54" s="919"/>
      <c r="Q54" s="913"/>
      <c r="R54" s="912" t="s">
        <v>95</v>
      </c>
      <c r="S54" s="919"/>
      <c r="T54" s="91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12" t="s">
        <v>96</v>
      </c>
      <c r="Z54" s="919"/>
      <c r="AA54" s="913"/>
    </row>
    <row r="55" spans="1:27" ht="14.25">
      <c r="A55" s="20"/>
      <c r="B55" s="70" t="s">
        <v>103</v>
      </c>
      <c r="C55" s="909"/>
      <c r="D55" s="905"/>
      <c r="E55" s="906"/>
      <c r="F55" s="4"/>
      <c r="G55" s="4"/>
      <c r="H55" s="4"/>
      <c r="I55" s="4"/>
      <c r="J55" s="909"/>
      <c r="K55" s="906"/>
      <c r="M55" s="22"/>
      <c r="N55" s="24">
        <v>2</v>
      </c>
      <c r="O55" s="909"/>
      <c r="P55" s="905"/>
      <c r="Q55" s="906"/>
      <c r="R55" s="909"/>
      <c r="S55" s="905"/>
      <c r="T55" s="906"/>
      <c r="U55" s="4"/>
      <c r="V55" s="14"/>
      <c r="W55" s="14"/>
      <c r="X55" s="13">
        <f t="shared" si="20"/>
        <v>0</v>
      </c>
      <c r="Y55" s="909"/>
      <c r="Z55" s="905"/>
      <c r="AA55" s="906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9"/>
    <col min="3" max="3" width="14" style="149" bestFit="1" customWidth="1"/>
    <col min="4" max="4" width="0.28515625" style="149" customWidth="1"/>
    <col min="5" max="5" width="8.7109375" style="149"/>
    <col min="6" max="6" width="16.28515625" style="149" bestFit="1" customWidth="1"/>
    <col min="7" max="16384" width="8.7109375" style="149"/>
  </cols>
  <sheetData>
    <row r="2" spans="2:7" ht="15.75">
      <c r="B2" s="931" t="s">
        <v>255</v>
      </c>
      <c r="C2" s="931"/>
      <c r="D2" s="931"/>
      <c r="E2" s="931"/>
      <c r="F2" s="931"/>
    </row>
    <row r="3" spans="2:7" ht="1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5">
      <c r="B20" s="152" t="s">
        <v>319</v>
      </c>
      <c r="C20" s="152" t="s">
        <v>320</v>
      </c>
      <c r="D20" s="151"/>
      <c r="G20" s="151"/>
    </row>
    <row r="21" spans="2:7" ht="15">
      <c r="D21" s="151"/>
      <c r="G21" s="151"/>
    </row>
    <row r="22" spans="2:7" ht="15">
      <c r="D22" s="151"/>
      <c r="G22" s="151"/>
    </row>
    <row r="23" spans="2:7" ht="15">
      <c r="D23" s="151"/>
      <c r="G23" s="151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9" t="s">
        <v>368</v>
      </c>
    </row>
    <row r="4" spans="1:2" ht="14.25">
      <c r="A4">
        <v>2</v>
      </c>
      <c r="B4" s="149" t="s">
        <v>389</v>
      </c>
    </row>
    <row r="5" spans="1:2" ht="14.25">
      <c r="A5">
        <v>3</v>
      </c>
      <c r="B5" s="149" t="s">
        <v>339</v>
      </c>
    </row>
    <row r="6" spans="1:2" ht="14.25">
      <c r="A6">
        <v>4</v>
      </c>
      <c r="B6" s="149" t="s">
        <v>214</v>
      </c>
    </row>
    <row r="7" spans="1:2" ht="15">
      <c r="A7">
        <v>5</v>
      </c>
      <c r="B7" s="151" t="s">
        <v>607</v>
      </c>
    </row>
    <row r="8" spans="1:2" ht="14.25">
      <c r="A8">
        <v>6</v>
      </c>
      <c r="B8" s="149" t="s">
        <v>216</v>
      </c>
    </row>
    <row r="9" spans="1:2" ht="14.25">
      <c r="A9">
        <v>7</v>
      </c>
      <c r="B9" s="149" t="s">
        <v>390</v>
      </c>
    </row>
    <row r="10" spans="1:2" ht="14.25">
      <c r="A10">
        <v>8</v>
      </c>
      <c r="B10" s="149" t="s">
        <v>391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具名範圍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2026-05-27T11:22:55Z</dcterms:modified>
</cp:coreProperties>
</file>