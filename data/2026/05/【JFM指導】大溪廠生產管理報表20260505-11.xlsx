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60" yWindow="680" windowWidth="28740" windowHeight="14810" tabRatio="866" firstSheet="2" activeTab="2"/>
  </bookViews>
  <sheets>
    <sheet name="數值累積總表(月)" sheetId="65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8-1(月報廢)" sheetId="57" state="hidden" r:id="rId23"/>
    <sheet name="生產管理報表 8-2(月報廢)" sheetId="58" state="hidden" r:id="rId24"/>
    <sheet name="生產管理報表 8-3(月超用)" sheetId="59" state="hidden" r:id="rId25"/>
    <sheet name="生產管理報表 8-4(月超用)" sheetId="60" state="hidden" r:id="rId26"/>
    <sheet name="生產管理報表 7-1 (週)" sheetId="41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20大－原因別分析" sheetId="63" r:id="rId34"/>
    <sheet name="超用20大－原因別分析" sheetId="64" r:id="rId35"/>
    <sheet name="填寫舉例" sheetId="1" r:id="rId36"/>
    <sheet name="鮮食品群番" sheetId="38" r:id="rId37"/>
    <sheet name="下拉式選單" sheetId="54" r:id="rId38"/>
  </sheets>
  <externalReferences>
    <externalReference r:id="rId39"/>
    <externalReference r:id="rId40"/>
    <externalReference r:id="rId41"/>
  </externalReference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'報廢20大－原因別分析'!#REF!</definedName>
    <definedName name="_xlnm._FilterDatabase" localSheetId="34" hidden="1">'超用20大－原因別分析'!#REF!</definedName>
    <definedName name="_xlnm.Print_Area" localSheetId="16">'生產管理報表 6-1'!$A$1:$L$54</definedName>
    <definedName name="_xlnm.Print_Area" localSheetId="17">'生產管理報表 6-2'!$A$1:$L$54</definedName>
    <definedName name="_xlnm.Print_Area" localSheetId="18">'生產管理報表 6-3'!$A$1:$L$54</definedName>
    <definedName name="_xlnm.Print_Area" localSheetId="19">'生產管理報表 6-4'!$A$1:$L$54</definedName>
    <definedName name="_xlnm.Print_Area" localSheetId="20">'生產管理報表 6-5'!$A$1:$L$54</definedName>
    <definedName name="_xlnm.Print_Area" localSheetId="26">'生產管理報表 7-1 (週)'!$A$1:$M$59</definedName>
    <definedName name="_xlnm.Print_Area" localSheetId="21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7">'生產管理報表 8-5(週報廢)'!$A$1:$Q$114</definedName>
    <definedName name="_xlnm.Print_Area" localSheetId="28">'生產管理報表 8-6(週報廢)'!$A$1:$P$146</definedName>
    <definedName name="_xlnm.Print_Area" localSheetId="29">'生產管理報表 8-7(週超用)'!$A$1:$Q$30</definedName>
    <definedName name="_xlnm.Print_Area" localSheetId="30">'生產管理報表 8-8(週超用) '!$A$1:$P$114</definedName>
    <definedName name="_xlnm.Print_Area" localSheetId="31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6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39" l="1"/>
  <c r="E7" i="39" l="1"/>
  <c r="B36" i="39" l="1"/>
  <c r="B34" i="39"/>
  <c r="B33" i="39"/>
  <c r="B32" i="39"/>
  <c r="B31" i="39"/>
  <c r="B30" i="39"/>
  <c r="J26" i="41"/>
  <c r="J25" i="41"/>
  <c r="H26" i="41"/>
  <c r="H25" i="41"/>
  <c r="F26" i="41"/>
  <c r="F25" i="41"/>
  <c r="L21" i="41"/>
  <c r="L20" i="41"/>
  <c r="J21" i="41"/>
  <c r="J20" i="41"/>
  <c r="H21" i="41"/>
  <c r="H20" i="41"/>
  <c r="F21" i="41"/>
  <c r="F20" i="41"/>
  <c r="T29" i="64"/>
  <c r="J26" i="64"/>
  <c r="J25" i="64"/>
  <c r="J24" i="64"/>
  <c r="J23" i="64"/>
  <c r="J22" i="64"/>
  <c r="J21" i="64"/>
  <c r="J20" i="64"/>
  <c r="J19" i="64"/>
  <c r="J18" i="64"/>
  <c r="J17" i="64"/>
  <c r="J16" i="64"/>
  <c r="J15" i="64"/>
  <c r="J14" i="64"/>
  <c r="J13" i="64"/>
  <c r="J12" i="64"/>
  <c r="J11" i="64"/>
  <c r="J10" i="64"/>
  <c r="J9" i="64"/>
  <c r="J8" i="64"/>
  <c r="J7" i="64"/>
  <c r="J26" i="63"/>
  <c r="J25" i="63"/>
  <c r="J24" i="63"/>
  <c r="J23" i="63"/>
  <c r="J22" i="63"/>
  <c r="J21" i="63"/>
  <c r="J20" i="63"/>
  <c r="J19" i="63"/>
  <c r="J18" i="63"/>
  <c r="J17" i="63"/>
  <c r="J16" i="63"/>
  <c r="J15" i="63"/>
  <c r="J14" i="63"/>
  <c r="J13" i="63"/>
  <c r="J12" i="63"/>
  <c r="J11" i="63"/>
  <c r="J10" i="63"/>
  <c r="J9" i="63"/>
  <c r="J8" i="63"/>
  <c r="J7" i="63"/>
  <c r="S29" i="63"/>
  <c r="F29" i="63"/>
  <c r="AE31" i="64" l="1"/>
  <c r="AE33" i="64" s="1"/>
  <c r="I21" i="41" s="1"/>
  <c r="AF31" i="64"/>
  <c r="AG31" i="64"/>
  <c r="AH31" i="64"/>
  <c r="AI31" i="64"/>
  <c r="AI33" i="64" s="1"/>
  <c r="I26" i="41" s="1"/>
  <c r="AJ31" i="64"/>
  <c r="AE32" i="64"/>
  <c r="AF32" i="64"/>
  <c r="AG32" i="64"/>
  <c r="AH32" i="64"/>
  <c r="AI32" i="64"/>
  <c r="AJ32" i="64"/>
  <c r="AD32" i="64"/>
  <c r="AD31" i="64"/>
  <c r="AD33" i="64" s="1"/>
  <c r="G21" i="41" s="1"/>
  <c r="AC31" i="64"/>
  <c r="S48" i="64"/>
  <c r="R48" i="64"/>
  <c r="O48" i="64"/>
  <c r="T48" i="64" s="1"/>
  <c r="N48" i="64"/>
  <c r="L48" i="64"/>
  <c r="J48" i="64"/>
  <c r="S47" i="64"/>
  <c r="R47" i="64"/>
  <c r="O47" i="64"/>
  <c r="T47" i="64" s="1"/>
  <c r="N47" i="64"/>
  <c r="L47" i="64"/>
  <c r="J47" i="64"/>
  <c r="S46" i="64"/>
  <c r="R46" i="64"/>
  <c r="O46" i="64"/>
  <c r="T46" i="64" s="1"/>
  <c r="N46" i="64"/>
  <c r="L46" i="64"/>
  <c r="J46" i="64"/>
  <c r="S45" i="64"/>
  <c r="R45" i="64"/>
  <c r="O45" i="64"/>
  <c r="T45" i="64" s="1"/>
  <c r="N45" i="64"/>
  <c r="L45" i="64"/>
  <c r="J45" i="64"/>
  <c r="S44" i="64"/>
  <c r="R44" i="64"/>
  <c r="O44" i="64"/>
  <c r="T44" i="64" s="1"/>
  <c r="N44" i="64"/>
  <c r="L44" i="64"/>
  <c r="J44" i="64"/>
  <c r="S43" i="64"/>
  <c r="R43" i="64"/>
  <c r="O43" i="64"/>
  <c r="T43" i="64" s="1"/>
  <c r="N43" i="64"/>
  <c r="L43" i="64"/>
  <c r="J43" i="64"/>
  <c r="S42" i="64"/>
  <c r="R42" i="64"/>
  <c r="O42" i="64"/>
  <c r="T42" i="64" s="1"/>
  <c r="N42" i="64"/>
  <c r="L42" i="64"/>
  <c r="J42" i="64"/>
  <c r="S41" i="64"/>
  <c r="R41" i="64"/>
  <c r="O41" i="64"/>
  <c r="T41" i="64" s="1"/>
  <c r="N41" i="64"/>
  <c r="L41" i="64"/>
  <c r="J41" i="64"/>
  <c r="S40" i="64"/>
  <c r="R40" i="64"/>
  <c r="O40" i="64"/>
  <c r="T40" i="64" s="1"/>
  <c r="N40" i="64"/>
  <c r="L40" i="64"/>
  <c r="J40" i="64"/>
  <c r="S39" i="64"/>
  <c r="R39" i="64"/>
  <c r="O39" i="64"/>
  <c r="T39" i="64" s="1"/>
  <c r="N39" i="64"/>
  <c r="L39" i="64"/>
  <c r="J39" i="64"/>
  <c r="S38" i="64"/>
  <c r="R38" i="64"/>
  <c r="O38" i="64"/>
  <c r="T38" i="64" s="1"/>
  <c r="N38" i="64"/>
  <c r="L38" i="64"/>
  <c r="J38" i="64"/>
  <c r="S37" i="64"/>
  <c r="R37" i="64"/>
  <c r="O37" i="64"/>
  <c r="T37" i="64" s="1"/>
  <c r="N37" i="64"/>
  <c r="L37" i="64"/>
  <c r="J37" i="64"/>
  <c r="S36" i="64"/>
  <c r="R36" i="64"/>
  <c r="O36" i="64"/>
  <c r="T36" i="64" s="1"/>
  <c r="N36" i="64"/>
  <c r="L36" i="64"/>
  <c r="J36" i="64"/>
  <c r="S35" i="64"/>
  <c r="R35" i="64"/>
  <c r="O35" i="64"/>
  <c r="T35" i="64" s="1"/>
  <c r="N35" i="64"/>
  <c r="L35" i="64"/>
  <c r="J35" i="64"/>
  <c r="S34" i="64"/>
  <c r="R34" i="64"/>
  <c r="O34" i="64"/>
  <c r="T34" i="64" s="1"/>
  <c r="N34" i="64"/>
  <c r="L34" i="64"/>
  <c r="J34" i="64"/>
  <c r="S33" i="64"/>
  <c r="R33" i="64"/>
  <c r="O33" i="64"/>
  <c r="P33" i="64" s="1"/>
  <c r="N33" i="64"/>
  <c r="L33" i="64"/>
  <c r="J33" i="64"/>
  <c r="S32" i="64"/>
  <c r="R32" i="64"/>
  <c r="O32" i="64"/>
  <c r="T32" i="64" s="1"/>
  <c r="N32" i="64"/>
  <c r="L32" i="64"/>
  <c r="J32" i="64"/>
  <c r="S31" i="64"/>
  <c r="R31" i="64"/>
  <c r="O31" i="64"/>
  <c r="T31" i="64" s="1"/>
  <c r="F31" i="64" s="1"/>
  <c r="N31" i="64"/>
  <c r="L31" i="64"/>
  <c r="J31" i="64"/>
  <c r="S30" i="64"/>
  <c r="R30" i="64"/>
  <c r="O30" i="64"/>
  <c r="P30" i="64" s="1"/>
  <c r="N30" i="64"/>
  <c r="L30" i="64"/>
  <c r="J30" i="64"/>
  <c r="S29" i="64"/>
  <c r="R29" i="64"/>
  <c r="O29" i="64"/>
  <c r="F29" i="64" s="1"/>
  <c r="N29" i="64"/>
  <c r="L29" i="64"/>
  <c r="J29" i="64"/>
  <c r="AF33" i="64" l="1"/>
  <c r="K21" i="41" s="1"/>
  <c r="AG33" i="64"/>
  <c r="M21" i="41" s="1"/>
  <c r="AH33" i="64"/>
  <c r="G26" i="41" s="1"/>
  <c r="AJ33" i="64"/>
  <c r="K26" i="41" s="1"/>
  <c r="T33" i="64"/>
  <c r="P31" i="64"/>
  <c r="P29" i="64"/>
  <c r="U42" i="64"/>
  <c r="F42" i="64"/>
  <c r="U46" i="64"/>
  <c r="F46" i="64"/>
  <c r="U43" i="64"/>
  <c r="F43" i="64"/>
  <c r="U47" i="64"/>
  <c r="F47" i="64"/>
  <c r="U34" i="64"/>
  <c r="F34" i="64"/>
  <c r="U48" i="64"/>
  <c r="F48" i="64"/>
  <c r="U32" i="64"/>
  <c r="F32" i="64"/>
  <c r="U38" i="64"/>
  <c r="F38" i="64"/>
  <c r="U39" i="64"/>
  <c r="F39" i="64"/>
  <c r="U36" i="64"/>
  <c r="F36" i="64"/>
  <c r="U40" i="64"/>
  <c r="F40" i="64"/>
  <c r="U37" i="64"/>
  <c r="F37" i="64"/>
  <c r="U44" i="64"/>
  <c r="F44" i="64"/>
  <c r="U41" i="64"/>
  <c r="F41" i="64"/>
  <c r="U35" i="64"/>
  <c r="F35" i="64"/>
  <c r="U45" i="64"/>
  <c r="F45" i="64"/>
  <c r="P32" i="64"/>
  <c r="T30" i="64"/>
  <c r="P35" i="64"/>
  <c r="P37" i="64"/>
  <c r="P39" i="64"/>
  <c r="P41" i="64"/>
  <c r="P43" i="64"/>
  <c r="P45" i="64"/>
  <c r="P47" i="64"/>
  <c r="U29" i="64"/>
  <c r="U31" i="64"/>
  <c r="P34" i="64"/>
  <c r="P36" i="64"/>
  <c r="P38" i="64"/>
  <c r="P40" i="64"/>
  <c r="P42" i="64"/>
  <c r="P44" i="64"/>
  <c r="P46" i="64"/>
  <c r="P48" i="64"/>
  <c r="U33" i="64" l="1"/>
  <c r="F33" i="64"/>
  <c r="U30" i="64"/>
  <c r="F30" i="64"/>
  <c r="B54" i="41" l="1"/>
  <c r="B53" i="41"/>
  <c r="B43" i="41"/>
  <c r="B42" i="41"/>
  <c r="B32" i="41"/>
  <c r="B31" i="41"/>
  <c r="B16" i="41"/>
  <c r="J34" i="25" l="1"/>
  <c r="B34" i="25"/>
  <c r="A34" i="25"/>
  <c r="J49" i="24" l="1"/>
  <c r="J48" i="24"/>
  <c r="J47" i="24"/>
  <c r="J46" i="24"/>
  <c r="J45" i="24"/>
  <c r="J53" i="23"/>
  <c r="J52" i="23"/>
  <c r="J51" i="23"/>
  <c r="J50" i="23"/>
  <c r="J49" i="23"/>
  <c r="J48" i="23"/>
  <c r="J47" i="23"/>
  <c r="J46" i="23"/>
  <c r="J45" i="23"/>
  <c r="J42" i="23"/>
  <c r="J41" i="23"/>
  <c r="J40" i="23"/>
  <c r="J39" i="23"/>
  <c r="J38" i="23"/>
  <c r="J36" i="23"/>
  <c r="J35" i="23"/>
  <c r="J34" i="23"/>
  <c r="J46" i="22"/>
  <c r="J45" i="22"/>
  <c r="J35" i="22"/>
  <c r="J34" i="22"/>
  <c r="J36" i="15"/>
  <c r="J35" i="15"/>
  <c r="J34" i="15"/>
  <c r="J49" i="15"/>
  <c r="J48" i="15"/>
  <c r="J47" i="15"/>
  <c r="J46" i="15"/>
  <c r="J45" i="15"/>
  <c r="J43" i="15"/>
  <c r="J42" i="15"/>
  <c r="J41" i="15"/>
  <c r="J40" i="15"/>
  <c r="J39" i="15"/>
  <c r="J38" i="15"/>
  <c r="AW27" i="52"/>
  <c r="AR27" i="52"/>
  <c r="AS27" i="52"/>
  <c r="AM27" i="52"/>
  <c r="AH27" i="52"/>
  <c r="AC27" i="52"/>
  <c r="X27" i="52"/>
  <c r="S27" i="52"/>
  <c r="M27" i="52"/>
  <c r="C1" i="52"/>
  <c r="AV27" i="52"/>
  <c r="AX27" i="52" s="1"/>
  <c r="AQ27" i="52"/>
  <c r="AN27" i="52"/>
  <c r="AL27" i="52"/>
  <c r="AG27" i="52"/>
  <c r="AI27" i="52" s="1"/>
  <c r="AB27" i="52"/>
  <c r="AD27" i="52" s="1"/>
  <c r="W27" i="52"/>
  <c r="K27" i="52" s="1"/>
  <c r="T27" i="52"/>
  <c r="R27" i="52"/>
  <c r="J27" i="52"/>
  <c r="I27" i="52"/>
  <c r="G27" i="52"/>
  <c r="H27" i="52" s="1"/>
  <c r="AW31" i="51"/>
  <c r="AW30" i="51"/>
  <c r="AW29" i="51"/>
  <c r="AW28" i="51"/>
  <c r="AW27" i="51"/>
  <c r="AR31" i="51"/>
  <c r="AR30" i="51"/>
  <c r="AR29" i="51"/>
  <c r="AR28" i="51"/>
  <c r="AR27" i="51"/>
  <c r="AM31" i="51"/>
  <c r="AM30" i="51"/>
  <c r="AM29" i="51"/>
  <c r="AM28" i="51"/>
  <c r="AM27" i="51"/>
  <c r="AH31" i="51"/>
  <c r="AH30" i="51"/>
  <c r="AH29" i="51"/>
  <c r="AH28" i="51"/>
  <c r="AH27" i="51"/>
  <c r="AC31" i="51"/>
  <c r="AC30" i="51"/>
  <c r="AC29" i="51"/>
  <c r="AC28" i="51"/>
  <c r="AC27" i="51"/>
  <c r="X31" i="51"/>
  <c r="X30" i="51"/>
  <c r="X29" i="51"/>
  <c r="X28" i="51"/>
  <c r="X27" i="51"/>
  <c r="S28" i="51"/>
  <c r="S29" i="51"/>
  <c r="S30" i="51"/>
  <c r="S31" i="51"/>
  <c r="S27" i="51"/>
  <c r="M28" i="51"/>
  <c r="M29" i="51"/>
  <c r="M30" i="51"/>
  <c r="M31" i="51"/>
  <c r="M27" i="51"/>
  <c r="C1" i="51"/>
  <c r="AV31" i="51"/>
  <c r="AQ31" i="51"/>
  <c r="AL31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K30" i="51"/>
  <c r="J30" i="51"/>
  <c r="I30" i="51"/>
  <c r="G30" i="51"/>
  <c r="AV29" i="51"/>
  <c r="AQ29" i="51"/>
  <c r="AL29" i="51"/>
  <c r="AG29" i="51"/>
  <c r="AB29" i="51"/>
  <c r="W29" i="51"/>
  <c r="R29" i="51"/>
  <c r="J29" i="51"/>
  <c r="I29" i="51"/>
  <c r="G29" i="51"/>
  <c r="AV28" i="51"/>
  <c r="K28" i="51" s="1"/>
  <c r="AQ28" i="51"/>
  <c r="AL28" i="51"/>
  <c r="AG28" i="51"/>
  <c r="AB28" i="51"/>
  <c r="W28" i="51"/>
  <c r="R28" i="51"/>
  <c r="J28" i="51"/>
  <c r="I28" i="51"/>
  <c r="G28" i="51"/>
  <c r="AV27" i="51"/>
  <c r="AS27" i="51"/>
  <c r="AQ27" i="51"/>
  <c r="AL27" i="51"/>
  <c r="AN27" i="51" s="1"/>
  <c r="AG27" i="51"/>
  <c r="AB27" i="51"/>
  <c r="AD27" i="51" s="1"/>
  <c r="W27" i="51"/>
  <c r="R27" i="51"/>
  <c r="T27" i="51" s="1"/>
  <c r="K27" i="51"/>
  <c r="J27" i="51"/>
  <c r="I27" i="51"/>
  <c r="G27" i="51"/>
  <c r="H27" i="51" s="1"/>
  <c r="P22" i="50"/>
  <c r="P23" i="50" s="1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H35" i="49"/>
  <c r="AH34" i="49"/>
  <c r="AH33" i="49"/>
  <c r="AH32" i="49"/>
  <c r="AH31" i="49"/>
  <c r="AH30" i="49"/>
  <c r="AH29" i="49"/>
  <c r="AH28" i="49"/>
  <c r="AH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C1" i="49"/>
  <c r="AV35" i="49"/>
  <c r="AQ35" i="49"/>
  <c r="AL35" i="49"/>
  <c r="AG35" i="49"/>
  <c r="AB35" i="49"/>
  <c r="W35" i="49"/>
  <c r="R35" i="49"/>
  <c r="K35" i="49"/>
  <c r="J35" i="49"/>
  <c r="I35" i="49"/>
  <c r="G35" i="49"/>
  <c r="AV34" i="49"/>
  <c r="AQ34" i="49"/>
  <c r="AL34" i="49"/>
  <c r="AG34" i="49"/>
  <c r="AB34" i="49"/>
  <c r="W34" i="49"/>
  <c r="R34" i="49"/>
  <c r="K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K32" i="49" s="1"/>
  <c r="AQ32" i="49"/>
  <c r="AL32" i="49"/>
  <c r="AG32" i="49"/>
  <c r="AI27" i="49" s="1"/>
  <c r="AB32" i="49"/>
  <c r="W32" i="49"/>
  <c r="R32" i="49"/>
  <c r="J32" i="49"/>
  <c r="I32" i="49"/>
  <c r="G32" i="49"/>
  <c r="AV31" i="49"/>
  <c r="AQ31" i="49"/>
  <c r="K31" i="49" s="1"/>
  <c r="AL31" i="49"/>
  <c r="AG31" i="49"/>
  <c r="AB31" i="49"/>
  <c r="W31" i="49"/>
  <c r="R31" i="49"/>
  <c r="J31" i="49"/>
  <c r="I31" i="49"/>
  <c r="G31" i="49"/>
  <c r="AV30" i="49"/>
  <c r="AQ30" i="49"/>
  <c r="K30" i="49" s="1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K28" i="49" s="1"/>
  <c r="AG28" i="49"/>
  <c r="AB28" i="49"/>
  <c r="W28" i="49"/>
  <c r="R28" i="49"/>
  <c r="J28" i="49"/>
  <c r="I28" i="49"/>
  <c r="G28" i="49"/>
  <c r="AV27" i="49"/>
  <c r="AX27" i="49" s="1"/>
  <c r="AQ27" i="49"/>
  <c r="K27" i="49" s="1"/>
  <c r="AL27" i="49"/>
  <c r="AG27" i="49"/>
  <c r="AB27" i="49"/>
  <c r="AD27" i="49" s="1"/>
  <c r="W27" i="49"/>
  <c r="Y27" i="49" s="1"/>
  <c r="R27" i="49"/>
  <c r="T27" i="49" s="1"/>
  <c r="J27" i="49"/>
  <c r="I27" i="49"/>
  <c r="G27" i="49"/>
  <c r="H27" i="49" s="1"/>
  <c r="C1" i="48"/>
  <c r="AW35" i="48"/>
  <c r="AW33" i="48"/>
  <c r="AW32" i="48"/>
  <c r="AW31" i="48"/>
  <c r="AW30" i="48"/>
  <c r="AW29" i="48"/>
  <c r="AW28" i="48"/>
  <c r="AW27" i="48"/>
  <c r="AR33" i="48"/>
  <c r="AR32" i="48"/>
  <c r="AR31" i="48"/>
  <c r="AR30" i="48"/>
  <c r="AR29" i="48"/>
  <c r="AR28" i="48"/>
  <c r="AR27" i="48"/>
  <c r="AM34" i="48"/>
  <c r="AM33" i="48"/>
  <c r="AM32" i="48"/>
  <c r="AM31" i="48"/>
  <c r="AM30" i="48"/>
  <c r="AM29" i="48"/>
  <c r="AM28" i="48"/>
  <c r="AM27" i="48"/>
  <c r="AH34" i="48"/>
  <c r="AH33" i="48"/>
  <c r="AH32" i="48"/>
  <c r="AH31" i="48"/>
  <c r="AH30" i="48"/>
  <c r="AH29" i="48"/>
  <c r="AH28" i="48"/>
  <c r="AH27" i="48"/>
  <c r="AC34" i="48"/>
  <c r="AC33" i="48"/>
  <c r="AC32" i="48"/>
  <c r="AC31" i="48"/>
  <c r="AC30" i="48"/>
  <c r="AC29" i="48"/>
  <c r="AC28" i="48"/>
  <c r="AC27" i="48"/>
  <c r="X34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34" i="48"/>
  <c r="S27" i="48"/>
  <c r="M28" i="48"/>
  <c r="M29" i="48"/>
  <c r="M30" i="48"/>
  <c r="M31" i="48"/>
  <c r="M32" i="48"/>
  <c r="M33" i="48"/>
  <c r="M34" i="48"/>
  <c r="M35" i="48"/>
  <c r="M27" i="48"/>
  <c r="AV35" i="48"/>
  <c r="J35" i="48"/>
  <c r="I35" i="48"/>
  <c r="G35" i="48"/>
  <c r="AL34" i="48"/>
  <c r="AG34" i="48"/>
  <c r="AB34" i="48"/>
  <c r="W34" i="48"/>
  <c r="R34" i="48"/>
  <c r="K34" i="48"/>
  <c r="J34" i="48"/>
  <c r="I34" i="48"/>
  <c r="G34" i="48"/>
  <c r="AV33" i="48"/>
  <c r="AQ33" i="48"/>
  <c r="AL33" i="48"/>
  <c r="AG33" i="48"/>
  <c r="AB33" i="48"/>
  <c r="W33" i="48"/>
  <c r="R33" i="48"/>
  <c r="K33" i="48"/>
  <c r="J33" i="48"/>
  <c r="I33" i="48"/>
  <c r="G33" i="48"/>
  <c r="AV32" i="48"/>
  <c r="AQ32" i="48"/>
  <c r="AL32" i="48"/>
  <c r="AG32" i="48"/>
  <c r="AB32" i="48"/>
  <c r="W32" i="48"/>
  <c r="R32" i="48"/>
  <c r="K32" i="48"/>
  <c r="J32" i="48"/>
  <c r="I32" i="48"/>
  <c r="G32" i="48"/>
  <c r="AV31" i="48"/>
  <c r="AQ31" i="48"/>
  <c r="AL31" i="48"/>
  <c r="AG31" i="48"/>
  <c r="AB31" i="48"/>
  <c r="W31" i="48"/>
  <c r="R31" i="48"/>
  <c r="K31" i="48"/>
  <c r="J31" i="48"/>
  <c r="I31" i="48"/>
  <c r="G31" i="48"/>
  <c r="AV30" i="48"/>
  <c r="AQ30" i="48"/>
  <c r="AL30" i="48"/>
  <c r="AG30" i="48"/>
  <c r="AB30" i="48"/>
  <c r="W30" i="48"/>
  <c r="R30" i="48"/>
  <c r="K30" i="48"/>
  <c r="J30" i="48"/>
  <c r="I30" i="48"/>
  <c r="G30" i="48"/>
  <c r="AV29" i="48"/>
  <c r="K29" i="48" s="1"/>
  <c r="AQ29" i="48"/>
  <c r="AL29" i="48"/>
  <c r="AG29" i="48"/>
  <c r="AB29" i="48"/>
  <c r="W29" i="48"/>
  <c r="R29" i="48"/>
  <c r="J29" i="48"/>
  <c r="I29" i="48"/>
  <c r="G29" i="48"/>
  <c r="AV28" i="48"/>
  <c r="K28" i="48" s="1"/>
  <c r="AQ28" i="48"/>
  <c r="AL28" i="48"/>
  <c r="AG28" i="48"/>
  <c r="AB28" i="48"/>
  <c r="W28" i="48"/>
  <c r="R28" i="48"/>
  <c r="J28" i="48"/>
  <c r="I28" i="48"/>
  <c r="G28" i="48"/>
  <c r="AV27" i="48"/>
  <c r="AX27" i="48" s="1"/>
  <c r="AS27" i="48"/>
  <c r="AQ27" i="48"/>
  <c r="AL27" i="48"/>
  <c r="AN27" i="48" s="1"/>
  <c r="AG27" i="48"/>
  <c r="AI27" i="48" s="1"/>
  <c r="AB27" i="48"/>
  <c r="AD27" i="48" s="1"/>
  <c r="W27" i="48"/>
  <c r="Y27" i="48" s="1"/>
  <c r="R27" i="48"/>
  <c r="T27" i="48" s="1"/>
  <c r="K27" i="48"/>
  <c r="J27" i="48"/>
  <c r="I27" i="48"/>
  <c r="G27" i="48"/>
  <c r="H27" i="48" s="1"/>
  <c r="AW28" i="47"/>
  <c r="AW27" i="47"/>
  <c r="AR28" i="47"/>
  <c r="AR27" i="47"/>
  <c r="AM28" i="47"/>
  <c r="AM27" i="47"/>
  <c r="AH28" i="47"/>
  <c r="AH27" i="47"/>
  <c r="AC28" i="47"/>
  <c r="AC27" i="47"/>
  <c r="X28" i="47"/>
  <c r="X27" i="47"/>
  <c r="S28" i="47"/>
  <c r="S27" i="47"/>
  <c r="M28" i="47"/>
  <c r="M27" i="47"/>
  <c r="C1" i="47"/>
  <c r="C1" i="46"/>
  <c r="AV28" i="47"/>
  <c r="AQ28" i="47"/>
  <c r="AL28" i="47"/>
  <c r="AG28" i="47"/>
  <c r="AB28" i="47"/>
  <c r="W28" i="47"/>
  <c r="R28" i="47"/>
  <c r="K28" i="47"/>
  <c r="J28" i="47"/>
  <c r="I28" i="47"/>
  <c r="G28" i="47"/>
  <c r="AX27" i="47"/>
  <c r="AV27" i="47"/>
  <c r="AQ27" i="47"/>
  <c r="AS27" i="47" s="1"/>
  <c r="AL27" i="47"/>
  <c r="AG27" i="47"/>
  <c r="AI27" i="47" s="1"/>
  <c r="AB27" i="47"/>
  <c r="W27" i="47"/>
  <c r="Y27" i="47" s="1"/>
  <c r="R27" i="47"/>
  <c r="K27" i="47" s="1"/>
  <c r="J27" i="47"/>
  <c r="I27" i="47"/>
  <c r="G27" i="47"/>
  <c r="H27" i="47" s="1"/>
  <c r="AW28" i="46"/>
  <c r="AW27" i="46"/>
  <c r="AR28" i="46"/>
  <c r="AR27" i="46"/>
  <c r="AM28" i="46"/>
  <c r="AM27" i="46"/>
  <c r="AH28" i="46"/>
  <c r="AH27" i="46"/>
  <c r="AC28" i="46"/>
  <c r="AC27" i="46"/>
  <c r="X28" i="46"/>
  <c r="X27" i="46"/>
  <c r="S28" i="46"/>
  <c r="S27" i="46"/>
  <c r="M28" i="46"/>
  <c r="M27" i="46"/>
  <c r="AV28" i="46"/>
  <c r="AQ28" i="46"/>
  <c r="AL28" i="46"/>
  <c r="AG28" i="46"/>
  <c r="AB28" i="46"/>
  <c r="W28" i="46"/>
  <c r="R28" i="46"/>
  <c r="K28" i="46"/>
  <c r="J28" i="46"/>
  <c r="I28" i="46"/>
  <c r="G28" i="46"/>
  <c r="AX27" i="46"/>
  <c r="AV27" i="46"/>
  <c r="AS27" i="46"/>
  <c r="AQ27" i="46"/>
  <c r="AL27" i="46"/>
  <c r="AN27" i="46" s="1"/>
  <c r="AG27" i="46"/>
  <c r="AB27" i="46"/>
  <c r="W27" i="46"/>
  <c r="Y27" i="46" s="1"/>
  <c r="R27" i="46"/>
  <c r="T27" i="46" s="1"/>
  <c r="J27" i="46"/>
  <c r="I27" i="46"/>
  <c r="G27" i="46"/>
  <c r="H27" i="46" s="1"/>
  <c r="B29" i="39"/>
  <c r="C1" i="45"/>
  <c r="AW31" i="45"/>
  <c r="AW30" i="45"/>
  <c r="AW29" i="45"/>
  <c r="AW28" i="45"/>
  <c r="AW27" i="45"/>
  <c r="AR31" i="45"/>
  <c r="AR30" i="45"/>
  <c r="AR29" i="45"/>
  <c r="AR28" i="45"/>
  <c r="AR27" i="45"/>
  <c r="AM31" i="45"/>
  <c r="AM30" i="45"/>
  <c r="AM29" i="45"/>
  <c r="AM28" i="45"/>
  <c r="AM27" i="45"/>
  <c r="AH31" i="45"/>
  <c r="AH30" i="45"/>
  <c r="AH29" i="45"/>
  <c r="AH28" i="45"/>
  <c r="AH27" i="45"/>
  <c r="AI27" i="45"/>
  <c r="AC31" i="45"/>
  <c r="AC30" i="45"/>
  <c r="AC29" i="45"/>
  <c r="AC28" i="45"/>
  <c r="AC27" i="45"/>
  <c r="X31" i="45"/>
  <c r="X30" i="45"/>
  <c r="X29" i="45"/>
  <c r="X28" i="45"/>
  <c r="X27" i="45"/>
  <c r="S28" i="45"/>
  <c r="S29" i="45"/>
  <c r="S30" i="45"/>
  <c r="S31" i="45"/>
  <c r="S27" i="45"/>
  <c r="M28" i="45"/>
  <c r="M29" i="45"/>
  <c r="M30" i="45"/>
  <c r="M31" i="45"/>
  <c r="M27" i="45"/>
  <c r="AV31" i="45"/>
  <c r="AQ31" i="45"/>
  <c r="AL31" i="45"/>
  <c r="AG31" i="45"/>
  <c r="AB31" i="45"/>
  <c r="W31" i="45"/>
  <c r="R31" i="45"/>
  <c r="K31" i="45"/>
  <c r="J31" i="45"/>
  <c r="I31" i="45"/>
  <c r="G31" i="45"/>
  <c r="AV30" i="45"/>
  <c r="AQ30" i="45"/>
  <c r="AL30" i="45"/>
  <c r="AG30" i="45"/>
  <c r="AB30" i="45"/>
  <c r="W30" i="45"/>
  <c r="R30" i="45"/>
  <c r="K30" i="45"/>
  <c r="J30" i="45"/>
  <c r="I30" i="45"/>
  <c r="G30" i="45"/>
  <c r="AV29" i="45"/>
  <c r="K29" i="45" s="1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X27" i="45" s="1"/>
  <c r="AS27" i="45"/>
  <c r="AQ27" i="45"/>
  <c r="AL27" i="45"/>
  <c r="AG27" i="45"/>
  <c r="AB27" i="45"/>
  <c r="AD27" i="45" s="1"/>
  <c r="W27" i="45"/>
  <c r="Y27" i="45" s="1"/>
  <c r="R27" i="45"/>
  <c r="T27" i="45" s="1"/>
  <c r="K27" i="45"/>
  <c r="J27" i="45"/>
  <c r="I27" i="45"/>
  <c r="G27" i="45"/>
  <c r="H27" i="45" s="1"/>
  <c r="B28" i="39"/>
  <c r="AW79" i="44"/>
  <c r="AW78" i="44"/>
  <c r="AW77" i="44"/>
  <c r="AW76" i="44"/>
  <c r="AW75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R79" i="44"/>
  <c r="AR78" i="44"/>
  <c r="AR77" i="44"/>
  <c r="AR76" i="44"/>
  <c r="AR7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M79" i="44"/>
  <c r="AM78" i="44"/>
  <c r="AM77" i="44"/>
  <c r="AM76" i="44"/>
  <c r="AM7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H79" i="44"/>
  <c r="AH78" i="44"/>
  <c r="AH77" i="44"/>
  <c r="AH76" i="44"/>
  <c r="AH7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C79" i="44"/>
  <c r="AC78" i="44"/>
  <c r="AC77" i="44"/>
  <c r="AC76" i="44"/>
  <c r="AC7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X79" i="44"/>
  <c r="X78" i="44"/>
  <c r="X77" i="44"/>
  <c r="X76" i="44"/>
  <c r="X7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75" i="44"/>
  <c r="S76" i="44"/>
  <c r="S77" i="44"/>
  <c r="S78" i="44"/>
  <c r="S79" i="44"/>
  <c r="S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76" i="44"/>
  <c r="M77" i="44"/>
  <c r="M78" i="44"/>
  <c r="M79" i="44"/>
  <c r="M47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K77" i="44" s="1"/>
  <c r="R77" i="44"/>
  <c r="J77" i="44"/>
  <c r="I77" i="44"/>
  <c r="G77" i="44"/>
  <c r="AV76" i="44"/>
  <c r="AQ76" i="44"/>
  <c r="AL76" i="44"/>
  <c r="AG76" i="44"/>
  <c r="AB76" i="44"/>
  <c r="W76" i="44"/>
  <c r="R76" i="44"/>
  <c r="K76" i="44" s="1"/>
  <c r="J76" i="44"/>
  <c r="I76" i="44"/>
  <c r="G76" i="44"/>
  <c r="AV75" i="44"/>
  <c r="AQ75" i="44"/>
  <c r="AL75" i="44"/>
  <c r="AG75" i="44"/>
  <c r="AB75" i="44"/>
  <c r="W75" i="44"/>
  <c r="R75" i="44"/>
  <c r="J75" i="44"/>
  <c r="I75" i="44"/>
  <c r="G75" i="44"/>
  <c r="AV74" i="44"/>
  <c r="AQ74" i="44"/>
  <c r="AL74" i="44"/>
  <c r="AG74" i="44"/>
  <c r="AB74" i="44"/>
  <c r="W74" i="44"/>
  <c r="R74" i="44"/>
  <c r="K74" i="44" s="1"/>
  <c r="J74" i="44"/>
  <c r="I74" i="44"/>
  <c r="G74" i="44"/>
  <c r="AV73" i="44"/>
  <c r="AQ73" i="44"/>
  <c r="AL73" i="44"/>
  <c r="AG73" i="44"/>
  <c r="AB73" i="44"/>
  <c r="W73" i="44"/>
  <c r="R73" i="44"/>
  <c r="K73" i="44"/>
  <c r="J73" i="44"/>
  <c r="I73" i="44"/>
  <c r="G73" i="44"/>
  <c r="AV72" i="44"/>
  <c r="AQ72" i="44"/>
  <c r="AL72" i="44"/>
  <c r="AG72" i="44"/>
  <c r="AB72" i="44"/>
  <c r="W72" i="44"/>
  <c r="R72" i="44"/>
  <c r="K72" i="44"/>
  <c r="J72" i="44"/>
  <c r="I72" i="44"/>
  <c r="G72" i="44"/>
  <c r="AV71" i="44"/>
  <c r="AQ71" i="44"/>
  <c r="AL71" i="44"/>
  <c r="AG71" i="44"/>
  <c r="AB71" i="44"/>
  <c r="W71" i="44"/>
  <c r="R71" i="44"/>
  <c r="K71" i="44"/>
  <c r="J71" i="44"/>
  <c r="I71" i="44"/>
  <c r="G71" i="44"/>
  <c r="AV70" i="44"/>
  <c r="AQ70" i="44"/>
  <c r="AL70" i="44"/>
  <c r="AG70" i="44"/>
  <c r="AB70" i="44"/>
  <c r="W70" i="44"/>
  <c r="R70" i="44"/>
  <c r="K70" i="44"/>
  <c r="J70" i="44"/>
  <c r="I70" i="44"/>
  <c r="G70" i="44"/>
  <c r="AV69" i="44"/>
  <c r="AQ69" i="44"/>
  <c r="AL69" i="44"/>
  <c r="AG69" i="44"/>
  <c r="AB69" i="44"/>
  <c r="W69" i="44"/>
  <c r="R69" i="44"/>
  <c r="K69" i="44"/>
  <c r="J69" i="44"/>
  <c r="I69" i="44"/>
  <c r="G69" i="44"/>
  <c r="AV68" i="44"/>
  <c r="AQ68" i="44"/>
  <c r="AL68" i="44"/>
  <c r="AG68" i="44"/>
  <c r="AB68" i="44"/>
  <c r="W68" i="44"/>
  <c r="R68" i="44"/>
  <c r="K68" i="44"/>
  <c r="J68" i="44"/>
  <c r="I68" i="44"/>
  <c r="G68" i="44"/>
  <c r="AV67" i="44"/>
  <c r="AX47" i="44" s="1"/>
  <c r="AQ67" i="44"/>
  <c r="AL67" i="44"/>
  <c r="AG67" i="44"/>
  <c r="AB67" i="44"/>
  <c r="W67" i="44"/>
  <c r="K67" i="44" s="1"/>
  <c r="R67" i="44"/>
  <c r="J67" i="44"/>
  <c r="I67" i="44"/>
  <c r="G67" i="44"/>
  <c r="AV66" i="44"/>
  <c r="AQ66" i="44"/>
  <c r="AL66" i="44"/>
  <c r="AG66" i="44"/>
  <c r="AB66" i="44"/>
  <c r="W66" i="44"/>
  <c r="K66" i="44" s="1"/>
  <c r="R66" i="44"/>
  <c r="J66" i="44"/>
  <c r="I66" i="44"/>
  <c r="G66" i="44"/>
  <c r="AV65" i="44"/>
  <c r="AQ65" i="44"/>
  <c r="AL65" i="44"/>
  <c r="AG65" i="44"/>
  <c r="AB65" i="44"/>
  <c r="W65" i="44"/>
  <c r="R65" i="44"/>
  <c r="K65" i="44" s="1"/>
  <c r="J65" i="44"/>
  <c r="I65" i="44"/>
  <c r="G65" i="44"/>
  <c r="AV64" i="44"/>
  <c r="AQ64" i="44"/>
  <c r="AL64" i="44"/>
  <c r="AG64" i="44"/>
  <c r="AB64" i="44"/>
  <c r="W64" i="44"/>
  <c r="R64" i="44"/>
  <c r="K64" i="44" s="1"/>
  <c r="J64" i="44"/>
  <c r="I64" i="44"/>
  <c r="G64" i="44"/>
  <c r="AV63" i="44"/>
  <c r="AQ63" i="44"/>
  <c r="AL63" i="44"/>
  <c r="K63" i="44" s="1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K61" i="44" s="1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K58" i="44" s="1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K56" i="44" s="1"/>
  <c r="J56" i="44"/>
  <c r="I56" i="44"/>
  <c r="G56" i="44"/>
  <c r="AV55" i="44"/>
  <c r="AQ55" i="44"/>
  <c r="AL55" i="44"/>
  <c r="AG55" i="44"/>
  <c r="AB55" i="44"/>
  <c r="W55" i="44"/>
  <c r="R55" i="44"/>
  <c r="K55" i="44" s="1"/>
  <c r="J55" i="44"/>
  <c r="I55" i="44"/>
  <c r="G55" i="44"/>
  <c r="AV54" i="44"/>
  <c r="AQ54" i="44"/>
  <c r="AL54" i="44"/>
  <c r="AG54" i="44"/>
  <c r="AB54" i="44"/>
  <c r="W54" i="44"/>
  <c r="R54" i="44"/>
  <c r="K54" i="44" s="1"/>
  <c r="J54" i="44"/>
  <c r="I54" i="44"/>
  <c r="G54" i="44"/>
  <c r="AV53" i="44"/>
  <c r="AQ53" i="44"/>
  <c r="AL53" i="44"/>
  <c r="AG53" i="44"/>
  <c r="AB53" i="44"/>
  <c r="W53" i="44"/>
  <c r="R53" i="44"/>
  <c r="K53" i="44"/>
  <c r="J53" i="44"/>
  <c r="I53" i="44"/>
  <c r="G53" i="44"/>
  <c r="AV52" i="44"/>
  <c r="AQ52" i="44"/>
  <c r="AL52" i="44"/>
  <c r="AN47" i="44" s="1"/>
  <c r="AG52" i="44"/>
  <c r="AB52" i="44"/>
  <c r="W52" i="44"/>
  <c r="R52" i="44"/>
  <c r="K52" i="44"/>
  <c r="J52" i="44"/>
  <c r="I52" i="44"/>
  <c r="G52" i="44"/>
  <c r="AV51" i="44"/>
  <c r="AQ51" i="44"/>
  <c r="AL51" i="44"/>
  <c r="AG51" i="44"/>
  <c r="AB51" i="44"/>
  <c r="W51" i="44"/>
  <c r="R51" i="44"/>
  <c r="K51" i="44"/>
  <c r="J51" i="44"/>
  <c r="I51" i="44"/>
  <c r="G51" i="44"/>
  <c r="AV50" i="44"/>
  <c r="AQ50" i="44"/>
  <c r="AL50" i="44"/>
  <c r="AG50" i="44"/>
  <c r="AB50" i="44"/>
  <c r="W50" i="44"/>
  <c r="R50" i="44"/>
  <c r="K50" i="44"/>
  <c r="J50" i="44"/>
  <c r="I50" i="44"/>
  <c r="G50" i="44"/>
  <c r="AV49" i="44"/>
  <c r="AQ49" i="44"/>
  <c r="AL49" i="44"/>
  <c r="AG49" i="44"/>
  <c r="AB49" i="44"/>
  <c r="W49" i="44"/>
  <c r="R49" i="44"/>
  <c r="K49" i="44"/>
  <c r="J49" i="44"/>
  <c r="I49" i="44"/>
  <c r="G49" i="44"/>
  <c r="AV48" i="44"/>
  <c r="AQ48" i="44"/>
  <c r="AL48" i="44"/>
  <c r="AG48" i="44"/>
  <c r="AB48" i="44"/>
  <c r="AD47" i="44" s="1"/>
  <c r="W48" i="44"/>
  <c r="R48" i="44"/>
  <c r="K48" i="44"/>
  <c r="J48" i="44"/>
  <c r="I48" i="44"/>
  <c r="G48" i="44"/>
  <c r="H47" i="44" s="1"/>
  <c r="AV47" i="44"/>
  <c r="AQ47" i="44"/>
  <c r="AS47" i="44" s="1"/>
  <c r="AL47" i="44"/>
  <c r="AG47" i="44"/>
  <c r="AB47" i="44"/>
  <c r="W47" i="44"/>
  <c r="Y47" i="44" s="1"/>
  <c r="R47" i="44"/>
  <c r="K47" i="44" s="1"/>
  <c r="J47" i="44"/>
  <c r="I47" i="44"/>
  <c r="G47" i="44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K11" i="39"/>
  <c r="K10" i="39"/>
  <c r="K9" i="39"/>
  <c r="K8" i="39"/>
  <c r="K7" i="39"/>
  <c r="K6" i="39"/>
  <c r="I11" i="39"/>
  <c r="I10" i="39"/>
  <c r="I9" i="39"/>
  <c r="I8" i="39"/>
  <c r="I7" i="39"/>
  <c r="I6" i="39"/>
  <c r="B7" i="39"/>
  <c r="B6" i="39"/>
  <c r="H10" i="6"/>
  <c r="H10" i="7"/>
  <c r="B14" i="7"/>
  <c r="AC20" i="7"/>
  <c r="S20" i="7"/>
  <c r="M20" i="7"/>
  <c r="F20" i="7"/>
  <c r="AL20" i="7" s="1"/>
  <c r="AC19" i="7"/>
  <c r="S19" i="7"/>
  <c r="F19" i="7" s="1"/>
  <c r="AL19" i="7" s="1"/>
  <c r="M19" i="7"/>
  <c r="AC18" i="7"/>
  <c r="S18" i="7"/>
  <c r="M18" i="7"/>
  <c r="F18" i="7"/>
  <c r="AL18" i="7" s="1"/>
  <c r="AC17" i="7"/>
  <c r="S17" i="7"/>
  <c r="M17" i="7"/>
  <c r="F17" i="7"/>
  <c r="AL17" i="7" s="1"/>
  <c r="AC16" i="7"/>
  <c r="S16" i="7"/>
  <c r="M16" i="7"/>
  <c r="AC15" i="7"/>
  <c r="S15" i="7"/>
  <c r="M15" i="7"/>
  <c r="F15" i="7"/>
  <c r="AL15" i="7" s="1"/>
  <c r="AC14" i="7"/>
  <c r="S14" i="7"/>
  <c r="F14" i="7" s="1"/>
  <c r="AL14" i="7" s="1"/>
  <c r="M14" i="7"/>
  <c r="AC20" i="6"/>
  <c r="S20" i="6"/>
  <c r="M20" i="6"/>
  <c r="F20" i="6"/>
  <c r="AL20" i="6" s="1"/>
  <c r="AC19" i="6"/>
  <c r="S19" i="6"/>
  <c r="M19" i="6"/>
  <c r="F19" i="6"/>
  <c r="AL19" i="6" s="1"/>
  <c r="AC18" i="6"/>
  <c r="S18" i="6"/>
  <c r="M18" i="6"/>
  <c r="F18" i="6"/>
  <c r="AL18" i="6" s="1"/>
  <c r="AC17" i="6"/>
  <c r="S17" i="6"/>
  <c r="M17" i="6"/>
  <c r="AC16" i="6"/>
  <c r="S16" i="6"/>
  <c r="M16" i="6"/>
  <c r="F16" i="6"/>
  <c r="AL16" i="6" s="1"/>
  <c r="AC15" i="6"/>
  <c r="S15" i="6"/>
  <c r="M15" i="6"/>
  <c r="F15" i="6"/>
  <c r="AL15" i="6" s="1"/>
  <c r="D15" i="6"/>
  <c r="B14" i="6" s="1"/>
  <c r="AC14" i="6"/>
  <c r="S14" i="6"/>
  <c r="M14" i="6"/>
  <c r="F14" i="6"/>
  <c r="AL14" i="6" s="1"/>
  <c r="U14" i="5"/>
  <c r="U15" i="5"/>
  <c r="U16" i="5"/>
  <c r="U17" i="5"/>
  <c r="U18" i="5"/>
  <c r="U13" i="5"/>
  <c r="U12" i="5"/>
  <c r="E6" i="39"/>
  <c r="L27" i="52" l="1"/>
  <c r="Y27" i="52"/>
  <c r="Y27" i="51"/>
  <c r="AX27" i="51"/>
  <c r="K29" i="51"/>
  <c r="AI27" i="51"/>
  <c r="U22" i="50"/>
  <c r="K33" i="49"/>
  <c r="AS27" i="49"/>
  <c r="K29" i="49"/>
  <c r="AN27" i="49"/>
  <c r="K35" i="48"/>
  <c r="L27" i="47"/>
  <c r="AD27" i="47"/>
  <c r="AN27" i="47"/>
  <c r="T27" i="47"/>
  <c r="AD27" i="46"/>
  <c r="AI27" i="46"/>
  <c r="K27" i="46"/>
  <c r="K28" i="45"/>
  <c r="AN27" i="45"/>
  <c r="K62" i="44"/>
  <c r="K60" i="44"/>
  <c r="AI47" i="44"/>
  <c r="K59" i="44"/>
  <c r="K79" i="44"/>
  <c r="K78" i="44"/>
  <c r="K57" i="44"/>
  <c r="T47" i="44"/>
  <c r="K75" i="44"/>
  <c r="N18" i="6"/>
  <c r="AD14" i="6"/>
  <c r="AD19" i="6"/>
  <c r="N15" i="6"/>
  <c r="T15" i="6"/>
  <c r="AD15" i="6"/>
  <c r="AD16" i="6"/>
  <c r="F17" i="6"/>
  <c r="AL17" i="6" s="1"/>
  <c r="T14" i="6"/>
  <c r="N19" i="6"/>
  <c r="T19" i="6"/>
  <c r="N16" i="6"/>
  <c r="T18" i="6"/>
  <c r="AD18" i="6"/>
  <c r="N14" i="6"/>
  <c r="N20" i="6"/>
  <c r="T20" i="6"/>
  <c r="AD20" i="6"/>
  <c r="T16" i="6"/>
  <c r="T18" i="7"/>
  <c r="AD18" i="7"/>
  <c r="N14" i="7"/>
  <c r="N19" i="7"/>
  <c r="T17" i="7"/>
  <c r="T14" i="7"/>
  <c r="N20" i="7"/>
  <c r="T15" i="7"/>
  <c r="T20" i="7"/>
  <c r="N16" i="7"/>
  <c r="AD16" i="7"/>
  <c r="N17" i="7"/>
  <c r="N18" i="7"/>
  <c r="T19" i="7"/>
  <c r="AD19" i="7"/>
  <c r="N15" i="7"/>
  <c r="AD15" i="7"/>
  <c r="AD20" i="7"/>
  <c r="AD17" i="7"/>
  <c r="AD14" i="7"/>
  <c r="F16" i="7"/>
  <c r="AL16" i="7" s="1"/>
  <c r="G14" i="7"/>
  <c r="J16" i="7"/>
  <c r="J19" i="7"/>
  <c r="L14" i="7"/>
  <c r="L17" i="7"/>
  <c r="L19" i="7"/>
  <c r="P15" i="7"/>
  <c r="P20" i="7"/>
  <c r="J14" i="7"/>
  <c r="J17" i="7"/>
  <c r="L15" i="7"/>
  <c r="R20" i="7"/>
  <c r="J20" i="7"/>
  <c r="J15" i="7"/>
  <c r="J18" i="7"/>
  <c r="L16" i="7"/>
  <c r="L20" i="7"/>
  <c r="P14" i="7"/>
  <c r="P17" i="7"/>
  <c r="P18" i="7"/>
  <c r="P19" i="7"/>
  <c r="R14" i="7"/>
  <c r="R15" i="7"/>
  <c r="R16" i="7"/>
  <c r="R17" i="7"/>
  <c r="R18" i="7"/>
  <c r="R19" i="7"/>
  <c r="V15" i="7"/>
  <c r="V16" i="7"/>
  <c r="V17" i="7"/>
  <c r="V18" i="7"/>
  <c r="V19" i="7"/>
  <c r="V20" i="7"/>
  <c r="X14" i="7"/>
  <c r="X15" i="7"/>
  <c r="X16" i="7"/>
  <c r="X17" i="7"/>
  <c r="X18" i="7"/>
  <c r="X19" i="7"/>
  <c r="X20" i="7"/>
  <c r="Z14" i="7"/>
  <c r="Z15" i="7"/>
  <c r="Z16" i="7"/>
  <c r="Z17" i="7"/>
  <c r="Z18" i="7"/>
  <c r="Z19" i="7"/>
  <c r="Z20" i="7"/>
  <c r="AB14" i="7"/>
  <c r="AB15" i="7"/>
  <c r="AB16" i="7"/>
  <c r="AB17" i="7"/>
  <c r="AB18" i="7"/>
  <c r="AB19" i="7"/>
  <c r="AB20" i="7"/>
  <c r="AF14" i="7"/>
  <c r="AF15" i="7"/>
  <c r="AF16" i="7"/>
  <c r="AF17" i="7"/>
  <c r="AF18" i="7"/>
  <c r="AF19" i="7"/>
  <c r="AF20" i="7"/>
  <c r="AH14" i="7"/>
  <c r="AH15" i="7"/>
  <c r="AH16" i="7"/>
  <c r="AH17" i="7"/>
  <c r="AH18" i="7"/>
  <c r="AH19" i="7"/>
  <c r="AH20" i="7"/>
  <c r="L18" i="7"/>
  <c r="V14" i="7"/>
  <c r="AJ14" i="7"/>
  <c r="AJ15" i="7"/>
  <c r="AJ16" i="7"/>
  <c r="AJ17" i="7"/>
  <c r="AJ18" i="7"/>
  <c r="AJ19" i="7"/>
  <c r="AJ20" i="7"/>
  <c r="D16" i="6"/>
  <c r="D17" i="6" s="1"/>
  <c r="D18" i="6" s="1"/>
  <c r="D19" i="6" s="1"/>
  <c r="D20" i="6" s="1"/>
  <c r="J14" i="6"/>
  <c r="L14" i="6"/>
  <c r="L18" i="6"/>
  <c r="P14" i="6"/>
  <c r="P18" i="6"/>
  <c r="R18" i="6"/>
  <c r="R20" i="6"/>
  <c r="V18" i="6"/>
  <c r="X14" i="6"/>
  <c r="X19" i="6"/>
  <c r="Z16" i="6"/>
  <c r="Z20" i="6"/>
  <c r="AB14" i="6"/>
  <c r="AB16" i="6"/>
  <c r="AB20" i="6"/>
  <c r="R15" i="6"/>
  <c r="V20" i="6"/>
  <c r="AF14" i="6"/>
  <c r="AF15" i="6"/>
  <c r="AF16" i="6"/>
  <c r="AF18" i="6"/>
  <c r="AF19" i="6"/>
  <c r="AF20" i="6"/>
  <c r="J15" i="6"/>
  <c r="J19" i="6"/>
  <c r="L15" i="6"/>
  <c r="L20" i="6"/>
  <c r="P16" i="6"/>
  <c r="P19" i="6"/>
  <c r="V14" i="6"/>
  <c r="V19" i="6"/>
  <c r="X15" i="6"/>
  <c r="X17" i="6"/>
  <c r="Z14" i="6"/>
  <c r="Z19" i="6"/>
  <c r="AB15" i="6"/>
  <c r="AB19" i="6"/>
  <c r="AH14" i="6"/>
  <c r="AH15" i="6"/>
  <c r="AH16" i="6"/>
  <c r="AH18" i="6"/>
  <c r="AH19" i="6"/>
  <c r="AH20" i="6"/>
  <c r="J20" i="6"/>
  <c r="L17" i="6"/>
  <c r="P15" i="6"/>
  <c r="R14" i="6"/>
  <c r="R19" i="6"/>
  <c r="V15" i="6"/>
  <c r="V16" i="6"/>
  <c r="X20" i="6"/>
  <c r="Z15" i="6"/>
  <c r="Z18" i="6"/>
  <c r="AJ14" i="6"/>
  <c r="AJ15" i="6"/>
  <c r="AJ16" i="6"/>
  <c r="AJ18" i="6"/>
  <c r="AJ19" i="6"/>
  <c r="AJ20" i="6"/>
  <c r="J16" i="6"/>
  <c r="J18" i="6"/>
  <c r="L16" i="6"/>
  <c r="L19" i="6"/>
  <c r="P20" i="6"/>
  <c r="R16" i="6"/>
  <c r="X16" i="6"/>
  <c r="X18" i="6"/>
  <c r="Z17" i="6"/>
  <c r="AB18" i="6"/>
  <c r="L27" i="51" l="1"/>
  <c r="U23" i="50"/>
  <c r="Z22" i="50"/>
  <c r="L27" i="49"/>
  <c r="L27" i="48"/>
  <c r="L27" i="46"/>
  <c r="L27" i="45"/>
  <c r="L47" i="44"/>
  <c r="C1" i="44" s="1"/>
  <c r="V17" i="6"/>
  <c r="R17" i="6"/>
  <c r="N17" i="6"/>
  <c r="P17" i="6"/>
  <c r="G14" i="6"/>
  <c r="AH17" i="6"/>
  <c r="AJ17" i="6"/>
  <c r="AF17" i="6"/>
  <c r="J17" i="6"/>
  <c r="T17" i="6"/>
  <c r="AB17" i="6"/>
  <c r="AD17" i="6"/>
  <c r="P16" i="7"/>
  <c r="T16" i="7"/>
  <c r="Z23" i="50" l="1"/>
  <c r="AE22" i="50"/>
  <c r="AE23" i="50" l="1"/>
  <c r="AJ22" i="50"/>
  <c r="AJ23" i="50" l="1"/>
  <c r="AO22" i="50"/>
  <c r="AO23" i="50" l="1"/>
  <c r="AT22" i="50"/>
  <c r="AT23" i="50" s="1"/>
  <c r="B2" i="56" l="1"/>
  <c r="B54" i="56"/>
  <c r="F52" i="56"/>
  <c r="D52" i="56"/>
  <c r="F51" i="56"/>
  <c r="D51" i="56"/>
  <c r="F50" i="56"/>
  <c r="D50" i="56"/>
  <c r="F49" i="56"/>
  <c r="D49" i="56"/>
  <c r="F48" i="56"/>
  <c r="D48" i="56"/>
  <c r="F47" i="56"/>
  <c r="D47" i="56"/>
  <c r="H46" i="56"/>
  <c r="G46" i="56"/>
  <c r="F46" i="56"/>
  <c r="D46" i="56"/>
  <c r="F45" i="56"/>
  <c r="D45" i="56"/>
  <c r="F44" i="56"/>
  <c r="D44" i="56"/>
  <c r="F43" i="56"/>
  <c r="D43" i="56"/>
  <c r="F42" i="56"/>
  <c r="D42" i="56"/>
  <c r="F41" i="56"/>
  <c r="D41" i="56"/>
  <c r="F40" i="56"/>
  <c r="D40" i="56"/>
  <c r="H39" i="56"/>
  <c r="G39" i="56"/>
  <c r="F39" i="56"/>
  <c r="D39" i="56"/>
  <c r="F38" i="56"/>
  <c r="D38" i="56"/>
  <c r="F37" i="56"/>
  <c r="D37" i="56"/>
  <c r="F36" i="56"/>
  <c r="D36" i="56"/>
  <c r="F35" i="56"/>
  <c r="D35" i="56"/>
  <c r="F34" i="56"/>
  <c r="D34" i="56"/>
  <c r="F33" i="56"/>
  <c r="D33" i="56"/>
  <c r="H32" i="56"/>
  <c r="G32" i="56"/>
  <c r="F32" i="56"/>
  <c r="D32" i="56"/>
  <c r="F31" i="56"/>
  <c r="D31" i="56"/>
  <c r="F30" i="56"/>
  <c r="D30" i="56"/>
  <c r="F29" i="56"/>
  <c r="D29" i="56"/>
  <c r="F28" i="56"/>
  <c r="D28" i="56"/>
  <c r="F27" i="56"/>
  <c r="D27" i="56"/>
  <c r="F26" i="56"/>
  <c r="D26" i="56"/>
  <c r="H25" i="56"/>
  <c r="G25" i="56"/>
  <c r="F25" i="56"/>
  <c r="D25" i="56"/>
  <c r="F24" i="56"/>
  <c r="D24" i="56"/>
  <c r="F23" i="56"/>
  <c r="D23" i="56"/>
  <c r="F22" i="56"/>
  <c r="D22" i="56"/>
  <c r="F21" i="56"/>
  <c r="D21" i="56"/>
  <c r="F20" i="56"/>
  <c r="D20" i="56"/>
  <c r="F19" i="56"/>
  <c r="D19" i="56"/>
  <c r="H18" i="56"/>
  <c r="G18" i="56"/>
  <c r="F18" i="56"/>
  <c r="D18" i="56"/>
  <c r="F17" i="56"/>
  <c r="D17" i="56"/>
  <c r="F16" i="56"/>
  <c r="D16" i="56"/>
  <c r="F15" i="56"/>
  <c r="D15" i="56"/>
  <c r="F14" i="56"/>
  <c r="D14" i="56"/>
  <c r="H11" i="56"/>
  <c r="B21" i="41" s="1"/>
  <c r="D13" i="56"/>
  <c r="F12" i="56"/>
  <c r="D12" i="56"/>
  <c r="F11" i="56"/>
  <c r="F10" i="56"/>
  <c r="D10" i="56"/>
  <c r="F9" i="56"/>
  <c r="D9" i="56"/>
  <c r="F8" i="56"/>
  <c r="D8" i="56"/>
  <c r="F7" i="56"/>
  <c r="G4" i="56"/>
  <c r="B9" i="41" s="1"/>
  <c r="C9" i="41" s="1"/>
  <c r="F6" i="56"/>
  <c r="D6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F4" i="56"/>
  <c r="D4" i="56"/>
  <c r="AE97" i="63"/>
  <c r="AF97" i="63"/>
  <c r="AG97" i="63"/>
  <c r="AH97" i="63"/>
  <c r="AI97" i="63"/>
  <c r="AJ97" i="63"/>
  <c r="AE98" i="63"/>
  <c r="AF98" i="63"/>
  <c r="AG98" i="63"/>
  <c r="AH98" i="63"/>
  <c r="AI98" i="63"/>
  <c r="AJ98" i="63"/>
  <c r="AD98" i="63"/>
  <c r="AD97" i="63"/>
  <c r="AD99" i="63" s="1"/>
  <c r="R114" i="63"/>
  <c r="O114" i="63"/>
  <c r="P114" i="63" s="1"/>
  <c r="N114" i="63"/>
  <c r="L114" i="63"/>
  <c r="J114" i="63"/>
  <c r="F114" i="63"/>
  <c r="R113" i="63"/>
  <c r="O113" i="63"/>
  <c r="P113" i="63" s="1"/>
  <c r="N113" i="63"/>
  <c r="L113" i="63"/>
  <c r="J113" i="63"/>
  <c r="F113" i="63"/>
  <c r="R112" i="63"/>
  <c r="O112" i="63"/>
  <c r="S112" i="63" s="1"/>
  <c r="N112" i="63"/>
  <c r="L112" i="63"/>
  <c r="J112" i="63"/>
  <c r="F112" i="63"/>
  <c r="R111" i="63"/>
  <c r="O111" i="63"/>
  <c r="S111" i="63" s="1"/>
  <c r="N111" i="63"/>
  <c r="L111" i="63"/>
  <c r="J111" i="63"/>
  <c r="F111" i="63"/>
  <c r="R110" i="63"/>
  <c r="O110" i="63"/>
  <c r="S110" i="63" s="1"/>
  <c r="N110" i="63"/>
  <c r="L110" i="63"/>
  <c r="J110" i="63"/>
  <c r="F110" i="63"/>
  <c r="R109" i="63"/>
  <c r="O109" i="63"/>
  <c r="S109" i="63" s="1"/>
  <c r="N109" i="63"/>
  <c r="L109" i="63"/>
  <c r="J109" i="63"/>
  <c r="F109" i="63"/>
  <c r="R108" i="63"/>
  <c r="O108" i="63"/>
  <c r="S108" i="63" s="1"/>
  <c r="N108" i="63"/>
  <c r="L108" i="63"/>
  <c r="J108" i="63"/>
  <c r="F108" i="63"/>
  <c r="R107" i="63"/>
  <c r="O107" i="63"/>
  <c r="S107" i="63" s="1"/>
  <c r="N107" i="63"/>
  <c r="L107" i="63"/>
  <c r="J107" i="63"/>
  <c r="F107" i="63"/>
  <c r="R106" i="63"/>
  <c r="O106" i="63"/>
  <c r="S106" i="63" s="1"/>
  <c r="N106" i="63"/>
  <c r="L106" i="63"/>
  <c r="J106" i="63"/>
  <c r="F106" i="63"/>
  <c r="R105" i="63"/>
  <c r="O105" i="63"/>
  <c r="P105" i="63" s="1"/>
  <c r="N105" i="63"/>
  <c r="L105" i="63"/>
  <c r="J105" i="63"/>
  <c r="F105" i="63"/>
  <c r="R104" i="63"/>
  <c r="O104" i="63"/>
  <c r="S104" i="63" s="1"/>
  <c r="N104" i="63"/>
  <c r="L104" i="63"/>
  <c r="J104" i="63"/>
  <c r="F104" i="63"/>
  <c r="R103" i="63"/>
  <c r="O103" i="63"/>
  <c r="S103" i="63" s="1"/>
  <c r="N103" i="63"/>
  <c r="L103" i="63"/>
  <c r="J103" i="63"/>
  <c r="F103" i="63"/>
  <c r="R102" i="63"/>
  <c r="O102" i="63"/>
  <c r="S102" i="63" s="1"/>
  <c r="N102" i="63"/>
  <c r="L102" i="63"/>
  <c r="J102" i="63"/>
  <c r="F102" i="63"/>
  <c r="R101" i="63"/>
  <c r="O101" i="63"/>
  <c r="P101" i="63" s="1"/>
  <c r="N101" i="63"/>
  <c r="L101" i="63"/>
  <c r="J101" i="63"/>
  <c r="F101" i="63"/>
  <c r="R100" i="63"/>
  <c r="O100" i="63"/>
  <c r="P100" i="63" s="1"/>
  <c r="N100" i="63"/>
  <c r="L100" i="63"/>
  <c r="J100" i="63"/>
  <c r="F100" i="63"/>
  <c r="R99" i="63"/>
  <c r="O99" i="63"/>
  <c r="P99" i="63" s="1"/>
  <c r="N99" i="63"/>
  <c r="L99" i="63"/>
  <c r="J99" i="63"/>
  <c r="F99" i="63"/>
  <c r="R98" i="63"/>
  <c r="O98" i="63"/>
  <c r="S98" i="63" s="1"/>
  <c r="N98" i="63"/>
  <c r="L98" i="63"/>
  <c r="J98" i="63"/>
  <c r="F98" i="63"/>
  <c r="AH99" i="63"/>
  <c r="AC97" i="63"/>
  <c r="AG99" i="63" s="1"/>
  <c r="R97" i="63"/>
  <c r="O97" i="63"/>
  <c r="S97" i="63" s="1"/>
  <c r="N97" i="63"/>
  <c r="L97" i="63"/>
  <c r="J97" i="63"/>
  <c r="F97" i="63"/>
  <c r="R96" i="63"/>
  <c r="O96" i="63"/>
  <c r="P96" i="63" s="1"/>
  <c r="N96" i="63"/>
  <c r="L96" i="63"/>
  <c r="J96" i="63"/>
  <c r="F96" i="63"/>
  <c r="R95" i="63"/>
  <c r="O95" i="63"/>
  <c r="P95" i="63" s="1"/>
  <c r="N95" i="63"/>
  <c r="L95" i="63"/>
  <c r="J95" i="63"/>
  <c r="F95" i="63"/>
  <c r="AE76" i="63"/>
  <c r="AF76" i="63"/>
  <c r="AG76" i="63"/>
  <c r="AH76" i="63"/>
  <c r="AI76" i="63"/>
  <c r="AJ76" i="63"/>
  <c r="AD76" i="63"/>
  <c r="AE75" i="63"/>
  <c r="AF75" i="63"/>
  <c r="AG75" i="63"/>
  <c r="AH75" i="63"/>
  <c r="AI75" i="63"/>
  <c r="AJ75" i="63"/>
  <c r="AD75" i="63"/>
  <c r="R92" i="63"/>
  <c r="O92" i="63"/>
  <c r="P92" i="63" s="1"/>
  <c r="N92" i="63"/>
  <c r="L92" i="63"/>
  <c r="J92" i="63"/>
  <c r="F92" i="63"/>
  <c r="R91" i="63"/>
  <c r="O91" i="63"/>
  <c r="S91" i="63" s="1"/>
  <c r="N91" i="63"/>
  <c r="L91" i="63"/>
  <c r="J91" i="63"/>
  <c r="F91" i="63"/>
  <c r="R90" i="63"/>
  <c r="O90" i="63"/>
  <c r="S90" i="63" s="1"/>
  <c r="N90" i="63"/>
  <c r="L90" i="63"/>
  <c r="J90" i="63"/>
  <c r="F90" i="63"/>
  <c r="R89" i="63"/>
  <c r="O89" i="63"/>
  <c r="P89" i="63" s="1"/>
  <c r="N89" i="63"/>
  <c r="L89" i="63"/>
  <c r="J89" i="63"/>
  <c r="F89" i="63"/>
  <c r="R88" i="63"/>
  <c r="O88" i="63"/>
  <c r="P88" i="63" s="1"/>
  <c r="N88" i="63"/>
  <c r="L88" i="63"/>
  <c r="J88" i="63"/>
  <c r="F88" i="63"/>
  <c r="R87" i="63"/>
  <c r="O87" i="63"/>
  <c r="S87" i="63" s="1"/>
  <c r="N87" i="63"/>
  <c r="L87" i="63"/>
  <c r="J87" i="63"/>
  <c r="F87" i="63"/>
  <c r="R86" i="63"/>
  <c r="O86" i="63"/>
  <c r="P86" i="63" s="1"/>
  <c r="N86" i="63"/>
  <c r="L86" i="63"/>
  <c r="J86" i="63"/>
  <c r="F86" i="63"/>
  <c r="R85" i="63"/>
  <c r="O85" i="63"/>
  <c r="S85" i="63" s="1"/>
  <c r="N85" i="63"/>
  <c r="L85" i="63"/>
  <c r="J85" i="63"/>
  <c r="F85" i="63"/>
  <c r="R84" i="63"/>
  <c r="O84" i="63"/>
  <c r="P84" i="63" s="1"/>
  <c r="N84" i="63"/>
  <c r="L84" i="63"/>
  <c r="J84" i="63"/>
  <c r="F84" i="63"/>
  <c r="R83" i="63"/>
  <c r="O83" i="63"/>
  <c r="S83" i="63" s="1"/>
  <c r="N83" i="63"/>
  <c r="L83" i="63"/>
  <c r="J83" i="63"/>
  <c r="F83" i="63"/>
  <c r="R82" i="63"/>
  <c r="O82" i="63"/>
  <c r="P82" i="63" s="1"/>
  <c r="N82" i="63"/>
  <c r="L82" i="63"/>
  <c r="J82" i="63"/>
  <c r="F82" i="63"/>
  <c r="R81" i="63"/>
  <c r="O81" i="63"/>
  <c r="P81" i="63" s="1"/>
  <c r="N81" i="63"/>
  <c r="L81" i="63"/>
  <c r="J81" i="63"/>
  <c r="F81" i="63"/>
  <c r="R80" i="63"/>
  <c r="O80" i="63"/>
  <c r="P80" i="63" s="1"/>
  <c r="N80" i="63"/>
  <c r="L80" i="63"/>
  <c r="J80" i="63"/>
  <c r="F80" i="63"/>
  <c r="R79" i="63"/>
  <c r="O79" i="63"/>
  <c r="S79" i="63" s="1"/>
  <c r="N79" i="63"/>
  <c r="L79" i="63"/>
  <c r="J79" i="63"/>
  <c r="F79" i="63"/>
  <c r="R78" i="63"/>
  <c r="O78" i="63"/>
  <c r="P78" i="63" s="1"/>
  <c r="N78" i="63"/>
  <c r="L78" i="63"/>
  <c r="J78" i="63"/>
  <c r="F78" i="63"/>
  <c r="R77" i="63"/>
  <c r="O77" i="63"/>
  <c r="P77" i="63" s="1"/>
  <c r="N77" i="63"/>
  <c r="L77" i="63"/>
  <c r="J77" i="63"/>
  <c r="F77" i="63"/>
  <c r="R76" i="63"/>
  <c r="O76" i="63"/>
  <c r="S76" i="63" s="1"/>
  <c r="N76" i="63"/>
  <c r="L76" i="63"/>
  <c r="J76" i="63"/>
  <c r="F76" i="63"/>
  <c r="AC75" i="63"/>
  <c r="R75" i="63"/>
  <c r="O75" i="63"/>
  <c r="P75" i="63" s="1"/>
  <c r="N75" i="63"/>
  <c r="L75" i="63"/>
  <c r="J75" i="63"/>
  <c r="F75" i="63"/>
  <c r="R74" i="63"/>
  <c r="O74" i="63"/>
  <c r="S74" i="63" s="1"/>
  <c r="N74" i="63"/>
  <c r="L74" i="63"/>
  <c r="J74" i="63"/>
  <c r="F74" i="63"/>
  <c r="R73" i="63"/>
  <c r="O73" i="63"/>
  <c r="S73" i="63" s="1"/>
  <c r="N73" i="63"/>
  <c r="L73" i="63"/>
  <c r="J73" i="63"/>
  <c r="F73" i="63"/>
  <c r="AD54" i="63"/>
  <c r="AD53" i="63"/>
  <c r="AD55" i="63" s="1"/>
  <c r="AE53" i="63"/>
  <c r="AF53" i="63"/>
  <c r="AG53" i="63"/>
  <c r="AH53" i="63"/>
  <c r="AI53" i="63"/>
  <c r="AJ53" i="63"/>
  <c r="AE54" i="63"/>
  <c r="AF54" i="63"/>
  <c r="AG54" i="63"/>
  <c r="AH54" i="63"/>
  <c r="AI54" i="63"/>
  <c r="AJ54" i="63"/>
  <c r="R70" i="63"/>
  <c r="O70" i="63"/>
  <c r="S70" i="63" s="1"/>
  <c r="N70" i="63"/>
  <c r="L70" i="63"/>
  <c r="J70" i="63"/>
  <c r="F70" i="63"/>
  <c r="R69" i="63"/>
  <c r="O69" i="63"/>
  <c r="S69" i="63" s="1"/>
  <c r="N69" i="63"/>
  <c r="L69" i="63"/>
  <c r="J69" i="63"/>
  <c r="F69" i="63"/>
  <c r="R68" i="63"/>
  <c r="O68" i="63"/>
  <c r="S68" i="63" s="1"/>
  <c r="N68" i="63"/>
  <c r="L68" i="63"/>
  <c r="J68" i="63"/>
  <c r="F68" i="63"/>
  <c r="R67" i="63"/>
  <c r="O67" i="63"/>
  <c r="S67" i="63" s="1"/>
  <c r="N67" i="63"/>
  <c r="L67" i="63"/>
  <c r="J67" i="63"/>
  <c r="F67" i="63"/>
  <c r="R66" i="63"/>
  <c r="O66" i="63"/>
  <c r="S66" i="63" s="1"/>
  <c r="N66" i="63"/>
  <c r="L66" i="63"/>
  <c r="J66" i="63"/>
  <c r="F66" i="63"/>
  <c r="R65" i="63"/>
  <c r="O65" i="63"/>
  <c r="S65" i="63" s="1"/>
  <c r="N65" i="63"/>
  <c r="L65" i="63"/>
  <c r="J65" i="63"/>
  <c r="F65" i="63"/>
  <c r="R64" i="63"/>
  <c r="O64" i="63"/>
  <c r="S64" i="63" s="1"/>
  <c r="N64" i="63"/>
  <c r="L64" i="63"/>
  <c r="J64" i="63"/>
  <c r="F64" i="63"/>
  <c r="R63" i="63"/>
  <c r="O63" i="63"/>
  <c r="S63" i="63" s="1"/>
  <c r="N63" i="63"/>
  <c r="L63" i="63"/>
  <c r="J63" i="63"/>
  <c r="F63" i="63"/>
  <c r="R62" i="63"/>
  <c r="O62" i="63"/>
  <c r="S62" i="63" s="1"/>
  <c r="N62" i="63"/>
  <c r="L62" i="63"/>
  <c r="J62" i="63"/>
  <c r="F62" i="63"/>
  <c r="R61" i="63"/>
  <c r="O61" i="63"/>
  <c r="S61" i="63" s="1"/>
  <c r="N61" i="63"/>
  <c r="L61" i="63"/>
  <c r="J61" i="63"/>
  <c r="F61" i="63"/>
  <c r="R60" i="63"/>
  <c r="O60" i="63"/>
  <c r="S60" i="63" s="1"/>
  <c r="N60" i="63"/>
  <c r="L60" i="63"/>
  <c r="J60" i="63"/>
  <c r="F60" i="63"/>
  <c r="R59" i="63"/>
  <c r="O59" i="63"/>
  <c r="S59" i="63" s="1"/>
  <c r="N59" i="63"/>
  <c r="L59" i="63"/>
  <c r="J59" i="63"/>
  <c r="F59" i="63"/>
  <c r="R58" i="63"/>
  <c r="O58" i="63"/>
  <c r="S58" i="63" s="1"/>
  <c r="N58" i="63"/>
  <c r="L58" i="63"/>
  <c r="J58" i="63"/>
  <c r="F58" i="63"/>
  <c r="R57" i="63"/>
  <c r="O57" i="63"/>
  <c r="S57" i="63" s="1"/>
  <c r="N57" i="63"/>
  <c r="L57" i="63"/>
  <c r="J57" i="63"/>
  <c r="F57" i="63"/>
  <c r="R56" i="63"/>
  <c r="O56" i="63"/>
  <c r="S56" i="63" s="1"/>
  <c r="N56" i="63"/>
  <c r="L56" i="63"/>
  <c r="J56" i="63"/>
  <c r="F56" i="63"/>
  <c r="R55" i="63"/>
  <c r="O55" i="63"/>
  <c r="P55" i="63" s="1"/>
  <c r="N55" i="63"/>
  <c r="L55" i="63"/>
  <c r="J55" i="63"/>
  <c r="F55" i="63"/>
  <c r="R54" i="63"/>
  <c r="O54" i="63"/>
  <c r="S54" i="63" s="1"/>
  <c r="N54" i="63"/>
  <c r="L54" i="63"/>
  <c r="J54" i="63"/>
  <c r="F54" i="63"/>
  <c r="AC53" i="63"/>
  <c r="AF55" i="63" s="1"/>
  <c r="R53" i="63"/>
  <c r="O53" i="63"/>
  <c r="S53" i="63" s="1"/>
  <c r="N53" i="63"/>
  <c r="L53" i="63"/>
  <c r="J53" i="63"/>
  <c r="F53" i="63"/>
  <c r="R52" i="63"/>
  <c r="O52" i="63"/>
  <c r="P52" i="63" s="1"/>
  <c r="N52" i="63"/>
  <c r="L52" i="63"/>
  <c r="J52" i="63"/>
  <c r="F52" i="63"/>
  <c r="R51" i="63"/>
  <c r="O51" i="63"/>
  <c r="P51" i="63" s="1"/>
  <c r="N51" i="63"/>
  <c r="L51" i="63"/>
  <c r="J51" i="63"/>
  <c r="F51" i="63"/>
  <c r="AE31" i="63"/>
  <c r="AF31" i="63"/>
  <c r="AG31" i="63"/>
  <c r="AH31" i="63"/>
  <c r="AI31" i="63"/>
  <c r="AJ31" i="63"/>
  <c r="AE32" i="63"/>
  <c r="AF32" i="63"/>
  <c r="AG32" i="63"/>
  <c r="AH32" i="63"/>
  <c r="AI32" i="63"/>
  <c r="AJ32" i="63"/>
  <c r="AD32" i="63"/>
  <c r="AD31" i="63"/>
  <c r="AE8" i="63"/>
  <c r="AF8" i="63"/>
  <c r="AG8" i="63"/>
  <c r="AH8" i="63"/>
  <c r="AI8" i="63"/>
  <c r="AJ8" i="63"/>
  <c r="AD8" i="63"/>
  <c r="AE7" i="63"/>
  <c r="AF7" i="63"/>
  <c r="AG7" i="63"/>
  <c r="AH7" i="63"/>
  <c r="AI7" i="63"/>
  <c r="AJ7" i="63"/>
  <c r="AD7" i="63"/>
  <c r="R48" i="63"/>
  <c r="O48" i="63"/>
  <c r="S48" i="63" s="1"/>
  <c r="U48" i="63" s="1"/>
  <c r="N48" i="63"/>
  <c r="L48" i="63"/>
  <c r="J48" i="63"/>
  <c r="F48" i="63"/>
  <c r="R47" i="63"/>
  <c r="O47" i="63"/>
  <c r="P47" i="63" s="1"/>
  <c r="N47" i="63"/>
  <c r="L47" i="63"/>
  <c r="J47" i="63"/>
  <c r="F47" i="63"/>
  <c r="R46" i="63"/>
  <c r="O46" i="63"/>
  <c r="S46" i="63" s="1"/>
  <c r="U46" i="63" s="1"/>
  <c r="N46" i="63"/>
  <c r="L46" i="63"/>
  <c r="J46" i="63"/>
  <c r="F46" i="63"/>
  <c r="R45" i="63"/>
  <c r="O45" i="63"/>
  <c r="S45" i="63" s="1"/>
  <c r="N45" i="63"/>
  <c r="L45" i="63"/>
  <c r="J45" i="63"/>
  <c r="F45" i="63"/>
  <c r="R44" i="63"/>
  <c r="O44" i="63"/>
  <c r="P44" i="63" s="1"/>
  <c r="N44" i="63"/>
  <c r="L44" i="63"/>
  <c r="J44" i="63"/>
  <c r="F44" i="63"/>
  <c r="R43" i="63"/>
  <c r="O43" i="63"/>
  <c r="S43" i="63" s="1"/>
  <c r="N43" i="63"/>
  <c r="L43" i="63"/>
  <c r="J43" i="63"/>
  <c r="F43" i="63"/>
  <c r="R42" i="63"/>
  <c r="O42" i="63"/>
  <c r="S42" i="63" s="1"/>
  <c r="U42" i="63" s="1"/>
  <c r="N42" i="63"/>
  <c r="L42" i="63"/>
  <c r="J42" i="63"/>
  <c r="F42" i="63"/>
  <c r="R41" i="63"/>
  <c r="O41" i="63"/>
  <c r="S41" i="63" s="1"/>
  <c r="N41" i="63"/>
  <c r="L41" i="63"/>
  <c r="J41" i="63"/>
  <c r="F41" i="63"/>
  <c r="R40" i="63"/>
  <c r="O40" i="63"/>
  <c r="P40" i="63" s="1"/>
  <c r="N40" i="63"/>
  <c r="L40" i="63"/>
  <c r="J40" i="63"/>
  <c r="F40" i="63"/>
  <c r="R39" i="63"/>
  <c r="O39" i="63"/>
  <c r="P39" i="63" s="1"/>
  <c r="N39" i="63"/>
  <c r="L39" i="63"/>
  <c r="J39" i="63"/>
  <c r="F39" i="63"/>
  <c r="R38" i="63"/>
  <c r="O38" i="63"/>
  <c r="S38" i="63" s="1"/>
  <c r="U38" i="63" s="1"/>
  <c r="N38" i="63"/>
  <c r="L38" i="63"/>
  <c r="J38" i="63"/>
  <c r="F38" i="63"/>
  <c r="R37" i="63"/>
  <c r="O37" i="63"/>
  <c r="S37" i="63" s="1"/>
  <c r="N37" i="63"/>
  <c r="L37" i="63"/>
  <c r="J37" i="63"/>
  <c r="F37" i="63"/>
  <c r="R36" i="63"/>
  <c r="O36" i="63"/>
  <c r="P36" i="63" s="1"/>
  <c r="N36" i="63"/>
  <c r="L36" i="63"/>
  <c r="J36" i="63"/>
  <c r="F36" i="63"/>
  <c r="R35" i="63"/>
  <c r="O35" i="63"/>
  <c r="P35" i="63" s="1"/>
  <c r="N35" i="63"/>
  <c r="L35" i="63"/>
  <c r="J35" i="63"/>
  <c r="F35" i="63"/>
  <c r="R34" i="63"/>
  <c r="O34" i="63"/>
  <c r="S34" i="63" s="1"/>
  <c r="U34" i="63" s="1"/>
  <c r="N34" i="63"/>
  <c r="L34" i="63"/>
  <c r="J34" i="63"/>
  <c r="F34" i="63"/>
  <c r="R33" i="63"/>
  <c r="O33" i="63"/>
  <c r="P33" i="63" s="1"/>
  <c r="N33" i="63"/>
  <c r="L33" i="63"/>
  <c r="J33" i="63"/>
  <c r="F33" i="63"/>
  <c r="R32" i="63"/>
  <c r="O32" i="63"/>
  <c r="P32" i="63" s="1"/>
  <c r="N32" i="63"/>
  <c r="L32" i="63"/>
  <c r="J32" i="63"/>
  <c r="F32" i="63"/>
  <c r="AC31" i="63"/>
  <c r="R31" i="63"/>
  <c r="O31" i="63"/>
  <c r="S31" i="63" s="1"/>
  <c r="N31" i="63"/>
  <c r="L31" i="63"/>
  <c r="J31" i="63"/>
  <c r="F31" i="63"/>
  <c r="R30" i="63"/>
  <c r="O30" i="63"/>
  <c r="P30" i="63" s="1"/>
  <c r="N30" i="63"/>
  <c r="L30" i="63"/>
  <c r="J30" i="63"/>
  <c r="F30" i="63"/>
  <c r="R29" i="63"/>
  <c r="O29" i="63"/>
  <c r="N29" i="63"/>
  <c r="L29" i="63"/>
  <c r="J29" i="63"/>
  <c r="S26" i="63"/>
  <c r="T26" i="63" s="1"/>
  <c r="R26" i="63"/>
  <c r="O26" i="63"/>
  <c r="M26" i="63"/>
  <c r="K26" i="63"/>
  <c r="S25" i="63"/>
  <c r="U25" i="63" s="1"/>
  <c r="R25" i="63"/>
  <c r="O25" i="63"/>
  <c r="M25" i="63"/>
  <c r="K25" i="63"/>
  <c r="S24" i="63"/>
  <c r="T24" i="63" s="1"/>
  <c r="R24" i="63"/>
  <c r="O24" i="63"/>
  <c r="M24" i="63"/>
  <c r="K24" i="63"/>
  <c r="S23" i="63"/>
  <c r="U23" i="63" s="1"/>
  <c r="R23" i="63"/>
  <c r="O23" i="63"/>
  <c r="M23" i="63"/>
  <c r="K23" i="63"/>
  <c r="S22" i="63"/>
  <c r="U22" i="63" s="1"/>
  <c r="R22" i="63"/>
  <c r="O22" i="63"/>
  <c r="M22" i="63"/>
  <c r="K22" i="63"/>
  <c r="S21" i="63"/>
  <c r="U21" i="63" s="1"/>
  <c r="R21" i="63"/>
  <c r="O21" i="63"/>
  <c r="M21" i="63"/>
  <c r="K21" i="63"/>
  <c r="S20" i="63"/>
  <c r="T20" i="63" s="1"/>
  <c r="R20" i="63"/>
  <c r="O20" i="63"/>
  <c r="M20" i="63"/>
  <c r="K20" i="63"/>
  <c r="S19" i="63"/>
  <c r="U19" i="63" s="1"/>
  <c r="R19" i="63"/>
  <c r="O19" i="63"/>
  <c r="M19" i="63"/>
  <c r="K19" i="63"/>
  <c r="S18" i="63"/>
  <c r="U18" i="63" s="1"/>
  <c r="R18" i="63"/>
  <c r="O18" i="63"/>
  <c r="M18" i="63"/>
  <c r="K18" i="63"/>
  <c r="S17" i="63"/>
  <c r="U17" i="63" s="1"/>
  <c r="R17" i="63"/>
  <c r="O17" i="63"/>
  <c r="M17" i="63"/>
  <c r="K17" i="63"/>
  <c r="S16" i="63"/>
  <c r="T16" i="63" s="1"/>
  <c r="R16" i="63"/>
  <c r="O16" i="63"/>
  <c r="M16" i="63"/>
  <c r="K16" i="63"/>
  <c r="S15" i="63"/>
  <c r="T15" i="63" s="1"/>
  <c r="R15" i="63"/>
  <c r="O15" i="63"/>
  <c r="M15" i="63"/>
  <c r="K15" i="63"/>
  <c r="S14" i="63"/>
  <c r="U14" i="63" s="1"/>
  <c r="R14" i="63"/>
  <c r="O14" i="63"/>
  <c r="M14" i="63"/>
  <c r="K14" i="63"/>
  <c r="S13" i="63"/>
  <c r="T13" i="63" s="1"/>
  <c r="R13" i="63"/>
  <c r="O13" i="63"/>
  <c r="M13" i="63"/>
  <c r="K13" i="63"/>
  <c r="S12" i="63"/>
  <c r="U12" i="63" s="1"/>
  <c r="R12" i="63"/>
  <c r="O12" i="63"/>
  <c r="M12" i="63"/>
  <c r="K12" i="63"/>
  <c r="S11" i="63"/>
  <c r="T11" i="63" s="1"/>
  <c r="R11" i="63"/>
  <c r="O11" i="63"/>
  <c r="M11" i="63"/>
  <c r="K11" i="63"/>
  <c r="S10" i="63"/>
  <c r="U10" i="63" s="1"/>
  <c r="R10" i="63"/>
  <c r="O10" i="63"/>
  <c r="M10" i="63"/>
  <c r="K10" i="63"/>
  <c r="S9" i="63"/>
  <c r="T9" i="63" s="1"/>
  <c r="R9" i="63"/>
  <c r="O9" i="63"/>
  <c r="M9" i="63"/>
  <c r="K9" i="63"/>
  <c r="S8" i="63"/>
  <c r="T8" i="63" s="1"/>
  <c r="R8" i="63"/>
  <c r="O8" i="63"/>
  <c r="M8" i="63"/>
  <c r="K8" i="63"/>
  <c r="AC7" i="63"/>
  <c r="AD9" i="63" s="1"/>
  <c r="S7" i="63"/>
  <c r="U7" i="63" s="1"/>
  <c r="R7" i="63"/>
  <c r="O7" i="63"/>
  <c r="M7" i="63"/>
  <c r="K7" i="63"/>
  <c r="T8" i="5"/>
  <c r="Q8" i="5"/>
  <c r="N8" i="5"/>
  <c r="H8" i="5"/>
  <c r="G40" i="5"/>
  <c r="I40" i="5"/>
  <c r="J40" i="5" s="1"/>
  <c r="M40" i="5"/>
  <c r="P40" i="5"/>
  <c r="S40" i="5"/>
  <c r="V40" i="5"/>
  <c r="I41" i="5"/>
  <c r="I42" i="5"/>
  <c r="I43" i="5"/>
  <c r="I44" i="5"/>
  <c r="I45" i="5"/>
  <c r="I46" i="5"/>
  <c r="G47" i="5"/>
  <c r="I47" i="5"/>
  <c r="J47" i="5" s="1"/>
  <c r="M47" i="5"/>
  <c r="P47" i="5"/>
  <c r="S47" i="5"/>
  <c r="V47" i="5"/>
  <c r="I48" i="5"/>
  <c r="I49" i="5"/>
  <c r="I50" i="5"/>
  <c r="I51" i="5"/>
  <c r="I52" i="5"/>
  <c r="I53" i="5"/>
  <c r="G54" i="5"/>
  <c r="I54" i="5"/>
  <c r="M54" i="5"/>
  <c r="P54" i="5"/>
  <c r="S54" i="5"/>
  <c r="V54" i="5"/>
  <c r="I55" i="5"/>
  <c r="I56" i="5"/>
  <c r="I57" i="5"/>
  <c r="I58" i="5"/>
  <c r="I59" i="5"/>
  <c r="I60" i="5"/>
  <c r="G61" i="5"/>
  <c r="I61" i="5"/>
  <c r="M61" i="5"/>
  <c r="P61" i="5"/>
  <c r="S61" i="5"/>
  <c r="V61" i="5"/>
  <c r="I62" i="5"/>
  <c r="I63" i="5"/>
  <c r="I64" i="5"/>
  <c r="I65" i="5"/>
  <c r="I66" i="5"/>
  <c r="I67" i="5"/>
  <c r="G26" i="5"/>
  <c r="I26" i="5"/>
  <c r="M26" i="5"/>
  <c r="P26" i="5"/>
  <c r="S26" i="5"/>
  <c r="V26" i="5"/>
  <c r="I27" i="5"/>
  <c r="I28" i="5"/>
  <c r="I29" i="5"/>
  <c r="I30" i="5"/>
  <c r="I31" i="5"/>
  <c r="I32" i="5"/>
  <c r="G33" i="5"/>
  <c r="I33" i="5"/>
  <c r="M33" i="5"/>
  <c r="P33" i="5"/>
  <c r="S33" i="5"/>
  <c r="V33" i="5"/>
  <c r="I34" i="5"/>
  <c r="I35" i="5"/>
  <c r="I36" i="5"/>
  <c r="I37" i="5"/>
  <c r="I38" i="5"/>
  <c r="I39" i="5"/>
  <c r="G19" i="5"/>
  <c r="I19" i="5"/>
  <c r="M19" i="5"/>
  <c r="P19" i="5"/>
  <c r="S19" i="5"/>
  <c r="V19" i="5"/>
  <c r="I20" i="5"/>
  <c r="I21" i="5"/>
  <c r="I22" i="5"/>
  <c r="I23" i="5"/>
  <c r="I24" i="5"/>
  <c r="I25" i="5"/>
  <c r="B12" i="5"/>
  <c r="B19" i="5" s="1"/>
  <c r="B26" i="5" s="1"/>
  <c r="B33" i="5" s="1"/>
  <c r="B40" i="5" s="1"/>
  <c r="B47" i="5" s="1"/>
  <c r="B54" i="5" s="1"/>
  <c r="B61" i="5" s="1"/>
  <c r="G12" i="5"/>
  <c r="I12" i="5"/>
  <c r="M12" i="5"/>
  <c r="P12" i="5"/>
  <c r="S12" i="5"/>
  <c r="I13" i="5"/>
  <c r="V12" i="5"/>
  <c r="I14" i="5"/>
  <c r="I15" i="5"/>
  <c r="I16" i="5"/>
  <c r="I17" i="5"/>
  <c r="I18" i="5"/>
  <c r="T8" i="3"/>
  <c r="E10" i="39" s="1"/>
  <c r="N8" i="3"/>
  <c r="E8" i="39" s="1"/>
  <c r="K8" i="3"/>
  <c r="H8" i="3"/>
  <c r="G40" i="3"/>
  <c r="J40" i="3"/>
  <c r="M40" i="3"/>
  <c r="P40" i="3" s="1"/>
  <c r="O40" i="3"/>
  <c r="S40" i="3"/>
  <c r="U40" i="3"/>
  <c r="V40" i="3"/>
  <c r="O41" i="3"/>
  <c r="U41" i="3"/>
  <c r="O42" i="3"/>
  <c r="U42" i="3"/>
  <c r="O43" i="3"/>
  <c r="U43" i="3"/>
  <c r="O44" i="3"/>
  <c r="U44" i="3"/>
  <c r="O45" i="3"/>
  <c r="U45" i="3"/>
  <c r="O46" i="3"/>
  <c r="U46" i="3"/>
  <c r="G47" i="3"/>
  <c r="J47" i="3"/>
  <c r="M47" i="3"/>
  <c r="O47" i="3"/>
  <c r="S47" i="3"/>
  <c r="U47" i="3"/>
  <c r="O48" i="3"/>
  <c r="U48" i="3"/>
  <c r="O49" i="3"/>
  <c r="U49" i="3"/>
  <c r="O50" i="3"/>
  <c r="U50" i="3"/>
  <c r="O51" i="3"/>
  <c r="U51" i="3"/>
  <c r="O52" i="3"/>
  <c r="U52" i="3"/>
  <c r="O53" i="3"/>
  <c r="U53" i="3"/>
  <c r="G54" i="3"/>
  <c r="J54" i="3"/>
  <c r="M54" i="3"/>
  <c r="O54" i="3"/>
  <c r="S54" i="3"/>
  <c r="U54" i="3"/>
  <c r="O55" i="3"/>
  <c r="U55" i="3"/>
  <c r="O56" i="3"/>
  <c r="U56" i="3"/>
  <c r="O57" i="3"/>
  <c r="U57" i="3"/>
  <c r="O58" i="3"/>
  <c r="U58" i="3"/>
  <c r="O59" i="3"/>
  <c r="U59" i="3"/>
  <c r="O60" i="3"/>
  <c r="U60" i="3"/>
  <c r="G61" i="3"/>
  <c r="J61" i="3"/>
  <c r="M61" i="3"/>
  <c r="O61" i="3"/>
  <c r="S61" i="3"/>
  <c r="U61" i="3"/>
  <c r="O62" i="3"/>
  <c r="U62" i="3"/>
  <c r="O63" i="3"/>
  <c r="U63" i="3"/>
  <c r="O64" i="3"/>
  <c r="U64" i="3"/>
  <c r="O65" i="3"/>
  <c r="U65" i="3"/>
  <c r="O66" i="3"/>
  <c r="U66" i="3"/>
  <c r="O67" i="3"/>
  <c r="U67" i="3"/>
  <c r="G26" i="3"/>
  <c r="J26" i="3"/>
  <c r="M26" i="3"/>
  <c r="O26" i="3"/>
  <c r="S26" i="3"/>
  <c r="U26" i="3"/>
  <c r="O27" i="3"/>
  <c r="U27" i="3"/>
  <c r="O28" i="3"/>
  <c r="U28" i="3"/>
  <c r="O29" i="3"/>
  <c r="U29" i="3"/>
  <c r="O30" i="3"/>
  <c r="U30" i="3"/>
  <c r="O31" i="3"/>
  <c r="U31" i="3"/>
  <c r="O32" i="3"/>
  <c r="U32" i="3"/>
  <c r="G33" i="3"/>
  <c r="J33" i="3"/>
  <c r="M33" i="3"/>
  <c r="O33" i="3"/>
  <c r="S33" i="3"/>
  <c r="U33" i="3"/>
  <c r="O34" i="3"/>
  <c r="U34" i="3"/>
  <c r="O35" i="3"/>
  <c r="U35" i="3"/>
  <c r="O36" i="3"/>
  <c r="U36" i="3"/>
  <c r="O37" i="3"/>
  <c r="U37" i="3"/>
  <c r="O38" i="3"/>
  <c r="U38" i="3"/>
  <c r="O39" i="3"/>
  <c r="U39" i="3"/>
  <c r="G19" i="3"/>
  <c r="J19" i="3"/>
  <c r="M19" i="3"/>
  <c r="O19" i="3"/>
  <c r="S19" i="3"/>
  <c r="U19" i="3"/>
  <c r="O20" i="3"/>
  <c r="U20" i="3"/>
  <c r="O21" i="3"/>
  <c r="U21" i="3"/>
  <c r="O22" i="3"/>
  <c r="U22" i="3"/>
  <c r="O23" i="3"/>
  <c r="U23" i="3"/>
  <c r="O24" i="3"/>
  <c r="U24" i="3"/>
  <c r="O25" i="3"/>
  <c r="U25" i="3"/>
  <c r="G12" i="3"/>
  <c r="J12" i="3"/>
  <c r="M12" i="3"/>
  <c r="B8" i="39" s="1"/>
  <c r="O12" i="3"/>
  <c r="S12" i="3"/>
  <c r="B10" i="39" s="1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G11" i="56" l="1"/>
  <c r="B20" i="41" s="1"/>
  <c r="F2" i="56"/>
  <c r="J19" i="5"/>
  <c r="J54" i="5"/>
  <c r="J33" i="5"/>
  <c r="J26" i="5"/>
  <c r="J61" i="5"/>
  <c r="W8" i="3"/>
  <c r="E11" i="39" s="1"/>
  <c r="D7" i="56"/>
  <c r="D11" i="56"/>
  <c r="H4" i="56"/>
  <c r="B10" i="41" s="1"/>
  <c r="C10" i="41" s="1"/>
  <c r="F13" i="56"/>
  <c r="D2" i="56"/>
  <c r="H2" i="56"/>
  <c r="AD77" i="63"/>
  <c r="S99" i="63"/>
  <c r="T99" i="63" s="1"/>
  <c r="AE99" i="63"/>
  <c r="AF99" i="63"/>
  <c r="S40" i="63"/>
  <c r="U40" i="63" s="1"/>
  <c r="AG77" i="63"/>
  <c r="AF77" i="63"/>
  <c r="AH33" i="63"/>
  <c r="AE77" i="63"/>
  <c r="AE55" i="63"/>
  <c r="AH55" i="63"/>
  <c r="AI99" i="63"/>
  <c r="P107" i="63"/>
  <c r="AH77" i="63"/>
  <c r="AG55" i="63"/>
  <c r="U108" i="63"/>
  <c r="T108" i="63"/>
  <c r="U112" i="63"/>
  <c r="T112" i="63"/>
  <c r="U109" i="63"/>
  <c r="T109" i="63"/>
  <c r="U106" i="63"/>
  <c r="T106" i="63"/>
  <c r="T103" i="63"/>
  <c r="U103" i="63"/>
  <c r="U97" i="63"/>
  <c r="T97" i="63"/>
  <c r="U110" i="63"/>
  <c r="T110" i="63"/>
  <c r="T107" i="63"/>
  <c r="U107" i="63"/>
  <c r="U104" i="63"/>
  <c r="T104" i="63"/>
  <c r="U102" i="63"/>
  <c r="T102" i="63"/>
  <c r="U111" i="63"/>
  <c r="T111" i="63"/>
  <c r="U98" i="63"/>
  <c r="T98" i="63"/>
  <c r="P111" i="63"/>
  <c r="P98" i="63"/>
  <c r="U99" i="63"/>
  <c r="P109" i="63"/>
  <c r="S101" i="63"/>
  <c r="S105" i="63"/>
  <c r="S113" i="63"/>
  <c r="S96" i="63"/>
  <c r="P112" i="63"/>
  <c r="P97" i="63"/>
  <c r="S95" i="63"/>
  <c r="P103" i="63"/>
  <c r="AJ99" i="63"/>
  <c r="S100" i="63"/>
  <c r="S114" i="63"/>
  <c r="P102" i="63"/>
  <c r="P104" i="63"/>
  <c r="P106" i="63"/>
  <c r="P108" i="63"/>
  <c r="P110" i="63"/>
  <c r="S30" i="63"/>
  <c r="U30" i="63" s="1"/>
  <c r="S33" i="63"/>
  <c r="T33" i="63" s="1"/>
  <c r="AJ77" i="63"/>
  <c r="S77" i="63"/>
  <c r="U77" i="63" s="1"/>
  <c r="P48" i="63"/>
  <c r="S55" i="63"/>
  <c r="U55" i="63" s="1"/>
  <c r="S36" i="63"/>
  <c r="U36" i="63" s="1"/>
  <c r="S44" i="63"/>
  <c r="U44" i="63" s="1"/>
  <c r="T79" i="63"/>
  <c r="U79" i="63"/>
  <c r="U74" i="63"/>
  <c r="T74" i="63"/>
  <c r="U73" i="63"/>
  <c r="T73" i="63"/>
  <c r="U83" i="63"/>
  <c r="T83" i="63"/>
  <c r="U91" i="63"/>
  <c r="T91" i="63"/>
  <c r="U85" i="63"/>
  <c r="T85" i="63"/>
  <c r="U90" i="63"/>
  <c r="T90" i="63"/>
  <c r="T87" i="63"/>
  <c r="U87" i="63"/>
  <c r="T76" i="63"/>
  <c r="U76" i="63"/>
  <c r="P73" i="63"/>
  <c r="S75" i="63"/>
  <c r="P79" i="63"/>
  <c r="P83" i="63"/>
  <c r="P85" i="63"/>
  <c r="P91" i="63"/>
  <c r="S89" i="63"/>
  <c r="P74" i="63"/>
  <c r="P76" i="63"/>
  <c r="P87" i="63"/>
  <c r="S81" i="63"/>
  <c r="S78" i="63"/>
  <c r="S80" i="63"/>
  <c r="S82" i="63"/>
  <c r="S84" i="63"/>
  <c r="S86" i="63"/>
  <c r="S88" i="63"/>
  <c r="S92" i="63"/>
  <c r="AI77" i="63"/>
  <c r="P90" i="63"/>
  <c r="AF33" i="63"/>
  <c r="P42" i="63"/>
  <c r="AD33" i="63"/>
  <c r="G20" i="41" s="1"/>
  <c r="P34" i="63"/>
  <c r="P46" i="63"/>
  <c r="P38" i="63"/>
  <c r="AG33" i="63"/>
  <c r="AJ55" i="63"/>
  <c r="P41" i="63"/>
  <c r="AE33" i="63"/>
  <c r="U57" i="63"/>
  <c r="T57" i="63"/>
  <c r="U58" i="63"/>
  <c r="T58" i="63"/>
  <c r="U54" i="63"/>
  <c r="T54" i="63"/>
  <c r="U62" i="63"/>
  <c r="T62" i="63"/>
  <c r="U56" i="63"/>
  <c r="T56" i="63"/>
  <c r="U66" i="63"/>
  <c r="T66" i="63"/>
  <c r="U67" i="63"/>
  <c r="T67" i="63"/>
  <c r="U65" i="63"/>
  <c r="T65" i="63"/>
  <c r="U64" i="63"/>
  <c r="T64" i="63"/>
  <c r="U61" i="63"/>
  <c r="T61" i="63"/>
  <c r="U68" i="63"/>
  <c r="T68" i="63"/>
  <c r="U59" i="63"/>
  <c r="T59" i="63"/>
  <c r="U69" i="63"/>
  <c r="T69" i="63"/>
  <c r="U53" i="63"/>
  <c r="T53" i="63"/>
  <c r="U63" i="63"/>
  <c r="T63" i="63"/>
  <c r="U60" i="63"/>
  <c r="T60" i="63"/>
  <c r="U70" i="63"/>
  <c r="T70" i="63"/>
  <c r="T55" i="63"/>
  <c r="P53" i="63"/>
  <c r="S51" i="63"/>
  <c r="P57" i="63"/>
  <c r="P59" i="63"/>
  <c r="P61" i="63"/>
  <c r="P63" i="63"/>
  <c r="P65" i="63"/>
  <c r="P69" i="63"/>
  <c r="AI55" i="63"/>
  <c r="P54" i="63"/>
  <c r="P56" i="63"/>
  <c r="P58" i="63"/>
  <c r="P60" i="63"/>
  <c r="P62" i="63"/>
  <c r="P64" i="63"/>
  <c r="P70" i="63"/>
  <c r="S52" i="63"/>
  <c r="P66" i="63"/>
  <c r="P67" i="63"/>
  <c r="P68" i="63"/>
  <c r="AJ33" i="63"/>
  <c r="U41" i="63"/>
  <c r="T41" i="63"/>
  <c r="T43" i="63"/>
  <c r="U43" i="63"/>
  <c r="T29" i="63"/>
  <c r="U29" i="63"/>
  <c r="U45" i="63"/>
  <c r="T45" i="63"/>
  <c r="U31" i="63"/>
  <c r="T31" i="63"/>
  <c r="U37" i="63"/>
  <c r="T37" i="63"/>
  <c r="S32" i="63"/>
  <c r="P37" i="63"/>
  <c r="P43" i="63"/>
  <c r="P29" i="63"/>
  <c r="S35" i="63"/>
  <c r="S39" i="63"/>
  <c r="S47" i="63"/>
  <c r="P45" i="63"/>
  <c r="AI33" i="63"/>
  <c r="T34" i="63"/>
  <c r="T38" i="63"/>
  <c r="T42" i="63"/>
  <c r="T46" i="63"/>
  <c r="T48" i="63"/>
  <c r="P31" i="63"/>
  <c r="AI9" i="63"/>
  <c r="T23" i="63"/>
  <c r="AJ9" i="63"/>
  <c r="U20" i="63"/>
  <c r="AG9" i="63"/>
  <c r="AH9" i="63"/>
  <c r="U26" i="63"/>
  <c r="T17" i="63"/>
  <c r="AE9" i="63"/>
  <c r="AF9" i="63"/>
  <c r="U8" i="63"/>
  <c r="T25" i="63"/>
  <c r="U15" i="63"/>
  <c r="T18" i="63"/>
  <c r="U13" i="63"/>
  <c r="T22" i="63"/>
  <c r="U11" i="63"/>
  <c r="T14" i="63"/>
  <c r="T21" i="63"/>
  <c r="U16" i="63"/>
  <c r="T19" i="63"/>
  <c r="T7" i="63"/>
  <c r="U9" i="63"/>
  <c r="T12" i="63"/>
  <c r="U24" i="63"/>
  <c r="T10" i="63"/>
  <c r="J12" i="5"/>
  <c r="Q8" i="3"/>
  <c r="E9" i="39" s="1"/>
  <c r="V54" i="3"/>
  <c r="P33" i="3"/>
  <c r="P54" i="3"/>
  <c r="V33" i="3"/>
  <c r="V61" i="3"/>
  <c r="P26" i="3"/>
  <c r="V12" i="3"/>
  <c r="B11" i="39" s="1"/>
  <c r="V26" i="3"/>
  <c r="P61" i="3"/>
  <c r="P47" i="3"/>
  <c r="P12" i="3"/>
  <c r="B9" i="39" s="1"/>
  <c r="P19" i="3"/>
  <c r="V47" i="3"/>
  <c r="V19" i="3"/>
  <c r="T40" i="63" l="1"/>
  <c r="T36" i="63"/>
  <c r="U33" i="63"/>
  <c r="T30" i="63"/>
  <c r="T77" i="63"/>
  <c r="U100" i="63"/>
  <c r="T100" i="63"/>
  <c r="U95" i="63"/>
  <c r="T95" i="63"/>
  <c r="U96" i="63"/>
  <c r="T96" i="63"/>
  <c r="U113" i="63"/>
  <c r="T113" i="63"/>
  <c r="U114" i="63"/>
  <c r="T114" i="63"/>
  <c r="U105" i="63"/>
  <c r="T105" i="63"/>
  <c r="U101" i="63"/>
  <c r="T101" i="63"/>
  <c r="T44" i="63"/>
  <c r="U80" i="63"/>
  <c r="T80" i="63"/>
  <c r="T89" i="63"/>
  <c r="U89" i="63"/>
  <c r="U92" i="63"/>
  <c r="T92" i="63"/>
  <c r="U78" i="63"/>
  <c r="T78" i="63"/>
  <c r="U81" i="63"/>
  <c r="T81" i="63"/>
  <c r="U88" i="63"/>
  <c r="T88" i="63"/>
  <c r="U86" i="63"/>
  <c r="T86" i="63"/>
  <c r="U84" i="63"/>
  <c r="T84" i="63"/>
  <c r="U82" i="63"/>
  <c r="T82" i="63"/>
  <c r="U75" i="63"/>
  <c r="T75" i="63"/>
  <c r="U52" i="63"/>
  <c r="T52" i="63"/>
  <c r="U51" i="63"/>
  <c r="T51" i="63"/>
  <c r="T35" i="63"/>
  <c r="U35" i="63"/>
  <c r="U47" i="63"/>
  <c r="T47" i="63"/>
  <c r="U39" i="63"/>
  <c r="T39" i="63"/>
  <c r="T32" i="63"/>
  <c r="U32" i="63"/>
  <c r="H23" i="13" l="1"/>
  <c r="H22" i="13"/>
  <c r="H21" i="13"/>
  <c r="H20" i="13"/>
  <c r="H18" i="13"/>
  <c r="H17" i="13"/>
  <c r="B23" i="13"/>
  <c r="B22" i="13"/>
  <c r="B21" i="13"/>
  <c r="B20" i="13"/>
  <c r="B18" i="13"/>
  <c r="B17" i="13"/>
  <c r="AV7" i="52" l="1"/>
  <c r="AX7" i="52" s="1"/>
  <c r="AQ7" i="52"/>
  <c r="AS7" i="52" s="1"/>
  <c r="AL7" i="52"/>
  <c r="AN7" i="52" s="1"/>
  <c r="AG7" i="52"/>
  <c r="AI7" i="52" s="1"/>
  <c r="AB7" i="52"/>
  <c r="AD7" i="52" s="1"/>
  <c r="W7" i="52"/>
  <c r="K7" i="52" s="1"/>
  <c r="M7" i="52" s="1"/>
  <c r="T7" i="52"/>
  <c r="R7" i="52"/>
  <c r="S7" i="52" s="1"/>
  <c r="J7" i="52"/>
  <c r="I7" i="52"/>
  <c r="G7" i="52"/>
  <c r="H7" i="52" s="1"/>
  <c r="AM9" i="51"/>
  <c r="AM8" i="51"/>
  <c r="AM7" i="51"/>
  <c r="AH11" i="51"/>
  <c r="AH10" i="51"/>
  <c r="AH9" i="51"/>
  <c r="AH8" i="51"/>
  <c r="AH7" i="51"/>
  <c r="AC11" i="51"/>
  <c r="AV11" i="51"/>
  <c r="AW11" i="51" s="1"/>
  <c r="AQ11" i="51"/>
  <c r="AL11" i="51"/>
  <c r="AG11" i="51"/>
  <c r="AB11" i="51"/>
  <c r="W11" i="51"/>
  <c r="X11" i="51" s="1"/>
  <c r="R11" i="51"/>
  <c r="J11" i="51"/>
  <c r="I11" i="51"/>
  <c r="G11" i="51"/>
  <c r="AV10" i="51"/>
  <c r="AW10" i="51" s="1"/>
  <c r="AQ10" i="51"/>
  <c r="AR10" i="51" s="1"/>
  <c r="AL10" i="51"/>
  <c r="AM10" i="51" s="1"/>
  <c r="AG10" i="51"/>
  <c r="AB10" i="51"/>
  <c r="AC10" i="51" s="1"/>
  <c r="W10" i="51"/>
  <c r="X10" i="51" s="1"/>
  <c r="R10" i="51"/>
  <c r="S10" i="51" s="1"/>
  <c r="J10" i="51"/>
  <c r="I10" i="51"/>
  <c r="G10" i="51"/>
  <c r="AV9" i="51"/>
  <c r="AW9" i="51" s="1"/>
  <c r="AQ9" i="51"/>
  <c r="AL9" i="51"/>
  <c r="AG9" i="51"/>
  <c r="AB9" i="51"/>
  <c r="AC9" i="51" s="1"/>
  <c r="W9" i="51"/>
  <c r="R9" i="51"/>
  <c r="J9" i="51"/>
  <c r="I9" i="51"/>
  <c r="G9" i="51"/>
  <c r="AV8" i="51"/>
  <c r="AW8" i="51" s="1"/>
  <c r="AQ8" i="51"/>
  <c r="AR11" i="51" s="1"/>
  <c r="AL8" i="51"/>
  <c r="AM11" i="51" s="1"/>
  <c r="AG8" i="51"/>
  <c r="AB8" i="51"/>
  <c r="AC8" i="51" s="1"/>
  <c r="W8" i="51"/>
  <c r="X7" i="51" s="1"/>
  <c r="R8" i="51"/>
  <c r="S9" i="51" s="1"/>
  <c r="J8" i="51"/>
  <c r="I8" i="51"/>
  <c r="G8" i="51"/>
  <c r="AV7" i="51"/>
  <c r="AX7" i="51" s="1"/>
  <c r="AQ7" i="51"/>
  <c r="AL7" i="51"/>
  <c r="AG7" i="51"/>
  <c r="AB7" i="51"/>
  <c r="W7" i="51"/>
  <c r="X9" i="51" s="1"/>
  <c r="R7" i="51"/>
  <c r="J7" i="51"/>
  <c r="I7" i="51"/>
  <c r="G7" i="51"/>
  <c r="P2" i="50"/>
  <c r="U2" i="50" s="1"/>
  <c r="AW8" i="49"/>
  <c r="AW7" i="49"/>
  <c r="AH9" i="48"/>
  <c r="AH8" i="48"/>
  <c r="AH7" i="48"/>
  <c r="AC14" i="48"/>
  <c r="AC13" i="48"/>
  <c r="AC11" i="48"/>
  <c r="AC10" i="48"/>
  <c r="AC9" i="48"/>
  <c r="S13" i="48"/>
  <c r="S7" i="48"/>
  <c r="AV14" i="48"/>
  <c r="AW14" i="48" s="1"/>
  <c r="AQ14" i="48"/>
  <c r="AR14" i="48" s="1"/>
  <c r="AL14" i="48"/>
  <c r="AG14" i="48"/>
  <c r="AH14" i="48" s="1"/>
  <c r="AB14" i="48"/>
  <c r="W14" i="48"/>
  <c r="X14" i="48" s="1"/>
  <c r="R14" i="48"/>
  <c r="S14" i="48" s="1"/>
  <c r="K14" i="48"/>
  <c r="J14" i="48"/>
  <c r="I14" i="48"/>
  <c r="G14" i="48"/>
  <c r="AV13" i="48"/>
  <c r="AW13" i="48" s="1"/>
  <c r="AQ13" i="48"/>
  <c r="AR13" i="48" s="1"/>
  <c r="AL13" i="48"/>
  <c r="AM14" i="48" s="1"/>
  <c r="AG13" i="48"/>
  <c r="AB13" i="48"/>
  <c r="W13" i="48"/>
  <c r="X13" i="48" s="1"/>
  <c r="R13" i="48"/>
  <c r="J13" i="48"/>
  <c r="I13" i="48"/>
  <c r="G13" i="48"/>
  <c r="AV12" i="48"/>
  <c r="AQ12" i="48"/>
  <c r="AL12" i="48"/>
  <c r="AM12" i="48" s="1"/>
  <c r="AG12" i="48"/>
  <c r="AH12" i="48" s="1"/>
  <c r="AB12" i="48"/>
  <c r="AC12" i="48" s="1"/>
  <c r="W12" i="48"/>
  <c r="X12" i="48" s="1"/>
  <c r="R12" i="48"/>
  <c r="S12" i="48" s="1"/>
  <c r="J12" i="48"/>
  <c r="I12" i="48"/>
  <c r="G12" i="48"/>
  <c r="AV11" i="48"/>
  <c r="AW11" i="48" s="1"/>
  <c r="AQ11" i="48"/>
  <c r="AR11" i="48" s="1"/>
  <c r="AL11" i="48"/>
  <c r="AM11" i="48" s="1"/>
  <c r="AG11" i="48"/>
  <c r="AB11" i="48"/>
  <c r="W11" i="48"/>
  <c r="R11" i="48"/>
  <c r="J11" i="48"/>
  <c r="I11" i="48"/>
  <c r="G11" i="48"/>
  <c r="AV10" i="48"/>
  <c r="AW10" i="48" s="1"/>
  <c r="AQ10" i="48"/>
  <c r="AL10" i="48"/>
  <c r="AM10" i="48" s="1"/>
  <c r="AG10" i="48"/>
  <c r="AH10" i="48" s="1"/>
  <c r="AB10" i="48"/>
  <c r="W10" i="48"/>
  <c r="X10" i="48" s="1"/>
  <c r="R10" i="48"/>
  <c r="S10" i="48" s="1"/>
  <c r="J10" i="48"/>
  <c r="I10" i="48"/>
  <c r="G10" i="48"/>
  <c r="AV9" i="48"/>
  <c r="AW9" i="48" s="1"/>
  <c r="AQ9" i="48"/>
  <c r="K9" i="48" s="1"/>
  <c r="AL9" i="48"/>
  <c r="AM9" i="48" s="1"/>
  <c r="AG9" i="48"/>
  <c r="AB9" i="48"/>
  <c r="W9" i="48"/>
  <c r="R9" i="48"/>
  <c r="J9" i="48"/>
  <c r="I9" i="48"/>
  <c r="G9" i="48"/>
  <c r="AV8" i="48"/>
  <c r="AW8" i="48" s="1"/>
  <c r="AQ8" i="48"/>
  <c r="AR8" i="48" s="1"/>
  <c r="AL8" i="48"/>
  <c r="AN7" i="48" s="1"/>
  <c r="AG8" i="48"/>
  <c r="AH13" i="48" s="1"/>
  <c r="AB8" i="48"/>
  <c r="AC8" i="48" s="1"/>
  <c r="W8" i="48"/>
  <c r="X9" i="48" s="1"/>
  <c r="R8" i="48"/>
  <c r="S9" i="48" s="1"/>
  <c r="J8" i="48"/>
  <c r="I8" i="48"/>
  <c r="G8" i="48"/>
  <c r="AV7" i="48"/>
  <c r="AW7" i="48" s="1"/>
  <c r="AQ7" i="48"/>
  <c r="K7" i="48" s="1"/>
  <c r="AL7" i="48"/>
  <c r="AG7" i="48"/>
  <c r="AB7" i="48"/>
  <c r="W7" i="48"/>
  <c r="R7" i="48"/>
  <c r="J7" i="48"/>
  <c r="I7" i="48"/>
  <c r="G7" i="48"/>
  <c r="H7" i="48" s="1"/>
  <c r="AV15" i="49"/>
  <c r="AW15" i="49" s="1"/>
  <c r="AQ15" i="49"/>
  <c r="AL15" i="49"/>
  <c r="AM15" i="49" s="1"/>
  <c r="AG15" i="49"/>
  <c r="AB15" i="49"/>
  <c r="AC15" i="49" s="1"/>
  <c r="W15" i="49"/>
  <c r="X15" i="49" s="1"/>
  <c r="R15" i="49"/>
  <c r="K15" i="49" s="1"/>
  <c r="J15" i="49"/>
  <c r="I15" i="49"/>
  <c r="G15" i="49"/>
  <c r="AV14" i="49"/>
  <c r="AQ14" i="49"/>
  <c r="AR14" i="49" s="1"/>
  <c r="AL14" i="49"/>
  <c r="AG14" i="49"/>
  <c r="AB14" i="49"/>
  <c r="AC14" i="49" s="1"/>
  <c r="W14" i="49"/>
  <c r="R14" i="49"/>
  <c r="S14" i="49" s="1"/>
  <c r="J14" i="49"/>
  <c r="I14" i="49"/>
  <c r="G14" i="49"/>
  <c r="AV13" i="49"/>
  <c r="AW13" i="49" s="1"/>
  <c r="AQ13" i="49"/>
  <c r="AR13" i="49" s="1"/>
  <c r="AL13" i="49"/>
  <c r="AM13" i="49" s="1"/>
  <c r="AG13" i="49"/>
  <c r="AB13" i="49"/>
  <c r="AC13" i="49" s="1"/>
  <c r="W13" i="49"/>
  <c r="X13" i="49" s="1"/>
  <c r="R13" i="49"/>
  <c r="J13" i="49"/>
  <c r="I13" i="49"/>
  <c r="G13" i="49"/>
  <c r="AV12" i="49"/>
  <c r="AQ12" i="49"/>
  <c r="AR12" i="49" s="1"/>
  <c r="AL12" i="49"/>
  <c r="AG12" i="49"/>
  <c r="AH12" i="49" s="1"/>
  <c r="AB12" i="49"/>
  <c r="W12" i="49"/>
  <c r="R12" i="49"/>
  <c r="S12" i="49" s="1"/>
  <c r="J12" i="49"/>
  <c r="I12" i="49"/>
  <c r="G12" i="49"/>
  <c r="AV11" i="49"/>
  <c r="AW11" i="49" s="1"/>
  <c r="AQ11" i="49"/>
  <c r="AR11" i="49" s="1"/>
  <c r="AL11" i="49"/>
  <c r="AM11" i="49" s="1"/>
  <c r="AG11" i="49"/>
  <c r="AH11" i="49" s="1"/>
  <c r="AB11" i="49"/>
  <c r="AC11" i="49" s="1"/>
  <c r="W11" i="49"/>
  <c r="X11" i="49" s="1"/>
  <c r="R11" i="49"/>
  <c r="J11" i="49"/>
  <c r="I11" i="49"/>
  <c r="G11" i="49"/>
  <c r="AV10" i="49"/>
  <c r="AQ10" i="49"/>
  <c r="AR10" i="49" s="1"/>
  <c r="AL10" i="49"/>
  <c r="AG10" i="49"/>
  <c r="AH10" i="49" s="1"/>
  <c r="AB10" i="49"/>
  <c r="W10" i="49"/>
  <c r="X10" i="49" s="1"/>
  <c r="R10" i="49"/>
  <c r="J10" i="49"/>
  <c r="I10" i="49"/>
  <c r="G10" i="49"/>
  <c r="AV9" i="49"/>
  <c r="AW9" i="49" s="1"/>
  <c r="AQ9" i="49"/>
  <c r="AR9" i="49" s="1"/>
  <c r="AL9" i="49"/>
  <c r="AM9" i="49" s="1"/>
  <c r="AG9" i="49"/>
  <c r="AH9" i="49" s="1"/>
  <c r="AB9" i="49"/>
  <c r="AC9" i="49" s="1"/>
  <c r="W9" i="49"/>
  <c r="X9" i="49" s="1"/>
  <c r="R9" i="49"/>
  <c r="J9" i="49"/>
  <c r="I9" i="49"/>
  <c r="G9" i="49"/>
  <c r="AV8" i="49"/>
  <c r="AQ8" i="49"/>
  <c r="AR8" i="49" s="1"/>
  <c r="AL8" i="49"/>
  <c r="AG8" i="49"/>
  <c r="AH8" i="49" s="1"/>
  <c r="AB8" i="49"/>
  <c r="W8" i="49"/>
  <c r="X8" i="49" s="1"/>
  <c r="R8" i="49"/>
  <c r="S7" i="49" s="1"/>
  <c r="J8" i="49"/>
  <c r="I8" i="49"/>
  <c r="G8" i="49"/>
  <c r="AV7" i="49"/>
  <c r="AW14" i="49" s="1"/>
  <c r="AQ7" i="49"/>
  <c r="AR7" i="49" s="1"/>
  <c r="AL7" i="49"/>
  <c r="AM12" i="49" s="1"/>
  <c r="AG7" i="49"/>
  <c r="AH7" i="49" s="1"/>
  <c r="AB7" i="49"/>
  <c r="AC10" i="49" s="1"/>
  <c r="W7" i="49"/>
  <c r="Y7" i="49" s="1"/>
  <c r="R7" i="49"/>
  <c r="J7" i="49"/>
  <c r="I7" i="49"/>
  <c r="G7" i="49"/>
  <c r="X7" i="52" l="1"/>
  <c r="AC7" i="52"/>
  <c r="AM7" i="52"/>
  <c r="AH7" i="52"/>
  <c r="AR7" i="52"/>
  <c r="AW7" i="52"/>
  <c r="S11" i="51"/>
  <c r="S8" i="51"/>
  <c r="H7" i="51"/>
  <c r="X8" i="51"/>
  <c r="AR9" i="51"/>
  <c r="T7" i="51"/>
  <c r="S7" i="51"/>
  <c r="Y7" i="51"/>
  <c r="AD7" i="51"/>
  <c r="AC7" i="51"/>
  <c r="AW7" i="51"/>
  <c r="AN7" i="51"/>
  <c r="AR7" i="51"/>
  <c r="AR8" i="51"/>
  <c r="AI7" i="51"/>
  <c r="AH13" i="49"/>
  <c r="AR15" i="49"/>
  <c r="X12" i="49"/>
  <c r="X14" i="49"/>
  <c r="AM7" i="49"/>
  <c r="AM8" i="49"/>
  <c r="AW10" i="49"/>
  <c r="AC7" i="49"/>
  <c r="S8" i="49"/>
  <c r="AC8" i="49"/>
  <c r="AM10" i="49"/>
  <c r="AW12" i="49"/>
  <c r="AH15" i="49"/>
  <c r="AM14" i="49"/>
  <c r="S10" i="49"/>
  <c r="AH14" i="49"/>
  <c r="S9" i="49"/>
  <c r="S13" i="49"/>
  <c r="K7" i="49"/>
  <c r="M7" i="49" s="1"/>
  <c r="AC12" i="49"/>
  <c r="S15" i="49"/>
  <c r="S11" i="49"/>
  <c r="H7" i="49"/>
  <c r="X7" i="49"/>
  <c r="AX7" i="49"/>
  <c r="T7" i="49"/>
  <c r="AR7" i="48"/>
  <c r="S8" i="48"/>
  <c r="AH11" i="48"/>
  <c r="S11" i="48"/>
  <c r="AM7" i="48"/>
  <c r="AM13" i="48"/>
  <c r="K11" i="48"/>
  <c r="K12" i="48"/>
  <c r="Y7" i="48"/>
  <c r="K13" i="48"/>
  <c r="AM8" i="48"/>
  <c r="AW12" i="48"/>
  <c r="AR12" i="48"/>
  <c r="AD7" i="48"/>
  <c r="X8" i="48"/>
  <c r="T7" i="48"/>
  <c r="AI7" i="48"/>
  <c r="AR10" i="48"/>
  <c r="X11" i="48"/>
  <c r="AC7" i="48"/>
  <c r="AR9" i="48"/>
  <c r="X7" i="48"/>
  <c r="P3" i="50"/>
  <c r="L7" i="52"/>
  <c r="Y7" i="52"/>
  <c r="K7" i="51"/>
  <c r="AS7" i="51"/>
  <c r="K11" i="51"/>
  <c r="K10" i="51"/>
  <c r="K9" i="51"/>
  <c r="K8" i="51"/>
  <c r="M8" i="51" s="1"/>
  <c r="Z2" i="50"/>
  <c r="U3" i="50"/>
  <c r="AS7" i="48"/>
  <c r="AX7" i="48"/>
  <c r="K10" i="48"/>
  <c r="M10" i="48" s="1"/>
  <c r="K8" i="48"/>
  <c r="M9" i="48" s="1"/>
  <c r="K12" i="49"/>
  <c r="K10" i="49"/>
  <c r="K8" i="49"/>
  <c r="AN7" i="49"/>
  <c r="AS7" i="49"/>
  <c r="K11" i="49"/>
  <c r="K9" i="49"/>
  <c r="K14" i="49"/>
  <c r="K13" i="49"/>
  <c r="AD7" i="49"/>
  <c r="AI7" i="49"/>
  <c r="AM9" i="47"/>
  <c r="AM8" i="47"/>
  <c r="AH9" i="47"/>
  <c r="AH8" i="47"/>
  <c r="AI7" i="47"/>
  <c r="AC9" i="47"/>
  <c r="AC8" i="47"/>
  <c r="AC7" i="47"/>
  <c r="X9" i="47"/>
  <c r="AV9" i="47"/>
  <c r="AW9" i="47" s="1"/>
  <c r="AQ9" i="47"/>
  <c r="AR9" i="47" s="1"/>
  <c r="AL9" i="47"/>
  <c r="AG9" i="47"/>
  <c r="AB9" i="47"/>
  <c r="W9" i="47"/>
  <c r="R9" i="47"/>
  <c r="S9" i="47" s="1"/>
  <c r="J9" i="47"/>
  <c r="I9" i="47"/>
  <c r="G9" i="47"/>
  <c r="AV8" i="47"/>
  <c r="AW8" i="47" s="1"/>
  <c r="AQ8" i="47"/>
  <c r="AS7" i="47" s="1"/>
  <c r="AL8" i="47"/>
  <c r="AG8" i="47"/>
  <c r="AB8" i="47"/>
  <c r="W8" i="47"/>
  <c r="X8" i="47" s="1"/>
  <c r="R8" i="47"/>
  <c r="J8" i="47"/>
  <c r="I8" i="47"/>
  <c r="G8" i="47"/>
  <c r="AB7" i="47"/>
  <c r="W7" i="47"/>
  <c r="X7" i="47" s="1"/>
  <c r="R7" i="47"/>
  <c r="S7" i="47" s="1"/>
  <c r="K7" i="47"/>
  <c r="J7" i="47"/>
  <c r="I7" i="47"/>
  <c r="G7" i="47"/>
  <c r="AW7" i="46"/>
  <c r="AR8" i="46"/>
  <c r="AV8" i="46"/>
  <c r="AW8" i="46" s="1"/>
  <c r="AQ8" i="46"/>
  <c r="AL8" i="46"/>
  <c r="AM8" i="46" s="1"/>
  <c r="AG8" i="46"/>
  <c r="AH8" i="46" s="1"/>
  <c r="AB8" i="46"/>
  <c r="AC8" i="46" s="1"/>
  <c r="W8" i="46"/>
  <c r="X8" i="46" s="1"/>
  <c r="R8" i="46"/>
  <c r="K8" i="46" s="1"/>
  <c r="J8" i="46"/>
  <c r="I8" i="46"/>
  <c r="G8" i="46"/>
  <c r="AV7" i="46"/>
  <c r="AX7" i="46" s="1"/>
  <c r="AQ7" i="46"/>
  <c r="AR7" i="46" s="1"/>
  <c r="AL7" i="46"/>
  <c r="AM7" i="46" s="1"/>
  <c r="AG7" i="46"/>
  <c r="AH7" i="46" s="1"/>
  <c r="AB7" i="46"/>
  <c r="AD7" i="46" s="1"/>
  <c r="W7" i="46"/>
  <c r="R7" i="46"/>
  <c r="S7" i="46" s="1"/>
  <c r="J7" i="46"/>
  <c r="I7" i="46"/>
  <c r="G7" i="46"/>
  <c r="AW9" i="45"/>
  <c r="AW8" i="45"/>
  <c r="AC11" i="45"/>
  <c r="AC10" i="45"/>
  <c r="AC9" i="45"/>
  <c r="AC8" i="45"/>
  <c r="AV11" i="45"/>
  <c r="AW11" i="45" s="1"/>
  <c r="AQ11" i="45"/>
  <c r="AR11" i="45" s="1"/>
  <c r="AL11" i="45"/>
  <c r="AM11" i="45" s="1"/>
  <c r="AG11" i="45"/>
  <c r="AH11" i="45" s="1"/>
  <c r="AB11" i="45"/>
  <c r="W11" i="45"/>
  <c r="X11" i="45" s="1"/>
  <c r="R11" i="45"/>
  <c r="J11" i="45"/>
  <c r="I11" i="45"/>
  <c r="G11" i="45"/>
  <c r="AV10" i="45"/>
  <c r="AQ10" i="45"/>
  <c r="AR10" i="45" s="1"/>
  <c r="AL10" i="45"/>
  <c r="AM10" i="45" s="1"/>
  <c r="AG10" i="45"/>
  <c r="AB10" i="45"/>
  <c r="W10" i="45"/>
  <c r="X10" i="45" s="1"/>
  <c r="R10" i="45"/>
  <c r="S10" i="45" s="1"/>
  <c r="J10" i="45"/>
  <c r="I10" i="45"/>
  <c r="G10" i="45"/>
  <c r="AV9" i="45"/>
  <c r="AQ9" i="45"/>
  <c r="AR9" i="45" s="1"/>
  <c r="AL9" i="45"/>
  <c r="AM9" i="45" s="1"/>
  <c r="AG9" i="45"/>
  <c r="AH10" i="45" s="1"/>
  <c r="AB9" i="45"/>
  <c r="W9" i="45"/>
  <c r="X9" i="45" s="1"/>
  <c r="R9" i="45"/>
  <c r="J9" i="45"/>
  <c r="I9" i="45"/>
  <c r="G9" i="45"/>
  <c r="AV8" i="45"/>
  <c r="AQ8" i="45"/>
  <c r="AR8" i="45" s="1"/>
  <c r="AL8" i="45"/>
  <c r="AG8" i="45"/>
  <c r="AI7" i="45" s="1"/>
  <c r="AB8" i="45"/>
  <c r="W8" i="45"/>
  <c r="X8" i="45" s="1"/>
  <c r="R8" i="45"/>
  <c r="S8" i="45" s="1"/>
  <c r="J8" i="45"/>
  <c r="I8" i="45"/>
  <c r="G8" i="45"/>
  <c r="H7" i="45" s="1"/>
  <c r="AV7" i="45"/>
  <c r="AX7" i="45" s="1"/>
  <c r="AQ7" i="45"/>
  <c r="AR7" i="45" s="1"/>
  <c r="AL7" i="45"/>
  <c r="AN7" i="45" s="1"/>
  <c r="AG7" i="45"/>
  <c r="AB7" i="45"/>
  <c r="W7" i="45"/>
  <c r="R7" i="45"/>
  <c r="J7" i="45"/>
  <c r="I7" i="45"/>
  <c r="G7" i="45"/>
  <c r="AW29" i="44"/>
  <c r="AW9" i="44"/>
  <c r="AM35" i="44"/>
  <c r="AM15" i="44"/>
  <c r="X34" i="44"/>
  <c r="X15" i="44"/>
  <c r="X14" i="44"/>
  <c r="S19" i="44"/>
  <c r="AV39" i="44"/>
  <c r="AW39" i="44" s="1"/>
  <c r="AQ39" i="44"/>
  <c r="AR39" i="44" s="1"/>
  <c r="AL39" i="44"/>
  <c r="AM39" i="44" s="1"/>
  <c r="AG39" i="44"/>
  <c r="AH39" i="44" s="1"/>
  <c r="AB39" i="44"/>
  <c r="AC39" i="44" s="1"/>
  <c r="W39" i="44"/>
  <c r="X16" i="44" s="1"/>
  <c r="R39" i="44"/>
  <c r="K39" i="44" s="1"/>
  <c r="J39" i="44"/>
  <c r="I39" i="44"/>
  <c r="G39" i="44"/>
  <c r="AV38" i="44"/>
  <c r="AQ38" i="44"/>
  <c r="AR38" i="44" s="1"/>
  <c r="AL38" i="44"/>
  <c r="AG38" i="44"/>
  <c r="AB38" i="44"/>
  <c r="AC38" i="44" s="1"/>
  <c r="W38" i="44"/>
  <c r="X38" i="44" s="1"/>
  <c r="R38" i="44"/>
  <c r="K38" i="44"/>
  <c r="J38" i="44"/>
  <c r="I38" i="44"/>
  <c r="G38" i="44"/>
  <c r="AV37" i="44"/>
  <c r="AQ37" i="44"/>
  <c r="AR37" i="44" s="1"/>
  <c r="AL37" i="44"/>
  <c r="AM37" i="44" s="1"/>
  <c r="AG37" i="44"/>
  <c r="AH37" i="44" s="1"/>
  <c r="AB37" i="44"/>
  <c r="AC21" i="44" s="1"/>
  <c r="W37" i="44"/>
  <c r="R37" i="44"/>
  <c r="K37" i="44" s="1"/>
  <c r="J37" i="44"/>
  <c r="I37" i="44"/>
  <c r="G37" i="44"/>
  <c r="AV36" i="44"/>
  <c r="AQ36" i="44"/>
  <c r="AR36" i="44" s="1"/>
  <c r="AL36" i="44"/>
  <c r="AG36" i="44"/>
  <c r="AB36" i="44"/>
  <c r="AC36" i="44" s="1"/>
  <c r="W36" i="44"/>
  <c r="R36" i="44"/>
  <c r="S36" i="44" s="1"/>
  <c r="J36" i="44"/>
  <c r="I36" i="44"/>
  <c r="G36" i="44"/>
  <c r="AV35" i="44"/>
  <c r="AQ35" i="44"/>
  <c r="AR35" i="44" s="1"/>
  <c r="AL35" i="44"/>
  <c r="AG35" i="44"/>
  <c r="AH35" i="44" s="1"/>
  <c r="AB35" i="44"/>
  <c r="W35" i="44"/>
  <c r="R35" i="44"/>
  <c r="J35" i="44"/>
  <c r="I35" i="44"/>
  <c r="G35" i="44"/>
  <c r="AV34" i="44"/>
  <c r="AW34" i="44" s="1"/>
  <c r="AQ34" i="44"/>
  <c r="AR34" i="44" s="1"/>
  <c r="AL34" i="44"/>
  <c r="AM34" i="44" s="1"/>
  <c r="AG34" i="44"/>
  <c r="AB34" i="44"/>
  <c r="AC34" i="44" s="1"/>
  <c r="W34" i="44"/>
  <c r="R34" i="44"/>
  <c r="S34" i="44" s="1"/>
  <c r="J34" i="44"/>
  <c r="I34" i="44"/>
  <c r="G34" i="44"/>
  <c r="AV33" i="44"/>
  <c r="AW33" i="44" s="1"/>
  <c r="AQ33" i="44"/>
  <c r="AR33" i="44" s="1"/>
  <c r="AL33" i="44"/>
  <c r="AM33" i="44" s="1"/>
  <c r="AG33" i="44"/>
  <c r="AH33" i="44" s="1"/>
  <c r="AB33" i="44"/>
  <c r="W33" i="44"/>
  <c r="X33" i="44" s="1"/>
  <c r="R33" i="44"/>
  <c r="J33" i="44"/>
  <c r="I33" i="44"/>
  <c r="G33" i="44"/>
  <c r="AV32" i="44"/>
  <c r="AQ32" i="44"/>
  <c r="AL32" i="44"/>
  <c r="AM32" i="44" s="1"/>
  <c r="AG32" i="44"/>
  <c r="AH32" i="44" s="1"/>
  <c r="AB32" i="44"/>
  <c r="AC32" i="44" s="1"/>
  <c r="W32" i="44"/>
  <c r="X32" i="44" s="1"/>
  <c r="R32" i="44"/>
  <c r="S32" i="44" s="1"/>
  <c r="J32" i="44"/>
  <c r="I32" i="44"/>
  <c r="G32" i="44"/>
  <c r="AV31" i="44"/>
  <c r="AQ31" i="44"/>
  <c r="AR31" i="44" s="1"/>
  <c r="AL31" i="44"/>
  <c r="AM31" i="44" s="1"/>
  <c r="AG31" i="44"/>
  <c r="K31" i="44" s="1"/>
  <c r="AB31" i="44"/>
  <c r="W31" i="44"/>
  <c r="X31" i="44" s="1"/>
  <c r="R31" i="44"/>
  <c r="J31" i="44"/>
  <c r="I31" i="44"/>
  <c r="G31" i="44"/>
  <c r="AV30" i="44"/>
  <c r="AQ30" i="44"/>
  <c r="AL30" i="44"/>
  <c r="AM30" i="44" s="1"/>
  <c r="AG30" i="44"/>
  <c r="AB30" i="44"/>
  <c r="AC30" i="44" s="1"/>
  <c r="W30" i="44"/>
  <c r="X30" i="44" s="1"/>
  <c r="R30" i="44"/>
  <c r="S30" i="44" s="1"/>
  <c r="J30" i="44"/>
  <c r="I30" i="44"/>
  <c r="G30" i="44"/>
  <c r="AV29" i="44"/>
  <c r="AQ29" i="44"/>
  <c r="AR29" i="44" s="1"/>
  <c r="AL29" i="44"/>
  <c r="AM29" i="44" s="1"/>
  <c r="AG29" i="44"/>
  <c r="AH29" i="44" s="1"/>
  <c r="AB29" i="44"/>
  <c r="W29" i="44"/>
  <c r="X29" i="44" s="1"/>
  <c r="R29" i="44"/>
  <c r="J29" i="44"/>
  <c r="I29" i="44"/>
  <c r="G29" i="44"/>
  <c r="AV28" i="44"/>
  <c r="AW28" i="44" s="1"/>
  <c r="AQ28" i="44"/>
  <c r="AL28" i="44"/>
  <c r="AM28" i="44" s="1"/>
  <c r="AG28" i="44"/>
  <c r="AB28" i="44"/>
  <c r="W28" i="44"/>
  <c r="X28" i="44" s="1"/>
  <c r="R28" i="44"/>
  <c r="S28" i="44" s="1"/>
  <c r="J28" i="44"/>
  <c r="I28" i="44"/>
  <c r="G28" i="44"/>
  <c r="AV27" i="44"/>
  <c r="AW27" i="44" s="1"/>
  <c r="AQ27" i="44"/>
  <c r="AR27" i="44" s="1"/>
  <c r="AL27" i="44"/>
  <c r="AM27" i="44" s="1"/>
  <c r="AG27" i="44"/>
  <c r="AH27" i="44" s="1"/>
  <c r="AB27" i="44"/>
  <c r="W27" i="44"/>
  <c r="R27" i="44"/>
  <c r="J27" i="44"/>
  <c r="I27" i="44"/>
  <c r="G27" i="44"/>
  <c r="AV26" i="44"/>
  <c r="AW26" i="44" s="1"/>
  <c r="AQ26" i="44"/>
  <c r="AL26" i="44"/>
  <c r="AM26" i="44" s="1"/>
  <c r="AG26" i="44"/>
  <c r="AH26" i="44" s="1"/>
  <c r="AB26" i="44"/>
  <c r="AC26" i="44" s="1"/>
  <c r="W26" i="44"/>
  <c r="X26" i="44" s="1"/>
  <c r="R26" i="44"/>
  <c r="S26" i="44" s="1"/>
  <c r="J26" i="44"/>
  <c r="I26" i="44"/>
  <c r="G26" i="44"/>
  <c r="AV25" i="44"/>
  <c r="AW25" i="44" s="1"/>
  <c r="AQ25" i="44"/>
  <c r="AR25" i="44" s="1"/>
  <c r="AL25" i="44"/>
  <c r="AM25" i="44" s="1"/>
  <c r="AG25" i="44"/>
  <c r="AH25" i="44" s="1"/>
  <c r="AB25" i="44"/>
  <c r="W25" i="44"/>
  <c r="R25" i="44"/>
  <c r="J25" i="44"/>
  <c r="I25" i="44"/>
  <c r="G25" i="44"/>
  <c r="AV24" i="44"/>
  <c r="AW24" i="44" s="1"/>
  <c r="AQ24" i="44"/>
  <c r="AL24" i="44"/>
  <c r="AG24" i="44"/>
  <c r="AH24" i="44" s="1"/>
  <c r="AB24" i="44"/>
  <c r="W24" i="44"/>
  <c r="X24" i="44" s="1"/>
  <c r="R24" i="44"/>
  <c r="K24" i="44" s="1"/>
  <c r="J24" i="44"/>
  <c r="I24" i="44"/>
  <c r="G24" i="44"/>
  <c r="AV23" i="44"/>
  <c r="AW23" i="44" s="1"/>
  <c r="AQ23" i="44"/>
  <c r="AL23" i="44"/>
  <c r="AM23" i="44" s="1"/>
  <c r="AG23" i="44"/>
  <c r="AH23" i="44" s="1"/>
  <c r="AB23" i="44"/>
  <c r="W23" i="44"/>
  <c r="R23" i="44"/>
  <c r="S23" i="44" s="1"/>
  <c r="J23" i="44"/>
  <c r="I23" i="44"/>
  <c r="G23" i="44"/>
  <c r="AV22" i="44"/>
  <c r="AW22" i="44" s="1"/>
  <c r="AQ22" i="44"/>
  <c r="AL22" i="44"/>
  <c r="AG22" i="44"/>
  <c r="AH22" i="44" s="1"/>
  <c r="AB22" i="44"/>
  <c r="W22" i="44"/>
  <c r="X22" i="44" s="1"/>
  <c r="R22" i="44"/>
  <c r="S22" i="44" s="1"/>
  <c r="J22" i="44"/>
  <c r="I22" i="44"/>
  <c r="G22" i="44"/>
  <c r="AV21" i="44"/>
  <c r="AW21" i="44" s="1"/>
  <c r="AQ21" i="44"/>
  <c r="AR21" i="44" s="1"/>
  <c r="AL21" i="44"/>
  <c r="AM21" i="44" s="1"/>
  <c r="AG21" i="44"/>
  <c r="AH30" i="44" s="1"/>
  <c r="AB21" i="44"/>
  <c r="W21" i="44"/>
  <c r="K21" i="44" s="1"/>
  <c r="R21" i="44"/>
  <c r="S21" i="44" s="1"/>
  <c r="J21" i="44"/>
  <c r="I21" i="44"/>
  <c r="G21" i="44"/>
  <c r="AV20" i="44"/>
  <c r="AQ20" i="44"/>
  <c r="AR20" i="44" s="1"/>
  <c r="AL20" i="44"/>
  <c r="AM20" i="44" s="1"/>
  <c r="AG20" i="44"/>
  <c r="AH20" i="44" s="1"/>
  <c r="AB20" i="44"/>
  <c r="AC20" i="44" s="1"/>
  <c r="W20" i="44"/>
  <c r="X21" i="44" s="1"/>
  <c r="R20" i="44"/>
  <c r="S20" i="44" s="1"/>
  <c r="J20" i="44"/>
  <c r="I20" i="44"/>
  <c r="G20" i="44"/>
  <c r="AV19" i="44"/>
  <c r="AW17" i="44" s="1"/>
  <c r="AQ19" i="44"/>
  <c r="AR22" i="44" s="1"/>
  <c r="AL19" i="44"/>
  <c r="AG19" i="44"/>
  <c r="AB19" i="44"/>
  <c r="AC19" i="44" s="1"/>
  <c r="W19" i="44"/>
  <c r="R19" i="44"/>
  <c r="J19" i="44"/>
  <c r="I19" i="44"/>
  <c r="G19" i="44"/>
  <c r="AV18" i="44"/>
  <c r="AQ18" i="44"/>
  <c r="AR18" i="44" s="1"/>
  <c r="AL18" i="44"/>
  <c r="AG18" i="44"/>
  <c r="AH18" i="44" s="1"/>
  <c r="AB18" i="44"/>
  <c r="AC12" i="44" s="1"/>
  <c r="W18" i="44"/>
  <c r="R18" i="44"/>
  <c r="J18" i="44"/>
  <c r="I18" i="44"/>
  <c r="G18" i="44"/>
  <c r="AV17" i="44"/>
  <c r="AQ17" i="44"/>
  <c r="AR17" i="44" s="1"/>
  <c r="AL17" i="44"/>
  <c r="AG17" i="44"/>
  <c r="AB17" i="44"/>
  <c r="AC17" i="44" s="1"/>
  <c r="W17" i="44"/>
  <c r="R17" i="44"/>
  <c r="J17" i="44"/>
  <c r="I17" i="44"/>
  <c r="G17" i="44"/>
  <c r="AV16" i="44"/>
  <c r="AQ16" i="44"/>
  <c r="AR16" i="44" s="1"/>
  <c r="AL16" i="44"/>
  <c r="AG16" i="44"/>
  <c r="AH16" i="44" s="1"/>
  <c r="AB16" i="44"/>
  <c r="AC16" i="44" s="1"/>
  <c r="W16" i="44"/>
  <c r="R16" i="44"/>
  <c r="S16" i="44" s="1"/>
  <c r="J16" i="44"/>
  <c r="I16" i="44"/>
  <c r="G16" i="44"/>
  <c r="AV15" i="44"/>
  <c r="AQ15" i="44"/>
  <c r="AL15" i="44"/>
  <c r="AG15" i="44"/>
  <c r="AB15" i="44"/>
  <c r="W15" i="44"/>
  <c r="R15" i="44"/>
  <c r="J15" i="44"/>
  <c r="I15" i="44"/>
  <c r="G15" i="44"/>
  <c r="AV14" i="44"/>
  <c r="AW14" i="44" s="1"/>
  <c r="AQ14" i="44"/>
  <c r="AR14" i="44" s="1"/>
  <c r="AL14" i="44"/>
  <c r="AM14" i="44" s="1"/>
  <c r="AG14" i="44"/>
  <c r="AH14" i="44" s="1"/>
  <c r="AB14" i="44"/>
  <c r="AC14" i="44" s="1"/>
  <c r="W14" i="44"/>
  <c r="R14" i="44"/>
  <c r="S14" i="44" s="1"/>
  <c r="J14" i="44"/>
  <c r="I14" i="44"/>
  <c r="G14" i="44"/>
  <c r="AV13" i="44"/>
  <c r="AQ13" i="44"/>
  <c r="AL13" i="44"/>
  <c r="AM13" i="44" s="1"/>
  <c r="AG13" i="44"/>
  <c r="AB13" i="44"/>
  <c r="W13" i="44"/>
  <c r="X13" i="44" s="1"/>
  <c r="R13" i="44"/>
  <c r="J13" i="44"/>
  <c r="I13" i="44"/>
  <c r="G13" i="44"/>
  <c r="AV12" i="44"/>
  <c r="AQ12" i="44"/>
  <c r="AR12" i="44" s="1"/>
  <c r="AL12" i="44"/>
  <c r="AM12" i="44" s="1"/>
  <c r="AG12" i="44"/>
  <c r="AH12" i="44" s="1"/>
  <c r="AB12" i="44"/>
  <c r="W12" i="44"/>
  <c r="X12" i="44" s="1"/>
  <c r="R12" i="44"/>
  <c r="S12" i="44" s="1"/>
  <c r="J12" i="44"/>
  <c r="I12" i="44"/>
  <c r="G12" i="44"/>
  <c r="AV11" i="44"/>
  <c r="AQ11" i="44"/>
  <c r="AL11" i="44"/>
  <c r="AM11" i="44" s="1"/>
  <c r="AG11" i="44"/>
  <c r="AB11" i="44"/>
  <c r="W11" i="44"/>
  <c r="X11" i="44" s="1"/>
  <c r="R11" i="44"/>
  <c r="J11" i="44"/>
  <c r="I11" i="44"/>
  <c r="G11" i="44"/>
  <c r="AV10" i="44"/>
  <c r="AQ10" i="44"/>
  <c r="AR10" i="44" s="1"/>
  <c r="AL10" i="44"/>
  <c r="AM10" i="44" s="1"/>
  <c r="AG10" i="44"/>
  <c r="K10" i="44" s="1"/>
  <c r="AB10" i="44"/>
  <c r="W10" i="44"/>
  <c r="X10" i="44" s="1"/>
  <c r="R10" i="44"/>
  <c r="S10" i="44" s="1"/>
  <c r="J10" i="44"/>
  <c r="I10" i="44"/>
  <c r="G10" i="44"/>
  <c r="AV9" i="44"/>
  <c r="AQ9" i="44"/>
  <c r="AL9" i="44"/>
  <c r="AG9" i="44"/>
  <c r="AB9" i="44"/>
  <c r="W9" i="44"/>
  <c r="X9" i="44" s="1"/>
  <c r="R9" i="44"/>
  <c r="J9" i="44"/>
  <c r="I9" i="44"/>
  <c r="G9" i="44"/>
  <c r="AV8" i="44"/>
  <c r="AW8" i="44" s="1"/>
  <c r="AQ8" i="44"/>
  <c r="AR15" i="44" s="1"/>
  <c r="AL8" i="44"/>
  <c r="AM9" i="44" s="1"/>
  <c r="AG8" i="44"/>
  <c r="AH17" i="44" s="1"/>
  <c r="AB8" i="44"/>
  <c r="W8" i="44"/>
  <c r="X8" i="44" s="1"/>
  <c r="R8" i="44"/>
  <c r="S27" i="44" s="1"/>
  <c r="J8" i="44"/>
  <c r="I8" i="44"/>
  <c r="G8" i="44"/>
  <c r="AV7" i="44"/>
  <c r="AW7" i="44" s="1"/>
  <c r="AQ7" i="44"/>
  <c r="AL7" i="44"/>
  <c r="AG7" i="44"/>
  <c r="AB7" i="44"/>
  <c r="W7" i="44"/>
  <c r="R7" i="44"/>
  <c r="S25" i="44" s="1"/>
  <c r="J7" i="44"/>
  <c r="I7" i="44"/>
  <c r="G7" i="44"/>
  <c r="B7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H16" i="13" s="1"/>
  <c r="M7" i="6"/>
  <c r="H15" i="13" s="1"/>
  <c r="B7" i="7"/>
  <c r="AC13" i="7"/>
  <c r="S13" i="7"/>
  <c r="M13" i="7"/>
  <c r="F13" i="7"/>
  <c r="AL13" i="7" s="1"/>
  <c r="AC12" i="7"/>
  <c r="S12" i="7"/>
  <c r="M12" i="7"/>
  <c r="AC11" i="7"/>
  <c r="S11" i="7"/>
  <c r="M11" i="7"/>
  <c r="F11" i="7"/>
  <c r="AL11" i="7" s="1"/>
  <c r="AC10" i="7"/>
  <c r="S10" i="7"/>
  <c r="F10" i="7" s="1"/>
  <c r="AL10" i="7" s="1"/>
  <c r="M10" i="7"/>
  <c r="AC9" i="7"/>
  <c r="S9" i="7"/>
  <c r="M9" i="7"/>
  <c r="F9" i="7"/>
  <c r="AL9" i="7" s="1"/>
  <c r="AC8" i="7"/>
  <c r="S8" i="7"/>
  <c r="M8" i="7"/>
  <c r="F8" i="7"/>
  <c r="AL8" i="7" s="1"/>
  <c r="AC7" i="7"/>
  <c r="B19" i="13" s="1"/>
  <c r="S7" i="7"/>
  <c r="M7" i="7"/>
  <c r="U11" i="5"/>
  <c r="U10" i="5"/>
  <c r="U9" i="5"/>
  <c r="U8" i="5"/>
  <c r="W8" i="5" s="1"/>
  <c r="M11" i="51" l="1"/>
  <c r="M10" i="51"/>
  <c r="M7" i="51"/>
  <c r="M9" i="51"/>
  <c r="M13" i="49"/>
  <c r="M14" i="49"/>
  <c r="M9" i="49"/>
  <c r="M11" i="49"/>
  <c r="M12" i="49"/>
  <c r="M10" i="49"/>
  <c r="M8" i="49"/>
  <c r="M15" i="49"/>
  <c r="L7" i="48"/>
  <c r="M12" i="48"/>
  <c r="M13" i="48"/>
  <c r="M11" i="48"/>
  <c r="M7" i="48"/>
  <c r="M8" i="48"/>
  <c r="M14" i="48"/>
  <c r="AR8" i="47"/>
  <c r="AX7" i="47"/>
  <c r="H7" i="47"/>
  <c r="AD7" i="47"/>
  <c r="T7" i="47"/>
  <c r="S8" i="47"/>
  <c r="AN7" i="47"/>
  <c r="Y7" i="46"/>
  <c r="S8" i="46"/>
  <c r="AN7" i="46"/>
  <c r="H7" i="46"/>
  <c r="T7" i="46"/>
  <c r="X7" i="46"/>
  <c r="AC7" i="46"/>
  <c r="AS7" i="45"/>
  <c r="AW10" i="45"/>
  <c r="AH7" i="45"/>
  <c r="AH8" i="45"/>
  <c r="AH9" i="45"/>
  <c r="K9" i="45"/>
  <c r="X7" i="45"/>
  <c r="K7" i="45"/>
  <c r="T7" i="45"/>
  <c r="S11" i="45"/>
  <c r="S7" i="45"/>
  <c r="S9" i="45"/>
  <c r="AD7" i="45"/>
  <c r="AM8" i="45"/>
  <c r="K8" i="45"/>
  <c r="AM7" i="45"/>
  <c r="AC7" i="45"/>
  <c r="AW7" i="45"/>
  <c r="AW31" i="44"/>
  <c r="AC23" i="44"/>
  <c r="K18" i="44"/>
  <c r="X17" i="44"/>
  <c r="X37" i="44"/>
  <c r="AC24" i="44"/>
  <c r="AH11" i="44"/>
  <c r="AH31" i="44"/>
  <c r="AM18" i="44"/>
  <c r="AM38" i="44"/>
  <c r="AW12" i="44"/>
  <c r="AW32" i="44"/>
  <c r="Y7" i="44"/>
  <c r="S35" i="44"/>
  <c r="S15" i="44"/>
  <c r="X18" i="44"/>
  <c r="AC25" i="44"/>
  <c r="AM19" i="44"/>
  <c r="AR26" i="44"/>
  <c r="AW13" i="44"/>
  <c r="K8" i="44"/>
  <c r="K20" i="44"/>
  <c r="X19" i="44"/>
  <c r="X39" i="44"/>
  <c r="AH13" i="44"/>
  <c r="AR7" i="44"/>
  <c r="S39" i="44"/>
  <c r="AH8" i="44"/>
  <c r="AH28" i="44"/>
  <c r="S38" i="44"/>
  <c r="AM16" i="44"/>
  <c r="X36" i="44"/>
  <c r="S13" i="44"/>
  <c r="AR28" i="44"/>
  <c r="AW36" i="44"/>
  <c r="S11" i="44"/>
  <c r="K16" i="44"/>
  <c r="AW38" i="44"/>
  <c r="S29" i="44"/>
  <c r="AR13" i="44"/>
  <c r="AC33" i="44"/>
  <c r="K36" i="44"/>
  <c r="AC35" i="44"/>
  <c r="S18" i="44"/>
  <c r="AR23" i="44"/>
  <c r="AH10" i="44"/>
  <c r="X20" i="44"/>
  <c r="AW15" i="44"/>
  <c r="AC28" i="44"/>
  <c r="AW16" i="44"/>
  <c r="AW37" i="44"/>
  <c r="AR11" i="44"/>
  <c r="AR32" i="44"/>
  <c r="S7" i="44"/>
  <c r="X7" i="44"/>
  <c r="AC15" i="44"/>
  <c r="S24" i="44"/>
  <c r="X35" i="44"/>
  <c r="AW30" i="44"/>
  <c r="AM17" i="44"/>
  <c r="AC27" i="44"/>
  <c r="AW35" i="44"/>
  <c r="AR9" i="44"/>
  <c r="AC9" i="44"/>
  <c r="AR30" i="44"/>
  <c r="AW18" i="44"/>
  <c r="AH19" i="44"/>
  <c r="K7" i="44"/>
  <c r="M37" i="44" s="1"/>
  <c r="AC37" i="44"/>
  <c r="AC22" i="44"/>
  <c r="AW11" i="44"/>
  <c r="S33" i="44"/>
  <c r="AR8" i="44"/>
  <c r="AH15" i="44"/>
  <c r="S31" i="44"/>
  <c r="AH36" i="44"/>
  <c r="X23" i="44"/>
  <c r="AM24" i="44"/>
  <c r="S9" i="44"/>
  <c r="AH38" i="44"/>
  <c r="S8" i="44"/>
  <c r="AW20" i="44"/>
  <c r="AM7" i="44"/>
  <c r="X27" i="44"/>
  <c r="AH21" i="44"/>
  <c r="AM8" i="44"/>
  <c r="K25" i="44"/>
  <c r="AC18" i="44"/>
  <c r="AR19" i="44"/>
  <c r="AM36" i="44"/>
  <c r="S17" i="44"/>
  <c r="AR24" i="44"/>
  <c r="AH34" i="44"/>
  <c r="AC8" i="44"/>
  <c r="AM22" i="44"/>
  <c r="AC29" i="44"/>
  <c r="H7" i="44"/>
  <c r="AC11" i="44"/>
  <c r="AW19" i="44"/>
  <c r="X25" i="44"/>
  <c r="AC13" i="44"/>
  <c r="K19" i="44"/>
  <c r="K27" i="44"/>
  <c r="AH9" i="44"/>
  <c r="AW10" i="44"/>
  <c r="S37" i="44"/>
  <c r="AC7" i="44"/>
  <c r="AC10" i="44"/>
  <c r="AC31" i="44"/>
  <c r="K17" i="44"/>
  <c r="AH7" i="44"/>
  <c r="H19" i="13"/>
  <c r="T9" i="7"/>
  <c r="T8" i="7"/>
  <c r="N10" i="7"/>
  <c r="T13" i="7"/>
  <c r="B16" i="13"/>
  <c r="N11" i="7"/>
  <c r="B15" i="13"/>
  <c r="N8" i="7"/>
  <c r="T11" i="7"/>
  <c r="N13" i="7"/>
  <c r="T10" i="7"/>
  <c r="N9" i="7"/>
  <c r="F7" i="7"/>
  <c r="AL7" i="7" s="1"/>
  <c r="F12" i="7"/>
  <c r="AL12" i="7" s="1"/>
  <c r="L7" i="51"/>
  <c r="AE2" i="50"/>
  <c r="Z3" i="50"/>
  <c r="L7" i="49"/>
  <c r="K9" i="47"/>
  <c r="K8" i="47"/>
  <c r="M8" i="47" s="1"/>
  <c r="L7" i="47"/>
  <c r="Y7" i="47"/>
  <c r="AI7" i="46"/>
  <c r="K7" i="46"/>
  <c r="M7" i="46" s="1"/>
  <c r="AS7" i="46"/>
  <c r="K11" i="45"/>
  <c r="K10" i="45"/>
  <c r="M10" i="45" s="1"/>
  <c r="Y7" i="45"/>
  <c r="K11" i="44"/>
  <c r="K23" i="44"/>
  <c r="K26" i="44"/>
  <c r="K22" i="44"/>
  <c r="AD7" i="44"/>
  <c r="AI7" i="44"/>
  <c r="AN7" i="44"/>
  <c r="K28" i="44"/>
  <c r="AS7" i="44"/>
  <c r="AX7" i="44"/>
  <c r="K30" i="44"/>
  <c r="K14" i="44"/>
  <c r="K34" i="44"/>
  <c r="M34" i="44" s="1"/>
  <c r="K15" i="44"/>
  <c r="K35" i="44"/>
  <c r="K13" i="44"/>
  <c r="K33" i="44"/>
  <c r="K12" i="44"/>
  <c r="K32" i="44"/>
  <c r="T7" i="44"/>
  <c r="K9" i="44"/>
  <c r="K29" i="44"/>
  <c r="N9" i="6"/>
  <c r="T8" i="6"/>
  <c r="T9" i="6"/>
  <c r="N10" i="6"/>
  <c r="T10" i="6"/>
  <c r="AD10" i="6"/>
  <c r="N11" i="6"/>
  <c r="T11" i="6"/>
  <c r="F7" i="6"/>
  <c r="T7" i="6" s="1"/>
  <c r="F8" i="6"/>
  <c r="AD8" i="6" s="1"/>
  <c r="F9" i="6"/>
  <c r="F10" i="6"/>
  <c r="F11" i="6"/>
  <c r="AD11" i="6" s="1"/>
  <c r="F12" i="6"/>
  <c r="T12" i="6" s="1"/>
  <c r="F13" i="6"/>
  <c r="N13" i="6" s="1"/>
  <c r="J7" i="7"/>
  <c r="J8" i="7"/>
  <c r="J9" i="7"/>
  <c r="J10" i="7"/>
  <c r="J11" i="7"/>
  <c r="J13" i="7"/>
  <c r="L8" i="7"/>
  <c r="L9" i="7"/>
  <c r="L10" i="7"/>
  <c r="L11" i="7"/>
  <c r="L13" i="7"/>
  <c r="R11" i="7"/>
  <c r="V8" i="7"/>
  <c r="V9" i="7"/>
  <c r="V13" i="7"/>
  <c r="X7" i="7"/>
  <c r="X8" i="7"/>
  <c r="X9" i="7"/>
  <c r="X10" i="7"/>
  <c r="X11" i="7"/>
  <c r="X13" i="7"/>
  <c r="Z8" i="7"/>
  <c r="Z9" i="7"/>
  <c r="Z10" i="7"/>
  <c r="Z11" i="7"/>
  <c r="Z13" i="7"/>
  <c r="R10" i="7"/>
  <c r="AB8" i="7"/>
  <c r="AB9" i="7"/>
  <c r="AB10" i="7"/>
  <c r="AB11" i="7"/>
  <c r="AB12" i="7"/>
  <c r="AB13" i="7"/>
  <c r="P11" i="7"/>
  <c r="R13" i="7"/>
  <c r="V10" i="7"/>
  <c r="AH9" i="7"/>
  <c r="AJ8" i="7"/>
  <c r="AJ9" i="7"/>
  <c r="AJ10" i="7"/>
  <c r="AJ11" i="7"/>
  <c r="AJ13" i="7"/>
  <c r="P7" i="7"/>
  <c r="P8" i="7"/>
  <c r="P9" i="7"/>
  <c r="P10" i="7"/>
  <c r="P13" i="7"/>
  <c r="R8" i="7"/>
  <c r="R9" i="7"/>
  <c r="V11" i="7"/>
  <c r="AD8" i="7"/>
  <c r="AD9" i="7"/>
  <c r="AD10" i="7"/>
  <c r="AD11" i="7"/>
  <c r="AD13" i="7"/>
  <c r="AF8" i="7"/>
  <c r="AF9" i="7"/>
  <c r="AF10" i="7"/>
  <c r="AF11" i="7"/>
  <c r="AF13" i="7"/>
  <c r="AH8" i="7"/>
  <c r="AH10" i="7"/>
  <c r="AH11" i="7"/>
  <c r="AH13" i="7"/>
  <c r="M9" i="47" l="1"/>
  <c r="M7" i="47"/>
  <c r="M8" i="46"/>
  <c r="M8" i="45"/>
  <c r="M11" i="45"/>
  <c r="M7" i="45"/>
  <c r="M9" i="45"/>
  <c r="M27" i="44"/>
  <c r="M14" i="44"/>
  <c r="M25" i="44"/>
  <c r="M20" i="44"/>
  <c r="M28" i="44"/>
  <c r="M18" i="44"/>
  <c r="M9" i="44"/>
  <c r="M8" i="44"/>
  <c r="M12" i="44"/>
  <c r="M16" i="44"/>
  <c r="M39" i="44"/>
  <c r="M30" i="44"/>
  <c r="M26" i="44"/>
  <c r="M23" i="44"/>
  <c r="M33" i="44"/>
  <c r="M21" i="44"/>
  <c r="M17" i="44"/>
  <c r="M22" i="44"/>
  <c r="M19" i="44"/>
  <c r="M10" i="44"/>
  <c r="M24" i="44"/>
  <c r="M7" i="44"/>
  <c r="M29" i="44"/>
  <c r="M36" i="44"/>
  <c r="M11" i="44"/>
  <c r="M32" i="44"/>
  <c r="M31" i="44"/>
  <c r="M13" i="44"/>
  <c r="M35" i="44"/>
  <c r="M15" i="44"/>
  <c r="M38" i="44"/>
  <c r="T13" i="6"/>
  <c r="N12" i="6"/>
  <c r="N7" i="6"/>
  <c r="AD12" i="6"/>
  <c r="V7" i="7"/>
  <c r="V12" i="7"/>
  <c r="L12" i="7"/>
  <c r="AD7" i="7"/>
  <c r="R12" i="7"/>
  <c r="AF7" i="7"/>
  <c r="L7" i="7"/>
  <c r="AJ12" i="7"/>
  <c r="N12" i="7"/>
  <c r="AH7" i="7"/>
  <c r="G7" i="7"/>
  <c r="AB7" i="7"/>
  <c r="AJ7" i="7"/>
  <c r="AH12" i="7"/>
  <c r="Z12" i="7"/>
  <c r="N7" i="7"/>
  <c r="AF12" i="7"/>
  <c r="AD12" i="7"/>
  <c r="Z7" i="7"/>
  <c r="T7" i="7"/>
  <c r="J12" i="7"/>
  <c r="R7" i="7"/>
  <c r="X12" i="7"/>
  <c r="T12" i="7"/>
  <c r="P12" i="7"/>
  <c r="AJ2" i="50"/>
  <c r="AE3" i="50"/>
  <c r="L7" i="46"/>
  <c r="L7" i="45"/>
  <c r="L7" i="44"/>
  <c r="AL13" i="6"/>
  <c r="AH13" i="6"/>
  <c r="AF13" i="6"/>
  <c r="AB13" i="6"/>
  <c r="R13" i="6"/>
  <c r="P13" i="6"/>
  <c r="AJ13" i="6"/>
  <c r="Z13" i="6"/>
  <c r="X13" i="6"/>
  <c r="V13" i="6"/>
  <c r="L13" i="6"/>
  <c r="J13" i="6"/>
  <c r="AL12" i="6"/>
  <c r="AF12" i="6"/>
  <c r="AB12" i="6"/>
  <c r="AJ12" i="6"/>
  <c r="AH12" i="6"/>
  <c r="Z12" i="6"/>
  <c r="V12" i="6"/>
  <c r="X12" i="6"/>
  <c r="L12" i="6"/>
  <c r="J12" i="6"/>
  <c r="R12" i="6"/>
  <c r="P12" i="6"/>
  <c r="AL11" i="6"/>
  <c r="AH11" i="6"/>
  <c r="AF11" i="6"/>
  <c r="AB11" i="6"/>
  <c r="R11" i="6"/>
  <c r="AJ11" i="6"/>
  <c r="Z11" i="6"/>
  <c r="P11" i="6"/>
  <c r="X11" i="6"/>
  <c r="V11" i="6"/>
  <c r="L11" i="6"/>
  <c r="J11" i="6"/>
  <c r="AL10" i="6"/>
  <c r="AH10" i="6"/>
  <c r="AF10" i="6"/>
  <c r="AB10" i="6"/>
  <c r="R10" i="6"/>
  <c r="AJ10" i="6"/>
  <c r="P10" i="6"/>
  <c r="Z10" i="6"/>
  <c r="X10" i="6"/>
  <c r="V10" i="6"/>
  <c r="L10" i="6"/>
  <c r="J10" i="6"/>
  <c r="AL9" i="6"/>
  <c r="AH9" i="6"/>
  <c r="AF9" i="6"/>
  <c r="AB9" i="6"/>
  <c r="R9" i="6"/>
  <c r="AJ9" i="6"/>
  <c r="Z9" i="6"/>
  <c r="V9" i="6"/>
  <c r="X9" i="6"/>
  <c r="P9" i="6"/>
  <c r="L9" i="6"/>
  <c r="J9" i="6"/>
  <c r="AL8" i="6"/>
  <c r="AH8" i="6"/>
  <c r="AF8" i="6"/>
  <c r="AB8" i="6"/>
  <c r="R8" i="6"/>
  <c r="AJ8" i="6"/>
  <c r="Z8" i="6"/>
  <c r="X8" i="6"/>
  <c r="V8" i="6"/>
  <c r="L8" i="6"/>
  <c r="J8" i="6"/>
  <c r="P8" i="6"/>
  <c r="N8" i="6"/>
  <c r="AL7" i="6"/>
  <c r="AH7" i="6"/>
  <c r="AF7" i="6"/>
  <c r="AB7" i="6"/>
  <c r="R7" i="6"/>
  <c r="P7" i="6"/>
  <c r="AJ7" i="6"/>
  <c r="Z7" i="6"/>
  <c r="V7" i="6"/>
  <c r="X7" i="6"/>
  <c r="L7" i="6"/>
  <c r="J7" i="6"/>
  <c r="G7" i="6"/>
  <c r="AD7" i="6"/>
  <c r="AD13" i="6"/>
  <c r="AD9" i="6"/>
  <c r="AJ3" i="50" l="1"/>
  <c r="AO2" i="50"/>
  <c r="AO3" i="50" l="1"/>
  <c r="AT2" i="50"/>
  <c r="AT3" i="50" s="1"/>
  <c r="N111" i="19" l="1"/>
  <c r="N110" i="19"/>
  <c r="N109" i="19"/>
  <c r="N95" i="19"/>
  <c r="N94" i="19"/>
  <c r="N84" i="19"/>
  <c r="N83" i="19"/>
  <c r="N82" i="19"/>
  <c r="N81" i="19"/>
  <c r="N67" i="19"/>
  <c r="N69" i="19"/>
  <c r="N68" i="19"/>
  <c r="N56" i="19"/>
  <c r="N55" i="19"/>
  <c r="N53" i="19"/>
  <c r="N40" i="19"/>
  <c r="N38" i="19"/>
  <c r="C36" i="13" l="1"/>
  <c r="C35" i="13"/>
  <c r="C34" i="13"/>
  <c r="C33" i="13"/>
  <c r="C32" i="13"/>
  <c r="C31" i="13"/>
  <c r="C30" i="13"/>
  <c r="C29" i="13"/>
  <c r="C28" i="13"/>
  <c r="J23" i="13"/>
  <c r="J22" i="13"/>
  <c r="J21" i="13"/>
  <c r="J20" i="13"/>
  <c r="J19" i="13"/>
  <c r="J18" i="13"/>
  <c r="J17" i="13"/>
  <c r="J16" i="13"/>
  <c r="J15" i="13"/>
  <c r="D23" i="13"/>
  <c r="D22" i="13"/>
  <c r="D21" i="13"/>
  <c r="D20" i="13"/>
  <c r="D19" i="13"/>
  <c r="D18" i="13"/>
  <c r="D17" i="13"/>
  <c r="D16" i="13"/>
  <c r="D15" i="13"/>
  <c r="J11" i="13"/>
  <c r="J10" i="13"/>
  <c r="J9" i="13"/>
  <c r="J8" i="13"/>
  <c r="J7" i="13"/>
  <c r="J6" i="13"/>
  <c r="C11" i="13"/>
  <c r="C10" i="13"/>
  <c r="C9" i="13"/>
  <c r="C8" i="13"/>
  <c r="C7" i="13"/>
  <c r="C6" i="13"/>
  <c r="B10" i="40"/>
  <c r="B9" i="40"/>
  <c r="B8" i="25"/>
  <c r="A8" i="25"/>
  <c r="M141" i="62"/>
  <c r="M140" i="62"/>
  <c r="M139" i="62"/>
  <c r="M138" i="62"/>
  <c r="M137" i="62"/>
  <c r="M142" i="62" s="1"/>
  <c r="M133" i="62"/>
  <c r="M132" i="62"/>
  <c r="M131" i="62"/>
  <c r="M130" i="62"/>
  <c r="M129" i="62"/>
  <c r="M134" i="62" s="1"/>
  <c r="M125" i="62"/>
  <c r="M124" i="62"/>
  <c r="M123" i="62"/>
  <c r="M122" i="62"/>
  <c r="M126" i="62" s="1"/>
  <c r="M121" i="62"/>
  <c r="M179" i="20"/>
  <c r="M178" i="20"/>
  <c r="M177" i="20"/>
  <c r="M182" i="20" s="1"/>
  <c r="M169" i="20"/>
  <c r="M174" i="20" s="1"/>
  <c r="M165" i="20"/>
  <c r="M164" i="20"/>
  <c r="M163" i="20"/>
  <c r="M162" i="20"/>
  <c r="M161" i="20"/>
  <c r="M166" i="20" s="1"/>
  <c r="M157" i="20"/>
  <c r="M156" i="20"/>
  <c r="M155" i="20"/>
  <c r="M158" i="20" s="1"/>
  <c r="M154" i="20"/>
  <c r="M153" i="20"/>
  <c r="M142" i="19"/>
  <c r="M141" i="19"/>
  <c r="M140" i="19"/>
  <c r="M139" i="19"/>
  <c r="M138" i="19"/>
  <c r="M137" i="19"/>
  <c r="M133" i="19"/>
  <c r="M132" i="19"/>
  <c r="M131" i="19"/>
  <c r="M130" i="19"/>
  <c r="M129" i="19"/>
  <c r="M134" i="19" s="1"/>
  <c r="M125" i="19"/>
  <c r="M124" i="19"/>
  <c r="M123" i="19"/>
  <c r="M122" i="19"/>
  <c r="M126" i="19" s="1"/>
  <c r="M121" i="19"/>
  <c r="I7" i="13" l="1"/>
  <c r="U7" i="5" l="1"/>
  <c r="U6" i="5"/>
  <c r="U5" i="5"/>
  <c r="I5" i="5" l="1"/>
  <c r="I6" i="5"/>
  <c r="I7" i="5"/>
  <c r="I8" i="5"/>
  <c r="I9" i="5"/>
  <c r="I10" i="5"/>
  <c r="I11" i="5"/>
  <c r="K8" i="5" l="1"/>
  <c r="M113" i="62" l="1"/>
  <c r="M114" i="62" s="1"/>
  <c r="M112" i="62"/>
  <c r="M111" i="62"/>
  <c r="M110" i="62"/>
  <c r="M109" i="62"/>
  <c r="M105" i="62"/>
  <c r="M104" i="62"/>
  <c r="M103" i="62"/>
  <c r="M102" i="62"/>
  <c r="M101" i="62"/>
  <c r="M106" i="62" s="1"/>
  <c r="M97" i="62"/>
  <c r="M96" i="62"/>
  <c r="M95" i="62"/>
  <c r="M94" i="62"/>
  <c r="M93" i="62"/>
  <c r="M98" i="62" s="1"/>
  <c r="M143" i="20"/>
  <c r="M142" i="20"/>
  <c r="M141" i="20"/>
  <c r="M146" i="20" s="1"/>
  <c r="M133" i="20"/>
  <c r="M138" i="20" s="1"/>
  <c r="M129" i="20"/>
  <c r="M128" i="20"/>
  <c r="M127" i="20"/>
  <c r="M126" i="20"/>
  <c r="M125" i="20"/>
  <c r="M130" i="20" s="1"/>
  <c r="M121" i="20"/>
  <c r="M120" i="20"/>
  <c r="M119" i="20"/>
  <c r="M122" i="20" s="1"/>
  <c r="M118" i="20"/>
  <c r="M117" i="20"/>
  <c r="M113" i="19"/>
  <c r="M112" i="19"/>
  <c r="M111" i="19"/>
  <c r="M110" i="19"/>
  <c r="M109" i="19"/>
  <c r="M114" i="19" s="1"/>
  <c r="M105" i="19"/>
  <c r="M104" i="19"/>
  <c r="M103" i="19"/>
  <c r="M102" i="19"/>
  <c r="M101" i="19"/>
  <c r="M106" i="19" s="1"/>
  <c r="M97" i="19"/>
  <c r="M96" i="19"/>
  <c r="M95" i="19"/>
  <c r="M94" i="19"/>
  <c r="M93" i="19"/>
  <c r="M98" i="19" l="1"/>
  <c r="C31" i="41" l="1"/>
  <c r="M85" i="62" l="1"/>
  <c r="M84" i="62"/>
  <c r="M83" i="62"/>
  <c r="M82" i="62"/>
  <c r="M81" i="62"/>
  <c r="M86" i="62" s="1"/>
  <c r="M77" i="62"/>
  <c r="M76" i="62"/>
  <c r="M75" i="62"/>
  <c r="M74" i="62"/>
  <c r="M73" i="62"/>
  <c r="M78" i="62" s="1"/>
  <c r="M69" i="62"/>
  <c r="M68" i="62"/>
  <c r="M67" i="62"/>
  <c r="M66" i="62"/>
  <c r="M70" i="62" s="1"/>
  <c r="M65" i="62"/>
  <c r="M57" i="62"/>
  <c r="M56" i="62"/>
  <c r="M55" i="62"/>
  <c r="M54" i="62"/>
  <c r="M53" i="62"/>
  <c r="M49" i="62"/>
  <c r="M48" i="62"/>
  <c r="M47" i="62"/>
  <c r="M46" i="62"/>
  <c r="M45" i="62"/>
  <c r="M50" i="62" s="1"/>
  <c r="M41" i="62"/>
  <c r="M40" i="62"/>
  <c r="M39" i="62"/>
  <c r="M38" i="62"/>
  <c r="M37" i="62"/>
  <c r="M107" i="20"/>
  <c r="M106" i="20"/>
  <c r="M105" i="20"/>
  <c r="M110" i="20" s="1"/>
  <c r="M97" i="20"/>
  <c r="M102" i="20" s="1"/>
  <c r="M93" i="20"/>
  <c r="M92" i="20"/>
  <c r="M91" i="20"/>
  <c r="M90" i="20"/>
  <c r="M89" i="20"/>
  <c r="M94" i="20" s="1"/>
  <c r="M85" i="20"/>
  <c r="M84" i="20"/>
  <c r="M83" i="20"/>
  <c r="M86" i="20" s="1"/>
  <c r="M82" i="20"/>
  <c r="M81" i="20"/>
  <c r="M71" i="20"/>
  <c r="M70" i="20"/>
  <c r="M69" i="20"/>
  <c r="M74" i="20" s="1"/>
  <c r="M61" i="20"/>
  <c r="M66" i="20" s="1"/>
  <c r="M57" i="20"/>
  <c r="M56" i="20"/>
  <c r="M55" i="20"/>
  <c r="M54" i="20"/>
  <c r="M53" i="20"/>
  <c r="M58" i="20" s="1"/>
  <c r="M49" i="20"/>
  <c r="M48" i="20"/>
  <c r="M47" i="20"/>
  <c r="M50" i="20" s="1"/>
  <c r="M46" i="20"/>
  <c r="M45" i="20"/>
  <c r="M85" i="19"/>
  <c r="M84" i="19"/>
  <c r="M83" i="19"/>
  <c r="M82" i="19"/>
  <c r="M81" i="19"/>
  <c r="M77" i="19"/>
  <c r="M76" i="19"/>
  <c r="M75" i="19"/>
  <c r="M74" i="19"/>
  <c r="M73" i="19"/>
  <c r="M78" i="19" s="1"/>
  <c r="M69" i="19"/>
  <c r="M68" i="19"/>
  <c r="M67" i="19"/>
  <c r="M66" i="19"/>
  <c r="M70" i="19" s="1"/>
  <c r="M65" i="19"/>
  <c r="M57" i="19"/>
  <c r="M56" i="19"/>
  <c r="M55" i="19"/>
  <c r="M54" i="19"/>
  <c r="M53" i="19"/>
  <c r="M58" i="19" s="1"/>
  <c r="M50" i="19"/>
  <c r="M49" i="19"/>
  <c r="M48" i="19"/>
  <c r="M47" i="19"/>
  <c r="M46" i="19"/>
  <c r="M45" i="19"/>
  <c r="M41" i="19"/>
  <c r="M40" i="19"/>
  <c r="M39" i="19"/>
  <c r="M38" i="19"/>
  <c r="M37" i="19"/>
  <c r="M86" i="19" l="1"/>
  <c r="M42" i="19"/>
  <c r="M58" i="62"/>
  <c r="M42" i="62"/>
  <c r="T26" i="64"/>
  <c r="U26" i="64" s="1"/>
  <c r="S26" i="64"/>
  <c r="R26" i="64"/>
  <c r="O26" i="64"/>
  <c r="M26" i="64"/>
  <c r="K26" i="64"/>
  <c r="T25" i="64"/>
  <c r="U25" i="64" s="1"/>
  <c r="S25" i="64"/>
  <c r="R25" i="64"/>
  <c r="O25" i="64"/>
  <c r="M25" i="64"/>
  <c r="K25" i="64"/>
  <c r="T24" i="64"/>
  <c r="U24" i="64" s="1"/>
  <c r="S24" i="64"/>
  <c r="R24" i="64"/>
  <c r="O24" i="64"/>
  <c r="M24" i="64"/>
  <c r="K24" i="64"/>
  <c r="T23" i="64"/>
  <c r="U23" i="64" s="1"/>
  <c r="S23" i="64"/>
  <c r="R23" i="64"/>
  <c r="O23" i="64"/>
  <c r="M23" i="64"/>
  <c r="K23" i="64"/>
  <c r="T22" i="64"/>
  <c r="U22" i="64" s="1"/>
  <c r="S22" i="64"/>
  <c r="R22" i="64"/>
  <c r="O22" i="64"/>
  <c r="M22" i="64"/>
  <c r="K22" i="64"/>
  <c r="T21" i="64"/>
  <c r="U21" i="64" s="1"/>
  <c r="S21" i="64"/>
  <c r="R21" i="64"/>
  <c r="O21" i="64"/>
  <c r="M21" i="64"/>
  <c r="K21" i="64"/>
  <c r="T20" i="64"/>
  <c r="U20" i="64" s="1"/>
  <c r="S20" i="64"/>
  <c r="R20" i="64"/>
  <c r="O20" i="64"/>
  <c r="M20" i="64"/>
  <c r="K20" i="64"/>
  <c r="T19" i="64"/>
  <c r="U19" i="64" s="1"/>
  <c r="S19" i="64"/>
  <c r="R19" i="64"/>
  <c r="O19" i="64"/>
  <c r="M19" i="64"/>
  <c r="K19" i="64"/>
  <c r="T18" i="64"/>
  <c r="U18" i="64" s="1"/>
  <c r="S18" i="64"/>
  <c r="R18" i="64"/>
  <c r="O18" i="64"/>
  <c r="M18" i="64"/>
  <c r="K18" i="64"/>
  <c r="T17" i="64"/>
  <c r="U17" i="64" s="1"/>
  <c r="S17" i="64"/>
  <c r="R17" i="64"/>
  <c r="O17" i="64"/>
  <c r="M17" i="64"/>
  <c r="K17" i="64"/>
  <c r="T16" i="64"/>
  <c r="U16" i="64" s="1"/>
  <c r="S16" i="64"/>
  <c r="R16" i="64"/>
  <c r="O16" i="64"/>
  <c r="M16" i="64"/>
  <c r="K16" i="64"/>
  <c r="T15" i="64"/>
  <c r="U15" i="64" s="1"/>
  <c r="S15" i="64"/>
  <c r="R15" i="64"/>
  <c r="O15" i="64"/>
  <c r="M15" i="64"/>
  <c r="K15" i="64"/>
  <c r="T14" i="64"/>
  <c r="U14" i="64" s="1"/>
  <c r="S14" i="64"/>
  <c r="R14" i="64"/>
  <c r="O14" i="64"/>
  <c r="M14" i="64"/>
  <c r="K14" i="64"/>
  <c r="T13" i="64"/>
  <c r="U13" i="64" s="1"/>
  <c r="S13" i="64"/>
  <c r="R13" i="64"/>
  <c r="O13" i="64"/>
  <c r="M13" i="64"/>
  <c r="K13" i="64"/>
  <c r="T12" i="64"/>
  <c r="U12" i="64" s="1"/>
  <c r="S12" i="64"/>
  <c r="R12" i="64"/>
  <c r="O12" i="64"/>
  <c r="M12" i="64"/>
  <c r="K12" i="64"/>
  <c r="T11" i="64"/>
  <c r="U11" i="64" s="1"/>
  <c r="S11" i="64"/>
  <c r="R11" i="64"/>
  <c r="O11" i="64"/>
  <c r="M11" i="64"/>
  <c r="K11" i="64"/>
  <c r="T10" i="64"/>
  <c r="U10" i="64" s="1"/>
  <c r="S10" i="64"/>
  <c r="R10" i="64"/>
  <c r="O10" i="64"/>
  <c r="M10" i="64"/>
  <c r="K10" i="64"/>
  <c r="T9" i="64"/>
  <c r="U9" i="64" s="1"/>
  <c r="S9" i="64"/>
  <c r="R9" i="64"/>
  <c r="O9" i="64"/>
  <c r="M9" i="64"/>
  <c r="K9" i="64"/>
  <c r="T8" i="64"/>
  <c r="U8" i="64" s="1"/>
  <c r="S8" i="64"/>
  <c r="R8" i="64"/>
  <c r="O8" i="64"/>
  <c r="M8" i="64"/>
  <c r="K8" i="64"/>
  <c r="T7" i="64"/>
  <c r="U7" i="64" s="1"/>
  <c r="S7" i="64"/>
  <c r="R7" i="64"/>
  <c r="O7" i="64"/>
  <c r="M7" i="64"/>
  <c r="K7" i="64"/>
  <c r="I10" i="13" l="1"/>
  <c r="K22" i="62"/>
  <c r="K30" i="62"/>
  <c r="K14" i="19"/>
  <c r="K14" i="62"/>
  <c r="K14" i="20"/>
  <c r="K30" i="19"/>
  <c r="K22" i="20"/>
  <c r="K30" i="20"/>
  <c r="K22" i="19"/>
  <c r="K38" i="20"/>
  <c r="I9" i="13"/>
  <c r="I8" i="13"/>
  <c r="I6" i="13"/>
  <c r="I11" i="13" l="1"/>
  <c r="V5" i="5" l="1"/>
  <c r="S5" i="5"/>
  <c r="P5" i="5"/>
  <c r="M5" i="5"/>
  <c r="J5" i="5"/>
  <c r="G5" i="5"/>
  <c r="U11" i="3" l="1"/>
  <c r="O11" i="3"/>
  <c r="U10" i="3"/>
  <c r="O10" i="3"/>
  <c r="U9" i="3"/>
  <c r="O9" i="3"/>
  <c r="U8" i="3"/>
  <c r="O8" i="3"/>
  <c r="U7" i="3"/>
  <c r="O7" i="3"/>
  <c r="U6" i="3"/>
  <c r="O6" i="3"/>
  <c r="U5" i="3"/>
  <c r="S5" i="3"/>
  <c r="O5" i="3"/>
  <c r="M5" i="3"/>
  <c r="J5" i="3"/>
  <c r="G5" i="3"/>
  <c r="B7" i="13" l="1"/>
  <c r="B6" i="13"/>
  <c r="V5" i="3"/>
  <c r="P5" i="3"/>
  <c r="M29" i="62" l="1"/>
  <c r="M28" i="62"/>
  <c r="M27" i="62"/>
  <c r="M26" i="62"/>
  <c r="M25" i="62"/>
  <c r="M21" i="62"/>
  <c r="M20" i="62"/>
  <c r="M19" i="62"/>
  <c r="M18" i="62"/>
  <c r="M17" i="62"/>
  <c r="M13" i="62"/>
  <c r="M12" i="62"/>
  <c r="M11" i="62"/>
  <c r="M10" i="62"/>
  <c r="M9" i="62"/>
  <c r="M35" i="20"/>
  <c r="M34" i="20"/>
  <c r="M33" i="20"/>
  <c r="M38" i="20" s="1"/>
  <c r="M25" i="20"/>
  <c r="M30" i="20" s="1"/>
  <c r="M21" i="20"/>
  <c r="M20" i="20"/>
  <c r="M19" i="20"/>
  <c r="M18" i="20"/>
  <c r="M17" i="20"/>
  <c r="M13" i="20"/>
  <c r="M12" i="20"/>
  <c r="M11" i="20"/>
  <c r="M10" i="20"/>
  <c r="M9" i="20"/>
  <c r="M14" i="20" s="1"/>
  <c r="M29" i="19"/>
  <c r="M28" i="19"/>
  <c r="M27" i="19"/>
  <c r="M26" i="19"/>
  <c r="M25" i="19"/>
  <c r="M30" i="19" s="1"/>
  <c r="M21" i="19"/>
  <c r="M20" i="19"/>
  <c r="M19" i="19"/>
  <c r="M18" i="19"/>
  <c r="M17" i="19"/>
  <c r="M22" i="19" s="1"/>
  <c r="M13" i="19"/>
  <c r="M12" i="19"/>
  <c r="M11" i="19"/>
  <c r="M10" i="19"/>
  <c r="M9" i="19"/>
  <c r="M14" i="62" l="1"/>
  <c r="M22" i="62"/>
  <c r="M22" i="20"/>
  <c r="M14" i="19"/>
  <c r="M30" i="62"/>
  <c r="E29" i="13" l="1"/>
  <c r="E30" i="13"/>
  <c r="E31" i="13"/>
  <c r="E32" i="13"/>
  <c r="E33" i="13"/>
  <c r="E34" i="13"/>
  <c r="E35" i="13"/>
  <c r="E36" i="13"/>
  <c r="E28" i="13"/>
  <c r="J24" i="13"/>
  <c r="K11" i="13"/>
  <c r="K10" i="13"/>
  <c r="K9" i="13"/>
  <c r="K8" i="13"/>
  <c r="K7" i="13"/>
  <c r="K6" i="13"/>
  <c r="E11" i="13"/>
  <c r="E10" i="13"/>
  <c r="E9" i="13"/>
  <c r="E8" i="13"/>
  <c r="E7" i="13"/>
  <c r="E6" i="13"/>
  <c r="D10" i="13"/>
  <c r="D8" i="13"/>
  <c r="D11" i="13"/>
  <c r="D9" i="13"/>
  <c r="P45" i="65"/>
  <c r="P44" i="65"/>
  <c r="P43" i="65"/>
  <c r="P42" i="65"/>
  <c r="P41" i="65"/>
  <c r="P40" i="65"/>
  <c r="P39" i="65"/>
  <c r="P38" i="65"/>
  <c r="P37" i="65"/>
  <c r="P35" i="65"/>
  <c r="P34" i="65"/>
  <c r="P33" i="65"/>
  <c r="P32" i="65"/>
  <c r="P31" i="65"/>
  <c r="P30" i="65"/>
  <c r="P29" i="65"/>
  <c r="P28" i="65"/>
  <c r="P27" i="65"/>
  <c r="P25" i="65"/>
  <c r="P24" i="65"/>
  <c r="P23" i="65"/>
  <c r="P22" i="65"/>
  <c r="P21" i="65"/>
  <c r="P20" i="65"/>
  <c r="P19" i="65"/>
  <c r="P18" i="65"/>
  <c r="P17" i="65"/>
  <c r="P14" i="65"/>
  <c r="P13" i="65"/>
  <c r="P12" i="65"/>
  <c r="O11" i="65"/>
  <c r="N11" i="65"/>
  <c r="M11" i="65"/>
  <c r="L11" i="65"/>
  <c r="K11" i="65"/>
  <c r="J11" i="65"/>
  <c r="I11" i="65"/>
  <c r="H11" i="65"/>
  <c r="G11" i="65"/>
  <c r="P11" i="65" s="1"/>
  <c r="F11" i="65"/>
  <c r="E11" i="65"/>
  <c r="D11" i="65"/>
  <c r="P10" i="65"/>
  <c r="P9" i="65"/>
  <c r="O7" i="65"/>
  <c r="N7" i="65"/>
  <c r="M7" i="65"/>
  <c r="L7" i="65"/>
  <c r="K7" i="65"/>
  <c r="J7" i="65"/>
  <c r="I7" i="65"/>
  <c r="H7" i="65"/>
  <c r="G7" i="65"/>
  <c r="P7" i="65" s="1"/>
  <c r="P6" i="65"/>
  <c r="O5" i="65"/>
  <c r="N5" i="65"/>
  <c r="M5" i="65"/>
  <c r="P5" i="65" s="1"/>
  <c r="L5" i="65"/>
  <c r="K5" i="65"/>
  <c r="J5" i="65"/>
  <c r="I5" i="65"/>
  <c r="H5" i="65"/>
  <c r="G5" i="65"/>
  <c r="P4" i="65"/>
  <c r="P3" i="65"/>
  <c r="P2" i="65"/>
  <c r="D7" i="13" l="1"/>
  <c r="I22" i="13"/>
  <c r="K22" i="13" s="1"/>
  <c r="I17" i="13"/>
  <c r="K17" i="13" s="1"/>
  <c r="I20" i="13"/>
  <c r="K20" i="13" s="1"/>
  <c r="I21" i="13"/>
  <c r="K21" i="13" s="1"/>
  <c r="D24" i="13"/>
  <c r="D6" i="13"/>
  <c r="I18" i="13"/>
  <c r="K18" i="13" s="1"/>
  <c r="I23" i="13"/>
  <c r="K23" i="13" s="1"/>
  <c r="C20" i="13"/>
  <c r="E20" i="13" s="1"/>
  <c r="C18" i="13"/>
  <c r="E18" i="13" s="1"/>
  <c r="C23" i="13"/>
  <c r="E23" i="13" s="1"/>
  <c r="C21" i="13"/>
  <c r="E21" i="13" s="1"/>
  <c r="C17" i="13"/>
  <c r="E17" i="13" s="1"/>
  <c r="C22" i="13"/>
  <c r="E22" i="13" s="1"/>
  <c r="B28" i="13" l="1"/>
  <c r="D28" i="13" s="1"/>
  <c r="I16" i="13" l="1"/>
  <c r="K16" i="13" s="1"/>
  <c r="I19" i="13"/>
  <c r="K19" i="13" s="1"/>
  <c r="I15" i="13"/>
  <c r="C15" i="13"/>
  <c r="C16" i="13"/>
  <c r="E16" i="13" s="1"/>
  <c r="C19" i="13"/>
  <c r="E19" i="13" s="1"/>
  <c r="K15" i="13" l="1"/>
  <c r="I24" i="13"/>
  <c r="E15" i="13"/>
  <c r="C24" i="13"/>
  <c r="D28" i="39" l="1"/>
  <c r="B32" i="13" l="1"/>
  <c r="D32" i="13" s="1"/>
  <c r="B29" i="13"/>
  <c r="D29" i="13" s="1"/>
  <c r="E34" i="39" l="1"/>
  <c r="B34" i="13"/>
  <c r="D34" i="13" s="1"/>
  <c r="B35" i="13"/>
  <c r="D35" i="13" s="1"/>
  <c r="B36" i="13" l="1"/>
  <c r="D36" i="13" s="1"/>
  <c r="B33" i="13"/>
  <c r="D33" i="13" s="1"/>
  <c r="AD7" i="64" l="1"/>
  <c r="H14" i="40" l="1"/>
  <c r="F14" i="40"/>
  <c r="K14" i="40"/>
  <c r="I14" i="40"/>
  <c r="F9" i="40"/>
  <c r="H9" i="40"/>
  <c r="J9" i="40"/>
  <c r="L9" i="40"/>
  <c r="G9" i="40"/>
  <c r="I9" i="40"/>
  <c r="J14" i="40"/>
  <c r="M9" i="40"/>
  <c r="G14" i="40"/>
  <c r="K9" i="40"/>
  <c r="D6" i="5" l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" i="3" l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B12" i="3"/>
  <c r="B19" i="3" s="1"/>
  <c r="B26" i="3" s="1"/>
  <c r="B33" i="3" s="1"/>
  <c r="B40" i="3" s="1"/>
  <c r="B47" i="3" s="1"/>
  <c r="B54" i="3" s="1"/>
  <c r="B61" i="3" s="1"/>
  <c r="B5" i="40" l="1"/>
  <c r="C10" i="40" l="1"/>
  <c r="C9" i="40"/>
  <c r="C53" i="41" l="1"/>
  <c r="K142" i="19" l="1"/>
  <c r="K134" i="19"/>
  <c r="K182" i="20"/>
  <c r="K174" i="20"/>
  <c r="K166" i="20"/>
  <c r="K126" i="19"/>
  <c r="K158" i="20"/>
  <c r="D30" i="39" l="1"/>
  <c r="B31" i="13" l="1"/>
  <c r="D31" i="13" s="1"/>
  <c r="B30" i="13"/>
  <c r="D30" i="13" s="1"/>
  <c r="E28" i="39"/>
  <c r="C21" i="39" l="1"/>
  <c r="C22" i="39"/>
  <c r="C17" i="39"/>
  <c r="C20" i="39"/>
  <c r="C15" i="39"/>
  <c r="C23" i="39"/>
  <c r="C19" i="39"/>
  <c r="C18" i="39"/>
  <c r="C16" i="39"/>
  <c r="C54" i="41" l="1"/>
  <c r="K142" i="62" l="1"/>
  <c r="K134" i="62"/>
  <c r="K126" i="62"/>
  <c r="AE7" i="64"/>
  <c r="AF7" i="64"/>
  <c r="AG7" i="64"/>
  <c r="AH7" i="64"/>
  <c r="AI7" i="64"/>
  <c r="AJ7" i="64"/>
  <c r="AE8" i="64"/>
  <c r="AF8" i="64"/>
  <c r="AG8" i="64"/>
  <c r="AH8" i="64"/>
  <c r="AI8" i="64"/>
  <c r="AJ8" i="64"/>
  <c r="AD8" i="64"/>
  <c r="AC7" i="64"/>
  <c r="AD9" i="64" l="1"/>
  <c r="G58" i="41"/>
  <c r="I58" i="41"/>
  <c r="L53" i="41"/>
  <c r="F53" i="41"/>
  <c r="J58" i="41"/>
  <c r="H58" i="41"/>
  <c r="F58" i="41"/>
  <c r="J53" i="41"/>
  <c r="H53" i="41"/>
  <c r="G53" i="41"/>
  <c r="AJ9" i="64"/>
  <c r="M53" i="41"/>
  <c r="K53" i="41"/>
  <c r="I53" i="41"/>
  <c r="K58" i="41"/>
  <c r="AI9" i="64"/>
  <c r="AG9" i="64"/>
  <c r="AF9" i="64"/>
  <c r="AH9" i="64"/>
  <c r="AE9" i="64"/>
  <c r="F10" i="40" l="1"/>
  <c r="F42" i="41" l="1"/>
  <c r="I42" i="41"/>
  <c r="K42" i="41"/>
  <c r="M42" i="41"/>
  <c r="H42" i="41"/>
  <c r="J42" i="41"/>
  <c r="L42" i="41"/>
  <c r="F47" i="41"/>
  <c r="H47" i="41"/>
  <c r="J47" i="41"/>
  <c r="G42" i="41"/>
  <c r="I47" i="41" l="1"/>
  <c r="G47" i="41"/>
  <c r="K47" i="41"/>
  <c r="I31" i="41" l="1"/>
  <c r="K31" i="41"/>
  <c r="M31" i="41"/>
  <c r="G36" i="41"/>
  <c r="I36" i="41"/>
  <c r="H31" i="41"/>
  <c r="J31" i="41"/>
  <c r="L31" i="41"/>
  <c r="F36" i="41"/>
  <c r="H36" i="41"/>
  <c r="J36" i="41"/>
  <c r="F31" i="41"/>
  <c r="G31" i="41"/>
  <c r="K36" i="41" l="1"/>
  <c r="H10" i="40" l="1"/>
  <c r="J10" i="40"/>
  <c r="L10" i="40"/>
  <c r="F15" i="40"/>
  <c r="H15" i="40"/>
  <c r="J15" i="40"/>
  <c r="C42" i="41"/>
  <c r="K30" i="61" l="1"/>
  <c r="K22" i="61"/>
  <c r="K14" i="61"/>
  <c r="K50" i="62"/>
  <c r="K42" i="62"/>
  <c r="K58" i="62"/>
  <c r="K74" i="20"/>
  <c r="K58" i="20"/>
  <c r="K50" i="20"/>
  <c r="K50" i="19"/>
  <c r="K58" i="19"/>
  <c r="K66" i="20"/>
  <c r="K42" i="19"/>
  <c r="K114" i="19"/>
  <c r="K106" i="19"/>
  <c r="K146" i="20"/>
  <c r="K138" i="20"/>
  <c r="K98" i="19"/>
  <c r="K122" i="20"/>
  <c r="K130" i="20"/>
  <c r="K114" i="62"/>
  <c r="K106" i="62"/>
  <c r="K98" i="62"/>
  <c r="C32" i="41"/>
  <c r="K78" i="62"/>
  <c r="K70" i="62"/>
  <c r="K86" i="62"/>
  <c r="K78" i="19"/>
  <c r="K70" i="19"/>
  <c r="K110" i="20"/>
  <c r="K102" i="20"/>
  <c r="K94" i="20"/>
  <c r="K86" i="20"/>
  <c r="K86" i="19"/>
  <c r="K15" i="40"/>
  <c r="G15" i="40"/>
  <c r="C21" i="41"/>
  <c r="C20" i="41"/>
  <c r="I15" i="40"/>
  <c r="G10" i="40"/>
  <c r="M10" i="40"/>
  <c r="I10" i="40"/>
  <c r="K10" i="40"/>
  <c r="C43" i="41"/>
  <c r="I25" i="41"/>
  <c r="G25" i="41"/>
  <c r="I20" i="41"/>
  <c r="M20" i="41"/>
  <c r="K20" i="41"/>
  <c r="K25" i="41"/>
  <c r="K22" i="57"/>
  <c r="E29" i="39" l="1"/>
  <c r="D8" i="39" l="1"/>
  <c r="M10" i="58" l="1"/>
  <c r="M11" i="58"/>
  <c r="M12" i="58"/>
  <c r="M13" i="58"/>
  <c r="M9" i="58"/>
  <c r="M29" i="60" l="1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M26" i="60" l="1"/>
  <c r="M27" i="60"/>
  <c r="M28" i="60"/>
  <c r="M21" i="58"/>
  <c r="M20" i="58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K22" i="60" l="1"/>
  <c r="K22" i="59"/>
  <c r="K38" i="60"/>
  <c r="K30" i="59"/>
  <c r="K14" i="60"/>
  <c r="K30" i="60"/>
  <c r="K14" i="59"/>
  <c r="J24" i="39" l="1"/>
  <c r="D24" i="39"/>
  <c r="I15" i="39" l="1"/>
  <c r="D34" i="39" l="1"/>
  <c r="D33" i="39" l="1"/>
  <c r="D31" i="39"/>
  <c r="D32" i="39"/>
  <c r="D36" i="39"/>
  <c r="D35" i="39"/>
  <c r="E36" i="39"/>
  <c r="E31" i="39" l="1"/>
  <c r="D29" i="39"/>
  <c r="E30" i="39" l="1"/>
  <c r="E32" i="39"/>
  <c r="E33" i="39"/>
  <c r="E35" i="39"/>
  <c r="Q19" i="1" l="1"/>
  <c r="L20" i="21" l="1"/>
  <c r="L19" i="21" l="1"/>
  <c r="L18" i="21"/>
  <c r="L17" i="21"/>
  <c r="L16" i="21"/>
  <c r="L10" i="21"/>
  <c r="L11" i="21"/>
  <c r="L12" i="21"/>
  <c r="L13" i="21"/>
  <c r="L9" i="21"/>
  <c r="D6" i="39" l="1"/>
  <c r="D10" i="39"/>
  <c r="E16" i="39"/>
  <c r="E22" i="39"/>
  <c r="E18" i="39"/>
  <c r="E21" i="39"/>
  <c r="E20" i="39"/>
  <c r="E17" i="39"/>
  <c r="E23" i="39"/>
  <c r="E19" i="39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D9" i="39" l="1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>
  <authors>
    <author>陳佳萱</author>
  </authors>
  <commentList>
    <comment ref="C9" authorId="0" shapeId="0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<sst xmlns="http://schemas.openxmlformats.org/spreadsheetml/2006/main" count="5204" uniqueCount="754">
  <si>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</si>
  <si>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</si>
  <si>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</si>
  <si>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</si>
  <si>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</si>
  <si>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</si>
  <si>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</si>
  <si>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</si>
  <si>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</si>
  <si>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</si>
  <si>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</si>
  <si>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</si>
  <si>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</si>
  <si>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</si>
  <si>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</si>
  <si>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</si>
  <si>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</si>
  <si>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</si>
  <si>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</si>
  <si>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</si>
  <si>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</si>
  <si>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</si>
  <si>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</si>
  <si>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</si>
  <si>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</si>
  <si>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</si>
  <si>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</si>
  <si>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</si>
  <si>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</si>
  <si>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</si>
  <si>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</si>
  <si>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</si>
  <si>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</si>
  <si>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</si>
  <si>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</si>
  <si>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</si>
  <si>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</si>
  <si>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</si>
  <si>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</si>
  <si>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</si>
  <si>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</si>
  <si>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</si>
  <si>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</si>
  <si>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</si>
  <si>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</si>
  <si>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</si>
  <si>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</si>
  <si>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</si>
  <si>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</si>
  <si>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</si>
  <si>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</si>
  <si>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</si>
  <si>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</si>
  <si>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</si>
  <si>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</si>
  <si>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</si>
  <si>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</si>
  <si>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</si>
  <si>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</si>
  <si>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</si>
  <si>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</si>
  <si>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</si>
  <si>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</si>
  <si>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</si>
  <si>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</si>
  <si>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</si>
  <si>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</si>
  <si>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</si>
  <si>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</si>
  <si>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</si>
  <si>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</si>
  <si>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</si>
  <si>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</si>
  <si>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</si>
  <si>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</si>
  <si>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</si>
  <si>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</si>
  <si>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</si>
  <si>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</si>
  <si>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</si>
  <si>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</si>
  <si>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</si>
  <si>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</si>
  <si>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</si>
  <si>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</si>
  <si>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</si>
  <si>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</si>
  <si>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</si>
  <si>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</si>
  <si>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</si>
  <si>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</si>
  <si>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</si>
  <si>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</si>
  <si>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</si>
  <si>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</si>
  <si>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</si>
  <si>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</si>
  <si>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</si>
  <si>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</si>
  <si>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</si>
  <si>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</si>
  <si>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</si>
  <si>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</si>
  <si>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</si>
  <si>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</si>
  <si>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</si>
  <si>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</si>
  <si>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</si>
  <si>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</si>
  <si>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</si>
  <si>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</si>
  <si>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</si>
  <si>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</si>
  <si>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</si>
  <si>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</si>
  <si>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</si>
  <si>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</si>
  <si>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</si>
  <si>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</si>
  <si>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</si>
  <si>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</si>
  <si>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</si>
  <si>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</si>
  <si>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</si>
  <si>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</si>
  <si>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</si>
  <si>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</si>
  <si>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</si>
  <si>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</si>
  <si>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</si>
  <si>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</si>
  <si>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</si>
  <si>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</si>
  <si>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</si>
  <si>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</si>
  <si>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營業額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</si>
  <si>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</si>
  <si>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</si>
  <si>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</si>
  <si>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</si>
  <si>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</si>
  <si>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</si>
  <si>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</si>
  <si>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</si>
  <si>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</si>
  <si>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</si>
  <si>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</si>
  <si>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</si>
  <si>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</si>
  <si>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</si>
  <si>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</si>
  <si>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</si>
  <si>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合計</t>
    <phoneticPr fontId="13" type="noConversion"/>
  </si>
  <si>
    <t>訂單量</t>
    <phoneticPr fontId="13" type="noConversion"/>
  </si>
  <si>
    <t>訂單數</t>
    <phoneticPr fontId="13" type="noConversion"/>
  </si>
  <si>
    <t>18℃-壽司手卷</t>
  </si>
  <si>
    <t>4℃-壽司手卷</t>
  </si>
  <si>
    <t>商品名稱</t>
    <phoneticPr fontId="13" type="noConversion"/>
  </si>
  <si>
    <t>計畫</t>
    <phoneticPr fontId="13" type="noConversion"/>
  </si>
  <si>
    <t>人數</t>
    <phoneticPr fontId="13" type="noConversion"/>
  </si>
  <si>
    <t>實際</t>
    <phoneticPr fontId="13" type="noConversion"/>
  </si>
  <si>
    <t>人時性</t>
    <phoneticPr fontId="13" type="noConversion"/>
  </si>
  <si>
    <t>品群</t>
    <phoneticPr fontId="13" type="noConversion"/>
  </si>
  <si>
    <t>平均人時性</t>
    <phoneticPr fontId="13" type="noConversion"/>
  </si>
  <si>
    <t>日報</t>
    <phoneticPr fontId="13" type="noConversion"/>
  </si>
  <si>
    <t>排名</t>
    <phoneticPr fontId="13" type="noConversion"/>
  </si>
  <si>
    <t>製程不穩</t>
    <phoneticPr fontId="10"/>
  </si>
  <si>
    <t>研發設定</t>
    <phoneticPr fontId="10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</si>
  <si>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</si>
  <si>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</si>
  <si>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</si>
  <si>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</si>
  <si>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</si>
  <si>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</si>
  <si>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</si>
  <si>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</si>
  <si>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</si>
  <si>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</si>
  <si>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</si>
  <si>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</si>
  <si>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</si>
  <si>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</si>
  <si>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</si>
  <si>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</si>
  <si>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</si>
  <si>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</si>
  <si>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</si>
  <si>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</si>
  <si>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</si>
  <si>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</si>
  <si>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</si>
  <si>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</si>
  <si>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</si>
  <si>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</si>
  <si>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</si>
  <si>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</si>
  <si>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</si>
  <si>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</si>
  <si>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</si>
  <si>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</si>
  <si>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</si>
  <si>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</si>
  <si>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</si>
  <si>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</si>
  <si>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t>▼1</t>
    <phoneticPr fontId="10"/>
  </si>
  <si>
    <t>▼3</t>
    <phoneticPr fontId="10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</si>
  <si>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</si>
  <si>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</si>
  <si>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</si>
  <si>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0"/>
  </si>
  <si>
    <t>▼4</t>
    <phoneticPr fontId="10"/>
  </si>
  <si>
    <t>▼5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</si>
  <si>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</si>
  <si>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</si>
  <si>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</si>
  <si>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</si>
  <si>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</si>
  <si>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</si>
  <si>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</si>
  <si>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</si>
  <si>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</si>
  <si>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</si>
  <si>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</si>
  <si>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</si>
  <si>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</si>
  <si>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</si>
  <si>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</si>
  <si>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</si>
  <si>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</si>
  <si>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</si>
  <si>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</si>
  <si>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</si>
  <si>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</si>
  <si>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</si>
  <si>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</si>
  <si>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</si>
  <si>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</si>
  <si>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</si>
  <si>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</si>
  <si>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</si>
  <si>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</si>
  <si>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比例</t>
    <phoneticPr fontId="10"/>
  </si>
  <si>
    <t>報廢</t>
    <phoneticPr fontId="10"/>
  </si>
  <si>
    <t>超用</t>
    <phoneticPr fontId="10"/>
  </si>
  <si>
    <t>總件數</t>
    <phoneticPr fontId="13" type="noConversion"/>
  </si>
  <si>
    <t>分析原因</t>
    <phoneticPr fontId="13" type="noConversion"/>
  </si>
  <si>
    <t>次數</t>
    <phoneticPr fontId="13" type="noConversion"/>
  </si>
  <si>
    <t>分析原因（件）</t>
    <phoneticPr fontId="13" type="noConversion"/>
  </si>
  <si>
    <t>報廢金額</t>
    <phoneticPr fontId="13" type="noConversion"/>
  </si>
  <si>
    <t>其他原因</t>
    <phoneticPr fontId="13" type="noConversion"/>
  </si>
  <si>
    <t>補單占比</t>
    <phoneticPr fontId="13" type="noConversion"/>
  </si>
  <si>
    <t>展開量高於１０5％</t>
    <phoneticPr fontId="10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</si>
  <si>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</si>
  <si>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</si>
  <si>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</si>
  <si>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</si>
  <si>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</si>
  <si>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</si>
  <si>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</si>
  <si>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</si>
  <si>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</si>
  <si>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</si>
  <si>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</si>
  <si>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</si>
  <si>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</si>
  <si>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</si>
  <si>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</si>
  <si>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</si>
  <si>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</si>
  <si>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</si>
  <si>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</si>
  <si>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</si>
  <si>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</si>
  <si>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</si>
  <si>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</si>
  <si>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</si>
  <si>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</si>
  <si>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</si>
  <si>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</si>
  <si>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</si>
  <si>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</si>
  <si>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</si>
  <si>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</si>
  <si>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</si>
  <si>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</si>
  <si>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</si>
  <si>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</si>
  <si>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</si>
  <si>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</si>
  <si>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</si>
  <si>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</si>
  <si>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</si>
  <si>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</si>
  <si>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</si>
  <si>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</si>
  <si>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</si>
  <si>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</si>
  <si>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</si>
  <si>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</si>
  <si>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</si>
  <si>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</si>
  <si>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</si>
  <si>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</si>
  <si>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</si>
  <si>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</si>
  <si>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</si>
  <si>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</si>
  <si>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</si>
  <si>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</si>
  <si>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</si>
  <si>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</si>
  <si>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</si>
  <si>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</si>
  <si>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</si>
  <si>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</si>
  <si>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</si>
  <si>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</si>
  <si>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</si>
  <si>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</si>
  <si>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</si>
  <si>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</si>
  <si>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</si>
  <si>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</si>
  <si>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</si>
  <si>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</si>
  <si>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</si>
  <si>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</si>
  <si>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</si>
  <si>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</si>
  <si>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</si>
  <si>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</si>
  <si>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</si>
  <si>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前週比</t>
    <phoneticPr fontId="13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</si>
  <si>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</si>
  <si>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</si>
  <si>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烤銀鮭魚肚</t>
  </si>
  <si>
    <t>烤黑胡椒洋蔥絲</t>
  </si>
  <si>
    <t>(V)川燙小青花菜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</si>
  <si>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</si>
  <si>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</si>
  <si>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0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</si>
  <si>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</si>
  <si>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</si>
  <si>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</si>
  <si>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</si>
  <si>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</si>
  <si>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</si>
  <si>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</si>
  <si>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</si>
  <si>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麻油雞飯糰</t>
  </si>
  <si>
    <t>微波主食</t>
    <phoneticPr fontId="13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</si>
  <si>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</si>
  <si>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</si>
  <si>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</si>
  <si>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</si>
  <si>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</si>
  <si>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</si>
  <si>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</si>
  <si>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3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</si>
  <si>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3" type="noConversion"/>
  </si>
  <si>
    <t>薑炒筍尾</t>
  </si>
  <si>
    <t>川味秋木耳</t>
  </si>
  <si>
    <t>炒油蔥醬</t>
  </si>
  <si>
    <t>蒸-全熟雞肉絲CL(113年)</t>
  </si>
  <si>
    <t>雞肉飯飯糰</t>
  </si>
  <si>
    <t>大溪廠</t>
    <phoneticPr fontId="13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</si>
  <si>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</si>
  <si>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生產管理報表</t>
    <phoneticPr fontId="13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</si>
  <si>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</si>
  <si>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3" type="noConversion"/>
  </si>
  <si>
    <t>實績 (週平均)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</si>
  <si>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3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</si>
  <si>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</si>
  <si>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3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</si>
  <si>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</si>
  <si>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t>18℃-壽司手卷</t>
    <phoneticPr fontId="13" type="noConversion"/>
  </si>
  <si>
    <t>4℃-壽司手卷</t>
    <phoneticPr fontId="13" type="noConversion"/>
  </si>
  <si>
    <t>季節調理麵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</si>
  <si>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</si>
  <si>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</si>
  <si>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</si>
  <si>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0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</si>
  <si>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</si>
  <si>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</si>
  <si>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</si>
  <si>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</si>
  <si>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</si>
  <si>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3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</si>
  <si>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</si>
  <si>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</si>
  <si>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</si>
  <si>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</si>
  <si>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</si>
  <si>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</si>
  <si>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</si>
  <si>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</si>
  <si>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</si>
  <si>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</si>
  <si>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</si>
  <si>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</si>
  <si>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</si>
  <si>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</si>
  <si>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</si>
  <si>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</si>
  <si>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</si>
  <si>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</si>
  <si>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</si>
  <si>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</si>
  <si>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</si>
  <si>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材料費</t>
    <phoneticPr fontId="13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</si>
  <si>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0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</si>
  <si>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</si>
  <si>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</si>
  <si>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r>
      <t>教育訓練-</t>
    </r>
    <r>
      <rPr>
        <sz val="10"/>
        <color theme="1"/>
        <rFont val="Meiryo UI"/>
        <family val="2"/>
      </rPr>
      <t>實施率(%)</t>
    </r>
    <phoneticPr fontId="10"/>
  </si>
  <si>
    <t>※單位：千元</t>
    <phoneticPr fontId="10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</si>
  <si>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</si>
  <si>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</si>
  <si>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</si>
  <si>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</si>
  <si>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</si>
  <si>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</si>
  <si>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</si>
  <si>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</si>
  <si>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調理端</t>
  </si>
  <si>
    <t>報廢</t>
    <phoneticPr fontId="13" type="noConversion"/>
  </si>
  <si>
    <t>超用</t>
    <phoneticPr fontId="13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</si>
  <si>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</si>
  <si>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川燙毛豆玉米</t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</si>
  <si>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3" type="noConversion"/>
  </si>
  <si>
    <t>製程不穩</t>
    <phoneticPr fontId="80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</si>
  <si>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</si>
  <si>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教育訓練-實施率(進度/計畫)</t>
    <phoneticPr fontId="13" type="noConversion"/>
  </si>
  <si>
    <t>4℃-飯糰</t>
    <phoneticPr fontId="13" type="noConversion"/>
  </si>
  <si>
    <t>熱食義麵</t>
    <phoneticPr fontId="13" type="noConversion"/>
  </si>
  <si>
    <t>蘑菇白醬</t>
  </si>
  <si>
    <t>人數配置相同與人時生產性維持穩定</t>
  </si>
  <si>
    <t>取樣不穩</t>
  </si>
  <si>
    <t>取樣不穩</t>
    <phoneticPr fontId="10"/>
  </si>
  <si>
    <t>（８）報廢原因別前幾名品項</t>
    <phoneticPr fontId="13" type="noConversion"/>
  </si>
  <si>
    <t>（８）超用原因別前幾名品項</t>
    <phoneticPr fontId="13" type="noConversion"/>
  </si>
  <si>
    <t>烤照燒雞腿丁</t>
  </si>
  <si>
    <t>海陸雙拼肉肉餐盒</t>
  </si>
  <si>
    <t>二配三杯醬爆菇菇飯糰</t>
  </si>
  <si>
    <t>一配經典鮪魚沙拉細卷</t>
  </si>
  <si>
    <t>蔬活腿排補力餐盒</t>
  </si>
  <si>
    <t>一配雙鬆細卷</t>
  </si>
  <si>
    <t>二配兩粒飯糰(鮪魚.焦糖鮭魚)</t>
  </si>
  <si>
    <t>香腸腿排雙拼便當</t>
  </si>
  <si>
    <t>炒蔥花碎蛋</t>
  </si>
  <si>
    <t>一配兩粒飯糰(鮪魚.焦糖鮭魚)</t>
  </si>
  <si>
    <t>二配大飯糰韓式蒜烤豬五花</t>
  </si>
  <si>
    <t>二配失控起司薯餅焗飯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</si>
  <si>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</si>
  <si>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</si>
  <si>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3" type="noConversion"/>
  </si>
  <si>
    <t>後續對策</t>
    <phoneticPr fontId="13" type="noConversion"/>
  </si>
  <si>
    <t>展開量高於需求量</t>
  </si>
  <si>
    <t>週前二十</t>
    <phoneticPr fontId="13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</si>
  <si>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</si>
  <si>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</si>
  <si>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</si>
  <si>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</si>
  <si>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</si>
  <si>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展開量高於需求量</t>
    <phoneticPr fontId="10"/>
  </si>
  <si>
    <t>展開量高於需求量</t>
    <phoneticPr fontId="13" type="noConversion"/>
  </si>
  <si>
    <t>操作方式冰杓定量,生產餘料報廢</t>
  </si>
  <si>
    <t>調理展開量下修，並已採用多次補單方式執行</t>
  </si>
  <si>
    <t>增加線上抽秤頻率，調理展開量下修，並已採用多次補單方式執行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</si>
  <si>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</si>
  <si>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抓量較不穩定造成調理多產</t>
  </si>
  <si>
    <t>二配蒙古風味烤肉飯</t>
  </si>
  <si>
    <t>6切-烤醃漬咖哩腿排</t>
  </si>
  <si>
    <t>炒蒙古肉片</t>
  </si>
  <si>
    <t>一配鮭魚奶油醬油飯糰</t>
  </si>
  <si>
    <t>洋蔥壹號醬</t>
  </si>
  <si>
    <t>壹號醬炙烤牛飯糰</t>
  </si>
  <si>
    <t>切-烤牛五花(112年)</t>
  </si>
  <si>
    <t>因原物料規格差異,超用量偏高，生產餘料報廢
反映研發，後續開發列入考量，建議原物料規格多切製程</t>
    <phoneticPr fontId="13" type="noConversion"/>
  </si>
  <si>
    <t>烤箱製程蛋片規格厚薄差異
準備室分切剔除，確保賣相準定</t>
    <phoneticPr fontId="13" type="noConversion"/>
  </si>
  <si>
    <t>賣相設定要鋪滿，肉片狀態影響鋪滿效果
調整分切方式，穩定分切長度減少規格異常。反映研發設定放料重量範圍</t>
    <phoneticPr fontId="13" type="noConversion"/>
  </si>
  <si>
    <t>切烤雞胸肉(111年)</t>
  </si>
  <si>
    <t>蒜炒紅K油菜(A7)</t>
  </si>
  <si>
    <t>健身G肉餐盒(113年)</t>
  </si>
  <si>
    <t>抓量較不穩定造成調理多產
增加線上抽秤頻率，調理展開量下修，並已採用多次補單方式執行，目前已控制在2%內。</t>
    <phoneticPr fontId="13" type="noConversion"/>
  </si>
  <si>
    <t>炙燒韓式牛五花</t>
  </si>
  <si>
    <t>反映研發，後續開發列入考量</t>
  </si>
  <si>
    <t>北海道秋鮭親子飯糰(114年)</t>
  </si>
  <si>
    <t>焙炒芝麻肉鬆</t>
  </si>
  <si>
    <t>經典肉鬆飯糰(114年)</t>
  </si>
  <si>
    <t>原物料規格過小，無法使用</t>
  </si>
  <si>
    <t>烤箱製程蛋片規格厚薄差異</t>
  </si>
  <si>
    <t>準備室分切剔除，確保賣相準定</t>
  </si>
  <si>
    <t>烤盤產生炭渣，豆腐沾黏焦化物</t>
  </si>
  <si>
    <t>原物料規格過小，無法使用
反映研發，後續開發列入考量</t>
    <phoneticPr fontId="10"/>
  </si>
  <si>
    <t>拌鹽烤豬肉片(114年)</t>
  </si>
  <si>
    <t>鹽蔥燒肉飯糰</t>
  </si>
  <si>
    <t>蟹味可樂餅風炸飯糰</t>
  </si>
  <si>
    <t>二配鐵板豆腐燴蛋蓋飯</t>
  </si>
  <si>
    <t>二配濃起司燻腸紅醬焗烤飯</t>
  </si>
  <si>
    <t>抓量較不穩定造成超用
針對人員抓量手法教育訓練，並增加線上抽秤頻率</t>
    <phoneticPr fontId="13" type="noConversion"/>
  </si>
  <si>
    <t>辣炒酸菜碎</t>
  </si>
  <si>
    <t>焗飯-義式蕃茄紅醬</t>
  </si>
  <si>
    <t>煮鐵板豆腐</t>
  </si>
  <si>
    <t>油蔥肉燥(113年)</t>
  </si>
  <si>
    <t>拌蒜香五花肉</t>
  </si>
  <si>
    <t>生產前確認標準定量的機台設定，生產中抽查確認設定及實際出料重量</t>
  </si>
  <si>
    <t>操作方式冰杓定量，人員手法差異
針對人員手法教育訓練，並增加線上抽秤頻率</t>
    <phoneticPr fontId="13" type="noConversion"/>
  </si>
  <si>
    <t>烤盤產生炭渣，豆腐沾黏焦化物
定期更換烤盤，制定烤盤更換時程，測試使用薄型烤焙布，降低豆腐沾黏焦化物而造成報廢</t>
    <phoneticPr fontId="13" type="noConversion"/>
  </si>
  <si>
    <t>二配鮮蝦旬彩炊飯飯糰</t>
  </si>
  <si>
    <t>新精選雙色起司絲</t>
  </si>
  <si>
    <t>新品一週,達成率上升.</t>
  </si>
  <si>
    <t>原物料大小長短差異，影響人員放料，生產餘料報廢</t>
  </si>
  <si>
    <t>增加線上抽秤頻率，調理展開量下修，並已採用多次補單方式執行。</t>
  </si>
  <si>
    <t>青花菜原物料規格偏大造成超用</t>
  </si>
  <si>
    <t>注餡機機台工差設定確認</t>
  </si>
  <si>
    <t>原物料肉片的大小塊差異</t>
  </si>
  <si>
    <t>賣相設定要鋪滿，肉片狀態影響鋪滿效果</t>
  </si>
  <si>
    <t>人員抓量放料手法不穩定</t>
  </si>
  <si>
    <t>原物料肉塊的大小塊差異</t>
  </si>
  <si>
    <t>反映研發，後續開發列入考量，設定放料量範圍，針對人員手法教育訓練，並增加線上抽秤頻率。</t>
  </si>
  <si>
    <t>回饋研發，後續開發列入考量，調整分切方式，穩定分切厚薄減少規格異常</t>
  </si>
  <si>
    <t>抓量較不穩定造成超用</t>
  </si>
  <si>
    <t>烤墨西哥雞丁</t>
  </si>
  <si>
    <t>冷凍調味鱒鮭魚卵GL10-3</t>
  </si>
  <si>
    <t>注餡機機台工差設定確認
生產前確認標準定量的機台設定，生產中抽查確認設定及實際出料重量，針對注餡機噴口規格進行測試確認</t>
    <phoneticPr fontId="13" type="noConversion"/>
  </si>
  <si>
    <t>二配溏心蛋五目飯糰</t>
  </si>
  <si>
    <t>清炒高麗菜(115年)</t>
  </si>
  <si>
    <t>調理展開量下修，並已採用多次補單方式執行，目前已控制在2%內。</t>
  </si>
  <si>
    <t>原物料大小長短差異，影響人員放料，生產餘料報廢
調理展開量下修，並已採用多次補單方式執行，目前已控制在2%內。</t>
    <phoneticPr fontId="13" type="noConversion"/>
  </si>
  <si>
    <t>青花菜原物料規格偏大造成超用
設定放料量範圍，後續開發列入考量調整，針對人員手法教育訓練，並增加線上抽秤頻率</t>
    <phoneticPr fontId="13" type="noConversion"/>
  </si>
  <si>
    <t>1月</t>
    <phoneticPr fontId="13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</si>
  <si>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</si>
  <si>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</si>
  <si>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</si>
  <si>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</si>
  <si>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</si>
  <si>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</si>
  <si>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</si>
  <si>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</si>
  <si>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</si>
  <si>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</si>
  <si>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</si>
  <si>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</si>
  <si>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3" type="noConversion"/>
  </si>
  <si>
    <t>業績金額(千元)</t>
    <phoneticPr fontId="13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</si>
  <si>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3" type="noConversion"/>
  </si>
  <si>
    <t>材料費(千元)</t>
    <phoneticPr fontId="13" type="noConversion"/>
  </si>
  <si>
    <t>勞務成本(千元)</t>
    <phoneticPr fontId="13" type="noConversion"/>
  </si>
  <si>
    <t xml:space="preserve">人時性(個/月均) </t>
    <phoneticPr fontId="13" type="noConversion"/>
  </si>
  <si>
    <t xml:space="preserve">人時達成率(%/月均) </t>
    <phoneticPr fontId="13" type="noConversion"/>
  </si>
  <si>
    <t>半成品-報廢(%)</t>
    <phoneticPr fontId="13" type="noConversion"/>
  </si>
  <si>
    <t>半成品-超用(%)</t>
    <phoneticPr fontId="13" type="noConversion"/>
  </si>
  <si>
    <t>二配大飯糰乾燒風味鮮蝦</t>
  </si>
  <si>
    <t>香檸奶油魚排蔬滿盒</t>
  </si>
  <si>
    <t>炒黑胡椒豆芽(餐盒)</t>
  </si>
  <si>
    <t>餐盒用-三色高麗菜</t>
  </si>
  <si>
    <t>烤巴沙魚排</t>
  </si>
  <si>
    <t>燴蛋飯-炒肉燥</t>
  </si>
  <si>
    <t>（１）收支狀況</t>
    <phoneticPr fontId="13" type="noConversion"/>
  </si>
  <si>
    <t>材料費率(%)</t>
    <phoneticPr fontId="13" type="noConversion"/>
  </si>
  <si>
    <t>勞務費率(%)</t>
    <phoneticPr fontId="13" type="noConversion"/>
  </si>
  <si>
    <t>人時性KPI</t>
    <phoneticPr fontId="13" type="noConversion"/>
  </si>
  <si>
    <t>固定產線-導入率(%)</t>
  </si>
  <si>
    <t>教育訓練-實施率(%)</t>
  </si>
  <si>
    <t>（３）業績構成比</t>
    <phoneticPr fontId="13" type="noConversion"/>
  </si>
  <si>
    <t>18℃-飯糰(061,063)</t>
  </si>
  <si>
    <t>（４）訂單數量構成比</t>
    <phoneticPr fontId="13" type="noConversion"/>
  </si>
  <si>
    <t>（５）品群別人時生產性</t>
    <phoneticPr fontId="13" type="noConversion"/>
  </si>
  <si>
    <t>新品,達成率提升中</t>
    <phoneticPr fontId="13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</si>
  <si>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</t>
    </r>
    <phoneticPr fontId="13" type="noConversion"/>
  </si>
  <si>
    <t>（８）報廢原因別前幾名品項(0331-0406)</t>
    <phoneticPr fontId="13" type="noConversion"/>
  </si>
  <si>
    <t>魚肉烤箱製程，拿取後破損造成報廢
人員拿取手法教育訓練，增加線上抽秤頻率</t>
    <phoneticPr fontId="13" type="noConversion"/>
  </si>
  <si>
    <t>抓量較不穩定造成調理多產
增加線上抽秤頻率，調理展開量下修，並已採用多次補單方式執行</t>
    <phoneticPr fontId="13" type="noConversion"/>
  </si>
  <si>
    <t>（８）超用原因別前幾名品項(0331-0406)</t>
    <phoneticPr fontId="13" type="noConversion"/>
  </si>
  <si>
    <t>原物料肉塊的大小塊差異
回饋研發，後續開發列入考量</t>
    <phoneticPr fontId="13" type="noConversion"/>
  </si>
  <si>
    <t>人員抓量放料手法不穩定
針對人員手法教育訓練，並增加線上抽秤頻率，導入定量管理。</t>
    <phoneticPr fontId="13" type="noConversion"/>
  </si>
  <si>
    <t>注餡機機台工差設定確認
生產前確認標準定量的機台設定，生產中抽查確認設定及實際出料重量。</t>
    <phoneticPr fontId="13" type="noConversion"/>
  </si>
  <si>
    <t>二配贅沢鮭魚肚飯糰</t>
  </si>
  <si>
    <t>二配鹽水G絲飯糰</t>
  </si>
  <si>
    <t>一配經典人氣雙手卷</t>
  </si>
  <si>
    <t>一配鮭鮪海饌雙手卷</t>
  </si>
  <si>
    <t>元氣三重稻荷組</t>
  </si>
  <si>
    <t>0428-0504</t>
    <phoneticPr fontId="13" type="noConversion"/>
  </si>
  <si>
    <t>0505-0511</t>
    <phoneticPr fontId="13" type="noConversion"/>
  </si>
  <si>
    <t>0428-0504 總合計↑</t>
    <phoneticPr fontId="13" type="noConversion"/>
  </si>
  <si>
    <t>0505-0511 總合計↑</t>
    <phoneticPr fontId="13" type="noConversion"/>
  </si>
  <si>
    <t>整顆切片水煮蛋</t>
  </si>
  <si>
    <t>贅沢鮭魚肚飯糰</t>
  </si>
  <si>
    <t>熟化帶皮黃肉地瓜滾刀7-13g</t>
  </si>
  <si>
    <t>設定放料量範圍，後續開發列入考量調整，針對人員手法教育訓練，並增加線上抽秤頻率。</t>
  </si>
  <si>
    <t>確認分切方式，穩定分切長度減少規格異常。</t>
  </si>
  <si>
    <t>針對人員抓量手法教育訓練，並增加線上抽秤頻率。</t>
  </si>
  <si>
    <t>定期更換烤盤，制定烤盤更換時程，降低豆腐沾黏焦化物而造成報廢</t>
  </si>
  <si>
    <t>增加線上抽秤頻率，調理展開量下修，並已採用多次補單方式執行，目前已控制在2%內。</t>
  </si>
  <si>
    <t>每份用量少以致用量易有不穩定的狀況</t>
  </si>
  <si>
    <t>抓量較不穩定，生產餘料報廢</t>
  </si>
  <si>
    <t>（８）報廢原因別前幾名品項(0407-0413)</t>
    <phoneticPr fontId="13" type="noConversion"/>
  </si>
  <si>
    <t>（８）報廢原因別前幾名品項(0414-0420)</t>
    <phoneticPr fontId="13" type="noConversion"/>
  </si>
  <si>
    <t>（８）超用原因別前幾名品項(0407-0413)</t>
    <phoneticPr fontId="13" type="noConversion"/>
  </si>
  <si>
    <t>（８）超用原因別前幾名品項(0414-0420)</t>
    <phoneticPr fontId="13" type="noConversion"/>
  </si>
  <si>
    <t>魚肉烤箱製程，拿取後破損造成報廢
已加強操作教育訓練</t>
    <phoneticPr fontId="13" type="noConversion"/>
  </si>
  <si>
    <t>分切製程切歪導致規格不符無法使用
針對分切人員進行教育訓練，確保分切規格穩定</t>
    <phoneticPr fontId="13" type="noConversion"/>
  </si>
  <si>
    <t>烤盤產生炭渣，豆腐沾黏焦化物
定期更換烤盤，制定烤盤更換時程，降低豆腐沾黏焦化物而造成報廢</t>
    <phoneticPr fontId="13" type="noConversion"/>
  </si>
  <si>
    <t>贅沢鮭魚肚飯糰</t>
    <phoneticPr fontId="10"/>
  </si>
  <si>
    <t>操作方式冰杓定量,生產餘料報廢
調理展開量下修，並已採用多次補單方式執行</t>
    <phoneticPr fontId="13" type="noConversion"/>
  </si>
  <si>
    <t>每份用量少以致用量易有不穩定的狀況
增加線上抽秤頻率，調理展開量下修，並已採用多次補單方式執行</t>
    <phoneticPr fontId="13" type="noConversion"/>
  </si>
  <si>
    <t>青花菜原物料規格偏大造成超用
設定放料量範圍，後續開發列入考量調整，針對人員手法教育訓練，並增加線上抽秤頻率。</t>
    <phoneticPr fontId="13" type="noConversion"/>
  </si>
  <si>
    <t>賣相設定要鋪滿，肉片狀態影響鋪滿效果
確認分切方式，穩定分切長度減少規格異常。</t>
    <phoneticPr fontId="13" type="noConversion"/>
  </si>
  <si>
    <t>原物料肉塊的大小塊差異
反映研發，後續開發列入考量，設定放料量範圍，針對人員手法教育訓練，並增加線上抽秤頻率。</t>
    <phoneticPr fontId="13" type="noConversion"/>
  </si>
  <si>
    <t>操作方式冰杓定量，人員手法差異
針對人員手法教育訓練，並增加線上抽秤頻率。</t>
    <phoneticPr fontId="13" type="noConversion"/>
  </si>
  <si>
    <t>抓量較不穩定造成超用
針對人員抓量手法教育訓練，並增加線上抽秤頻率。</t>
    <phoneticPr fontId="13" type="noConversion"/>
  </si>
  <si>
    <t>因葉梗大小片差異，線上容易取樣不穩導致超用
針對人員抓量手法教育訓練，並增加線上抽秤頻率，用量有逐步下降，目前已在控制範圍內。</t>
    <phoneticPr fontId="13" type="noConversion"/>
  </si>
  <si>
    <t>一配鹽蔥生鮭飯糰</t>
  </si>
  <si>
    <t>一配柚檸海灣貝飯糰</t>
  </si>
  <si>
    <t>山葵生鮪魚泥脆卷</t>
  </si>
  <si>
    <t>二配打拋風味豆腐飯</t>
  </si>
  <si>
    <t>大滿足香辣涼麵</t>
  </si>
  <si>
    <t>大滿足麻醬涼麵</t>
  </si>
  <si>
    <t>和風涓絲冷麵</t>
  </si>
  <si>
    <t>炒紅K碎蛋</t>
  </si>
  <si>
    <t>煮三杯料</t>
  </si>
  <si>
    <t>煮中華冷麵(110年)</t>
  </si>
  <si>
    <t>冷凍紅鮭碎肉20</t>
  </si>
  <si>
    <t>(V)消毒小黃瓜絲</t>
  </si>
  <si>
    <t>冷凍鮭魚骰子丁(蔥鹽風味)</t>
  </si>
  <si>
    <t>112年拌鮪魚沙拉</t>
  </si>
  <si>
    <t>(V)打拋醬</t>
  </si>
  <si>
    <t>拌明太子龍蝦沙拉(114年)</t>
  </si>
  <si>
    <t>煮燴蛋</t>
  </si>
  <si>
    <t>熟成紅鮭飯糰(114年)</t>
  </si>
  <si>
    <t>鮪魚飯糰</t>
  </si>
  <si>
    <t>明太子龍蝦風味沙拉飯糰(114年)</t>
  </si>
  <si>
    <t>（８）報廢原因別前幾名品項(0421-0427)</t>
    <phoneticPr fontId="13" type="noConversion"/>
  </si>
  <si>
    <t>（８）超用原因別前幾名品項(0421-0427)</t>
    <phoneticPr fontId="13" type="noConversion"/>
  </si>
  <si>
    <t>操作方式冰杓定量，人員手法差異
針對人員手法教育訓練，並增加線上抽秤頻率調理展開量下修，並已採用多次補單方式執行</t>
    <phoneticPr fontId="13" type="noConversion"/>
  </si>
  <si>
    <t>分切製程破損導致規格不符無法使用
針對蒸箱後差壓冷卻製程的溫度銜接，調整後已改善。</t>
    <phoneticPr fontId="13" type="noConversion"/>
  </si>
  <si>
    <t>魚肉烤箱製程，拿取後破損造成報廢
已加強操作教育訓練，對比上週已下降。</t>
    <phoneticPr fontId="13" type="noConversion"/>
  </si>
  <si>
    <t>人員抓量放料手法不穩定
針對人員抓量手法教育訓練，並增加線上抽秤頻率。</t>
    <phoneticPr fontId="13" type="noConversion"/>
  </si>
  <si>
    <t>設定雙圈秤重
針對人員抓量手法教育訓練，並增加線上抽秤頻率，目前每份超用3g在控制範圍內。</t>
    <phoneticPr fontId="13" type="noConversion"/>
  </si>
  <si>
    <t>原物料肉片的大小塊差異
回饋研發，後續開發列入考量，調整分切方式，穩定分切厚薄減少規格異常</t>
    <phoneticPr fontId="13" type="noConversion"/>
  </si>
  <si>
    <t>一配山葵章魚飯糰</t>
  </si>
  <si>
    <t>醬油生鮭脆卷</t>
  </si>
  <si>
    <t>台式麻醬涼麵</t>
  </si>
  <si>
    <t>原物料規格</t>
    <phoneticPr fontId="13" type="noConversion"/>
  </si>
  <si>
    <t>反映研發，後續開發列入考量，目前報廢量以穩定控制</t>
  </si>
  <si>
    <t>調理展開量下修，並已採用多次補單方式執行。</t>
  </si>
  <si>
    <t>操作方式冰杓定量，因冰杓規格限制導致超用</t>
  </si>
  <si>
    <t>回饋研發，後續開發列入考量，針對人員手法教育訓練，並增加線上抽秤頻率。</t>
  </si>
  <si>
    <t>設定雙圈秤重，抓量較不穩定造成超用</t>
  </si>
  <si>
    <t>（８）報廢原因別前幾名品項(0428-0504)</t>
    <phoneticPr fontId="13" type="noConversion"/>
  </si>
  <si>
    <t>（８）超用原因別前幾名品項(0428-0504)</t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</si>
  <si>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性前幾名品項(0428-0504)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</si>
  <si>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性前幾名品項(0428-0504)</t>
    </r>
    <phoneticPr fontId="13" type="noConversion"/>
  </si>
  <si>
    <t>原物料大小顆差異，影響人員放料
反映研發，後續開發列入考量</t>
    <phoneticPr fontId="10"/>
  </si>
  <si>
    <t>魚肉烤箱製程，拿取後破損造成報廢
已加強操作教育訓練，對比上週持續下減少。</t>
    <phoneticPr fontId="13" type="noConversion"/>
  </si>
  <si>
    <t>菜梗、葉差異，影響人員放料手感
增加線上抽秤頻率，調理展開量下修，並已採用多次補單方式執行</t>
    <phoneticPr fontId="13" type="noConversion"/>
  </si>
  <si>
    <t>原物料大小長短差異，影響人員放料，生產餘料報廢
調理展開量下修，並已採用多次補單方式執行。</t>
    <phoneticPr fontId="13" type="noConversion"/>
  </si>
  <si>
    <t>操作方式冰杓定量，因冰杓規格限制導致超用
回饋研發，後續開發列入考量，針對人員手法教育訓練，並增加線上抽秤頻率。</t>
    <phoneticPr fontId="13" type="noConversion"/>
  </si>
  <si>
    <t>原物料肉片的大小塊差異
回饋研發，後續開發列入考量，確認人員分切規格。</t>
    <phoneticPr fontId="13" type="noConversion"/>
  </si>
  <si>
    <t>設定雙圈秤重，抓量較不穩定造成超用
針對人員抓量手法教育訓練，並增加線上抽秤頻率。</t>
    <phoneticPr fontId="13" type="noConversion"/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</si>
  <si>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週更新(0428-0504)</t>
    </r>
    <phoneticPr fontId="13" type="noConversion"/>
  </si>
  <si>
    <t>鰹魚烏龍冷麵</t>
  </si>
  <si>
    <t>原因:生產餘料產生報廢。對策:增加線上抽秤頻率，調理展開量下修，並已採用多次補單方式執行，報廢量逐步下修，目前控制再2%以下。</t>
    <phoneticPr fontId="13" type="noConversion"/>
  </si>
  <si>
    <t>原因:原物料規格長短差異影響用量，生產餘料報廢。對策:生產改採「多次補單」方式備料，依實際產出需求分批補料，避免一次性備料過多造成餘料報廢。</t>
  </si>
  <si>
    <t>原因:單份用量少抓量不穩定，生產餘料產生報廢。對策:加強線上人員抓量教育訓練，提升小份量操作穩定度，下修調理展開量並改採多次補單備料。</t>
  </si>
  <si>
    <t>生產餘料產生報廢,目前報廢量控制再2%以下與超用量比例少,持續下修產出量。</t>
    <phoneticPr fontId="13" type="noConversion"/>
  </si>
  <si>
    <t>原因:生產餘料產生報廢。對策:增加線上抽秤頻率，提升用量穩定，調理展開量下修，並已採用多次補單方式執行，報廢量逐步下修。</t>
    <phoneticPr fontId="13" type="noConversion"/>
  </si>
  <si>
    <t>主要原因:烤盤產生炭渣，豆腐沾黏焦化物。對策:定期更換烤盤，制定烤盤更換時程</t>
    <phoneticPr fontId="13" type="noConversion"/>
  </si>
  <si>
    <t>因烤箱製程蛋片厚薄規格存在差異，準備室於分切時進行篩選剔除，確保產品外觀及賣相穩定，造成剃除報廢。</t>
    <phoneticPr fontId="13" type="noConversion"/>
  </si>
  <si>
    <t>因4/10、4/11特定器具（大刮板）進貨交期銜接未完全到位，後段作業改以小刮板替代使用，導致破損量增加。對策:後續補足器具恢復標準器具配置，並納入安全庫存與領用管控機制以降低作業報廢影響。</t>
    <phoneticPr fontId="13" type="noConversion"/>
  </si>
  <si>
    <t>主因:因分切時造成破損。對策:確認蒸箱後，差壓冷卻製程的溫度銜接，破損數量已下修。</t>
    <phoneticPr fontId="13" type="noConversion"/>
  </si>
  <si>
    <t>主因:因葉梗差異容易取樣不穩導致超用。對策:調理展開量下修，並已採用多次補單方式執行，報廢率持續下修控制在2%內。</t>
    <phoneticPr fontId="13" type="noConversion"/>
  </si>
  <si>
    <t>原因:原物料規格長短差異影響用量，生產餘料報廢。對策:生產改採「多次補單」方式備料，依實際產出需求分批補料，避免一次性備料過多造成餘料報廢。</t>
    <phoneticPr fontId="13" type="noConversion"/>
  </si>
  <si>
    <t>原因:單份用量少抓量不穩定，生產餘料產生報廢。對策:加強線上人員抓量教育訓練，提升小份量操作穩定度，下修調理展開量並改採多次補單備料。</t>
    <phoneticPr fontId="13" type="noConversion"/>
  </si>
  <si>
    <t>主要原因:規格大小不穩定導致斷裂破損產生報廢，偏小比例增加導致報廢增加。對策:持續組裝前準備室先進行整理入籃，減少沾黏狀況，因調理斷裂組合可拼合使用，使用率提高。</t>
    <phoneticPr fontId="13" type="noConversion"/>
  </si>
  <si>
    <t>高風險半成品拆袋即用,拆包後無法延用給下配次產生報廢。</t>
    <phoneticPr fontId="13" type="noConversion"/>
  </si>
  <si>
    <t>主因:冰杓定量，受人員操作影響較大，導致用量控制不穩。對策:針對人員加強冰杓手法定量教育訓練提升用量穩定性。</t>
    <phoneticPr fontId="13" type="noConversion"/>
  </si>
  <si>
    <t>主因:雞肉絲糾結成塊長短不一，人員抓量不穩定導致重量差異影響超用。對策:使用前先行撥散，已導入定量管理，目前用量逐步穩定，本月超用量1.7%，控制在2%內。</t>
    <phoneticPr fontId="13" type="noConversion"/>
  </si>
  <si>
    <t>主因:抓量較不穩定造成超用。對策:調整人員分切方式，穩定產品長短一致性降低抓量誤差並減少超用。</t>
    <phoneticPr fontId="13" type="noConversion"/>
  </si>
  <si>
    <t>主因:抓量較不穩定造成超用。對策:已導入定量管理，並加強人員抓量教育訓練。</t>
    <phoneticPr fontId="13" type="noConversion"/>
  </si>
  <si>
    <t>主因:原料單價高單份用量少，人員抓量穩定度不足，造成超用金額放大。對策：
加強人員抓量教育訓練，提升用量控制精準度。</t>
    <phoneticPr fontId="13" type="noConversion"/>
  </si>
  <si>
    <t>主因:青花菜原物料規格偏大造成超用。對策:量測設定放料量範圍，後續開發列入考量調整，並持續針對人員抓量秤重進行教育訓練。</t>
    <phoneticPr fontId="13" type="noConversion"/>
  </si>
  <si>
    <t>主因:賣相設定要鋪滿，肉片狀態影響鋪滿效果。對策:調整分切方式，穩定分切長度減少規格異常。反映研發設定放料重量範圍，目前控制在1%內。</t>
    <phoneticPr fontId="13" type="noConversion"/>
  </si>
  <si>
    <t>主因:採雙圈秤重設定，因整體使用總量較高，微幅抓量偏差即放大為超用金額。對策：持續強化人員抓量與秤重操作教育訓練，提升作業穩定度。</t>
    <phoneticPr fontId="13" type="noConversion"/>
  </si>
  <si>
    <t>主因:原物料肉塊的大小塊差異，導致超用問題。對策:針對人員分切規格進行教育訓練，規格厚薄盡量一致，降低重量落差導致超用。</t>
    <phoneticPr fontId="13" type="noConversion"/>
  </si>
  <si>
    <t>主因:原物料肉片的大小塊差異。對策:進行人員分切手法教育訓練，提升作業一致性，降低因規格差異造成之影響。</t>
    <phoneticPr fontId="13" type="noConversion"/>
  </si>
  <si>
    <t>熟化去皮馬鈴薯滾刀17-23g</t>
  </si>
  <si>
    <t>拌細卷鮪魚沙拉(114.10)</t>
  </si>
  <si>
    <t>煮烏龍冷麵(113年)</t>
  </si>
  <si>
    <t>歐姆蛋-黑咖哩醬</t>
  </si>
  <si>
    <t>W2</t>
    <phoneticPr fontId="13" type="noConversion"/>
  </si>
  <si>
    <t>配置人數依照生產線別不同有所差異.人時生產性穩定符合期待</t>
    <phoneticPr fontId="13" type="noConversion"/>
  </si>
  <si>
    <t>分切製程破損導致規格不符無法使用</t>
  </si>
  <si>
    <t>針對人員分切手法進行教育訓練，改善分切製程破損狀況。</t>
  </si>
  <si>
    <t>高風險半成品拆袋即用,拆包後無法延用給下配次產生報廢。</t>
  </si>
  <si>
    <t>操作方式冰杓定量，生產餘料報廢</t>
  </si>
  <si>
    <t>人員抓量放料手法不穩定，原物料單價高</t>
    <phoneticPr fontId="13" type="noConversion"/>
  </si>
  <si>
    <r>
      <rPr>
        <sz val="12"/>
        <color theme="1"/>
        <rFont val="Microsoft JhengHei"/>
        <family val="2"/>
      </rPr>
      <t>確認分切工程</t>
    </r>
    <r>
      <rPr>
        <sz val="12"/>
        <color theme="1"/>
        <rFont val="Meiryo UI"/>
        <family val="2"/>
      </rPr>
      <t>穩定分切長度減少規格異常，再針對抓量手法教育訓練，並增加線上抽秤頻率。</t>
    </r>
    <phoneticPr fontId="13" type="noConversion"/>
  </si>
  <si>
    <t>高風險半成品拆袋即用,拆包後無法延用給下配次產生報廢。
反映研發，後續開發列入考量</t>
    <phoneticPr fontId="10"/>
  </si>
  <si>
    <t>分切製程破損導致規格不符無法使用
針對人員分切手法進行教育訓練，改善分切製程破損狀況。</t>
    <phoneticPr fontId="13" type="noConversion"/>
  </si>
  <si>
    <t>抓量較不穩定造成調理多產
增加線上抽秤頻率，調理展開量下修，並已採用多次補單方式執行。</t>
    <phoneticPr fontId="13" type="noConversion"/>
  </si>
  <si>
    <t>人員抓量放料手法不穩定，原物料單價高
針對人員抓量手法教育訓練，並增加線上抽秤頻率。</t>
    <phoneticPr fontId="13" type="noConversion"/>
  </si>
  <si>
    <t>抓量較不穩定造成超用
確認分切工程穩定分切長度減少規格異常，再針對抓量手法教育訓練，並增加線上抽秤頻率。</t>
    <phoneticPr fontId="13" type="noConversion"/>
  </si>
  <si>
    <t>排序</t>
    <phoneticPr fontId="13" type="noConversion"/>
  </si>
  <si>
    <t>半成品名稱</t>
    <phoneticPr fontId="13" type="noConversion"/>
  </si>
  <si>
    <t>報廢金額
(元)</t>
    <phoneticPr fontId="13" type="noConversion"/>
  </si>
  <si>
    <t>半成品單價
(元/kg)</t>
    <phoneticPr fontId="13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</si>
  <si>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3" type="noConversion"/>
  </si>
  <si>
    <t>生管展開</t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</si>
  <si>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</si>
  <si>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3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</si>
  <si>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</si>
  <si>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</si>
  <si>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r>
      <t>kg/</t>
    </r>
    <r>
      <rPr>
        <sz val="12"/>
        <color theme="1"/>
        <rFont val="Meiryo UI"/>
        <family val="2"/>
      </rPr>
      <t>個</t>
    </r>
    <phoneticPr fontId="13" type="noConversion"/>
  </si>
  <si>
    <t>%</t>
  </si>
  <si>
    <t>元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</si>
  <si>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</si>
  <si>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</si>
  <si>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t>B6</t>
    <phoneticPr fontId="13" type="noConversion"/>
  </si>
  <si>
    <t>0512-0518</t>
    <phoneticPr fontId="13" type="noConversion"/>
  </si>
  <si>
    <t>0519-0525</t>
    <phoneticPr fontId="13" type="noConversion"/>
  </si>
  <si>
    <t>0526-0601</t>
    <phoneticPr fontId="13" type="noConversion"/>
  </si>
  <si>
    <t>屏榮大溪廠半成品管理日別總表</t>
    <phoneticPr fontId="13" type="noConversion"/>
  </si>
  <si>
    <r>
      <t>5</t>
    </r>
    <r>
      <rPr>
        <b/>
        <sz val="18"/>
        <color theme="1"/>
        <rFont val="微軟正黑體"/>
        <family val="2"/>
        <charset val="136"/>
      </rPr>
      <t>月總報廢合計</t>
    </r>
    <phoneticPr fontId="13" type="noConversion"/>
  </si>
  <si>
    <r>
      <t>5</t>
    </r>
    <r>
      <rPr>
        <b/>
        <sz val="18"/>
        <color theme="1"/>
        <rFont val="微軟正黑體"/>
        <family val="2"/>
        <charset val="136"/>
      </rPr>
      <t>月總報廢率</t>
    </r>
    <phoneticPr fontId="13" type="noConversion"/>
  </si>
  <si>
    <r>
      <t>5</t>
    </r>
    <r>
      <rPr>
        <b/>
        <sz val="18"/>
        <color theme="1"/>
        <rFont val="微軟正黑體"/>
        <family val="2"/>
        <charset val="136"/>
      </rPr>
      <t>月總超用合計</t>
    </r>
    <phoneticPr fontId="13" type="noConversion"/>
  </si>
  <si>
    <r>
      <t>5</t>
    </r>
    <r>
      <rPr>
        <b/>
        <sz val="18"/>
        <color theme="1"/>
        <rFont val="微軟正黑體"/>
        <family val="2"/>
        <charset val="136"/>
      </rPr>
      <t>月總超用率</t>
    </r>
    <phoneticPr fontId="13" type="noConversion"/>
  </si>
  <si>
    <r>
      <rPr>
        <b/>
        <sz val="16"/>
        <color theme="1"/>
        <rFont val="微軟正黑體"/>
        <family val="2"/>
        <charset val="136"/>
      </rPr>
      <t>日期</t>
    </r>
    <phoneticPr fontId="80" type="noConversion"/>
  </si>
  <si>
    <r>
      <rPr>
        <b/>
        <sz val="16"/>
        <color theme="1"/>
        <rFont val="微軟正黑體"/>
        <family val="2"/>
        <charset val="136"/>
      </rPr>
      <t>營業額</t>
    </r>
    <phoneticPr fontId="13" type="noConversion"/>
  </si>
  <si>
    <r>
      <rPr>
        <b/>
        <sz val="16"/>
        <color theme="1"/>
        <rFont val="微軟正黑體"/>
        <family val="2"/>
        <charset val="136"/>
      </rPr>
      <t>報廢額</t>
    </r>
    <phoneticPr fontId="80" type="noConversion"/>
  </si>
  <si>
    <r>
      <rPr>
        <b/>
        <sz val="16"/>
        <color theme="1"/>
        <rFont val="微軟正黑體"/>
        <family val="2"/>
        <charset val="136"/>
      </rPr>
      <t xml:space="preserve">報廢率
</t>
    </r>
    <r>
      <rPr>
        <b/>
        <sz val="16"/>
        <color theme="1"/>
        <rFont val="Noto Sans CJK SC"/>
        <family val="2"/>
      </rPr>
      <t xml:space="preserve">KPI </t>
    </r>
    <r>
      <rPr>
        <b/>
        <sz val="16"/>
        <color rgb="FFFF0000"/>
        <rFont val="Noto Sans CJK SC"/>
        <family val="2"/>
      </rPr>
      <t>0.25%</t>
    </r>
    <phoneticPr fontId="13" type="noConversion"/>
  </si>
  <si>
    <r>
      <rPr>
        <b/>
        <sz val="16"/>
        <color theme="1"/>
        <rFont val="微軟正黑體"/>
        <family val="2"/>
        <charset val="136"/>
      </rPr>
      <t>超用額</t>
    </r>
    <phoneticPr fontId="80" type="noConversion"/>
  </si>
  <si>
    <r>
      <rPr>
        <b/>
        <sz val="16"/>
        <color theme="1"/>
        <rFont val="微軟正黑體"/>
        <family val="2"/>
        <charset val="136"/>
      </rPr>
      <t>超用率</t>
    </r>
    <phoneticPr fontId="13" type="noConversion"/>
  </si>
  <si>
    <r>
      <rPr>
        <b/>
        <sz val="16"/>
        <color rgb="FF000000"/>
        <rFont val="微軟正黑體"/>
        <family val="2"/>
        <charset val="136"/>
      </rPr>
      <t>廢棄週合計</t>
    </r>
    <phoneticPr fontId="13" type="noConversion"/>
  </si>
  <si>
    <r>
      <rPr>
        <b/>
        <sz val="16"/>
        <color rgb="FF000000"/>
        <rFont val="微軟正黑體"/>
        <family val="2"/>
        <charset val="136"/>
      </rPr>
      <t>超用週合計</t>
    </r>
    <phoneticPr fontId="13" type="noConversion"/>
  </si>
  <si>
    <r>
      <rPr>
        <sz val="14"/>
        <rFont val="微軟正黑體"/>
        <family val="2"/>
        <charset val="136"/>
      </rPr>
      <t>營業額合計</t>
    </r>
    <phoneticPr fontId="80" type="noConversion"/>
  </si>
  <si>
    <t>5月平均人時性</t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</si>
  <si>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週更新(0505-0511)</t>
    </r>
    <phoneticPr fontId="13" type="noConversion"/>
  </si>
  <si>
    <r>
      <rPr>
        <sz val="10"/>
        <color rgb="FFFF0000"/>
        <rFont val="Meiryo UI"/>
        <family val="2"/>
      </rPr>
      <t>5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</si>
  <si>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t>二配香烤魚排青醬燉飯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</si>
  <si>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性前幾名品項(0505-0511)</t>
    </r>
    <phoneticPr fontId="13" type="noConversion"/>
  </si>
  <si>
    <t>0512-0518 總合計↑</t>
    <phoneticPr fontId="13" type="noConversion"/>
  </si>
  <si>
    <t>0519-0525 總合計↑</t>
    <phoneticPr fontId="13" type="noConversion"/>
  </si>
  <si>
    <t>0526-0601 總合計↑</t>
    <phoneticPr fontId="13" type="noConversion"/>
  </si>
  <si>
    <r>
      <rPr>
        <sz val="12"/>
        <color theme="1"/>
        <rFont val="Meiryo UI"/>
        <family val="2"/>
      </rPr>
      <t>超用金額
(元)</t>
    </r>
    <phoneticPr fontId="13" type="noConversion"/>
  </si>
  <si>
    <t>拌鮪魚沙拉(手卷)</t>
  </si>
  <si>
    <t>蒜炒洋菇片(115年)</t>
  </si>
  <si>
    <t>蒜香奶油檸檬醬</t>
  </si>
  <si>
    <t>(V)炒海苔香鬆(飯糰)</t>
  </si>
  <si>
    <t>油亮中式香腸片(112年)</t>
  </si>
  <si>
    <t>(V)煮鹽水G雞肉</t>
  </si>
  <si>
    <t>煮白細麵生(方#12)</t>
  </si>
  <si>
    <t>拌海鮮總匯沙拉(手卷)</t>
  </si>
  <si>
    <t>二配芝麻香鬆飯糰(114年)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</si>
</sst>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5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  <numFmt numFmtId="199" formatCode="#,##0.00_ "/>
  </numFmts>
  <fonts count="130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rgb="FF000000"/>
      <name val="Microsoft JhengHei"/>
      <family val="2"/>
      <charset val="136"/>
    </font>
    <font>
      <b/>
      <sz val="12"/>
      <name val="Meiryo UI"/>
      <family val="2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b/>
      <sz val="12"/>
      <color rgb="FF000000"/>
      <name val="微軟正黑體"/>
      <family val="2"/>
      <charset val="136"/>
    </font>
    <font>
      <sz val="10"/>
      <color rgb="FF000000"/>
      <name val="Microsoft JhengHei UI"/>
      <family val="2"/>
      <charset val="136"/>
    </font>
    <font>
      <sz val="12"/>
      <name val="細明體"/>
      <family val="3"/>
      <charset val="136"/>
    </font>
    <font>
      <b/>
      <sz val="20"/>
      <color theme="0"/>
      <name val="微軟正黑體"/>
      <family val="2"/>
      <charset val="136"/>
    </font>
    <font>
      <b/>
      <sz val="20"/>
      <color theme="0"/>
      <name val="Noto Sans CJK SC"/>
    </font>
    <font>
      <sz val="14"/>
      <color theme="1"/>
      <name val="Arial"/>
      <family val="2"/>
      <charset val="136"/>
      <scheme val="minor"/>
    </font>
    <font>
      <b/>
      <sz val="18"/>
      <color theme="1"/>
      <name val="Noto Sans CJK SC"/>
      <family val="2"/>
    </font>
    <font>
      <b/>
      <sz val="18"/>
      <color theme="1"/>
      <name val="微軟正黑體"/>
      <family val="2"/>
      <charset val="136"/>
    </font>
    <font>
      <b/>
      <sz val="16"/>
      <color theme="1"/>
      <name val="Noto Sans CJK SC"/>
      <family val="2"/>
    </font>
    <font>
      <b/>
      <sz val="16"/>
      <color theme="1"/>
      <name val="微軟正黑體"/>
      <family val="2"/>
      <charset val="136"/>
    </font>
    <font>
      <b/>
      <sz val="16"/>
      <color rgb="FFFF0000"/>
      <name val="Noto Sans CJK SC"/>
      <family val="2"/>
    </font>
    <font>
      <b/>
      <sz val="16"/>
      <color rgb="FF000000"/>
      <name val="Noto Sans CJK SC"/>
      <family val="2"/>
    </font>
    <font>
      <b/>
      <sz val="16"/>
      <color rgb="FF00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theme="1"/>
      <name val="Microsoft JhengHei"/>
      <family val="2"/>
    </font>
    <font>
      <sz val="14"/>
      <name val="Noto Sans CJK SC"/>
      <family val="2"/>
    </font>
    <font>
      <sz val="14"/>
      <color theme="1"/>
      <name val="Noto Sans CJK SC"/>
      <family val="2"/>
    </font>
    <font>
      <sz val="14"/>
      <name val="Noto Sans CJK SC"/>
    </font>
    <font>
      <sz val="12"/>
      <color rgb="FF000000"/>
      <name val="Microsoft JhengHei UI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</borders>
  <cellStyleXfs count="36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22">
    <xf numFmtId="0" fontId="0" fillId="0" borderId="0" xfId="0"/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/>
    <xf numFmtId="0" fontId="14" fillId="0" borderId="0" xfId="0" applyFont="1"/>
    <xf numFmtId="0" fontId="18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4" fillId="0" borderId="0" xfId="0" applyNumberFormat="1" applyFont="1"/>
    <xf numFmtId="176" fontId="17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0" xfId="0" applyNumberFormat="1" applyFont="1" applyAlignment="1">
      <alignment horizontal="center"/>
    </xf>
    <xf numFmtId="0" fontId="31" fillId="0" borderId="0" xfId="0" applyFont="1"/>
    <xf numFmtId="177" fontId="26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3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3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46" fillId="0" borderId="0" xfId="0" applyFont="1"/>
    <xf numFmtId="0" fontId="48" fillId="0" borderId="0" xfId="0" applyFont="1"/>
    <xf numFmtId="10" fontId="43" fillId="0" borderId="0" xfId="0" applyNumberFormat="1" applyFont="1" applyAlignment="1">
      <alignment shrinkToFit="1"/>
    </xf>
    <xf numFmtId="0" fontId="44" fillId="0" borderId="0" xfId="0" applyFont="1"/>
    <xf numFmtId="0" fontId="49" fillId="0" borderId="22" xfId="0" applyFont="1" applyBorder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3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0" fontId="43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7" fillId="0" borderId="0" xfId="0" applyFont="1" applyAlignment="1">
      <alignment horizontal="right" shrinkToFit="1"/>
    </xf>
    <xf numFmtId="0" fontId="11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6" fillId="4" borderId="0" xfId="0" applyFont="1" applyFill="1" applyAlignment="1">
      <alignment horizontal="center" vertical="center" shrinkToFit="1"/>
    </xf>
    <xf numFmtId="0" fontId="26" fillId="4" borderId="0" xfId="0" applyFont="1" applyFill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184" fontId="58" fillId="0" borderId="0" xfId="11" applyNumberFormat="1" applyFont="1" applyAlignment="1">
      <alignment shrinkToFit="1"/>
    </xf>
    <xf numFmtId="0" fontId="43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43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1" fillId="0" borderId="0" xfId="11" applyFont="1"/>
    <xf numFmtId="0" fontId="31" fillId="0" borderId="0" xfId="11" applyFont="1" applyAlignment="1">
      <alignment vertical="center"/>
    </xf>
    <xf numFmtId="0" fontId="31" fillId="0" borderId="0" xfId="11" applyFont="1" applyAlignment="1">
      <alignment horizontal="center" vertical="center"/>
    </xf>
    <xf numFmtId="0" fontId="7" fillId="0" borderId="0" xfId="5"/>
    <xf numFmtId="0" fontId="64" fillId="9" borderId="30" xfId="5" applyFont="1" applyFill="1" applyBorder="1"/>
    <xf numFmtId="0" fontId="64" fillId="0" borderId="0" xfId="5" applyFont="1"/>
    <xf numFmtId="0" fontId="64" fillId="0" borderId="22" xfId="5" applyFont="1" applyBorder="1"/>
    <xf numFmtId="0" fontId="64" fillId="9" borderId="22" xfId="5" applyFont="1" applyFill="1" applyBorder="1"/>
    <xf numFmtId="185" fontId="26" fillId="0" borderId="0" xfId="0" applyNumberFormat="1" applyFont="1"/>
    <xf numFmtId="0" fontId="28" fillId="0" borderId="22" xfId="11" applyFont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vertical="center" shrinkToFit="1"/>
    </xf>
    <xf numFmtId="0" fontId="31" fillId="5" borderId="23" xfId="11" applyFont="1" applyFill="1" applyBorder="1" applyAlignment="1">
      <alignment horizontal="center" vertical="center"/>
    </xf>
    <xf numFmtId="186" fontId="26" fillId="0" borderId="0" xfId="0" applyNumberFormat="1" applyFont="1"/>
    <xf numFmtId="0" fontId="14" fillId="9" borderId="0" xfId="11" applyFont="1" applyFill="1" applyAlignment="1">
      <alignment vertical="center"/>
    </xf>
    <xf numFmtId="188" fontId="26" fillId="0" borderId="0" xfId="0" applyNumberFormat="1" applyFont="1"/>
    <xf numFmtId="189" fontId="26" fillId="0" borderId="0" xfId="0" applyNumberFormat="1" applyFont="1"/>
    <xf numFmtId="0" fontId="26" fillId="9" borderId="0" xfId="0" applyFont="1" applyFill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186" fontId="14" fillId="0" borderId="0" xfId="0" applyNumberFormat="1" applyFont="1"/>
    <xf numFmtId="186" fontId="27" fillId="0" borderId="0" xfId="0" applyNumberFormat="1" applyFont="1" applyAlignment="1">
      <alignment horizontal="center" vertical="center"/>
    </xf>
    <xf numFmtId="0" fontId="57" fillId="0" borderId="22" xfId="0" applyFont="1" applyBorder="1" applyAlignment="1">
      <alignment horizontal="center" vertical="center" shrinkToFit="1"/>
    </xf>
    <xf numFmtId="179" fontId="14" fillId="0" borderId="22" xfId="0" applyNumberFormat="1" applyFont="1" applyBorder="1" applyAlignment="1">
      <alignment horizontal="center"/>
    </xf>
    <xf numFmtId="189" fontId="14" fillId="9" borderId="22" xfId="0" applyNumberFormat="1" applyFont="1" applyFill="1" applyBorder="1" applyAlignment="1">
      <alignment vertical="center" shrinkToFit="1"/>
    </xf>
    <xf numFmtId="10" fontId="14" fillId="0" borderId="22" xfId="0" applyNumberFormat="1" applyFont="1" applyBorder="1" applyAlignment="1">
      <alignment vertical="center"/>
    </xf>
    <xf numFmtId="10" fontId="27" fillId="0" borderId="23" xfId="0" applyNumberFormat="1" applyFont="1" applyBorder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left" vertical="center" shrinkToFit="1"/>
    </xf>
    <xf numFmtId="1" fontId="14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" fontId="14" fillId="9" borderId="22" xfId="0" applyNumberFormat="1" applyFont="1" applyFill="1" applyBorder="1" applyAlignment="1">
      <alignment horizontal="center" vertical="center" shrinkToFit="1"/>
    </xf>
    <xf numFmtId="183" fontId="14" fillId="9" borderId="22" xfId="0" applyNumberFormat="1" applyFont="1" applyFill="1" applyBorder="1" applyAlignment="1">
      <alignment horizontal="center" vertical="center" shrinkToFit="1"/>
    </xf>
    <xf numFmtId="1" fontId="14" fillId="0" borderId="22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shrinkToFit="1"/>
    </xf>
    <xf numFmtId="0" fontId="14" fillId="4" borderId="0" xfId="0" applyFont="1" applyFill="1" applyAlignment="1">
      <alignment shrinkToFit="1"/>
    </xf>
    <xf numFmtId="0" fontId="57" fillId="5" borderId="22" xfId="0" applyFont="1" applyFill="1" applyBorder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57" fillId="5" borderId="22" xfId="0" applyFont="1" applyFill="1" applyBorder="1" applyAlignment="1">
      <alignment horizontal="center" shrinkToFit="1"/>
    </xf>
    <xf numFmtId="0" fontId="57" fillId="0" borderId="22" xfId="0" applyFont="1" applyBorder="1" applyAlignment="1">
      <alignment horizontal="center" shrinkToFit="1"/>
    </xf>
    <xf numFmtId="0" fontId="15" fillId="4" borderId="22" xfId="0" applyFont="1" applyFill="1" applyBorder="1" applyAlignment="1">
      <alignment horizontal="center" shrinkToFit="1"/>
    </xf>
    <xf numFmtId="0" fontId="57" fillId="4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4" fillId="0" borderId="0" xfId="0" applyFont="1" applyAlignment="1">
      <alignment horizontal="center" shrinkToFit="1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1" fontId="57" fillId="0" borderId="22" xfId="0" applyNumberFormat="1" applyFont="1" applyBorder="1" applyAlignment="1">
      <alignment shrinkToFit="1"/>
    </xf>
    <xf numFmtId="183" fontId="57" fillId="0" borderId="22" xfId="0" applyNumberFormat="1" applyFont="1" applyBorder="1" applyAlignment="1">
      <alignment shrinkToFit="1"/>
    </xf>
    <xf numFmtId="0" fontId="57" fillId="0" borderId="22" xfId="0" applyFont="1" applyBorder="1" applyAlignment="1">
      <alignment horizontal="right" shrinkToFit="1"/>
    </xf>
    <xf numFmtId="1" fontId="72" fillId="0" borderId="22" xfId="0" applyNumberFormat="1" applyFont="1" applyBorder="1" applyAlignment="1">
      <alignment shrinkToFit="1"/>
    </xf>
    <xf numFmtId="183" fontId="72" fillId="0" borderId="22" xfId="0" applyNumberFormat="1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5" fillId="5" borderId="22" xfId="0" applyFont="1" applyFill="1" applyBorder="1" applyAlignment="1">
      <alignment horizontal="center" shrinkToFit="1"/>
    </xf>
    <xf numFmtId="183" fontId="28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8" fillId="0" borderId="67" xfId="0" applyFont="1" applyBorder="1" applyAlignment="1">
      <alignment horizontal="left" vertical="center"/>
    </xf>
    <xf numFmtId="10" fontId="28" fillId="3" borderId="50" xfId="0" applyNumberFormat="1" applyFont="1" applyFill="1" applyBorder="1" applyAlignment="1">
      <alignment horizontal="center" vertical="center" shrinkToFit="1"/>
    </xf>
    <xf numFmtId="190" fontId="26" fillId="0" borderId="0" xfId="0" applyNumberFormat="1" applyFont="1"/>
    <xf numFmtId="177" fontId="27" fillId="0" borderId="23" xfId="0" applyNumberFormat="1" applyFont="1" applyBorder="1" applyAlignment="1">
      <alignment horizontal="center" vertical="center"/>
    </xf>
    <xf numFmtId="184" fontId="28" fillId="0" borderId="22" xfId="0" applyNumberFormat="1" applyFont="1" applyBorder="1" applyAlignment="1">
      <alignment shrinkToFit="1"/>
    </xf>
    <xf numFmtId="0" fontId="74" fillId="0" borderId="22" xfId="0" applyFont="1" applyBorder="1" applyAlignment="1">
      <alignment shrinkToFit="1"/>
    </xf>
    <xf numFmtId="191" fontId="28" fillId="0" borderId="22" xfId="0" applyNumberFormat="1" applyFont="1" applyBorder="1" applyAlignment="1">
      <alignment horizontal="right" shrinkToFit="1"/>
    </xf>
    <xf numFmtId="185" fontId="28" fillId="0" borderId="22" xfId="0" applyNumberFormat="1" applyFont="1" applyBorder="1" applyAlignment="1">
      <alignment shrinkToFit="1"/>
    </xf>
    <xf numFmtId="186" fontId="28" fillId="0" borderId="22" xfId="0" applyNumberFormat="1" applyFont="1" applyBorder="1" applyAlignment="1">
      <alignment shrinkToFit="1"/>
    </xf>
    <xf numFmtId="192" fontId="28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0" fontId="67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28" fillId="0" borderId="0" xfId="11" applyFont="1" applyAlignment="1">
      <alignment shrinkToFit="1"/>
    </xf>
    <xf numFmtId="184" fontId="43" fillId="0" borderId="0" xfId="11" applyNumberFormat="1" applyFont="1" applyAlignment="1">
      <alignment shrinkToFit="1"/>
    </xf>
    <xf numFmtId="0" fontId="58" fillId="0" borderId="6" xfId="11" applyFont="1" applyBorder="1" applyAlignment="1">
      <alignment horizontal="center" shrinkToFit="1"/>
    </xf>
    <xf numFmtId="0" fontId="58" fillId="0" borderId="1" xfId="11" applyFont="1" applyBorder="1" applyAlignment="1">
      <alignment horizontal="center" shrinkToFit="1"/>
    </xf>
    <xf numFmtId="0" fontId="4" fillId="0" borderId="0" xfId="15">
      <alignment vertical="center"/>
    </xf>
    <xf numFmtId="186" fontId="36" fillId="0" borderId="6" xfId="11" applyNumberFormat="1" applyFont="1" applyBorder="1" applyAlignment="1">
      <alignment shrinkToFit="1"/>
    </xf>
    <xf numFmtId="10" fontId="14" fillId="0" borderId="22" xfId="0" applyNumberFormat="1" applyFont="1" applyBorder="1"/>
    <xf numFmtId="0" fontId="24" fillId="0" borderId="0" xfId="11"/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vertical="center" shrinkToFit="1"/>
    </xf>
    <xf numFmtId="0" fontId="28" fillId="0" borderId="4" xfId="11" applyFont="1" applyBorder="1" applyAlignment="1">
      <alignment vertical="center"/>
    </xf>
    <xf numFmtId="0" fontId="28" fillId="0" borderId="2" xfId="11" applyFont="1" applyBorder="1" applyAlignment="1">
      <alignment vertical="center"/>
    </xf>
    <xf numFmtId="0" fontId="28" fillId="0" borderId="3" xfId="11" applyFont="1" applyBorder="1" applyAlignment="1">
      <alignment vertical="center"/>
    </xf>
    <xf numFmtId="0" fontId="28" fillId="0" borderId="25" xfId="11" applyFont="1" applyBorder="1" applyAlignment="1">
      <alignment horizontal="left" vertical="center"/>
    </xf>
    <xf numFmtId="0" fontId="28" fillId="0" borderId="28" xfId="11" applyFont="1" applyBorder="1" applyAlignment="1">
      <alignment horizontal="left" vertical="center"/>
    </xf>
    <xf numFmtId="10" fontId="28" fillId="0" borderId="22" xfId="11" applyNumberFormat="1" applyFont="1" applyBorder="1" applyAlignment="1">
      <alignment vertical="center" shrinkToFit="1"/>
    </xf>
    <xf numFmtId="0" fontId="64" fillId="0" borderId="22" xfId="11" applyFont="1" applyBorder="1" applyAlignment="1">
      <alignment horizontal="left" vertical="center" shrinkToFit="1"/>
    </xf>
    <xf numFmtId="0" fontId="28" fillId="0" borderId="54" xfId="11" applyFont="1" applyBorder="1" applyAlignment="1">
      <alignment vertical="center"/>
    </xf>
    <xf numFmtId="0" fontId="28" fillId="0" borderId="47" xfId="11" applyFont="1" applyBorder="1" applyAlignment="1">
      <alignment vertical="center"/>
    </xf>
    <xf numFmtId="0" fontId="28" fillId="0" borderId="48" xfId="11" applyFont="1" applyBorder="1" applyAlignment="1">
      <alignment vertical="center"/>
    </xf>
    <xf numFmtId="0" fontId="28" fillId="0" borderId="64" xfId="11" applyFont="1" applyBorder="1" applyAlignment="1">
      <alignment vertical="center" shrinkToFit="1"/>
    </xf>
    <xf numFmtId="10" fontId="28" fillId="0" borderId="64" xfId="11" applyNumberFormat="1" applyFont="1" applyBorder="1" applyAlignment="1">
      <alignment vertical="center" shrinkToFit="1"/>
    </xf>
    <xf numFmtId="0" fontId="28" fillId="2" borderId="49" xfId="11" applyFont="1" applyFill="1" applyBorder="1" applyAlignment="1">
      <alignment horizontal="center" vertical="center" shrinkToFit="1"/>
    </xf>
    <xf numFmtId="0" fontId="28" fillId="3" borderId="51" xfId="11" applyFont="1" applyFill="1" applyBorder="1" applyAlignment="1">
      <alignment vertical="center" shrinkToFit="1"/>
    </xf>
    <xf numFmtId="0" fontId="76" fillId="0" borderId="0" xfId="11" applyFont="1" applyAlignment="1">
      <alignment horizontal="left" vertical="center" shrinkToFit="1"/>
    </xf>
    <xf numFmtId="0" fontId="28" fillId="2" borderId="56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60" xfId="11" applyFont="1" applyFill="1" applyBorder="1" applyAlignment="1">
      <alignment horizontal="center" vertical="center" shrinkToFit="1"/>
    </xf>
    <xf numFmtId="0" fontId="64" fillId="2" borderId="60" xfId="11" applyFont="1" applyFill="1" applyBorder="1" applyAlignment="1">
      <alignment horizontal="left" vertical="center" shrinkToFit="1"/>
    </xf>
    <xf numFmtId="0" fontId="28" fillId="0" borderId="42" xfId="11" applyFont="1" applyBorder="1" applyAlignment="1">
      <alignment vertical="center" shrinkToFit="1"/>
    </xf>
    <xf numFmtId="0" fontId="28" fillId="0" borderId="1" xfId="11" applyFont="1" applyBorder="1" applyAlignment="1">
      <alignment vertical="center" shrinkToFit="1"/>
    </xf>
    <xf numFmtId="10" fontId="28" fillId="0" borderId="1" xfId="11" applyNumberFormat="1" applyFont="1" applyBorder="1" applyAlignment="1">
      <alignment vertical="center" shrinkToFit="1"/>
    </xf>
    <xf numFmtId="0" fontId="28" fillId="3" borderId="1" xfId="11" applyFont="1" applyFill="1" applyBorder="1" applyAlignment="1">
      <alignment vertical="center" shrinkToFit="1"/>
    </xf>
    <xf numFmtId="0" fontId="64" fillId="0" borderId="1" xfId="11" applyFont="1" applyBorder="1" applyAlignment="1">
      <alignment horizontal="left" vertical="center" shrinkToFit="1"/>
    </xf>
    <xf numFmtId="0" fontId="68" fillId="0" borderId="0" xfId="0" applyFont="1" applyAlignment="1">
      <alignment horizontal="left" vertical="center" indent="1"/>
    </xf>
    <xf numFmtId="0" fontId="28" fillId="0" borderId="41" xfId="11" applyFont="1" applyBorder="1" applyAlignment="1">
      <alignment vertical="center" shrinkToFit="1"/>
    </xf>
    <xf numFmtId="0" fontId="28" fillId="0" borderId="65" xfId="11" applyFont="1" applyBorder="1" applyAlignment="1">
      <alignment vertical="center" shrinkToFit="1"/>
    </xf>
    <xf numFmtId="10" fontId="28" fillId="0" borderId="65" xfId="11" applyNumberFormat="1" applyFont="1" applyBorder="1" applyAlignment="1">
      <alignment vertical="center" shrinkToFit="1"/>
    </xf>
    <xf numFmtId="0" fontId="28" fillId="3" borderId="65" xfId="11" applyFont="1" applyFill="1" applyBorder="1" applyAlignment="1">
      <alignment vertical="center" shrinkToFit="1"/>
    </xf>
    <xf numFmtId="0" fontId="64" fillId="0" borderId="55" xfId="11" applyFont="1" applyBorder="1" applyAlignment="1">
      <alignment horizontal="left" vertical="center" shrinkToFit="1"/>
    </xf>
    <xf numFmtId="0" fontId="76" fillId="0" borderId="0" xfId="11" applyFont="1" applyAlignment="1">
      <alignment vertical="center" shrinkToFit="1"/>
    </xf>
    <xf numFmtId="0" fontId="28" fillId="0" borderId="62" xfId="11" applyFont="1" applyBorder="1" applyAlignment="1">
      <alignment vertical="center"/>
    </xf>
    <xf numFmtId="0" fontId="28" fillId="0" borderId="3" xfId="11" applyFont="1" applyBorder="1" applyAlignment="1">
      <alignment vertical="center" shrinkToFit="1"/>
    </xf>
    <xf numFmtId="0" fontId="64" fillId="0" borderId="1" xfId="11" applyFont="1" applyBorder="1" applyAlignment="1">
      <alignment vertical="center" shrinkToFit="1"/>
    </xf>
    <xf numFmtId="0" fontId="28" fillId="0" borderId="63" xfId="11" applyFont="1" applyBorder="1" applyAlignment="1">
      <alignment vertical="center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vertical="center" shrinkToFit="1"/>
    </xf>
    <xf numFmtId="0" fontId="28" fillId="2" borderId="44" xfId="11" applyFont="1" applyFill="1" applyBorder="1" applyAlignment="1">
      <alignment horizont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11" fillId="2" borderId="1" xfId="11" applyFont="1" applyFill="1" applyBorder="1" applyAlignment="1">
      <alignment horizontal="center" vertical="center" shrinkToFit="1"/>
    </xf>
    <xf numFmtId="0" fontId="7" fillId="2" borderId="1" xfId="11" applyFont="1" applyFill="1" applyBorder="1" applyAlignment="1">
      <alignment horizontal="center" vertical="center" shrinkToFit="1"/>
    </xf>
    <xf numFmtId="0" fontId="24" fillId="0" borderId="0" xfId="11" applyAlignment="1">
      <alignment horizontal="center" vertical="center" shrinkToFit="1"/>
    </xf>
    <xf numFmtId="0" fontId="7" fillId="0" borderId="22" xfId="11" applyFont="1" applyBorder="1" applyAlignment="1">
      <alignment vertical="center" shrinkToFit="1"/>
    </xf>
    <xf numFmtId="0" fontId="28" fillId="0" borderId="4" xfId="11" applyFont="1" applyBorder="1"/>
    <xf numFmtId="0" fontId="28" fillId="0" borderId="2" xfId="11" applyFont="1" applyBorder="1"/>
    <xf numFmtId="0" fontId="28" fillId="0" borderId="3" xfId="11" applyFont="1" applyBorder="1"/>
    <xf numFmtId="0" fontId="28" fillId="0" borderId="27" xfId="11" applyFont="1" applyBorder="1" applyAlignment="1">
      <alignment horizontal="left"/>
    </xf>
    <xf numFmtId="0" fontId="28" fillId="0" borderId="28" xfId="11" applyFont="1" applyBorder="1" applyAlignment="1">
      <alignment horizontal="left"/>
    </xf>
    <xf numFmtId="0" fontId="28" fillId="0" borderId="25" xfId="11" applyFont="1" applyBorder="1" applyAlignment="1">
      <alignment horizontal="left"/>
    </xf>
    <xf numFmtId="0" fontId="7" fillId="0" borderId="3" xfId="11" applyFont="1" applyBorder="1" applyAlignment="1">
      <alignment shrinkToFit="1"/>
    </xf>
    <xf numFmtId="10" fontId="7" fillId="0" borderId="1" xfId="11" applyNumberFormat="1" applyFont="1" applyBorder="1" applyAlignment="1">
      <alignment shrinkToFit="1"/>
    </xf>
    <xf numFmtId="0" fontId="7" fillId="0" borderId="1" xfId="11" applyFont="1" applyBorder="1" applyAlignment="1">
      <alignment shrinkToFit="1"/>
    </xf>
    <xf numFmtId="0" fontId="24" fillId="0" borderId="0" xfId="11" applyAlignment="1">
      <alignment shrinkToFit="1"/>
    </xf>
    <xf numFmtId="0" fontId="28" fillId="0" borderId="54" xfId="11" applyFont="1" applyBorder="1"/>
    <xf numFmtId="0" fontId="28" fillId="0" borderId="47" xfId="11" applyFont="1" applyBorder="1"/>
    <xf numFmtId="0" fontId="28" fillId="0" borderId="48" xfId="11" applyFont="1" applyBorder="1"/>
    <xf numFmtId="0" fontId="7" fillId="0" borderId="8" xfId="11" applyFont="1" applyBorder="1" applyAlignment="1">
      <alignment shrinkToFit="1"/>
    </xf>
    <xf numFmtId="0" fontId="7" fillId="0" borderId="5" xfId="11" applyFont="1" applyBorder="1" applyAlignment="1">
      <alignment shrinkToFit="1"/>
    </xf>
    <xf numFmtId="0" fontId="11" fillId="2" borderId="66" xfId="11" applyFont="1" applyFill="1" applyBorder="1" applyAlignment="1">
      <alignment horizontal="center" shrinkToFit="1"/>
    </xf>
    <xf numFmtId="0" fontId="11" fillId="2" borderId="16" xfId="11" applyFont="1" applyFill="1" applyBorder="1" applyAlignment="1">
      <alignment horizontal="center" shrinkToFit="1"/>
    </xf>
    <xf numFmtId="0" fontId="24" fillId="0" borderId="0" xfId="11" applyAlignment="1">
      <alignment wrapText="1" shrinkToFit="1"/>
    </xf>
    <xf numFmtId="0" fontId="24" fillId="0" borderId="0" xfId="11" applyAlignment="1">
      <alignment vertical="center" shrinkToFit="1"/>
    </xf>
    <xf numFmtId="0" fontId="7" fillId="0" borderId="4" xfId="11" applyFont="1" applyBorder="1" applyAlignment="1">
      <alignment shrinkToFit="1"/>
    </xf>
    <xf numFmtId="0" fontId="9" fillId="0" borderId="3" xfId="11" applyFont="1" applyBorder="1" applyAlignment="1">
      <alignment shrinkToFit="1"/>
    </xf>
    <xf numFmtId="0" fontId="7" fillId="0" borderId="9" xfId="11" applyFont="1" applyBorder="1" applyAlignment="1">
      <alignment shrinkToFit="1"/>
    </xf>
    <xf numFmtId="0" fontId="9" fillId="0" borderId="8" xfId="11" applyFont="1" applyBorder="1" applyAlignment="1">
      <alignment shrinkToFit="1"/>
    </xf>
    <xf numFmtId="0" fontId="11" fillId="2" borderId="22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8" fillId="0" borderId="28" xfId="11" applyFont="1" applyBorder="1" applyAlignment="1">
      <alignment vertical="center"/>
    </xf>
    <xf numFmtId="0" fontId="28" fillId="0" borderId="25" xfId="11" applyFont="1" applyBorder="1" applyAlignment="1">
      <alignment vertical="center"/>
    </xf>
    <xf numFmtId="185" fontId="84" fillId="0" borderId="22" xfId="0" applyNumberFormat="1" applyFont="1" applyBorder="1" applyAlignment="1">
      <alignment shrinkToFit="1"/>
    </xf>
    <xf numFmtId="177" fontId="14" fillId="9" borderId="22" xfId="0" applyNumberFormat="1" applyFont="1" applyFill="1" applyBorder="1"/>
    <xf numFmtId="0" fontId="58" fillId="0" borderId="0" xfId="0" applyFont="1" applyAlignment="1">
      <alignment shrinkToFit="1"/>
    </xf>
    <xf numFmtId="0" fontId="66" fillId="0" borderId="0" xfId="0" applyFont="1" applyAlignment="1">
      <alignment horizontal="center" vertical="center" shrinkToFit="1"/>
    </xf>
    <xf numFmtId="185" fontId="26" fillId="0" borderId="0" xfId="14" applyNumberFormat="1" applyFont="1" applyAlignment="1">
      <alignment horizontal="center" vertical="center" shrinkToFit="1"/>
    </xf>
    <xf numFmtId="0" fontId="7" fillId="0" borderId="3" xfId="11" applyFont="1" applyBorder="1" applyAlignment="1">
      <alignment vertical="center" shrinkToFit="1"/>
    </xf>
    <xf numFmtId="10" fontId="7" fillId="0" borderId="1" xfId="11" applyNumberFormat="1" applyFont="1" applyBorder="1" applyAlignment="1">
      <alignment vertical="center" shrinkToFit="1"/>
    </xf>
    <xf numFmtId="0" fontId="7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7" fillId="0" borderId="8" xfId="11" applyFont="1" applyBorder="1" applyAlignment="1">
      <alignment vertical="center" shrinkToFit="1"/>
    </xf>
    <xf numFmtId="0" fontId="7" fillId="0" borderId="5" xfId="11" applyFont="1" applyBorder="1" applyAlignment="1">
      <alignment vertical="center" shrinkToFit="1"/>
    </xf>
    <xf numFmtId="0" fontId="68" fillId="0" borderId="0" xfId="0" applyFont="1" applyAlignment="1">
      <alignment horizontal="left" vertical="center"/>
    </xf>
    <xf numFmtId="189" fontId="26" fillId="0" borderId="0" xfId="0" applyNumberFormat="1" applyFont="1" applyAlignment="1">
      <alignment horizontal="center"/>
    </xf>
    <xf numFmtId="189" fontId="14" fillId="0" borderId="22" xfId="0" applyNumberFormat="1" applyFont="1" applyBorder="1" applyAlignment="1">
      <alignment shrinkToFit="1"/>
    </xf>
    <xf numFmtId="190" fontId="14" fillId="0" borderId="22" xfId="0" applyNumberFormat="1" applyFont="1" applyBorder="1"/>
    <xf numFmtId="1" fontId="28" fillId="3" borderId="22" xfId="11" applyNumberFormat="1" applyFont="1" applyFill="1" applyBorder="1" applyAlignment="1">
      <alignment vertical="center" shrinkToFit="1"/>
    </xf>
    <xf numFmtId="1" fontId="28" fillId="3" borderId="64" xfId="11" applyNumberFormat="1" applyFont="1" applyFill="1" applyBorder="1" applyAlignment="1">
      <alignment vertical="center" shrinkToFit="1"/>
    </xf>
    <xf numFmtId="1" fontId="28" fillId="3" borderId="51" xfId="11" applyNumberFormat="1" applyFont="1" applyFill="1" applyBorder="1" applyAlignment="1">
      <alignment vertical="center" shrinkToFit="1"/>
    </xf>
    <xf numFmtId="1" fontId="28" fillId="3" borderId="1" xfId="11" applyNumberFormat="1" applyFont="1" applyFill="1" applyBorder="1" applyAlignment="1">
      <alignment vertical="center" shrinkToFit="1"/>
    </xf>
    <xf numFmtId="1" fontId="28" fillId="3" borderId="45" xfId="11" applyNumberFormat="1" applyFont="1" applyFill="1" applyBorder="1" applyAlignment="1">
      <alignment shrinkToFit="1"/>
    </xf>
    <xf numFmtId="0" fontId="26" fillId="0" borderId="27" xfId="11" applyFont="1" applyBorder="1" applyAlignment="1">
      <alignment horizontal="center" vertical="center" shrinkToFit="1"/>
    </xf>
    <xf numFmtId="0" fontId="57" fillId="0" borderId="27" xfId="11" applyFont="1" applyBorder="1" applyAlignment="1">
      <alignment horizontal="center" vertical="center" shrinkToFit="1"/>
    </xf>
    <xf numFmtId="1" fontId="24" fillId="0" borderId="0" xfId="11" applyNumberFormat="1" applyAlignment="1">
      <alignment shrinkToFit="1"/>
    </xf>
    <xf numFmtId="1" fontId="7" fillId="2" borderId="1" xfId="11" applyNumberFormat="1" applyFont="1" applyFill="1" applyBorder="1" applyAlignment="1">
      <alignment horizontal="center" vertical="center" shrinkToFit="1"/>
    </xf>
    <xf numFmtId="1" fontId="28" fillId="3" borderId="22" xfId="11" applyNumberFormat="1" applyFont="1" applyFill="1" applyBorder="1" applyAlignment="1">
      <alignment shrinkToFit="1"/>
    </xf>
    <xf numFmtId="1" fontId="7" fillId="3" borderId="1" xfId="11" applyNumberFormat="1" applyFont="1" applyFill="1" applyBorder="1" applyAlignment="1">
      <alignment shrinkToFit="1"/>
    </xf>
    <xf numFmtId="1" fontId="7" fillId="3" borderId="5" xfId="11" applyNumberFormat="1" applyFont="1" applyFill="1" applyBorder="1" applyAlignment="1">
      <alignment shrinkToFit="1"/>
    </xf>
    <xf numFmtId="1" fontId="7" fillId="3" borderId="18" xfId="11" applyNumberFormat="1" applyFont="1" applyFill="1" applyBorder="1" applyAlignment="1">
      <alignment shrinkToFit="1"/>
    </xf>
    <xf numFmtId="0" fontId="6" fillId="0" borderId="0" xfId="4">
      <alignment vertical="center"/>
    </xf>
    <xf numFmtId="0" fontId="66" fillId="0" borderId="0" xfId="11" applyFont="1" applyAlignment="1">
      <alignment vertical="center" shrinkToFit="1"/>
    </xf>
    <xf numFmtId="0" fontId="66" fillId="0" borderId="0" xfId="11" applyFont="1" applyAlignment="1">
      <alignment shrinkToFit="1"/>
    </xf>
    <xf numFmtId="0" fontId="0" fillId="0" borderId="0" xfId="0" applyAlignment="1">
      <alignment vertical="center"/>
    </xf>
    <xf numFmtId="10" fontId="28" fillId="3" borderId="50" xfId="11" applyNumberFormat="1" applyFont="1" applyFill="1" applyBorder="1" applyAlignment="1">
      <alignment horizontal="center" vertical="center" shrinkToFit="1"/>
    </xf>
    <xf numFmtId="0" fontId="24" fillId="0" borderId="0" xfId="11" applyAlignment="1">
      <alignment horizontal="left" vertical="center" indent="2"/>
    </xf>
    <xf numFmtId="0" fontId="68" fillId="0" borderId="0" xfId="11" applyFont="1" applyAlignment="1">
      <alignment horizontal="left" vertical="center" indent="1"/>
    </xf>
    <xf numFmtId="0" fontId="24" fillId="0" borderId="0" xfId="11" applyAlignment="1">
      <alignment horizontal="left" vertical="center"/>
    </xf>
    <xf numFmtId="0" fontId="68" fillId="0" borderId="0" xfId="11" applyFont="1" applyAlignment="1">
      <alignment horizontal="left" vertical="center"/>
    </xf>
    <xf numFmtId="0" fontId="68" fillId="0" borderId="67" xfId="11" applyFont="1" applyBorder="1" applyAlignment="1">
      <alignment horizontal="left" vertical="center"/>
    </xf>
    <xf numFmtId="0" fontId="24" fillId="0" borderId="0" xfId="11" applyAlignment="1">
      <alignment vertical="center"/>
    </xf>
    <xf numFmtId="0" fontId="28" fillId="2" borderId="72" xfId="11" applyFont="1" applyFill="1" applyBorder="1" applyAlignment="1">
      <alignment horizontal="center" vertical="center" shrinkToFit="1"/>
    </xf>
    <xf numFmtId="10" fontId="28" fillId="3" borderId="73" xfId="11" applyNumberFormat="1" applyFont="1" applyFill="1" applyBorder="1" applyAlignment="1">
      <alignment horizontal="center" vertical="center" shrinkToFit="1"/>
    </xf>
    <xf numFmtId="0" fontId="28" fillId="2" borderId="74" xfId="11" applyFont="1" applyFill="1" applyBorder="1" applyAlignment="1">
      <alignment horizontal="center" shrinkToFit="1"/>
    </xf>
    <xf numFmtId="0" fontId="11" fillId="2" borderId="75" xfId="11" applyFont="1" applyFill="1" applyBorder="1" applyAlignment="1">
      <alignment horizontal="center" shrinkToFit="1"/>
    </xf>
    <xf numFmtId="0" fontId="11" fillId="2" borderId="74" xfId="11" applyFont="1" applyFill="1" applyBorder="1" applyAlignment="1">
      <alignment horizontal="center" shrinkToFit="1"/>
    </xf>
    <xf numFmtId="1" fontId="7" fillId="3" borderId="76" xfId="11" applyNumberFormat="1" applyFont="1" applyFill="1" applyBorder="1" applyAlignment="1">
      <alignment shrinkToFit="1"/>
    </xf>
    <xf numFmtId="195" fontId="4" fillId="0" borderId="0" xfId="15" applyNumberFormat="1">
      <alignment vertical="center"/>
    </xf>
    <xf numFmtId="0" fontId="70" fillId="0" borderId="0" xfId="0" applyFont="1" applyAlignment="1">
      <alignment vertical="center"/>
    </xf>
    <xf numFmtId="0" fontId="28" fillId="0" borderId="77" xfId="11" applyFont="1" applyBorder="1" applyAlignment="1">
      <alignment vertical="center"/>
    </xf>
    <xf numFmtId="192" fontId="57" fillId="0" borderId="22" xfId="0" applyNumberFormat="1" applyFont="1" applyBorder="1" applyAlignment="1">
      <alignment shrinkToFit="1"/>
    </xf>
    <xf numFmtId="10" fontId="7" fillId="0" borderId="65" xfId="11" applyNumberFormat="1" applyFont="1" applyBorder="1" applyAlignment="1">
      <alignment shrinkToFit="1"/>
    </xf>
    <xf numFmtId="0" fontId="26" fillId="0" borderId="22" xfId="11" applyFont="1" applyBorder="1" applyAlignment="1">
      <alignment horizontal="center" vertical="center" shrinkToFit="1"/>
    </xf>
    <xf numFmtId="0" fontId="57" fillId="0" borderId="22" xfId="11" applyFont="1" applyBorder="1" applyAlignment="1">
      <alignment horizontal="center" vertical="center" shrinkToFit="1"/>
    </xf>
    <xf numFmtId="1" fontId="28" fillId="3" borderId="78" xfId="11" applyNumberFormat="1" applyFont="1" applyFill="1" applyBorder="1" applyAlignment="1">
      <alignment vertical="center" shrinkToFit="1"/>
    </xf>
    <xf numFmtId="0" fontId="28" fillId="0" borderId="71" xfId="11" applyFont="1" applyBorder="1" applyAlignment="1">
      <alignment vertical="center"/>
    </xf>
    <xf numFmtId="9" fontId="28" fillId="0" borderId="22" xfId="11" applyNumberFormat="1" applyFont="1" applyBorder="1" applyAlignment="1">
      <alignment shrinkToFit="1"/>
    </xf>
    <xf numFmtId="0" fontId="28" fillId="0" borderId="22" xfId="11" applyFont="1" applyBorder="1" applyAlignment="1">
      <alignment vertical="center"/>
    </xf>
    <xf numFmtId="0" fontId="28" fillId="0" borderId="57" xfId="11" applyFont="1" applyBorder="1" applyAlignment="1">
      <alignment vertical="center"/>
    </xf>
    <xf numFmtId="0" fontId="28" fillId="0" borderId="58" xfId="11" applyFont="1" applyBorder="1" applyAlignment="1">
      <alignment vertical="center"/>
    </xf>
    <xf numFmtId="0" fontId="28" fillId="0" borderId="61" xfId="11" applyFont="1" applyBorder="1" applyAlignment="1">
      <alignment vertical="center"/>
    </xf>
    <xf numFmtId="0" fontId="31" fillId="0" borderId="22" xfId="11" applyFont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36" fillId="5" borderId="22" xfId="22" applyFont="1" applyFill="1" applyBorder="1" applyAlignment="1">
      <alignment horizontal="center" vertical="center"/>
    </xf>
    <xf numFmtId="0" fontId="31" fillId="0" borderId="22" xfId="11" applyFont="1" applyBorder="1" applyAlignment="1">
      <alignment horizontal="left" vertical="center"/>
    </xf>
    <xf numFmtId="196" fontId="36" fillId="0" borderId="22" xfId="11" applyNumberFormat="1" applyFont="1" applyBorder="1" applyAlignment="1">
      <alignment horizontal="center" vertical="center"/>
    </xf>
    <xf numFmtId="197" fontId="36" fillId="0" borderId="22" xfId="11" applyNumberFormat="1" applyFont="1" applyBorder="1" applyAlignment="1">
      <alignment horizontal="center" vertical="center"/>
    </xf>
    <xf numFmtId="185" fontId="36" fillId="9" borderId="22" xfId="13" applyNumberFormat="1" applyFont="1" applyFill="1" applyBorder="1" applyAlignment="1">
      <alignment horizontal="center" vertical="center"/>
    </xf>
    <xf numFmtId="196" fontId="36" fillId="0" borderId="22" xfId="21" applyNumberFormat="1" applyFont="1" applyBorder="1" applyAlignment="1">
      <alignment horizontal="center" vertical="center"/>
    </xf>
    <xf numFmtId="197" fontId="36" fillId="9" borderId="22" xfId="11" applyNumberFormat="1" applyFont="1" applyFill="1" applyBorder="1" applyAlignment="1">
      <alignment horizontal="center" vertical="center"/>
    </xf>
    <xf numFmtId="196" fontId="36" fillId="9" borderId="22" xfId="11" applyNumberFormat="1" applyFont="1" applyFill="1" applyBorder="1" applyAlignment="1">
      <alignment horizontal="center" vertical="center"/>
    </xf>
    <xf numFmtId="0" fontId="96" fillId="0" borderId="22" xfId="11" applyFont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95" fillId="0" borderId="22" xfId="11" applyFont="1" applyBorder="1" applyAlignment="1">
      <alignment horizontal="left" vertical="center"/>
    </xf>
    <xf numFmtId="0" fontId="94" fillId="0" borderId="0" xfId="11" applyFont="1" applyAlignment="1">
      <alignment horizontal="center" vertical="center"/>
    </xf>
    <xf numFmtId="0" fontId="31" fillId="0" borderId="40" xfId="11" applyFont="1" applyBorder="1" applyAlignment="1">
      <alignment horizontal="center" vertical="center"/>
    </xf>
    <xf numFmtId="0" fontId="31" fillId="0" borderId="0" xfId="11" applyFont="1" applyAlignment="1">
      <alignment horizontal="left" vertical="center"/>
    </xf>
    <xf numFmtId="0" fontId="96" fillId="0" borderId="0" xfId="11" applyFont="1" applyAlignment="1">
      <alignment horizontal="center" vertical="center"/>
    </xf>
    <xf numFmtId="198" fontId="36" fillId="9" borderId="22" xfId="13" applyNumberFormat="1" applyFont="1" applyFill="1" applyBorder="1" applyAlignment="1">
      <alignment horizontal="center" vertical="center"/>
    </xf>
    <xf numFmtId="1" fontId="61" fillId="0" borderId="79" xfId="11" applyNumberFormat="1" applyFont="1" applyBorder="1" applyAlignment="1">
      <alignment horizontal="center" vertical="center"/>
    </xf>
    <xf numFmtId="9" fontId="31" fillId="0" borderId="79" xfId="13" applyFont="1" applyBorder="1" applyAlignment="1">
      <alignment horizontal="center"/>
    </xf>
    <xf numFmtId="1" fontId="31" fillId="0" borderId="69" xfId="11" applyNumberFormat="1" applyFont="1" applyBorder="1" applyAlignment="1">
      <alignment horizontal="center" vertical="center"/>
    </xf>
    <xf numFmtId="1" fontId="31" fillId="0" borderId="22" xfId="11" applyNumberFormat="1" applyFont="1" applyBorder="1" applyAlignment="1">
      <alignment horizontal="center" vertical="center"/>
    </xf>
    <xf numFmtId="0" fontId="28" fillId="0" borderId="68" xfId="11" applyFont="1" applyBorder="1" applyAlignment="1">
      <alignment vertical="center"/>
    </xf>
    <xf numFmtId="0" fontId="28" fillId="0" borderId="54" xfId="11" applyFont="1" applyBorder="1" applyAlignment="1">
      <alignment horizontal="left" vertical="center"/>
    </xf>
    <xf numFmtId="0" fontId="28" fillId="0" borderId="47" xfId="11" applyFont="1" applyBorder="1" applyAlignment="1">
      <alignment horizontal="left" vertical="center"/>
    </xf>
    <xf numFmtId="0" fontId="28" fillId="0" borderId="63" xfId="11" applyFont="1" applyBorder="1" applyAlignment="1">
      <alignment horizontal="left" vertical="center"/>
    </xf>
    <xf numFmtId="0" fontId="28" fillId="0" borderId="27" xfId="11" applyFont="1" applyBorder="1" applyAlignment="1">
      <alignment vertical="center"/>
    </xf>
    <xf numFmtId="0" fontId="11" fillId="2" borderId="5" xfId="11" applyFont="1" applyFill="1" applyBorder="1" applyAlignment="1">
      <alignment horizontal="center" vertical="center" shrinkToFit="1"/>
    </xf>
    <xf numFmtId="0" fontId="28" fillId="0" borderId="59" xfId="11" applyFont="1" applyBorder="1" applyAlignment="1">
      <alignment vertical="center"/>
    </xf>
    <xf numFmtId="0" fontId="28" fillId="0" borderId="80" xfId="11" applyFont="1" applyBorder="1" applyAlignment="1">
      <alignment vertical="center"/>
    </xf>
    <xf numFmtId="0" fontId="89" fillId="0" borderId="22" xfId="11" applyFont="1" applyBorder="1" applyAlignment="1">
      <alignment horizontal="center" vertical="center"/>
    </xf>
    <xf numFmtId="0" fontId="14" fillId="0" borderId="0" xfId="11" applyFont="1" applyAlignment="1">
      <alignment horizontal="center" shrinkToFit="1"/>
    </xf>
    <xf numFmtId="10" fontId="7" fillId="0" borderId="65" xfId="11" applyNumberFormat="1" applyFont="1" applyBorder="1" applyAlignment="1">
      <alignment vertical="center" shrinkToFit="1"/>
    </xf>
    <xf numFmtId="183" fontId="14" fillId="0" borderId="0" xfId="0" applyNumberFormat="1" applyFont="1" applyAlignment="1">
      <alignment horizontal="center" vertical="center" shrinkToFit="1"/>
    </xf>
    <xf numFmtId="183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vertical="center" shrinkToFit="1"/>
    </xf>
    <xf numFmtId="0" fontId="97" fillId="0" borderId="0" xfId="0" applyFont="1" applyAlignment="1">
      <alignment shrinkToFit="1"/>
    </xf>
    <xf numFmtId="0" fontId="7" fillId="0" borderId="82" xfId="11" applyFont="1" applyBorder="1" applyAlignment="1">
      <alignment vertical="center" shrinkToFit="1"/>
    </xf>
    <xf numFmtId="1" fontId="7" fillId="3" borderId="76" xfId="0" applyNumberFormat="1" applyFont="1" applyFill="1" applyBorder="1" applyAlignment="1">
      <alignment shrinkToFit="1"/>
    </xf>
    <xf numFmtId="0" fontId="98" fillId="0" borderId="0" xfId="0" applyFont="1" applyAlignment="1">
      <alignment horizontal="left" vertical="center" indent="1"/>
    </xf>
    <xf numFmtId="0" fontId="66" fillId="0" borderId="0" xfId="0" applyFont="1" applyAlignment="1">
      <alignment horizontal="left" vertical="center" indent="2"/>
    </xf>
    <xf numFmtId="0" fontId="66" fillId="0" borderId="0" xfId="11" applyFont="1"/>
    <xf numFmtId="0" fontId="66" fillId="0" borderId="0" xfId="11" applyFont="1" applyAlignment="1">
      <alignment horizontal="left" vertical="center"/>
    </xf>
    <xf numFmtId="0" fontId="66" fillId="0" borderId="0" xfId="11" applyFont="1" applyAlignment="1">
      <alignment horizontal="left" vertical="center" indent="2"/>
    </xf>
    <xf numFmtId="0" fontId="98" fillId="0" borderId="0" xfId="11" applyFont="1" applyAlignment="1">
      <alignment horizontal="left" vertical="center" indent="1"/>
    </xf>
    <xf numFmtId="0" fontId="98" fillId="0" borderId="0" xfId="11" applyFont="1" applyAlignment="1">
      <alignment horizontal="left" vertical="center"/>
    </xf>
    <xf numFmtId="0" fontId="99" fillId="0" borderId="0" xfId="11" applyFont="1" applyAlignment="1">
      <alignment vertical="center" shrinkToFit="1"/>
    </xf>
    <xf numFmtId="0" fontId="66" fillId="0" borderId="0" xfId="0" applyFont="1" applyAlignment="1">
      <alignment shrinkToFit="1"/>
    </xf>
    <xf numFmtId="0" fontId="66" fillId="0" borderId="0" xfId="0" applyFont="1"/>
    <xf numFmtId="3" fontId="28" fillId="6" borderId="22" xfId="0" applyNumberFormat="1" applyFont="1" applyFill="1" applyBorder="1" applyAlignment="1">
      <alignment shrinkToFit="1"/>
    </xf>
    <xf numFmtId="0" fontId="100" fillId="0" borderId="84" xfId="11" applyFont="1" applyBorder="1" applyAlignment="1">
      <alignment horizontal="center" vertical="center"/>
    </xf>
    <xf numFmtId="0" fontId="100" fillId="0" borderId="85" xfId="11" applyFont="1" applyBorder="1" applyAlignment="1">
      <alignment horizontal="center" vertical="center"/>
    </xf>
    <xf numFmtId="196" fontId="101" fillId="0" borderId="22" xfId="11" applyNumberFormat="1" applyFont="1" applyBorder="1" applyAlignment="1">
      <alignment horizontal="right" vertical="center"/>
    </xf>
    <xf numFmtId="199" fontId="101" fillId="0" borderId="22" xfId="11" applyNumberFormat="1" applyFont="1" applyBorder="1" applyAlignment="1">
      <alignment horizontal="right" vertical="center"/>
    </xf>
    <xf numFmtId="186" fontId="101" fillId="0" borderId="22" xfId="13" applyNumberFormat="1" applyFont="1" applyBorder="1" applyAlignment="1">
      <alignment vertical="center"/>
    </xf>
    <xf numFmtId="10" fontId="101" fillId="0" borderId="22" xfId="13" applyNumberFormat="1" applyFont="1" applyBorder="1" applyAlignment="1">
      <alignment vertical="center"/>
    </xf>
    <xf numFmtId="183" fontId="101" fillId="0" borderId="22" xfId="11" applyNumberFormat="1" applyFont="1" applyBorder="1" applyAlignment="1">
      <alignment vertical="center"/>
    </xf>
    <xf numFmtId="183" fontId="101" fillId="0" borderId="89" xfId="11" applyNumberFormat="1" applyFont="1" applyBorder="1" applyAlignment="1">
      <alignment vertical="center"/>
    </xf>
    <xf numFmtId="10" fontId="28" fillId="9" borderId="22" xfId="0" applyNumberFormat="1" applyFont="1" applyFill="1" applyBorder="1" applyAlignment="1">
      <alignment shrinkToFit="1"/>
    </xf>
    <xf numFmtId="4" fontId="28" fillId="6" borderId="22" xfId="0" applyNumberFormat="1" applyFont="1" applyFill="1" applyBorder="1" applyAlignment="1">
      <alignment horizontal="right" shrinkToFit="1"/>
    </xf>
    <xf numFmtId="186" fontId="28" fillId="6" borderId="22" xfId="13" applyNumberFormat="1" applyFont="1" applyFill="1" applyBorder="1" applyAlignment="1">
      <alignment horizontal="right" shrinkToFit="1"/>
    </xf>
    <xf numFmtId="10" fontId="28" fillId="6" borderId="22" xfId="13" applyNumberFormat="1" applyFont="1" applyFill="1" applyBorder="1" applyAlignment="1">
      <alignment horizontal="right" shrinkToFit="1"/>
    </xf>
    <xf numFmtId="191" fontId="28" fillId="6" borderId="22" xfId="0" applyNumberFormat="1" applyFont="1" applyFill="1" applyBorder="1" applyAlignment="1">
      <alignment shrinkToFit="1"/>
    </xf>
    <xf numFmtId="0" fontId="101" fillId="0" borderId="22" xfId="11" applyFont="1" applyBorder="1" applyAlignment="1">
      <alignment vertical="center"/>
    </xf>
    <xf numFmtId="196" fontId="101" fillId="9" borderId="87" xfId="11" applyNumberFormat="1" applyFont="1" applyFill="1" applyBorder="1"/>
    <xf numFmtId="0" fontId="101" fillId="9" borderId="22" xfId="11" applyFont="1" applyFill="1" applyBorder="1" applyAlignment="1">
      <alignment vertical="center"/>
    </xf>
    <xf numFmtId="10" fontId="102" fillId="9" borderId="22" xfId="13" applyNumberFormat="1" applyFont="1" applyFill="1" applyBorder="1" applyAlignment="1">
      <alignment horizontal="right" vertical="center"/>
    </xf>
    <xf numFmtId="10" fontId="101" fillId="9" borderId="22" xfId="13" applyNumberFormat="1" applyFont="1" applyFill="1" applyBorder="1" applyAlignment="1">
      <alignment horizontal="right" vertical="center"/>
    </xf>
    <xf numFmtId="10" fontId="101" fillId="9" borderId="87" xfId="13" applyNumberFormat="1" applyFont="1" applyFill="1" applyBorder="1" applyAlignment="1"/>
    <xf numFmtId="0" fontId="101" fillId="0" borderId="86" xfId="11" applyFont="1" applyBorder="1" applyAlignment="1">
      <alignment horizontal="left"/>
    </xf>
    <xf numFmtId="197" fontId="101" fillId="0" borderId="22" xfId="11" applyNumberFormat="1" applyFont="1" applyBorder="1" applyAlignment="1">
      <alignment horizontal="right" vertical="center"/>
    </xf>
    <xf numFmtId="199" fontId="101" fillId="9" borderId="87" xfId="11" applyNumberFormat="1" applyFont="1" applyFill="1" applyBorder="1"/>
    <xf numFmtId="10" fontId="101" fillId="9" borderId="87" xfId="13" applyNumberFormat="1" applyFont="1" applyFill="1" applyBorder="1" applyAlignment="1">
      <alignment horizontal="right" vertical="center"/>
    </xf>
    <xf numFmtId="186" fontId="101" fillId="9" borderId="87" xfId="13" applyNumberFormat="1" applyFont="1" applyFill="1" applyBorder="1" applyAlignment="1">
      <alignment horizontal="right" vertical="center"/>
    </xf>
    <xf numFmtId="10" fontId="101" fillId="0" borderId="87" xfId="13" applyNumberFormat="1" applyFont="1" applyFill="1" applyBorder="1" applyAlignment="1">
      <alignment horizontal="right" vertical="center"/>
    </xf>
    <xf numFmtId="10" fontId="101" fillId="0" borderId="22" xfId="13" applyNumberFormat="1" applyFont="1" applyBorder="1" applyAlignment="1"/>
    <xf numFmtId="197" fontId="101" fillId="9" borderId="87" xfId="13" applyNumberFormat="1" applyFont="1" applyFill="1" applyBorder="1" applyAlignment="1">
      <alignment horizontal="right" vertical="center"/>
    </xf>
    <xf numFmtId="0" fontId="101" fillId="0" borderId="23" xfId="11" applyFont="1" applyBorder="1" applyAlignment="1">
      <alignment vertical="center"/>
    </xf>
    <xf numFmtId="183" fontId="101" fillId="0" borderId="23" xfId="11" applyNumberFormat="1" applyFont="1" applyBorder="1" applyAlignment="1">
      <alignment vertical="center"/>
    </xf>
    <xf numFmtId="0" fontId="101" fillId="0" borderId="89" xfId="11" applyFont="1" applyBorder="1" applyAlignment="1">
      <alignment vertical="center"/>
    </xf>
    <xf numFmtId="197" fontId="101" fillId="9" borderId="90" xfId="13" applyNumberFormat="1" applyFont="1" applyFill="1" applyBorder="1" applyAlignment="1">
      <alignment horizontal="right" vertical="center"/>
    </xf>
    <xf numFmtId="3" fontId="28" fillId="9" borderId="22" xfId="0" applyNumberFormat="1" applyFont="1" applyFill="1" applyBorder="1" applyAlignment="1">
      <alignment shrinkToFit="1"/>
    </xf>
    <xf numFmtId="4" fontId="28" fillId="9" borderId="22" xfId="0" applyNumberFormat="1" applyFont="1" applyFill="1" applyBorder="1" applyAlignment="1">
      <alignment horizontal="right" shrinkToFit="1"/>
    </xf>
    <xf numFmtId="186" fontId="28" fillId="9" borderId="22" xfId="0" applyNumberFormat="1" applyFont="1" applyFill="1" applyBorder="1" applyAlignment="1">
      <alignment shrinkToFit="1"/>
    </xf>
    <xf numFmtId="10" fontId="28" fillId="6" borderId="22" xfId="13" applyNumberFormat="1" applyFont="1" applyFill="1" applyBorder="1" applyAlignment="1">
      <alignment shrinkToFit="1"/>
    </xf>
    <xf numFmtId="10" fontId="28" fillId="6" borderId="22" xfId="0" applyNumberFormat="1" applyFont="1" applyFill="1" applyBorder="1" applyAlignment="1">
      <alignment shrinkToFit="1"/>
    </xf>
    <xf numFmtId="183" fontId="28" fillId="9" borderId="22" xfId="0" applyNumberFormat="1" applyFont="1" applyFill="1" applyBorder="1" applyAlignment="1">
      <alignment shrinkToFit="1"/>
    </xf>
    <xf numFmtId="183" fontId="28" fillId="6" borderId="22" xfId="0" applyNumberFormat="1" applyFont="1" applyFill="1" applyBorder="1" applyAlignment="1">
      <alignment shrinkToFit="1"/>
    </xf>
    <xf numFmtId="179" fontId="14" fillId="0" borderId="0" xfId="0" applyNumberFormat="1" applyFont="1" applyAlignment="1">
      <alignment horizontal="center"/>
    </xf>
    <xf numFmtId="185" fontId="26" fillId="0" borderId="0" xfId="13" applyNumberFormat="1" applyFont="1" applyAlignment="1"/>
    <xf numFmtId="0" fontId="66" fillId="0" borderId="0" xfId="0" applyFont="1" applyAlignment="1">
      <alignment vertical="center"/>
    </xf>
    <xf numFmtId="10" fontId="64" fillId="0" borderId="22" xfId="11" applyNumberFormat="1" applyFont="1" applyBorder="1" applyAlignment="1">
      <alignment horizontal="left" vertical="center" shrinkToFit="1"/>
    </xf>
    <xf numFmtId="10" fontId="64" fillId="0" borderId="1" xfId="11" applyNumberFormat="1" applyFont="1" applyBorder="1" applyAlignment="1">
      <alignment vertical="center" shrinkToFit="1"/>
    </xf>
    <xf numFmtId="10" fontId="28" fillId="3" borderId="94" xfId="11" applyNumberFormat="1" applyFont="1" applyFill="1" applyBorder="1" applyAlignment="1">
      <alignment horizontal="center" vertical="center" shrinkToFit="1"/>
    </xf>
    <xf numFmtId="0" fontId="95" fillId="5" borderId="22" xfId="22" applyFont="1" applyFill="1" applyBorder="1" applyAlignment="1">
      <alignment horizontal="center" vertical="center" wrapText="1"/>
    </xf>
    <xf numFmtId="0" fontId="28" fillId="0" borderId="77" xfId="11" applyFont="1" applyBorder="1" applyAlignment="1">
      <alignment horizontal="left" vertical="center"/>
    </xf>
    <xf numFmtId="0" fontId="31" fillId="9" borderId="22" xfId="11" applyFont="1" applyFill="1" applyBorder="1" applyAlignment="1">
      <alignment horizontal="left" vertical="center"/>
    </xf>
    <xf numFmtId="196" fontId="36" fillId="4" borderId="22" xfId="11" applyNumberFormat="1" applyFont="1" applyFill="1" applyBorder="1" applyAlignment="1">
      <alignment horizontal="center" vertical="center"/>
    </xf>
    <xf numFmtId="199" fontId="36" fillId="9" borderId="22" xfId="11" applyNumberFormat="1" applyFont="1" applyFill="1" applyBorder="1" applyAlignment="1">
      <alignment horizontal="center" vertical="center"/>
    </xf>
    <xf numFmtId="199" fontId="36" fillId="9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199" fontId="36" fillId="0" borderId="22" xfId="11" applyNumberFormat="1" applyFont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9" fontId="31" fillId="0" borderId="79" xfId="13" applyFont="1" applyBorder="1" applyAlignment="1">
      <alignment horizontal="center" vertical="center"/>
    </xf>
    <xf numFmtId="0" fontId="87" fillId="0" borderId="0" xfId="11" applyFont="1" applyAlignment="1">
      <alignment horizontal="center" shrinkToFit="1"/>
    </xf>
    <xf numFmtId="0" fontId="116" fillId="0" borderId="0" xfId="15" applyFont="1">
      <alignment vertical="center"/>
    </xf>
    <xf numFmtId="0" fontId="117" fillId="0" borderId="23" xfId="15" applyFont="1" applyBorder="1" applyAlignment="1">
      <alignment horizontal="center" vertical="center"/>
    </xf>
    <xf numFmtId="193" fontId="117" fillId="0" borderId="23" xfId="15" applyNumberFormat="1" applyFont="1" applyBorder="1" applyAlignment="1">
      <alignment horizontal="center" vertical="center"/>
    </xf>
    <xf numFmtId="186" fontId="117" fillId="0" borderId="23" xfId="15" applyNumberFormat="1" applyFont="1" applyBorder="1" applyAlignment="1">
      <alignment horizontal="center" vertical="center"/>
    </xf>
    <xf numFmtId="10" fontId="117" fillId="0" borderId="23" xfId="3" applyNumberFormat="1" applyFont="1" applyFill="1" applyBorder="1" applyAlignment="1">
      <alignment horizontal="center" vertical="center"/>
    </xf>
    <xf numFmtId="0" fontId="119" fillId="0" borderId="23" xfId="15" applyFont="1" applyBorder="1" applyAlignment="1">
      <alignment horizontal="center" vertical="center" wrapText="1"/>
    </xf>
    <xf numFmtId="0" fontId="122" fillId="0" borderId="23" xfId="11" applyFont="1" applyBorder="1" applyAlignment="1">
      <alignment horizontal="center" vertical="center"/>
    </xf>
    <xf numFmtId="0" fontId="118" fillId="0" borderId="0" xfId="15" applyFont="1">
      <alignment vertical="center"/>
    </xf>
    <xf numFmtId="193" fontId="118" fillId="0" borderId="0" xfId="15" applyNumberFormat="1" applyFont="1">
      <alignment vertical="center"/>
    </xf>
    <xf numFmtId="193" fontId="124" fillId="0" borderId="0" xfId="15" applyNumberFormat="1" applyFont="1">
      <alignment vertical="center"/>
    </xf>
    <xf numFmtId="195" fontId="116" fillId="0" borderId="0" xfId="15" applyNumberFormat="1" applyFont="1">
      <alignment vertical="center"/>
    </xf>
    <xf numFmtId="0" fontId="125" fillId="0" borderId="0" xfId="15" applyFont="1">
      <alignment vertical="center"/>
    </xf>
    <xf numFmtId="194" fontId="126" fillId="5" borderId="22" xfId="5" applyNumberFormat="1" applyFont="1" applyFill="1" applyBorder="1" applyAlignment="1">
      <alignment horizontal="center" vertical="center"/>
    </xf>
    <xf numFmtId="193" fontId="127" fillId="9" borderId="22" xfId="4" applyNumberFormat="1" applyFont="1" applyFill="1" applyBorder="1" applyAlignment="1">
      <alignment horizontal="center" vertical="center"/>
    </xf>
    <xf numFmtId="193" fontId="127" fillId="9" borderId="22" xfId="6" applyNumberFormat="1" applyFont="1" applyFill="1" applyBorder="1" applyAlignment="1">
      <alignment horizontal="center" vertical="center"/>
    </xf>
    <xf numFmtId="186" fontId="127" fillId="0" borderId="22" xfId="4" applyNumberFormat="1" applyFont="1" applyBorder="1" applyAlignment="1">
      <alignment horizontal="center" vertical="center"/>
    </xf>
    <xf numFmtId="10" fontId="127" fillId="0" borderId="22" xfId="3" applyNumberFormat="1" applyFont="1" applyBorder="1" applyAlignment="1">
      <alignment horizontal="center" vertical="center"/>
    </xf>
    <xf numFmtId="0" fontId="81" fillId="0" borderId="0" xfId="15" applyFont="1">
      <alignment vertical="center"/>
    </xf>
    <xf numFmtId="193" fontId="81" fillId="0" borderId="0" xfId="15" applyNumberFormat="1" applyFont="1">
      <alignment vertical="center"/>
    </xf>
    <xf numFmtId="0" fontId="116" fillId="0" borderId="0" xfId="4" applyFont="1">
      <alignment vertical="center"/>
    </xf>
    <xf numFmtId="194" fontId="126" fillId="10" borderId="22" xfId="5" applyNumberFormat="1" applyFont="1" applyFill="1" applyBorder="1" applyAlignment="1">
      <alignment horizontal="center" vertical="center"/>
    </xf>
    <xf numFmtId="3" fontId="116" fillId="0" borderId="0" xfId="4" applyNumberFormat="1" applyFont="1">
      <alignment vertical="center"/>
    </xf>
    <xf numFmtId="194" fontId="128" fillId="0" borderId="22" xfId="5" applyNumberFormat="1" applyFont="1" applyBorder="1" applyAlignment="1">
      <alignment horizontal="center" vertical="center"/>
    </xf>
    <xf numFmtId="193" fontId="127" fillId="9" borderId="22" xfId="17" applyNumberFormat="1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196" fontId="36" fillId="0" borderId="22" xfId="13" applyNumberFormat="1" applyFont="1" applyFill="1" applyBorder="1" applyAlignment="1">
      <alignment horizontal="center" vertical="center"/>
    </xf>
    <xf numFmtId="0" fontId="101" fillId="0" borderId="86" xfId="11" applyFont="1" applyBorder="1" applyAlignment="1">
      <alignment horizontal="left" vertical="center"/>
    </xf>
    <xf numFmtId="0" fontId="101" fillId="0" borderId="91" xfId="11" applyFont="1" applyBorder="1" applyAlignment="1">
      <alignment horizontal="left" vertical="center"/>
    </xf>
    <xf numFmtId="0" fontId="101" fillId="0" borderId="88" xfId="11" applyFont="1" applyBorder="1" applyAlignment="1">
      <alignment horizontal="left" vertical="center"/>
    </xf>
    <xf numFmtId="0" fontId="100" fillId="0" borderId="83" xfId="11" applyFont="1" applyBorder="1" applyAlignment="1">
      <alignment horizontal="center" vertical="center"/>
    </xf>
    <xf numFmtId="0" fontId="100" fillId="0" borderId="84" xfId="11" applyFont="1" applyBorder="1" applyAlignment="1">
      <alignment horizontal="center" vertical="center"/>
    </xf>
    <xf numFmtId="0" fontId="101" fillId="0" borderId="92" xfId="11" applyFont="1" applyBorder="1" applyAlignment="1">
      <alignment horizontal="left" vertical="center"/>
    </xf>
    <xf numFmtId="0" fontId="101" fillId="0" borderId="93" xfId="11" applyFont="1" applyBorder="1" applyAlignment="1">
      <alignment horizontal="left" vertical="center"/>
    </xf>
    <xf numFmtId="0" fontId="69" fillId="0" borderId="0" xfId="0" applyFont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9" fillId="9" borderId="27" xfId="0" applyFont="1" applyFill="1" applyBorder="1" applyAlignment="1">
      <alignment horizontal="center" vertical="center" shrinkToFit="1"/>
    </xf>
    <xf numFmtId="0" fontId="49" fillId="9" borderId="25" xfId="0" applyFont="1" applyFill="1" applyBorder="1" applyAlignment="1">
      <alignment horizontal="center" vertical="center" shrinkToFit="1"/>
    </xf>
    <xf numFmtId="185" fontId="26" fillId="0" borderId="0" xfId="13" applyNumberFormat="1" applyFont="1" applyAlignment="1">
      <alignment horizontal="center"/>
    </xf>
    <xf numFmtId="189" fontId="26" fillId="0" borderId="0" xfId="0" applyNumberFormat="1" applyFont="1" applyAlignment="1">
      <alignment horizontal="center"/>
    </xf>
    <xf numFmtId="185" fontId="26" fillId="0" borderId="0" xfId="0" applyNumberFormat="1" applyFont="1" applyAlignment="1">
      <alignment horizontal="center"/>
    </xf>
    <xf numFmtId="179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0" fontId="112" fillId="0" borderId="0" xfId="0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85" fontId="14" fillId="0" borderId="0" xfId="0" applyNumberFormat="1" applyFont="1" applyAlignment="1">
      <alignment horizontal="center"/>
    </xf>
    <xf numFmtId="180" fontId="14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180" fontId="26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179" fontId="14" fillId="0" borderId="23" xfId="0" applyNumberFormat="1" applyFont="1" applyBorder="1" applyAlignment="1">
      <alignment horizontal="center" vertical="center"/>
    </xf>
    <xf numFmtId="179" fontId="14" fillId="0" borderId="29" xfId="0" applyNumberFormat="1" applyFont="1" applyBorder="1" applyAlignment="1">
      <alignment horizontal="center" vertical="center"/>
    </xf>
    <xf numFmtId="179" fontId="14" fillId="0" borderId="30" xfId="0" applyNumberFormat="1" applyFont="1" applyBorder="1" applyAlignment="1">
      <alignment horizontal="center" vertical="center"/>
    </xf>
    <xf numFmtId="182" fontId="14" fillId="0" borderId="22" xfId="0" applyNumberFormat="1" applyFont="1" applyBorder="1" applyAlignment="1">
      <alignment horizontal="center" shrinkToFit="1"/>
    </xf>
    <xf numFmtId="0" fontId="129" fillId="0" borderId="29" xfId="0" applyFont="1" applyBorder="1" applyAlignment="1">
      <alignment horizontal="center" vertical="center"/>
    </xf>
    <xf numFmtId="0" fontId="107" fillId="0" borderId="29" xfId="0" applyFont="1" applyBorder="1" applyAlignment="1">
      <alignment horizontal="center" vertical="center"/>
    </xf>
    <xf numFmtId="0" fontId="107" fillId="0" borderId="30" xfId="0" applyFont="1" applyBorder="1" applyAlignment="1">
      <alignment horizontal="center" vertical="center"/>
    </xf>
    <xf numFmtId="189" fontId="26" fillId="0" borderId="23" xfId="0" applyNumberFormat="1" applyFont="1" applyBorder="1" applyAlignment="1">
      <alignment horizontal="center"/>
    </xf>
    <xf numFmtId="189" fontId="26" fillId="0" borderId="29" xfId="0" applyNumberFormat="1" applyFont="1" applyBorder="1" applyAlignment="1">
      <alignment horizontal="center"/>
    </xf>
    <xf numFmtId="189" fontId="26" fillId="0" borderId="30" xfId="0" applyNumberFormat="1" applyFont="1" applyBorder="1" applyAlignment="1">
      <alignment horizontal="center"/>
    </xf>
    <xf numFmtId="182" fontId="27" fillId="0" borderId="22" xfId="0" applyNumberFormat="1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177" fontId="27" fillId="0" borderId="22" xfId="0" applyNumberFormat="1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/>
    </xf>
    <xf numFmtId="190" fontId="26" fillId="0" borderId="29" xfId="0" applyNumberFormat="1" applyFont="1" applyBorder="1" applyAlignment="1">
      <alignment horizontal="center"/>
    </xf>
    <xf numFmtId="0" fontId="31" fillId="0" borderId="23" xfId="0" applyFont="1" applyBorder="1" applyAlignment="1">
      <alignment horizontal="center" vertical="center"/>
    </xf>
    <xf numFmtId="0" fontId="129" fillId="0" borderId="23" xfId="0" applyFont="1" applyBorder="1" applyAlignment="1">
      <alignment horizontal="center" vertical="center"/>
    </xf>
    <xf numFmtId="177" fontId="14" fillId="0" borderId="23" xfId="0" applyNumberFormat="1" applyFont="1" applyBorder="1" applyAlignment="1">
      <alignment horizontal="center" vertical="center"/>
    </xf>
    <xf numFmtId="177" fontId="14" fillId="0" borderId="29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177" fontId="27" fillId="0" borderId="23" xfId="0" applyNumberFormat="1" applyFont="1" applyBorder="1" applyAlignment="1">
      <alignment horizontal="center" vertical="center"/>
    </xf>
    <xf numFmtId="177" fontId="79" fillId="0" borderId="22" xfId="0" applyNumberFormat="1" applyFont="1" applyBorder="1" applyAlignment="1">
      <alignment horizontal="center" vertical="center"/>
    </xf>
    <xf numFmtId="0" fontId="108" fillId="0" borderId="37" xfId="0" applyFont="1" applyBorder="1" applyAlignment="1">
      <alignment horizontal="left" vertical="center"/>
    </xf>
    <xf numFmtId="0" fontId="110" fillId="0" borderId="32" xfId="0" applyFont="1" applyBorder="1" applyAlignment="1">
      <alignment horizontal="left" vertical="center"/>
    </xf>
    <xf numFmtId="0" fontId="110" fillId="0" borderId="26" xfId="0" applyFont="1" applyBorder="1" applyAlignment="1">
      <alignment horizontal="left" vertical="center"/>
    </xf>
    <xf numFmtId="0" fontId="110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179" fontId="14" fillId="5" borderId="22" xfId="0" applyNumberFormat="1" applyFont="1" applyFill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179" fontId="14" fillId="8" borderId="22" xfId="0" applyNumberFormat="1" applyFont="1" applyFill="1" applyBorder="1" applyAlignment="1">
      <alignment horizontal="center" vertical="center" shrinkToFit="1"/>
    </xf>
    <xf numFmtId="0" fontId="14" fillId="8" borderId="22" xfId="0" applyFont="1" applyFill="1" applyBorder="1" applyAlignment="1">
      <alignment horizontal="center" vertical="center" shrinkToFit="1"/>
    </xf>
    <xf numFmtId="179" fontId="14" fillId="5" borderId="27" xfId="0" applyNumberFormat="1" applyFont="1" applyFill="1" applyBorder="1" applyAlignment="1">
      <alignment horizontal="center" vertical="center" shrinkToFit="1"/>
    </xf>
    <xf numFmtId="179" fontId="14" fillId="5" borderId="28" xfId="0" applyNumberFormat="1" applyFont="1" applyFill="1" applyBorder="1" applyAlignment="1">
      <alignment horizontal="center" vertical="center" shrinkToFit="1"/>
    </xf>
    <xf numFmtId="179" fontId="14" fillId="5" borderId="25" xfId="0" applyNumberFormat="1" applyFont="1" applyFill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187" fontId="14" fillId="8" borderId="22" xfId="0" applyNumberFormat="1" applyFont="1" applyFill="1" applyBorder="1" applyAlignment="1">
      <alignment horizontal="center" vertical="center" shrinkToFit="1"/>
    </xf>
    <xf numFmtId="187" fontId="14" fillId="5" borderId="27" xfId="0" applyNumberFormat="1" applyFont="1" applyFill="1" applyBorder="1" applyAlignment="1">
      <alignment horizontal="center" vertical="center" shrinkToFit="1"/>
    </xf>
    <xf numFmtId="187" fontId="14" fillId="5" borderId="28" xfId="0" applyNumberFormat="1" applyFont="1" applyFill="1" applyBorder="1" applyAlignment="1">
      <alignment horizontal="center" vertical="center" shrinkToFit="1"/>
    </xf>
    <xf numFmtId="187" fontId="14" fillId="5" borderId="25" xfId="0" applyNumberFormat="1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185" fontId="14" fillId="0" borderId="22" xfId="13" applyNumberFormat="1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183" fontId="14" fillId="0" borderId="22" xfId="0" applyNumberFormat="1" applyFont="1" applyBorder="1" applyAlignment="1">
      <alignment horizontal="center" vertical="center" shrinkToFit="1"/>
    </xf>
    <xf numFmtId="183" fontId="14" fillId="0" borderId="22" xfId="0" applyNumberFormat="1" applyFont="1" applyBorder="1" applyAlignment="1">
      <alignment horizontal="center" vertical="center"/>
    </xf>
    <xf numFmtId="183" fontId="14" fillId="9" borderId="22" xfId="0" applyNumberFormat="1" applyFont="1" applyFill="1" applyBorder="1" applyAlignment="1">
      <alignment horizontal="center" vertical="center" shrinkToFit="1"/>
    </xf>
    <xf numFmtId="183" fontId="14" fillId="0" borderId="23" xfId="0" applyNumberFormat="1" applyFont="1" applyBorder="1" applyAlignment="1">
      <alignment horizontal="center" vertical="center"/>
    </xf>
    <xf numFmtId="183" fontId="14" fillId="0" borderId="29" xfId="0" applyNumberFormat="1" applyFont="1" applyBorder="1" applyAlignment="1">
      <alignment horizontal="center" vertical="center"/>
    </xf>
    <xf numFmtId="183" fontId="14" fillId="0" borderId="30" xfId="0" applyNumberFormat="1" applyFont="1" applyBorder="1" applyAlignment="1">
      <alignment horizontal="center" vertical="center"/>
    </xf>
    <xf numFmtId="179" fontId="14" fillId="5" borderId="27" xfId="0" applyNumberFormat="1" applyFont="1" applyFill="1" applyBorder="1" applyAlignment="1">
      <alignment horizontal="center" vertical="center"/>
    </xf>
    <xf numFmtId="179" fontId="14" fillId="5" borderId="28" xfId="0" applyNumberFormat="1" applyFont="1" applyFill="1" applyBorder="1" applyAlignment="1">
      <alignment horizontal="center" vertical="center"/>
    </xf>
    <xf numFmtId="179" fontId="14" fillId="5" borderId="25" xfId="0" applyNumberFormat="1" applyFont="1" applyFill="1" applyBorder="1" applyAlignment="1">
      <alignment horizontal="center" vertical="center"/>
    </xf>
    <xf numFmtId="187" fontId="14" fillId="5" borderId="22" xfId="0" applyNumberFormat="1" applyFont="1" applyFill="1" applyBorder="1" applyAlignment="1">
      <alignment horizontal="center" vertical="center"/>
    </xf>
    <xf numFmtId="187" fontId="14" fillId="8" borderId="22" xfId="0" applyNumberFormat="1" applyFont="1" applyFill="1" applyBorder="1" applyAlignment="1">
      <alignment horizontal="center" vertical="center"/>
    </xf>
    <xf numFmtId="187" fontId="14" fillId="5" borderId="27" xfId="0" applyNumberFormat="1" applyFont="1" applyFill="1" applyBorder="1" applyAlignment="1">
      <alignment horizontal="center" vertical="center"/>
    </xf>
    <xf numFmtId="187" fontId="14" fillId="5" borderId="28" xfId="0" applyNumberFormat="1" applyFont="1" applyFill="1" applyBorder="1" applyAlignment="1">
      <alignment horizontal="center" vertical="center"/>
    </xf>
    <xf numFmtId="187" fontId="14" fillId="5" borderId="25" xfId="0" applyNumberFormat="1" applyFont="1" applyFill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179" fontId="14" fillId="5" borderId="22" xfId="0" applyNumberFormat="1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179" fontId="14" fillId="8" borderId="22" xfId="0" applyNumberFormat="1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 vertical="center"/>
    </xf>
    <xf numFmtId="0" fontId="87" fillId="0" borderId="22" xfId="0" applyFont="1" applyBorder="1" applyAlignment="1">
      <alignment horizontal="center" vertical="center"/>
    </xf>
    <xf numFmtId="0" fontId="51" fillId="0" borderId="0" xfId="0" applyFont="1" applyAlignment="1">
      <alignment horizontal="left" vertical="center" shrinkToFit="1"/>
    </xf>
    <xf numFmtId="0" fontId="15" fillId="0" borderId="22" xfId="0" applyFont="1" applyBorder="1" applyAlignment="1">
      <alignment horizontal="center" vertical="center" shrinkToFit="1"/>
    </xf>
    <xf numFmtId="0" fontId="57" fillId="2" borderId="22" xfId="0" applyFont="1" applyFill="1" applyBorder="1" applyAlignment="1">
      <alignment horizontal="center" vertical="center" shrinkToFit="1"/>
    </xf>
    <xf numFmtId="0" fontId="72" fillId="0" borderId="22" xfId="0" applyFont="1" applyBorder="1" applyAlignment="1">
      <alignment horizontal="center" vertical="center" shrinkToFit="1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72" fillId="0" borderId="22" xfId="0" applyFont="1" applyBorder="1" applyAlignment="1">
      <alignment horizontal="center" shrinkToFit="1"/>
    </xf>
    <xf numFmtId="0" fontId="77" fillId="0" borderId="27" xfId="0" applyFont="1" applyBorder="1" applyAlignment="1">
      <alignment shrinkToFit="1"/>
    </xf>
    <xf numFmtId="0" fontId="57" fillId="0" borderId="25" xfId="0" applyFont="1" applyBorder="1" applyAlignment="1">
      <alignment shrinkToFit="1"/>
    </xf>
    <xf numFmtId="0" fontId="57" fillId="0" borderId="27" xfId="0" applyFont="1" applyBorder="1" applyAlignment="1">
      <alignment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7" fillId="2" borderId="27" xfId="0" applyFont="1" applyFill="1" applyBorder="1" applyAlignment="1">
      <alignment horizontal="center" vertical="center" shrinkToFit="1"/>
    </xf>
    <xf numFmtId="0" fontId="57" fillId="2" borderId="25" xfId="0" applyFont="1" applyFill="1" applyBorder="1" applyAlignment="1">
      <alignment horizontal="center" vertical="center" shrinkToFit="1"/>
    </xf>
    <xf numFmtId="0" fontId="57" fillId="2" borderId="28" xfId="0" applyFont="1" applyFill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57" fillId="2" borderId="23" xfId="0" applyFont="1" applyFill="1" applyBorder="1" applyAlignment="1">
      <alignment horizontal="center" vertical="center" shrinkToFit="1"/>
    </xf>
    <xf numFmtId="0" fontId="57" fillId="2" borderId="29" xfId="0" applyFont="1" applyFill="1" applyBorder="1" applyAlignment="1">
      <alignment horizontal="center" vertical="center" shrinkToFit="1"/>
    </xf>
    <xf numFmtId="0" fontId="57" fillId="2" borderId="30" xfId="0" applyFont="1" applyFill="1" applyBorder="1" applyAlignment="1">
      <alignment horizontal="center" vertical="center" shrinkToFit="1"/>
    </xf>
    <xf numFmtId="0" fontId="64" fillId="0" borderId="22" xfId="0" applyFont="1" applyBorder="1" applyAlignment="1">
      <alignment shrinkToFit="1"/>
    </xf>
    <xf numFmtId="0" fontId="57" fillId="0" borderId="28" xfId="0" applyFont="1" applyBorder="1" applyAlignment="1">
      <alignment shrinkToFit="1"/>
    </xf>
    <xf numFmtId="0" fontId="57" fillId="2" borderId="27" xfId="0" applyFont="1" applyFill="1" applyBorder="1" applyAlignment="1">
      <alignment horizontal="center" shrinkToFit="1"/>
    </xf>
    <xf numFmtId="0" fontId="57" fillId="2" borderId="25" xfId="0" applyFont="1" applyFill="1" applyBorder="1" applyAlignment="1">
      <alignment horizontal="center" shrinkToFit="1"/>
    </xf>
    <xf numFmtId="0" fontId="57" fillId="2" borderId="28" xfId="0" applyFont="1" applyFill="1" applyBorder="1" applyAlignment="1">
      <alignment horizontal="center" shrinkToFit="1"/>
    </xf>
    <xf numFmtId="0" fontId="57" fillId="0" borderId="27" xfId="11" applyFont="1" applyBorder="1" applyAlignment="1">
      <alignment shrinkToFit="1"/>
    </xf>
    <xf numFmtId="0" fontId="57" fillId="0" borderId="25" xfId="11" applyFont="1" applyBorder="1" applyAlignment="1">
      <alignment shrinkToFit="1"/>
    </xf>
    <xf numFmtId="0" fontId="55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42" fillId="0" borderId="0" xfId="11" applyFont="1" applyAlignment="1">
      <alignment horizontal="center" vertical="center" shrinkToFit="1"/>
    </xf>
    <xf numFmtId="0" fontId="51" fillId="0" borderId="0" xfId="11" applyFont="1" applyAlignment="1">
      <alignment horizontal="left" vertical="center" shrinkToFit="1"/>
    </xf>
    <xf numFmtId="0" fontId="44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64" fillId="0" borderId="22" xfId="11" applyFont="1" applyBorder="1" applyAlignment="1">
      <alignment horizontal="left" vertical="center" wrapText="1"/>
    </xf>
    <xf numFmtId="0" fontId="64" fillId="2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/>
    </xf>
    <xf numFmtId="0" fontId="43" fillId="2" borderId="22" xfId="11" applyFont="1" applyFill="1" applyBorder="1" applyAlignment="1">
      <alignment horizontal="center" vertical="center" shrinkToFit="1"/>
    </xf>
    <xf numFmtId="0" fontId="52" fillId="0" borderId="0" xfId="11" applyFont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8" fillId="2" borderId="27" xfId="11" applyFont="1" applyFill="1" applyBorder="1" applyAlignment="1">
      <alignment horizontal="center" vertical="center" shrinkToFit="1"/>
    </xf>
    <xf numFmtId="0" fontId="28" fillId="2" borderId="28" xfId="11" applyFont="1" applyFill="1" applyBorder="1" applyAlignment="1">
      <alignment horizontal="center" vertical="center" shrinkToFit="1"/>
    </xf>
    <xf numFmtId="0" fontId="28" fillId="2" borderId="25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vertical="center" wrapText="1"/>
    </xf>
    <xf numFmtId="0" fontId="64" fillId="0" borderId="22" xfId="11" applyFont="1" applyBorder="1" applyAlignment="1">
      <alignment vertical="center" wrapText="1"/>
    </xf>
    <xf numFmtId="0" fontId="26" fillId="0" borderId="22" xfId="11" applyFont="1" applyBorder="1" applyAlignment="1">
      <alignment horizontal="center" vertical="center" wrapText="1" shrinkToFit="1"/>
    </xf>
    <xf numFmtId="0" fontId="28" fillId="2" borderId="35" xfId="11" applyFont="1" applyFill="1" applyBorder="1" applyAlignment="1">
      <alignment horizontal="center" vertical="center" shrinkToFit="1"/>
    </xf>
    <xf numFmtId="0" fontId="28" fillId="2" borderId="26" xfId="11" applyFont="1" applyFill="1" applyBorder="1" applyAlignment="1">
      <alignment horizontal="center" vertical="center" shrinkToFit="1"/>
    </xf>
    <xf numFmtId="0" fontId="28" fillId="2" borderId="43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horizontal="left" vertical="center" wrapText="1"/>
    </xf>
    <xf numFmtId="0" fontId="28" fillId="2" borderId="57" xfId="11" applyFont="1" applyFill="1" applyBorder="1" applyAlignment="1">
      <alignment horizontal="center" vertical="center" shrinkToFit="1"/>
    </xf>
    <xf numFmtId="0" fontId="28" fillId="2" borderId="58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51" fillId="0" borderId="26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7" fillId="2" borderId="4" xfId="11" applyFont="1" applyFill="1" applyBorder="1" applyAlignment="1">
      <alignment horizontal="center" vertical="center" shrinkToFit="1"/>
    </xf>
    <xf numFmtId="0" fontId="7" fillId="2" borderId="2" xfId="11" applyFont="1" applyFill="1" applyBorder="1" applyAlignment="1">
      <alignment horizontal="center" vertical="center" shrinkToFit="1"/>
    </xf>
    <xf numFmtId="0" fontId="7" fillId="2" borderId="3" xfId="11" applyFont="1" applyFill="1" applyBorder="1" applyAlignment="1">
      <alignment horizontal="center" vertical="center" shrinkToFit="1"/>
    </xf>
    <xf numFmtId="0" fontId="11" fillId="2" borderId="54" xfId="11" applyFont="1" applyFill="1" applyBorder="1" applyAlignment="1">
      <alignment horizontal="center" vertical="center" shrinkToFit="1"/>
    </xf>
    <xf numFmtId="0" fontId="11" fillId="2" borderId="47" xfId="11" applyFont="1" applyFill="1" applyBorder="1" applyAlignment="1">
      <alignment horizontal="center" vertical="center" shrinkToFit="1"/>
    </xf>
    <xf numFmtId="0" fontId="11" fillId="2" borderId="48" xfId="11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shrinkToFit="1"/>
    </xf>
    <xf numFmtId="0" fontId="24" fillId="0" borderId="29" xfId="11" applyBorder="1" applyAlignment="1">
      <alignment horizontal="center" vertical="center" shrinkToFit="1"/>
    </xf>
    <xf numFmtId="0" fontId="24" fillId="0" borderId="30" xfId="1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wrapText="1" shrinkToFit="1"/>
    </xf>
    <xf numFmtId="0" fontId="24" fillId="0" borderId="29" xfId="11" applyBorder="1" applyAlignment="1">
      <alignment horizontal="center" vertical="center" wrapText="1" shrinkToFit="1"/>
    </xf>
    <xf numFmtId="0" fontId="24" fillId="0" borderId="30" xfId="11" applyBorder="1" applyAlignment="1">
      <alignment horizontal="center" vertical="center" wrapText="1" shrinkToFit="1"/>
    </xf>
    <xf numFmtId="0" fontId="37" fillId="0" borderId="68" xfId="11" applyFont="1" applyBorder="1" applyAlignment="1">
      <alignment horizontal="left" vertical="center" wrapText="1"/>
    </xf>
    <xf numFmtId="0" fontId="37" fillId="0" borderId="61" xfId="11" applyFont="1" applyBorder="1" applyAlignment="1">
      <alignment horizontal="left" vertical="center" wrapText="1"/>
    </xf>
    <xf numFmtId="0" fontId="77" fillId="0" borderId="4" xfId="11" applyFont="1" applyBorder="1" applyAlignment="1">
      <alignment horizontal="left" vertical="center" wrapText="1"/>
    </xf>
    <xf numFmtId="0" fontId="77" fillId="0" borderId="3" xfId="11" applyFont="1" applyBorder="1" applyAlignment="1">
      <alignment horizontal="left" vertical="center" wrapText="1"/>
    </xf>
    <xf numFmtId="0" fontId="77" fillId="4" borderId="4" xfId="11" applyFont="1" applyFill="1" applyBorder="1" applyAlignment="1">
      <alignment horizontal="left" vertical="center" wrapText="1"/>
    </xf>
    <xf numFmtId="0" fontId="77" fillId="4" borderId="3" xfId="11" applyFont="1" applyFill="1" applyBorder="1" applyAlignment="1">
      <alignment horizontal="left" vertical="center" wrapText="1"/>
    </xf>
    <xf numFmtId="0" fontId="77" fillId="0" borderId="4" xfId="11" applyFont="1" applyBorder="1" applyAlignment="1">
      <alignment horizontal="left" vertical="center" wrapText="1" shrinkToFit="1"/>
    </xf>
    <xf numFmtId="0" fontId="77" fillId="0" borderId="3" xfId="11" applyFont="1" applyBorder="1" applyAlignment="1">
      <alignment horizontal="left" vertical="center" wrapText="1" shrinkToFit="1"/>
    </xf>
    <xf numFmtId="0" fontId="7" fillId="2" borderId="35" xfId="11" applyFont="1" applyFill="1" applyBorder="1" applyAlignment="1">
      <alignment horizontal="center" vertical="center" shrinkToFit="1"/>
    </xf>
    <xf numFmtId="0" fontId="7" fillId="2" borderId="26" xfId="11" applyFont="1" applyFill="1" applyBorder="1" applyAlignment="1">
      <alignment horizontal="center" vertical="center" shrinkToFit="1"/>
    </xf>
    <xf numFmtId="0" fontId="7" fillId="2" borderId="36" xfId="11" applyFont="1" applyFill="1" applyBorder="1" applyAlignment="1">
      <alignment horizontal="center" vertical="center" shrinkToFit="1"/>
    </xf>
    <xf numFmtId="0" fontId="7" fillId="2" borderId="39" xfId="11" applyFont="1" applyFill="1" applyBorder="1" applyAlignment="1">
      <alignment horizontal="center" shrinkToFit="1"/>
    </xf>
    <xf numFmtId="0" fontId="7" fillId="2" borderId="2" xfId="11" applyFont="1" applyFill="1" applyBorder="1" applyAlignment="1">
      <alignment horizontal="center" shrinkToFit="1"/>
    </xf>
    <xf numFmtId="0" fontId="7" fillId="2" borderId="3" xfId="11" applyFont="1" applyFill="1" applyBorder="1" applyAlignment="1">
      <alignment horizontal="center" shrinkToFit="1"/>
    </xf>
    <xf numFmtId="0" fontId="35" fillId="0" borderId="23" xfId="11" applyFont="1" applyBorder="1" applyAlignment="1">
      <alignment horizontal="center" vertical="center" wrapText="1" shrinkToFit="1"/>
    </xf>
    <xf numFmtId="0" fontId="35" fillId="0" borderId="29" xfId="11" applyFont="1" applyBorder="1" applyAlignment="1">
      <alignment horizontal="center" vertical="center" wrapText="1" shrinkToFit="1"/>
    </xf>
    <xf numFmtId="0" fontId="35" fillId="0" borderId="30" xfId="11" applyFont="1" applyBorder="1" applyAlignment="1">
      <alignment horizontal="center" vertical="center" wrapText="1" shrinkToFit="1"/>
    </xf>
    <xf numFmtId="0" fontId="85" fillId="4" borderId="4" xfId="11" applyFont="1" applyFill="1" applyBorder="1" applyAlignment="1">
      <alignment vertical="center" wrapText="1"/>
    </xf>
    <xf numFmtId="0" fontId="85" fillId="4" borderId="3" xfId="11" applyFont="1" applyFill="1" applyBorder="1" applyAlignment="1">
      <alignment vertical="center" wrapText="1"/>
    </xf>
    <xf numFmtId="0" fontId="77" fillId="0" borderId="4" xfId="11" applyFont="1" applyBorder="1" applyAlignment="1">
      <alignment vertical="center" wrapText="1"/>
    </xf>
    <xf numFmtId="0" fontId="77" fillId="0" borderId="3" xfId="11" applyFont="1" applyBorder="1" applyAlignment="1">
      <alignment vertical="center" wrapText="1"/>
    </xf>
    <xf numFmtId="0" fontId="77" fillId="0" borderId="4" xfId="11" applyFont="1" applyBorder="1" applyAlignment="1">
      <alignment horizontal="left" vertical="top" wrapText="1"/>
    </xf>
    <xf numFmtId="0" fontId="77" fillId="0" borderId="3" xfId="11" applyFont="1" applyBorder="1" applyAlignment="1">
      <alignment horizontal="left" vertical="top" wrapText="1"/>
    </xf>
    <xf numFmtId="0" fontId="7" fillId="2" borderId="27" xfId="11" applyFont="1" applyFill="1" applyBorder="1" applyAlignment="1">
      <alignment horizontal="center" vertical="center" shrinkToFit="1"/>
    </xf>
    <xf numFmtId="0" fontId="7" fillId="2" borderId="28" xfId="11" applyFont="1" applyFill="1" applyBorder="1" applyAlignment="1">
      <alignment horizontal="center" vertical="center" shrinkToFit="1"/>
    </xf>
    <xf numFmtId="0" fontId="7" fillId="2" borderId="25" xfId="11" applyFont="1" applyFill="1" applyBorder="1" applyAlignment="1">
      <alignment horizontal="center" vertical="center" shrinkToFit="1"/>
    </xf>
    <xf numFmtId="0" fontId="77" fillId="4" borderId="4" xfId="11" applyFont="1" applyFill="1" applyBorder="1" applyAlignment="1">
      <alignment vertical="center" wrapText="1"/>
    </xf>
    <xf numFmtId="0" fontId="77" fillId="4" borderId="3" xfId="11" applyFont="1" applyFill="1" applyBorder="1" applyAlignment="1">
      <alignment vertical="center" wrapText="1"/>
    </xf>
    <xf numFmtId="0" fontId="7" fillId="2" borderId="68" xfId="11" applyFont="1" applyFill="1" applyBorder="1" applyAlignment="1">
      <alignment horizontal="center" vertical="center" shrinkToFit="1"/>
    </xf>
    <xf numFmtId="0" fontId="7" fillId="2" borderId="58" xfId="11" applyFont="1" applyFill="1" applyBorder="1" applyAlignment="1">
      <alignment horizontal="center" vertical="center" shrinkToFit="1"/>
    </xf>
    <xf numFmtId="0" fontId="7" fillId="2" borderId="61" xfId="11" applyFont="1" applyFill="1" applyBorder="1" applyAlignment="1">
      <alignment horizontal="center" vertical="center" shrinkToFit="1"/>
    </xf>
    <xf numFmtId="0" fontId="11" fillId="2" borderId="27" xfId="11" applyFont="1" applyFill="1" applyBorder="1" applyAlignment="1">
      <alignment horizontal="center" vertical="center" shrinkToFit="1"/>
    </xf>
    <xf numFmtId="0" fontId="11" fillId="2" borderId="28" xfId="11" applyFont="1" applyFill="1" applyBorder="1" applyAlignment="1">
      <alignment horizontal="center" vertical="center" shrinkToFit="1"/>
    </xf>
    <xf numFmtId="0" fontId="11" fillId="2" borderId="25" xfId="11" applyFont="1" applyFill="1" applyBorder="1" applyAlignment="1">
      <alignment horizontal="center" vertical="center" shrinkToFit="1"/>
    </xf>
    <xf numFmtId="0" fontId="77" fillId="0" borderId="4" xfId="11" applyFont="1" applyBorder="1" applyAlignment="1">
      <alignment vertical="center" wrapText="1" shrinkToFit="1"/>
    </xf>
    <xf numFmtId="0" fontId="77" fillId="0" borderId="3" xfId="11" applyFont="1" applyBorder="1" applyAlignment="1">
      <alignment vertical="center" wrapText="1" shrinkToFit="1"/>
    </xf>
    <xf numFmtId="0" fontId="66" fillId="0" borderId="23" xfId="11" applyFont="1" applyBorder="1" applyAlignment="1">
      <alignment horizontal="center" vertical="center" wrapText="1" shrinkToFit="1"/>
    </xf>
    <xf numFmtId="0" fontId="66" fillId="0" borderId="29" xfId="11" applyFont="1" applyBorder="1" applyAlignment="1">
      <alignment horizontal="center" vertical="center" wrapText="1" shrinkToFit="1"/>
    </xf>
    <xf numFmtId="0" fontId="66" fillId="0" borderId="30" xfId="11" applyFont="1" applyBorder="1" applyAlignment="1">
      <alignment horizontal="center" vertical="center" wrapText="1" shrinkToFit="1"/>
    </xf>
    <xf numFmtId="0" fontId="77" fillId="0" borderId="4" xfId="11" applyFont="1" applyBorder="1" applyAlignment="1">
      <alignment horizontal="center" vertical="center" shrinkToFit="1"/>
    </xf>
    <xf numFmtId="0" fontId="77" fillId="0" borderId="3" xfId="11" applyFont="1" applyBorder="1" applyAlignment="1">
      <alignment horizontal="center" vertical="center" shrinkToFit="1"/>
    </xf>
    <xf numFmtId="0" fontId="77" fillId="0" borderId="4" xfId="11" applyFont="1" applyBorder="1" applyAlignment="1">
      <alignment horizontal="center" shrinkToFit="1"/>
    </xf>
    <xf numFmtId="0" fontId="77" fillId="0" borderId="3" xfId="11" applyFont="1" applyBorder="1" applyAlignment="1">
      <alignment horizontal="center" shrinkToFit="1"/>
    </xf>
    <xf numFmtId="0" fontId="57" fillId="0" borderId="22" xfId="11" applyFont="1" applyBorder="1" applyAlignment="1">
      <alignment horizontal="center" vertical="center" shrinkToFit="1"/>
    </xf>
    <xf numFmtId="0" fontId="64" fillId="0" borderId="68" xfId="11" applyFont="1" applyBorder="1" applyAlignment="1">
      <alignment horizontal="left" vertical="center" wrapText="1"/>
    </xf>
    <xf numFmtId="0" fontId="64" fillId="0" borderId="61" xfId="11" applyFont="1" applyBorder="1" applyAlignment="1">
      <alignment horizontal="left" vertical="center" wrapText="1"/>
    </xf>
    <xf numFmtId="0" fontId="64" fillId="2" borderId="52" xfId="11" applyFont="1" applyFill="1" applyBorder="1" applyAlignment="1">
      <alignment horizontal="left" vertical="center" shrinkToFit="1"/>
    </xf>
    <xf numFmtId="0" fontId="64" fillId="2" borderId="26" xfId="11" applyFont="1" applyFill="1" applyBorder="1" applyAlignment="1">
      <alignment horizontal="left" vertical="center" shrinkToFit="1"/>
    </xf>
    <xf numFmtId="0" fontId="64" fillId="2" borderId="53" xfId="11" applyFont="1" applyFill="1" applyBorder="1" applyAlignment="1">
      <alignment horizontal="left" vertical="center" shrinkToFit="1"/>
    </xf>
    <xf numFmtId="0" fontId="64" fillId="2" borderId="57" xfId="11" applyFont="1" applyFill="1" applyBorder="1" applyAlignment="1">
      <alignment horizontal="left" vertical="center" shrinkToFit="1"/>
    </xf>
    <xf numFmtId="0" fontId="64" fillId="2" borderId="61" xfId="11" applyFont="1" applyFill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shrinkToFit="1"/>
    </xf>
    <xf numFmtId="0" fontId="64" fillId="0" borderId="62" xfId="11" applyFont="1" applyBorder="1" applyAlignment="1">
      <alignment horizontal="left" vertical="center" shrinkToFit="1"/>
    </xf>
    <xf numFmtId="0" fontId="64" fillId="2" borderId="52" xfId="11" applyFont="1" applyFill="1" applyBorder="1" applyAlignment="1">
      <alignment horizontal="center" vertical="center" shrinkToFit="1"/>
    </xf>
    <xf numFmtId="0" fontId="64" fillId="2" borderId="26" xfId="11" applyFont="1" applyFill="1" applyBorder="1" applyAlignment="1">
      <alignment horizontal="center" vertical="center" shrinkToFit="1"/>
    </xf>
    <xf numFmtId="0" fontId="64" fillId="2" borderId="36" xfId="11" applyFont="1" applyFill="1" applyBorder="1" applyAlignment="1">
      <alignment horizontal="center" vertical="center" shrinkToFit="1"/>
    </xf>
    <xf numFmtId="0" fontId="64" fillId="0" borderId="4" xfId="11" applyFont="1" applyBorder="1" applyAlignment="1">
      <alignment horizontal="left" vertical="center" wrapText="1"/>
    </xf>
    <xf numFmtId="0" fontId="64" fillId="0" borderId="62" xfId="11" applyFont="1" applyBorder="1" applyAlignment="1">
      <alignment horizontal="left" vertical="center" wrapText="1"/>
    </xf>
    <xf numFmtId="0" fontId="28" fillId="2" borderId="46" xfId="11" applyFont="1" applyFill="1" applyBorder="1" applyAlignment="1">
      <alignment horizontal="center" shrinkToFit="1"/>
    </xf>
    <xf numFmtId="0" fontId="28" fillId="2" borderId="47" xfId="11" applyFont="1" applyFill="1" applyBorder="1" applyAlignment="1">
      <alignment horizontal="center" shrinkToFit="1"/>
    </xf>
    <xf numFmtId="0" fontId="28" fillId="2" borderId="63" xfId="11" applyFont="1" applyFill="1" applyBorder="1" applyAlignment="1">
      <alignment horizontal="center" shrinkToFit="1"/>
    </xf>
    <xf numFmtId="0" fontId="64" fillId="2" borderId="57" xfId="11" applyFont="1" applyFill="1" applyBorder="1" applyAlignment="1">
      <alignment horizontal="center" vertical="center" shrinkToFit="1"/>
    </xf>
    <xf numFmtId="0" fontId="64" fillId="2" borderId="61" xfId="11" applyFont="1" applyFill="1" applyBorder="1" applyAlignment="1">
      <alignment horizontal="center" vertical="center" shrinkToFit="1"/>
    </xf>
    <xf numFmtId="0" fontId="7" fillId="2" borderId="9" xfId="11" applyFont="1" applyFill="1" applyBorder="1" applyAlignment="1">
      <alignment horizontal="center" vertical="center" shrinkToFit="1"/>
    </xf>
    <xf numFmtId="0" fontId="7" fillId="2" borderId="10" xfId="11" applyFont="1" applyFill="1" applyBorder="1" applyAlignment="1">
      <alignment horizontal="center" vertical="center" shrinkToFit="1"/>
    </xf>
    <xf numFmtId="0" fontId="7" fillId="2" borderId="8" xfId="11" applyFont="1" applyFill="1" applyBorder="1" applyAlignment="1">
      <alignment horizontal="center" vertical="center" shrinkToFit="1"/>
    </xf>
    <xf numFmtId="0" fontId="11" fillId="2" borderId="9" xfId="11" applyFont="1" applyFill="1" applyBorder="1" applyAlignment="1">
      <alignment horizontal="center" vertical="center" shrinkToFit="1"/>
    </xf>
    <xf numFmtId="0" fontId="11" fillId="2" borderId="10" xfId="11" applyFont="1" applyFill="1" applyBorder="1" applyAlignment="1">
      <alignment horizontal="center" vertic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85" fillId="0" borderId="4" xfId="11" applyFont="1" applyBorder="1" applyAlignment="1">
      <alignment vertical="center" wrapText="1"/>
    </xf>
    <xf numFmtId="0" fontId="85" fillId="0" borderId="3" xfId="11" applyFont="1" applyBorder="1" applyAlignment="1">
      <alignment vertical="center" wrapText="1"/>
    </xf>
    <xf numFmtId="0" fontId="77" fillId="0" borderId="4" xfId="11" applyFont="1" applyBorder="1" applyAlignment="1">
      <alignment vertical="top" wrapText="1" shrinkToFit="1"/>
    </xf>
    <xf numFmtId="0" fontId="77" fillId="0" borderId="3" xfId="11" applyFont="1" applyBorder="1" applyAlignment="1">
      <alignment vertical="top" wrapText="1" shrinkToFit="1"/>
    </xf>
    <xf numFmtId="0" fontId="91" fillId="0" borderId="26" xfId="11" applyFont="1" applyBorder="1" applyAlignment="1">
      <alignment horizontal="center" shrinkToFit="1"/>
    </xf>
    <xf numFmtId="0" fontId="28" fillId="0" borderId="23" xfId="11" applyFont="1" applyBorder="1" applyAlignment="1">
      <alignment horizontal="center" vertical="center"/>
    </xf>
    <xf numFmtId="0" fontId="28" fillId="0" borderId="29" xfId="11" applyFont="1" applyBorder="1" applyAlignment="1">
      <alignment horizontal="center" vertical="center"/>
    </xf>
    <xf numFmtId="0" fontId="28" fillId="0" borderId="30" xfId="11" applyFont="1" applyBorder="1" applyAlignment="1">
      <alignment horizontal="center" vertical="center"/>
    </xf>
    <xf numFmtId="0" fontId="28" fillId="0" borderId="31" xfId="11" applyFont="1" applyBorder="1" applyAlignment="1">
      <alignment horizontal="center" vertical="center" shrinkToFit="1"/>
    </xf>
    <xf numFmtId="0" fontId="28" fillId="0" borderId="32" xfId="11" applyFont="1" applyBorder="1" applyAlignment="1">
      <alignment horizontal="center" vertical="center" shrinkToFit="1"/>
    </xf>
    <xf numFmtId="0" fontId="28" fillId="0" borderId="35" xfId="11" applyFont="1" applyBorder="1" applyAlignment="1">
      <alignment horizontal="center" vertical="center" shrinkToFit="1"/>
    </xf>
    <xf numFmtId="0" fontId="28" fillId="0" borderId="36" xfId="11" applyFont="1" applyBorder="1" applyAlignment="1">
      <alignment horizontal="center" vertical="center" shrinkToFit="1"/>
    </xf>
    <xf numFmtId="0" fontId="44" fillId="0" borderId="23" xfId="11" applyFont="1" applyBorder="1" applyAlignment="1">
      <alignment horizontal="center" vertical="center"/>
    </xf>
    <xf numFmtId="0" fontId="44" fillId="0" borderId="29" xfId="11" applyFont="1" applyBorder="1" applyAlignment="1">
      <alignment horizontal="center" vertical="center"/>
    </xf>
    <xf numFmtId="0" fontId="44" fillId="0" borderId="30" xfId="11" applyFont="1" applyBorder="1" applyAlignment="1">
      <alignment horizontal="center" vertical="center"/>
    </xf>
    <xf numFmtId="0" fontId="55" fillId="0" borderId="27" xfId="11" applyFont="1" applyBorder="1" applyAlignment="1">
      <alignment horizontal="center" vertical="center" shrinkToFit="1"/>
    </xf>
    <xf numFmtId="0" fontId="55" fillId="0" borderId="25" xfId="11" applyFont="1" applyBorder="1" applyAlignment="1">
      <alignment horizontal="center" vertical="center" shrinkToFit="1"/>
    </xf>
    <xf numFmtId="0" fontId="44" fillId="0" borderId="81" xfId="11" applyFont="1" applyBorder="1" applyAlignment="1">
      <alignment horizontal="center" vertical="center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26" fillId="0" borderId="26" xfId="11" applyFont="1" applyBorder="1" applyAlignment="1">
      <alignment horizontal="center" shrinkToFit="1"/>
    </xf>
    <xf numFmtId="0" fontId="28" fillId="0" borderId="22" xfId="11" applyFont="1" applyBorder="1" applyAlignment="1">
      <alignment horizontal="center" vertical="center"/>
    </xf>
    <xf numFmtId="0" fontId="28" fillId="2" borderId="61" xfId="11" applyFont="1" applyFill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37" fillId="0" borderId="4" xfId="11" applyFont="1" applyBorder="1" applyAlignment="1">
      <alignment horizontal="left" vertical="center" wrapText="1"/>
    </xf>
    <xf numFmtId="0" fontId="37" fillId="0" borderId="62" xfId="11" applyFont="1" applyBorder="1" applyAlignment="1">
      <alignment horizontal="left" vertical="center" wrapText="1"/>
    </xf>
    <xf numFmtId="0" fontId="28" fillId="2" borderId="70" xfId="11" applyFont="1" applyFill="1" applyBorder="1" applyAlignment="1">
      <alignment horizontal="center" vertical="center" shrinkToFit="1"/>
    </xf>
    <xf numFmtId="0" fontId="57" fillId="0" borderId="27" xfId="11" applyFont="1" applyBorder="1" applyAlignment="1">
      <alignment horizontal="center" vertical="center" shrinkToFit="1"/>
    </xf>
    <xf numFmtId="0" fontId="57" fillId="0" borderId="25" xfId="11" applyFont="1" applyBorder="1" applyAlignment="1">
      <alignment horizontal="center" vertical="center" shrinkToFit="1"/>
    </xf>
    <xf numFmtId="0" fontId="28" fillId="2" borderId="68" xfId="11" applyFont="1" applyFill="1" applyBorder="1" applyAlignment="1">
      <alignment horizontal="center" vertical="center" shrinkToFit="1"/>
    </xf>
    <xf numFmtId="0" fontId="28" fillId="2" borderId="31" xfId="11" applyFont="1" applyFill="1" applyBorder="1" applyAlignment="1">
      <alignment horizontal="center" vertical="center" shrinkToFit="1"/>
    </xf>
    <xf numFmtId="0" fontId="28" fillId="2" borderId="37" xfId="11" applyFont="1" applyFill="1" applyBorder="1" applyAlignment="1">
      <alignment horizontal="center" vertical="center" shrinkToFit="1"/>
    </xf>
    <xf numFmtId="0" fontId="28" fillId="2" borderId="32" xfId="11" applyFont="1" applyFill="1" applyBorder="1" applyAlignment="1">
      <alignment horizontal="center" vertical="center" shrinkToFit="1"/>
    </xf>
    <xf numFmtId="0" fontId="43" fillId="2" borderId="27" xfId="11" applyFont="1" applyFill="1" applyBorder="1" applyAlignment="1">
      <alignment horizontal="center" vertical="center" shrinkToFit="1"/>
    </xf>
    <xf numFmtId="0" fontId="43" fillId="2" borderId="25" xfId="11" applyFont="1" applyFill="1" applyBorder="1" applyAlignment="1">
      <alignment horizontal="center" vertical="center" shrinkToFit="1"/>
    </xf>
    <xf numFmtId="0" fontId="37" fillId="0" borderId="71" xfId="11" applyFont="1" applyBorder="1" applyAlignment="1">
      <alignment horizontal="left" vertical="center" wrapText="1"/>
    </xf>
    <xf numFmtId="0" fontId="64" fillId="0" borderId="71" xfId="11" applyFont="1" applyBorder="1" applyAlignment="1">
      <alignment horizontal="left" vertical="center" wrapText="1"/>
    </xf>
    <xf numFmtId="0" fontId="51" fillId="0" borderId="37" xfId="11" applyFont="1" applyBorder="1" applyAlignment="1">
      <alignment horizontal="left" vertical="center" shrinkToFit="1"/>
    </xf>
    <xf numFmtId="0" fontId="88" fillId="0" borderId="4" xfId="11" applyFont="1" applyBorder="1" applyAlignment="1">
      <alignment horizontal="left" vertical="center" wrapText="1"/>
    </xf>
    <xf numFmtId="0" fontId="7" fillId="0" borderId="3" xfId="11" applyFont="1" applyBorder="1" applyAlignment="1">
      <alignment horizontal="left" vertical="center" wrapText="1"/>
    </xf>
    <xf numFmtId="0" fontId="28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114" fillId="11" borderId="22" xfId="15" applyFont="1" applyFill="1" applyBorder="1" applyAlignment="1">
      <alignment horizontal="center" vertical="center"/>
    </xf>
    <xf numFmtId="0" fontId="115" fillId="11" borderId="22" xfId="15" applyFont="1" applyFill="1" applyBorder="1" applyAlignment="1">
      <alignment horizontal="center" vertical="center"/>
    </xf>
    <xf numFmtId="195" fontId="127" fillId="5" borderId="22" xfId="15" applyNumberFormat="1" applyFont="1" applyFill="1" applyBorder="1" applyAlignment="1">
      <alignment horizontal="center" vertical="center"/>
    </xf>
    <xf numFmtId="195" fontId="127" fillId="10" borderId="22" xfId="15" applyNumberFormat="1" applyFont="1" applyFill="1" applyBorder="1" applyAlignment="1">
      <alignment horizontal="center" vertical="center"/>
    </xf>
    <xf numFmtId="0" fontId="36" fillId="5" borderId="23" xfId="22" applyFont="1" applyFill="1" applyBorder="1" applyAlignment="1">
      <alignment horizontal="center" vertical="center" wrapText="1"/>
    </xf>
    <xf numFmtId="0" fontId="36" fillId="5" borderId="30" xfId="22" applyFont="1" applyFill="1" applyBorder="1" applyAlignment="1">
      <alignment horizontal="center" vertical="center" wrapText="1"/>
    </xf>
    <xf numFmtId="0" fontId="94" fillId="0" borderId="31" xfId="11" applyFont="1" applyBorder="1" applyAlignment="1">
      <alignment horizontal="center" vertical="center"/>
    </xf>
    <xf numFmtId="0" fontId="94" fillId="0" borderId="32" xfId="11" applyFont="1" applyBorder="1" applyAlignment="1">
      <alignment horizontal="center" vertical="center"/>
    </xf>
    <xf numFmtId="0" fontId="94" fillId="0" borderId="33" xfId="11" applyFont="1" applyBorder="1" applyAlignment="1">
      <alignment horizontal="center" vertical="center"/>
    </xf>
    <xf numFmtId="0" fontId="94" fillId="0" borderId="34" xfId="11" applyFont="1" applyBorder="1" applyAlignment="1">
      <alignment horizontal="center" vertical="center"/>
    </xf>
    <xf numFmtId="0" fontId="94" fillId="0" borderId="35" xfId="11" applyFont="1" applyBorder="1" applyAlignment="1">
      <alignment horizontal="center" vertical="center"/>
    </xf>
    <xf numFmtId="0" fontId="94" fillId="0" borderId="36" xfId="11" applyFont="1" applyBorder="1" applyAlignment="1">
      <alignment horizontal="center" vertical="center"/>
    </xf>
    <xf numFmtId="0" fontId="95" fillId="5" borderId="23" xfId="22" applyFont="1" applyFill="1" applyBorder="1" applyAlignment="1">
      <alignment horizontal="center" vertical="center" wrapText="1"/>
    </xf>
    <xf numFmtId="0" fontId="38" fillId="5" borderId="27" xfId="22" applyFont="1" applyFill="1" applyBorder="1" applyAlignment="1">
      <alignment horizontal="center" vertical="center"/>
    </xf>
    <xf numFmtId="0" fontId="38" fillId="5" borderId="25" xfId="22" applyFont="1" applyFill="1" applyBorder="1" applyAlignment="1">
      <alignment horizontal="center" vertical="center"/>
    </xf>
    <xf numFmtId="0" fontId="38" fillId="5" borderId="27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 wrapText="1"/>
    </xf>
    <xf numFmtId="0" fontId="38" fillId="5" borderId="25" xfId="22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/>
    </xf>
    <xf numFmtId="0" fontId="95" fillId="5" borderId="22" xfId="22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31" fillId="0" borderId="31" xfId="11" applyFont="1" applyBorder="1" applyAlignment="1">
      <alignment horizontal="center" vertical="center"/>
    </xf>
    <xf numFmtId="0" fontId="31" fillId="0" borderId="32" xfId="11" applyFont="1" applyBorder="1" applyAlignment="1">
      <alignment horizontal="center" vertical="center"/>
    </xf>
    <xf numFmtId="0" fontId="31" fillId="0" borderId="33" xfId="11" applyFont="1" applyBorder="1" applyAlignment="1">
      <alignment horizontal="center" vertical="center"/>
    </xf>
    <xf numFmtId="0" fontId="31" fillId="0" borderId="34" xfId="11" applyFont="1" applyBorder="1" applyAlignment="1">
      <alignment horizontal="center" vertical="center"/>
    </xf>
    <xf numFmtId="0" fontId="31" fillId="0" borderId="35" xfId="11" applyFont="1" applyBorder="1" applyAlignment="1">
      <alignment horizontal="center" vertical="center"/>
    </xf>
    <xf numFmtId="0" fontId="31" fillId="0" borderId="36" xfId="11" applyFont="1" applyBorder="1" applyAlignment="1">
      <alignment horizontal="center" vertical="center"/>
    </xf>
    <xf numFmtId="0" fontId="49" fillId="5" borderId="31" xfId="5" applyFont="1" applyFill="1" applyBorder="1" applyAlignment="1">
      <alignment horizontal="center" vertical="center"/>
    </xf>
    <xf numFmtId="0" fontId="49" fillId="5" borderId="37" xfId="5" applyFont="1" applyFill="1" applyBorder="1" applyAlignment="1">
      <alignment horizontal="center" vertical="center"/>
    </xf>
    <xf numFmtId="0" fontId="49" fillId="5" borderId="32" xfId="5" applyFont="1" applyFill="1" applyBorder="1" applyAlignment="1">
      <alignment horizontal="center" vertical="center"/>
    </xf>
    <xf numFmtId="0" fontId="49" fillId="5" borderId="33" xfId="5" applyFont="1" applyFill="1" applyBorder="1" applyAlignment="1">
      <alignment horizontal="center" vertical="center"/>
    </xf>
    <xf numFmtId="0" fontId="49" fillId="5" borderId="0" xfId="5" applyFont="1" applyFill="1" applyAlignment="1">
      <alignment horizontal="center" vertical="center"/>
    </xf>
    <xf numFmtId="0" fontId="49" fillId="5" borderId="34" xfId="5" applyFont="1" applyFill="1" applyBorder="1" applyAlignment="1">
      <alignment horizontal="center" vertical="center"/>
    </xf>
    <xf numFmtId="0" fontId="49" fillId="5" borderId="35" xfId="5" applyFont="1" applyFill="1" applyBorder="1" applyAlignment="1">
      <alignment horizontal="center" vertical="center"/>
    </xf>
    <xf numFmtId="0" fontId="49" fillId="5" borderId="26" xfId="5" applyFont="1" applyFill="1" applyBorder="1" applyAlignment="1">
      <alignment horizontal="center" vertical="center"/>
    </xf>
    <xf numFmtId="0" fontId="49" fillId="5" borderId="36" xfId="5" applyFont="1" applyFill="1" applyBorder="1" applyAlignment="1">
      <alignment horizontal="center" vertical="center"/>
    </xf>
    <xf numFmtId="0" fontId="40" fillId="0" borderId="26" xfId="11" applyFont="1" applyBorder="1" applyAlignment="1">
      <alignment horizontal="center" vertical="center"/>
    </xf>
    <xf numFmtId="0" fontId="34" fillId="0" borderId="26" xfId="11" applyFont="1" applyBorder="1" applyAlignment="1">
      <alignment horizontal="center" vertical="center"/>
    </xf>
    <xf numFmtId="0" fontId="38" fillId="5" borderId="27" xfId="22" applyFont="1" applyFill="1" applyBorder="1" applyAlignment="1">
      <alignment horizontal="center"/>
    </xf>
    <xf numFmtId="0" fontId="38" fillId="5" borderId="28" xfId="22" applyFont="1" applyFill="1" applyBorder="1" applyAlignment="1">
      <alignment horizontal="center"/>
    </xf>
    <xf numFmtId="0" fontId="38" fillId="5" borderId="25" xfId="22" applyFont="1" applyFill="1" applyBorder="1" applyAlignment="1">
      <alignment horizontal="center"/>
    </xf>
    <xf numFmtId="0" fontId="95" fillId="5" borderId="23" xfId="5" applyFont="1" applyFill="1" applyBorder="1" applyAlignment="1">
      <alignment horizontal="center" vertical="center"/>
    </xf>
    <xf numFmtId="0" fontId="95" fillId="5" borderId="29" xfId="5" applyFont="1" applyFill="1" applyBorder="1" applyAlignment="1">
      <alignment horizontal="center" vertical="center"/>
    </xf>
    <xf numFmtId="0" fontId="95" fillId="5" borderId="30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29" xfId="22" applyFont="1" applyFill="1" applyBorder="1" applyAlignment="1">
      <alignment horizontal="center" vertical="center" wrapText="1"/>
    </xf>
    <xf numFmtId="0" fontId="36" fillId="5" borderId="31" xfId="5" applyFont="1" applyFill="1" applyBorder="1" applyAlignment="1">
      <alignment horizontal="center" vertical="center"/>
    </xf>
    <xf numFmtId="0" fontId="36" fillId="5" borderId="37" xfId="5" applyFont="1" applyFill="1" applyBorder="1" applyAlignment="1">
      <alignment horizontal="center" vertical="center"/>
    </xf>
    <xf numFmtId="0" fontId="36" fillId="5" borderId="32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0" xfId="5" applyFont="1" applyFill="1" applyAlignment="1">
      <alignment horizontal="center" vertical="center"/>
    </xf>
    <xf numFmtId="0" fontId="36" fillId="5" borderId="34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6" xfId="5" applyFont="1" applyFill="1" applyBorder="1" applyAlignment="1">
      <alignment horizontal="center" vertical="center"/>
    </xf>
    <xf numFmtId="0" fontId="36" fillId="5" borderId="36" xfId="5" applyFont="1" applyFill="1" applyBorder="1" applyAlignment="1">
      <alignment horizontal="center" vertical="center"/>
    </xf>
    <xf numFmtId="0" fontId="94" fillId="5" borderId="31" xfId="11" applyFont="1" applyFill="1" applyBorder="1" applyAlignment="1">
      <alignment horizontal="center" vertical="center"/>
    </xf>
    <xf numFmtId="0" fontId="31" fillId="5" borderId="32" xfId="11" applyFont="1" applyFill="1" applyBorder="1" applyAlignment="1">
      <alignment horizontal="center" vertical="center"/>
    </xf>
    <xf numFmtId="0" fontId="36" fillId="5" borderId="22" xfId="5" applyFont="1" applyFill="1" applyBorder="1" applyAlignment="1">
      <alignment horizontal="center" vertical="center"/>
    </xf>
    <xf numFmtId="0" fontId="36" fillId="5" borderId="27" xfId="5" applyFont="1" applyFill="1" applyBorder="1" applyAlignment="1">
      <alignment horizontal="center" vertical="center"/>
    </xf>
    <xf numFmtId="0" fontId="36" fillId="5" borderId="28" xfId="5" applyFont="1" applyFill="1" applyBorder="1" applyAlignment="1">
      <alignment horizontal="center" vertical="center"/>
    </xf>
    <xf numFmtId="0" fontId="36" fillId="5" borderId="25" xfId="5" applyFont="1" applyFill="1" applyBorder="1" applyAlignment="1">
      <alignment horizontal="center" vertical="center"/>
    </xf>
    <xf numFmtId="0" fontId="95" fillId="5" borderId="22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/>
    </xf>
    <xf numFmtId="0" fontId="7" fillId="0" borderId="4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8" fillId="0" borderId="4" xfId="0" applyFont="1" applyBorder="1" applyAlignment="1">
      <alignment shrinkToFit="1"/>
    </xf>
    <xf numFmtId="0" fontId="7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37" fillId="5" borderId="22" xfId="5" applyFont="1" applyFill="1" applyBorder="1" applyAlignment="1">
      <alignment horizontal="center"/>
    </xf>
  </cellXfs>
  <cellStyles count="36">
    <cellStyle name="一般" xfId="0" builtinId="0"/>
    <cellStyle name="一般 2" xfId="1"/>
    <cellStyle name="一般 2 2" xfId="23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2 2 2 2" xfId="22"/>
    <cellStyle name="一般 2 2 30 2 2 30 2 2 2 2 2 2" xfId="35"/>
    <cellStyle name="一般 2 2 30 2 2 30 2 2 2 2 3" xfId="33"/>
    <cellStyle name="一般 2 2 30 2 2 30 2 2 2 3" xfId="31"/>
    <cellStyle name="一般 2 2 30 2 2 30 2 2 3" xfId="28"/>
    <cellStyle name="一般 2 2 30 2 2 30 2 3" xfId="15"/>
    <cellStyle name="一般 2 2 30 2 2 30 2 3 2" xfId="29"/>
    <cellStyle name="一般 2 2 30 2 2 30 2 4" xfId="25"/>
    <cellStyle name="一般 2 2 30 2 3 2" xfId="6"/>
    <cellStyle name="一般 2 2 30 2 3 2 2" xfId="16"/>
    <cellStyle name="一般 2 2 30 2 3 2 2 2" xfId="18"/>
    <cellStyle name="一般 2 2 30 2 3 2 2 2 2" xfId="32"/>
    <cellStyle name="一般 2 2 30 2 3 2 2 3" xfId="30"/>
    <cellStyle name="一般 2 2 30 2 3 2 3" xfId="26"/>
    <cellStyle name="一般 2 2 30 3 30" xfId="7"/>
    <cellStyle name="一般 2 2 30 3 30 2" xfId="27"/>
    <cellStyle name="一般 3" xfId="11"/>
    <cellStyle name="一般 4" xfId="5"/>
    <cellStyle name="千分位 2" xfId="2"/>
    <cellStyle name="千分位 2 2" xfId="24"/>
    <cellStyle name="千分位 3" xfId="21"/>
    <cellStyle name="千分位 3 2" xfId="34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&#39135;&#30740;&#25152;114&#24180;JFM&#29256;\&#32371;&#20132;&#39135;&#30740;&#25152;\&#12304;JFM&#25351;&#23566;&#12305;&#22823;&#28330;&#24288;&#29983;&#29986;&#31649;&#29702;&#22577;&#34920;202603(&#25976;&#20540;&#32047;&#31309;&#32317;&#34920;(&#26376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(&#9679;)&#22823;&#28330;&#24288;&#29983;&#29986;&#31649;&#29702;&#22577;&#34920;cora(0428-0504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(&#9679;)&#22823;&#28330;&#24288;&#29983;&#29986;&#31649;&#29702;&#22577;&#34920;cora(0505-051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數值累積總表(月)"/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8-1(月報廢)"/>
      <sheetName val="生產管理報表 8-2(月報廢)"/>
      <sheetName val="生產管理報表 8-3(月超用)"/>
      <sheetName val="生產管理報表 8-4(月超用)"/>
      <sheetName val="生產管理報表 7-1 (週)"/>
      <sheetName val="生產管理報表 8-5(週報廢)"/>
      <sheetName val="生產管理報表 8-6(週報廢)"/>
      <sheetName val="生產管理報表 8-7(週超用)"/>
      <sheetName val="生產管理報表 8-8(週超用) "/>
      <sheetName val="生產管理報表 9"/>
      <sheetName val="日別報廢率總表"/>
      <sheetName val="報廢20大－原因別分析"/>
      <sheetName val="超用20大－原因別分析"/>
      <sheetName val="填寫舉例"/>
      <sheetName val="鮮食品群番"/>
      <sheetName val="下拉式選單"/>
    </sheetNames>
    <sheetDataSet>
      <sheetData sheetId="0">
        <row r="6">
          <cell r="P6">
            <v>67948</v>
          </cell>
        </row>
      </sheetData>
      <sheetData sheetId="1"/>
      <sheetData sheetId="2"/>
      <sheetData sheetId="3"/>
      <sheetData sheetId="4">
        <row r="10">
          <cell r="K10">
            <v>0.82360963344933713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貼訂購銷售表"/>
      <sheetName val="W2"/>
      <sheetName val="W3"/>
      <sheetName val="W4"/>
      <sheetName val="W5"/>
      <sheetName val="W6"/>
      <sheetName val="W7"/>
      <sheetName val="W1"/>
      <sheetName val="產能清單0428"/>
      <sheetName val="（２）ＫＰＩ達成進度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8）品群別人時生產性(季節調理麵) --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W2"/>
      <sheetName val="W3"/>
      <sheetName val="W4"/>
      <sheetName val="W5"/>
      <sheetName val="W6"/>
      <sheetName val="W7"/>
      <sheetName val="W1"/>
      <sheetName val="（２）ＫＰＩ達成進度"/>
      <sheetName val="貼訂購銷售表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產能清單0505"/>
      <sheetName val="產能清單0511"/>
      <sheetName val="（５-8）品群別人時生產性(季節調理麵) --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2">
          <cell r="P22">
            <v>5</v>
          </cell>
          <cell r="Q22">
            <v>3191.7078973714551</v>
          </cell>
          <cell r="R22">
            <v>638.34157947429105</v>
          </cell>
          <cell r="S22">
            <v>19</v>
          </cell>
          <cell r="T22"/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"/>
  <dimension ref="B1:P45"/>
  <sheetViews>
    <sheetView workbookViewId="0">
      <selection activeCell="F6" sqref="F6"/>
    </sheetView>
  </sheetViews>
  <sheetFormatPr defaultColWidth="8.7265625" defaultRowHeight="13"/>
  <cols>
    <col min="1" max="1" width="8.7265625" style="410"/>
    <col min="2" max="2" width="27.7265625" style="410" bestFit="1" customWidth="1"/>
    <col min="3" max="3" width="34.7265625" style="410" customWidth="1"/>
    <col min="4" max="15" width="12.7265625" style="410" customWidth="1"/>
    <col min="16" max="16" width="15.7265625" style="410" customWidth="1"/>
    <col min="17" max="16384" width="8.7265625" style="410"/>
  </cols>
  <sheetData>
    <row r="1" spans="2:16" ht="18.5">
      <c r="B1" s="503" t="s">
        <v>197</v>
      </c>
      <c r="C1" s="504"/>
      <c r="D1" s="419" t="s">
        <v>530</v>
      </c>
      <c r="E1" s="419" t="s">
        <v>532</v>
      </c>
      <c r="F1" s="419" t="s">
        <v>533</v>
      </c>
      <c r="G1" s="419" t="s">
        <v>534</v>
      </c>
      <c r="H1" s="419" t="s">
        <v>535</v>
      </c>
      <c r="I1" s="419" t="s">
        <v>536</v>
      </c>
      <c r="J1" s="419" t="s">
        <v>537</v>
      </c>
      <c r="K1" s="419" t="s">
        <v>538</v>
      </c>
      <c r="L1" s="419" t="s">
        <v>539</v>
      </c>
      <c r="M1" s="419" t="s">
        <v>540</v>
      </c>
      <c r="N1" s="419" t="s">
        <v>541</v>
      </c>
      <c r="O1" s="419" t="s">
        <v>542</v>
      </c>
      <c r="P1" s="420" t="s">
        <v>543</v>
      </c>
    </row>
    <row r="2" spans="2:16" ht="15.5">
      <c r="B2" s="500" t="s">
        <v>558</v>
      </c>
      <c r="C2" s="432" t="s">
        <v>544</v>
      </c>
      <c r="D2" s="421">
        <v>146299.93539000006</v>
      </c>
      <c r="E2" s="421">
        <v>116569.43023000001</v>
      </c>
      <c r="F2" s="421">
        <v>148837.99842999995</v>
      </c>
      <c r="G2" s="421"/>
      <c r="H2" s="421"/>
      <c r="I2" s="421"/>
      <c r="J2" s="421"/>
      <c r="K2" s="421"/>
      <c r="L2" s="421"/>
      <c r="M2" s="421"/>
      <c r="N2" s="421"/>
      <c r="O2" s="421"/>
      <c r="P2" s="433">
        <f>SUM(D2:O2)</f>
        <v>411707.36404999997</v>
      </c>
    </row>
    <row r="3" spans="2:16" ht="15.5">
      <c r="B3" s="500"/>
      <c r="C3" s="432" t="s">
        <v>545</v>
      </c>
      <c r="D3" s="421">
        <v>4768701</v>
      </c>
      <c r="E3" s="421">
        <v>3787002</v>
      </c>
      <c r="F3" s="421">
        <v>5045753</v>
      </c>
      <c r="G3" s="421"/>
      <c r="H3" s="421"/>
      <c r="I3" s="421"/>
      <c r="J3" s="421"/>
      <c r="K3" s="421"/>
      <c r="L3" s="421"/>
      <c r="M3" s="421"/>
      <c r="N3" s="421"/>
      <c r="O3" s="421"/>
      <c r="P3" s="433">
        <f>SUM(D3:O3)</f>
        <v>13601456</v>
      </c>
    </row>
    <row r="4" spans="2:16" ht="15.5">
      <c r="B4" s="500"/>
      <c r="C4" s="432" t="s">
        <v>546</v>
      </c>
      <c r="D4" s="421">
        <v>93253</v>
      </c>
      <c r="E4" s="421">
        <v>74777</v>
      </c>
      <c r="F4" s="421">
        <v>93614</v>
      </c>
      <c r="G4" s="421"/>
      <c r="H4" s="421"/>
      <c r="I4" s="421"/>
      <c r="J4" s="421"/>
      <c r="K4" s="421"/>
      <c r="L4" s="421"/>
      <c r="M4" s="421"/>
      <c r="N4" s="421"/>
      <c r="O4" s="421"/>
      <c r="P4" s="433">
        <f>SUM(D4:O4)</f>
        <v>261644</v>
      </c>
    </row>
    <row r="5" spans="2:16" ht="15.5">
      <c r="B5" s="500"/>
      <c r="C5" s="434" t="s">
        <v>559</v>
      </c>
      <c r="D5" s="435">
        <v>0.65500000000000003</v>
      </c>
      <c r="E5" s="435">
        <v>0.65300000000000002</v>
      </c>
      <c r="F5" s="435">
        <v>0.64800000000000002</v>
      </c>
      <c r="G5" s="436" t="str">
        <f t="shared" ref="G5:O5" si="0">IFERROR(G4/G2, "")</f>
        <v/>
      </c>
      <c r="H5" s="436" t="str">
        <f t="shared" si="0"/>
        <v/>
      </c>
      <c r="I5" s="436" t="str">
        <f t="shared" si="0"/>
        <v/>
      </c>
      <c r="J5" s="436" t="str">
        <f t="shared" si="0"/>
        <v/>
      </c>
      <c r="K5" s="436" t="str">
        <f t="shared" si="0"/>
        <v/>
      </c>
      <c r="L5" s="436" t="str">
        <f t="shared" si="0"/>
        <v/>
      </c>
      <c r="M5" s="436" t="str">
        <f t="shared" si="0"/>
        <v/>
      </c>
      <c r="N5" s="436" t="str">
        <f t="shared" si="0"/>
        <v/>
      </c>
      <c r="O5" s="436" t="str">
        <f t="shared" si="0"/>
        <v/>
      </c>
      <c r="P5" s="437">
        <f>AVERAGEIF(D5:O5, "&gt;0")</f>
        <v>0.65200000000000002</v>
      </c>
    </row>
    <row r="6" spans="2:16" ht="15.5">
      <c r="B6" s="500"/>
      <c r="C6" s="432" t="s">
        <v>547</v>
      </c>
      <c r="D6" s="421">
        <v>22378</v>
      </c>
      <c r="E6" s="421">
        <v>22860</v>
      </c>
      <c r="F6" s="421">
        <v>22710</v>
      </c>
      <c r="G6" s="421"/>
      <c r="H6" s="421"/>
      <c r="I6" s="421"/>
      <c r="J6" s="421"/>
      <c r="K6" s="421"/>
      <c r="L6" s="421"/>
      <c r="M6" s="421"/>
      <c r="N6" s="421"/>
      <c r="O6" s="421"/>
      <c r="P6" s="433">
        <f t="shared" ref="P6" si="1">SUM(D6:O6)</f>
        <v>67948</v>
      </c>
    </row>
    <row r="7" spans="2:16" ht="15.5">
      <c r="B7" s="500"/>
      <c r="C7" s="434" t="s">
        <v>560</v>
      </c>
      <c r="D7" s="435">
        <v>0.157</v>
      </c>
      <c r="E7" s="435">
        <v>0.2</v>
      </c>
      <c r="F7" s="435">
        <v>0.157</v>
      </c>
      <c r="G7" s="436" t="str">
        <f t="shared" ref="G7:O7" si="2">IFERROR(G6/G2, "")</f>
        <v/>
      </c>
      <c r="H7" s="436" t="str">
        <f t="shared" si="2"/>
        <v/>
      </c>
      <c r="I7" s="436" t="str">
        <f t="shared" si="2"/>
        <v/>
      </c>
      <c r="J7" s="436" t="str">
        <f t="shared" si="2"/>
        <v/>
      </c>
      <c r="K7" s="436" t="str">
        <f t="shared" si="2"/>
        <v/>
      </c>
      <c r="L7" s="436" t="str">
        <f t="shared" si="2"/>
        <v/>
      </c>
      <c r="M7" s="436" t="str">
        <f t="shared" si="2"/>
        <v/>
      </c>
      <c r="N7" s="436" t="str">
        <f t="shared" si="2"/>
        <v/>
      </c>
      <c r="O7" s="436" t="str">
        <f t="shared" si="2"/>
        <v/>
      </c>
      <c r="P7" s="437">
        <f>AVERAGEIF(D7:O7, "&gt;0")</f>
        <v>0.17133333333333334</v>
      </c>
    </row>
    <row r="8" spans="2:16" ht="15.5">
      <c r="B8" s="438"/>
      <c r="C8" s="432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21"/>
      <c r="O8" s="421"/>
      <c r="P8" s="433"/>
    </row>
    <row r="9" spans="2:16" ht="15.5">
      <c r="B9" s="500" t="s">
        <v>130</v>
      </c>
      <c r="C9" s="432" t="s">
        <v>561</v>
      </c>
      <c r="D9" s="439">
        <v>497.6</v>
      </c>
      <c r="E9" s="439">
        <v>497.6</v>
      </c>
      <c r="F9" s="439">
        <v>497.6</v>
      </c>
      <c r="G9" s="422"/>
      <c r="H9" s="422"/>
      <c r="I9" s="422"/>
      <c r="J9" s="422"/>
      <c r="K9" s="422"/>
      <c r="L9" s="422"/>
      <c r="M9" s="422"/>
      <c r="N9" s="422"/>
      <c r="O9" s="422"/>
      <c r="P9" s="440">
        <f>AVERAGEIF(D9:O9, "&gt;0")</f>
        <v>497.60000000000008</v>
      </c>
    </row>
    <row r="10" spans="2:16" ht="15.5">
      <c r="B10" s="500"/>
      <c r="C10" s="432" t="s">
        <v>548</v>
      </c>
      <c r="D10" s="439">
        <v>458.3841382804668</v>
      </c>
      <c r="E10" s="439">
        <v>476.04171528829499</v>
      </c>
      <c r="F10" s="439">
        <v>409.81563372836604</v>
      </c>
      <c r="G10" s="422"/>
      <c r="H10" s="422"/>
      <c r="I10" s="422"/>
      <c r="J10" s="422"/>
      <c r="K10" s="422"/>
      <c r="L10" s="422"/>
      <c r="M10" s="422"/>
      <c r="N10" s="422"/>
      <c r="O10" s="422"/>
      <c r="P10" s="440">
        <f>AVERAGEIF(D10:O10, "&gt;0")</f>
        <v>448.08049576570926</v>
      </c>
    </row>
    <row r="11" spans="2:16" ht="15.5">
      <c r="B11" s="500"/>
      <c r="C11" s="434" t="s">
        <v>549</v>
      </c>
      <c r="D11" s="436">
        <f t="shared" ref="D11:O11" si="3">IFERROR(D10/D9, "")</f>
        <v>0.92118998850576117</v>
      </c>
      <c r="E11" s="436">
        <f t="shared" si="3"/>
        <v>0.95667547284625198</v>
      </c>
      <c r="F11" s="436">
        <f t="shared" si="3"/>
        <v>0.82358447292678061</v>
      </c>
      <c r="G11" s="436" t="str">
        <f t="shared" si="3"/>
        <v/>
      </c>
      <c r="H11" s="436" t="str">
        <f t="shared" si="3"/>
        <v/>
      </c>
      <c r="I11" s="436" t="str">
        <f t="shared" si="3"/>
        <v/>
      </c>
      <c r="J11" s="436" t="str">
        <f t="shared" si="3"/>
        <v/>
      </c>
      <c r="K11" s="436" t="str">
        <f t="shared" si="3"/>
        <v/>
      </c>
      <c r="L11" s="436" t="str">
        <f t="shared" si="3"/>
        <v/>
      </c>
      <c r="M11" s="436" t="str">
        <f t="shared" si="3"/>
        <v/>
      </c>
      <c r="N11" s="436" t="str">
        <f t="shared" si="3"/>
        <v/>
      </c>
      <c r="O11" s="436" t="str">
        <f t="shared" si="3"/>
        <v/>
      </c>
      <c r="P11" s="441">
        <f>AVERAGEIF(D11:O11, "&gt;0")</f>
        <v>0.90048331142626459</v>
      </c>
    </row>
    <row r="12" spans="2:16" ht="15.5">
      <c r="B12" s="500"/>
      <c r="C12" s="432" t="s">
        <v>550</v>
      </c>
      <c r="D12" s="424">
        <v>2.4135432458014692E-3</v>
      </c>
      <c r="E12" s="423">
        <v>2.3657636051419204E-3</v>
      </c>
      <c r="F12" s="423">
        <v>2.0222247634522129E-3</v>
      </c>
      <c r="G12" s="423"/>
      <c r="H12" s="423"/>
      <c r="I12" s="423"/>
      <c r="J12" s="423"/>
      <c r="K12" s="423"/>
      <c r="L12" s="423"/>
      <c r="M12" s="423"/>
      <c r="N12" s="423"/>
      <c r="O12" s="423"/>
      <c r="P12" s="442">
        <f>AVERAGEIF(D12:O12, "&gt;0")</f>
        <v>2.267177204798534E-3</v>
      </c>
    </row>
    <row r="13" spans="2:16" ht="15.5">
      <c r="B13" s="500"/>
      <c r="C13" s="432" t="s">
        <v>551</v>
      </c>
      <c r="D13" s="424">
        <v>5.599443330875099E-3</v>
      </c>
      <c r="E13" s="424">
        <v>5.2393000579921759E-3</v>
      </c>
      <c r="F13" s="424">
        <v>4.8799137535570384E-3</v>
      </c>
      <c r="G13" s="424"/>
      <c r="H13" s="424"/>
      <c r="I13" s="424"/>
      <c r="J13" s="424"/>
      <c r="K13" s="424"/>
      <c r="L13" s="424"/>
      <c r="M13" s="424"/>
      <c r="N13" s="424"/>
      <c r="O13" s="424"/>
      <c r="P13" s="441">
        <f>AVERAGEIF(D13:O13, "&gt;0")</f>
        <v>5.2395523808081044E-3</v>
      </c>
    </row>
    <row r="14" spans="2:16" ht="15.5">
      <c r="B14" s="500"/>
      <c r="C14" s="432" t="s">
        <v>562</v>
      </c>
      <c r="D14" s="424">
        <v>0.89999999999999947</v>
      </c>
      <c r="E14" s="424">
        <v>0.89999999999999958</v>
      </c>
      <c r="F14" s="424">
        <v>0.89999999999999947</v>
      </c>
      <c r="G14" s="424"/>
      <c r="H14" s="424"/>
      <c r="I14" s="424"/>
      <c r="J14" s="424"/>
      <c r="K14" s="424"/>
      <c r="L14" s="424"/>
      <c r="M14" s="424"/>
      <c r="N14" s="424"/>
      <c r="O14" s="424"/>
      <c r="P14" s="441">
        <f t="shared" ref="P14" si="4">AVERAGEIF(D14:O14, "&gt;0")</f>
        <v>0.89999999999999947</v>
      </c>
    </row>
    <row r="15" spans="2:16" ht="15.5">
      <c r="B15" s="500"/>
      <c r="C15" s="432" t="s">
        <v>563</v>
      </c>
      <c r="D15" s="424">
        <v>5.7692307692307702E-2</v>
      </c>
      <c r="E15" s="424">
        <v>0.13873626373626369</v>
      </c>
      <c r="F15" s="424">
        <v>0.21960297766749381</v>
      </c>
      <c r="G15" s="424"/>
      <c r="H15" s="424"/>
      <c r="I15" s="424"/>
      <c r="J15" s="424"/>
      <c r="K15" s="424"/>
      <c r="L15" s="424"/>
      <c r="M15" s="424"/>
      <c r="N15" s="424"/>
      <c r="O15" s="424"/>
      <c r="P15" s="443">
        <v>0.21959999999999999</v>
      </c>
    </row>
    <row r="16" spans="2:16" ht="15.5">
      <c r="B16" s="438"/>
      <c r="C16" s="432"/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4"/>
      <c r="O16" s="424"/>
      <c r="P16" s="441"/>
    </row>
    <row r="17" spans="2:16" ht="15.5">
      <c r="B17" s="501" t="s">
        <v>564</v>
      </c>
      <c r="C17" s="432" t="s">
        <v>565</v>
      </c>
      <c r="D17" s="444">
        <v>0.36139567422949059</v>
      </c>
      <c r="E17" s="444">
        <v>0.34737656751091073</v>
      </c>
      <c r="F17" s="444">
        <v>0.36414345188530645</v>
      </c>
      <c r="G17" s="444"/>
      <c r="H17" s="444"/>
      <c r="I17" s="444"/>
      <c r="J17" s="444"/>
      <c r="K17" s="444"/>
      <c r="L17" s="444"/>
      <c r="M17" s="444"/>
      <c r="N17" s="444"/>
      <c r="O17" s="444"/>
      <c r="P17" s="441">
        <f>AVERAGEIF(D17:O17, "&gt;0")</f>
        <v>0.35763856454190263</v>
      </c>
    </row>
    <row r="18" spans="2:16" ht="15.5">
      <c r="B18" s="505"/>
      <c r="C18" s="432" t="s">
        <v>222</v>
      </c>
      <c r="D18" s="444">
        <v>6.9633574224369291E-2</v>
      </c>
      <c r="E18" s="444">
        <v>7.7793665132509071E-2</v>
      </c>
      <c r="F18" s="444">
        <v>8.4480826486750038E-2</v>
      </c>
      <c r="G18" s="444"/>
      <c r="H18" s="444"/>
      <c r="I18" s="444"/>
      <c r="J18" s="444"/>
      <c r="K18" s="444"/>
      <c r="L18" s="444"/>
      <c r="M18" s="444"/>
      <c r="N18" s="444"/>
      <c r="O18" s="444"/>
      <c r="P18" s="441">
        <f t="shared" ref="P18:P45" si="5">AVERAGEIF(D18:O18, "&gt;0")</f>
        <v>7.73026886145428E-2</v>
      </c>
    </row>
    <row r="19" spans="2:16" ht="15.5">
      <c r="B19" s="505"/>
      <c r="C19" s="432" t="s">
        <v>235</v>
      </c>
      <c r="D19" s="444">
        <v>2.2453221877666876E-2</v>
      </c>
      <c r="E19" s="444">
        <v>2.1676449691951108E-2</v>
      </c>
      <c r="F19" s="444">
        <v>2.4365160296787799E-2</v>
      </c>
      <c r="G19" s="444"/>
      <c r="H19" s="444"/>
      <c r="I19" s="444"/>
      <c r="J19" s="444"/>
      <c r="K19" s="444"/>
      <c r="L19" s="444"/>
      <c r="M19" s="444"/>
      <c r="N19" s="444"/>
      <c r="O19" s="444"/>
      <c r="P19" s="441">
        <f t="shared" si="5"/>
        <v>2.2831610622135262E-2</v>
      </c>
    </row>
    <row r="20" spans="2:16" ht="15.5">
      <c r="B20" s="505"/>
      <c r="C20" s="432" t="s">
        <v>220</v>
      </c>
      <c r="D20" s="444">
        <v>8.5850389930237133E-3</v>
      </c>
      <c r="E20" s="444">
        <v>9.9523222144173289E-3</v>
      </c>
      <c r="F20" s="444">
        <v>1.4684918119400437E-2</v>
      </c>
      <c r="G20" s="444"/>
      <c r="H20" s="444"/>
      <c r="I20" s="444"/>
      <c r="J20" s="444"/>
      <c r="K20" s="444"/>
      <c r="L20" s="444"/>
      <c r="M20" s="444"/>
      <c r="N20" s="444"/>
      <c r="O20" s="444"/>
      <c r="P20" s="441">
        <f t="shared" si="5"/>
        <v>1.1074093108947159E-2</v>
      </c>
    </row>
    <row r="21" spans="2:16" ht="15.5">
      <c r="B21" s="505"/>
      <c r="C21" s="432" t="s">
        <v>224</v>
      </c>
      <c r="D21" s="444">
        <v>0.16215294044225204</v>
      </c>
      <c r="E21" s="444">
        <v>0.18214707911075978</v>
      </c>
      <c r="F21" s="444">
        <v>0.20289323995580696</v>
      </c>
      <c r="G21" s="444"/>
      <c r="H21" s="444"/>
      <c r="I21" s="444"/>
      <c r="J21" s="444"/>
      <c r="K21" s="444"/>
      <c r="L21" s="444"/>
      <c r="M21" s="444"/>
      <c r="N21" s="444"/>
      <c r="O21" s="444"/>
      <c r="P21" s="441">
        <f t="shared" si="5"/>
        <v>0.18239775316960627</v>
      </c>
    </row>
    <row r="22" spans="2:16" ht="15.5">
      <c r="B22" s="505"/>
      <c r="C22" s="432" t="s">
        <v>226</v>
      </c>
      <c r="D22" s="444">
        <v>0.27057088032525339</v>
      </c>
      <c r="E22" s="444">
        <v>0.27529225824200032</v>
      </c>
      <c r="F22" s="444">
        <v>0.29293399487971084</v>
      </c>
      <c r="G22" s="444"/>
      <c r="H22" s="444"/>
      <c r="I22" s="444"/>
      <c r="J22" s="444"/>
      <c r="K22" s="444"/>
      <c r="L22" s="444"/>
      <c r="M22" s="444"/>
      <c r="N22" s="444"/>
      <c r="O22" s="444"/>
      <c r="P22" s="441">
        <f t="shared" si="5"/>
        <v>0.27959904448232148</v>
      </c>
    </row>
    <row r="23" spans="2:16" ht="15.5">
      <c r="B23" s="505"/>
      <c r="C23" s="432" t="s">
        <v>236</v>
      </c>
      <c r="D23" s="444">
        <v>2.9234371078829206E-2</v>
      </c>
      <c r="E23" s="444">
        <v>8.9796818765835347E-3</v>
      </c>
      <c r="F23" s="444">
        <v>0</v>
      </c>
      <c r="G23" s="444"/>
      <c r="H23" s="444"/>
      <c r="I23" s="444"/>
      <c r="J23" s="444"/>
      <c r="K23" s="444"/>
      <c r="L23" s="444"/>
      <c r="M23" s="444"/>
      <c r="N23" s="444"/>
      <c r="O23" s="444"/>
      <c r="P23" s="441">
        <f t="shared" si="5"/>
        <v>1.910702647770637E-2</v>
      </c>
    </row>
    <row r="24" spans="2:16" ht="15.5">
      <c r="B24" s="505"/>
      <c r="C24" s="432" t="s">
        <v>237</v>
      </c>
      <c r="D24" s="444">
        <v>4.0564165966170615E-2</v>
      </c>
      <c r="E24" s="444">
        <v>4.0109498783470192E-2</v>
      </c>
      <c r="F24" s="444">
        <v>1.6541184549440737E-3</v>
      </c>
      <c r="G24" s="444"/>
      <c r="H24" s="444"/>
      <c r="I24" s="444"/>
      <c r="J24" s="444"/>
      <c r="K24" s="444"/>
      <c r="L24" s="444"/>
      <c r="M24" s="444"/>
      <c r="N24" s="444"/>
      <c r="O24" s="444"/>
      <c r="P24" s="441">
        <f t="shared" si="5"/>
        <v>2.7442594401528294E-2</v>
      </c>
    </row>
    <row r="25" spans="2:16" ht="15.5">
      <c r="B25" s="506"/>
      <c r="C25" s="432" t="s">
        <v>232</v>
      </c>
      <c r="D25" s="444">
        <v>3.5410132862943831E-2</v>
      </c>
      <c r="E25" s="444">
        <v>3.6672477437397863E-2</v>
      </c>
      <c r="F25" s="444">
        <v>1.4844289921293864E-2</v>
      </c>
      <c r="G25" s="444"/>
      <c r="H25" s="444"/>
      <c r="I25" s="444"/>
      <c r="J25" s="444"/>
      <c r="K25" s="444"/>
      <c r="L25" s="444"/>
      <c r="M25" s="444"/>
      <c r="N25" s="444"/>
      <c r="O25" s="444"/>
      <c r="P25" s="441">
        <f t="shared" si="5"/>
        <v>2.8975633407211848E-2</v>
      </c>
    </row>
    <row r="26" spans="2:16" ht="15.5">
      <c r="B26" s="438"/>
      <c r="C26" s="432"/>
      <c r="D26" s="424"/>
      <c r="E26" s="424"/>
      <c r="F26" s="424"/>
      <c r="G26" s="424"/>
      <c r="H26" s="424"/>
      <c r="I26" s="424"/>
      <c r="J26" s="424"/>
      <c r="K26" s="424"/>
      <c r="L26" s="424"/>
      <c r="M26" s="424"/>
      <c r="N26" s="424"/>
      <c r="O26" s="424"/>
      <c r="P26" s="441"/>
    </row>
    <row r="27" spans="2:16" ht="15.5">
      <c r="B27" s="501" t="s">
        <v>566</v>
      </c>
      <c r="C27" s="432" t="s">
        <v>565</v>
      </c>
      <c r="D27" s="444">
        <v>0.58577126139802016</v>
      </c>
      <c r="E27" s="444">
        <v>0.57025346170928881</v>
      </c>
      <c r="F27" s="444">
        <v>0.57640851623137324</v>
      </c>
      <c r="G27" s="444"/>
      <c r="H27" s="444"/>
      <c r="I27" s="444"/>
      <c r="J27" s="444"/>
      <c r="K27" s="444"/>
      <c r="L27" s="444"/>
      <c r="M27" s="444"/>
      <c r="N27" s="444"/>
      <c r="O27" s="444"/>
      <c r="P27" s="441">
        <f>AVERAGEIF(D27:O27, "&gt;0")</f>
        <v>0.5774777464462274</v>
      </c>
    </row>
    <row r="28" spans="2:16" ht="15.5">
      <c r="B28" s="505"/>
      <c r="C28" s="432" t="s">
        <v>222</v>
      </c>
      <c r="D28" s="444">
        <v>8.1693945583923164E-2</v>
      </c>
      <c r="E28" s="444">
        <v>9.1615478418020382E-2</v>
      </c>
      <c r="F28" s="444">
        <v>0.10179987010858439</v>
      </c>
      <c r="G28" s="444"/>
      <c r="H28" s="444"/>
      <c r="I28" s="444"/>
      <c r="J28" s="444"/>
      <c r="K28" s="444"/>
      <c r="L28" s="444"/>
      <c r="M28" s="444"/>
      <c r="N28" s="444"/>
      <c r="O28" s="444"/>
      <c r="P28" s="441">
        <f t="shared" si="5"/>
        <v>9.1703098036842637E-2</v>
      </c>
    </row>
    <row r="29" spans="2:16" ht="15.5">
      <c r="B29" s="505"/>
      <c r="C29" s="432" t="s">
        <v>235</v>
      </c>
      <c r="D29" s="444">
        <v>2.4966128092325353E-2</v>
      </c>
      <c r="E29" s="444">
        <v>2.3825971045169769E-2</v>
      </c>
      <c r="F29" s="444">
        <v>2.6809080825002728E-2</v>
      </c>
      <c r="G29" s="444"/>
      <c r="H29" s="444"/>
      <c r="I29" s="444"/>
      <c r="J29" s="444"/>
      <c r="K29" s="444"/>
      <c r="L29" s="444"/>
      <c r="M29" s="444"/>
      <c r="N29" s="444"/>
      <c r="O29" s="444"/>
      <c r="P29" s="441">
        <f t="shared" si="5"/>
        <v>2.5200393320832615E-2</v>
      </c>
    </row>
    <row r="30" spans="2:16" ht="15.5">
      <c r="B30" s="505"/>
      <c r="C30" s="432" t="s">
        <v>220</v>
      </c>
      <c r="D30" s="444">
        <v>9.7963785106258503E-3</v>
      </c>
      <c r="E30" s="444">
        <v>1.1706621755150907E-2</v>
      </c>
      <c r="F30" s="444">
        <v>1.640151628508173E-2</v>
      </c>
      <c r="G30" s="444"/>
      <c r="H30" s="444"/>
      <c r="I30" s="444"/>
      <c r="J30" s="444"/>
      <c r="K30" s="444"/>
      <c r="L30" s="444"/>
      <c r="M30" s="444"/>
      <c r="N30" s="444"/>
      <c r="O30" s="444"/>
      <c r="P30" s="441">
        <f t="shared" si="5"/>
        <v>1.2634838850286162E-2</v>
      </c>
    </row>
    <row r="31" spans="2:16" ht="15.5">
      <c r="B31" s="505"/>
      <c r="C31" s="432" t="s">
        <v>224</v>
      </c>
      <c r="D31" s="444">
        <v>8.9953008167213674E-2</v>
      </c>
      <c r="E31" s="444">
        <v>0.10114834901064219</v>
      </c>
      <c r="F31" s="444">
        <v>0.11343936177613133</v>
      </c>
      <c r="G31" s="444"/>
      <c r="H31" s="444"/>
      <c r="I31" s="444"/>
      <c r="J31" s="444"/>
      <c r="K31" s="444"/>
      <c r="L31" s="444"/>
      <c r="M31" s="444"/>
      <c r="N31" s="444"/>
      <c r="O31" s="444"/>
      <c r="P31" s="441">
        <f t="shared" si="5"/>
        <v>0.1015135729846624</v>
      </c>
    </row>
    <row r="32" spans="2:16" ht="15.5">
      <c r="B32" s="505"/>
      <c r="C32" s="432" t="s">
        <v>226</v>
      </c>
      <c r="D32" s="444">
        <v>0.13708177551916129</v>
      </c>
      <c r="E32" s="444">
        <v>0.14060779476747043</v>
      </c>
      <c r="F32" s="444">
        <v>0.14223546019791297</v>
      </c>
      <c r="G32" s="444"/>
      <c r="H32" s="444"/>
      <c r="I32" s="444"/>
      <c r="J32" s="444"/>
      <c r="K32" s="444"/>
      <c r="L32" s="444"/>
      <c r="M32" s="444"/>
      <c r="N32" s="444"/>
      <c r="O32" s="444"/>
      <c r="P32" s="441">
        <f t="shared" si="5"/>
        <v>0.1399750101615149</v>
      </c>
    </row>
    <row r="33" spans="2:16" ht="15.5">
      <c r="B33" s="505"/>
      <c r="C33" s="432" t="s">
        <v>236</v>
      </c>
      <c r="D33" s="444">
        <v>1.5652480623129864E-2</v>
      </c>
      <c r="E33" s="444">
        <v>4.823868590510383E-3</v>
      </c>
      <c r="F33" s="444">
        <v>0</v>
      </c>
      <c r="G33" s="444"/>
      <c r="H33" s="444"/>
      <c r="I33" s="444"/>
      <c r="J33" s="444"/>
      <c r="K33" s="444"/>
      <c r="L33" s="444"/>
      <c r="M33" s="444"/>
      <c r="N33" s="444"/>
      <c r="O33" s="444"/>
      <c r="P33" s="441">
        <f t="shared" si="5"/>
        <v>1.0238174606820123E-2</v>
      </c>
    </row>
    <row r="34" spans="2:16" ht="15.5">
      <c r="B34" s="505"/>
      <c r="C34" s="432" t="s">
        <v>237</v>
      </c>
      <c r="D34" s="444">
        <v>2.2004734622699137E-2</v>
      </c>
      <c r="E34" s="444">
        <v>2.0902022232890293E-2</v>
      </c>
      <c r="F34" s="444">
        <v>6.7918504928798538E-4</v>
      </c>
      <c r="G34" s="444"/>
      <c r="H34" s="444"/>
      <c r="I34" s="444"/>
      <c r="J34" s="444"/>
      <c r="K34" s="444"/>
      <c r="L34" s="444"/>
      <c r="M34" s="444"/>
      <c r="N34" s="444"/>
      <c r="O34" s="444"/>
      <c r="P34" s="441">
        <f t="shared" si="5"/>
        <v>1.4528647301625805E-2</v>
      </c>
    </row>
    <row r="35" spans="2:16" ht="15.5">
      <c r="B35" s="506"/>
      <c r="C35" s="432" t="s">
        <v>232</v>
      </c>
      <c r="D35" s="444">
        <v>3.3080287482901531E-2</v>
      </c>
      <c r="E35" s="444">
        <v>3.5116432470856891E-2</v>
      </c>
      <c r="F35" s="444">
        <v>2.2227009526625659E-2</v>
      </c>
      <c r="G35" s="444"/>
      <c r="H35" s="444"/>
      <c r="I35" s="444"/>
      <c r="J35" s="444"/>
      <c r="K35" s="444"/>
      <c r="L35" s="444"/>
      <c r="M35" s="444"/>
      <c r="N35" s="444"/>
      <c r="O35" s="444"/>
      <c r="P35" s="441">
        <f t="shared" si="5"/>
        <v>3.0141243160128024E-2</v>
      </c>
    </row>
    <row r="36" spans="2:16" ht="15.5">
      <c r="B36" s="438"/>
      <c r="C36" s="432"/>
      <c r="D36" s="424"/>
      <c r="E36" s="424"/>
      <c r="F36" s="424"/>
      <c r="G36" s="424"/>
      <c r="H36" s="424"/>
      <c r="I36" s="424"/>
      <c r="J36" s="424"/>
      <c r="K36" s="424"/>
      <c r="L36" s="424"/>
      <c r="M36" s="424"/>
      <c r="N36" s="424"/>
      <c r="O36" s="424"/>
      <c r="P36" s="441"/>
    </row>
    <row r="37" spans="2:16" ht="15.5">
      <c r="B37" s="500" t="s">
        <v>567</v>
      </c>
      <c r="C37" s="432" t="s">
        <v>565</v>
      </c>
      <c r="D37" s="425">
        <v>768.96508698264131</v>
      </c>
      <c r="E37" s="425">
        <v>774.12086448722914</v>
      </c>
      <c r="F37" s="425">
        <v>757.5904244152307</v>
      </c>
      <c r="G37" s="425"/>
      <c r="H37" s="425"/>
      <c r="I37" s="425"/>
      <c r="J37" s="425"/>
      <c r="K37" s="425"/>
      <c r="L37" s="425"/>
      <c r="M37" s="425"/>
      <c r="N37" s="425"/>
      <c r="O37" s="425"/>
      <c r="P37" s="445">
        <f>AVERAGEIF(D37:O37, "&gt;0")</f>
        <v>766.89212529503368</v>
      </c>
    </row>
    <row r="38" spans="2:16" ht="15.5">
      <c r="B38" s="501"/>
      <c r="C38" s="446" t="s">
        <v>222</v>
      </c>
      <c r="D38" s="447">
        <v>280.52357557404559</v>
      </c>
      <c r="E38" s="447">
        <v>304.46478382945497</v>
      </c>
      <c r="F38" s="447">
        <v>311.70581961708376</v>
      </c>
      <c r="G38" s="447"/>
      <c r="H38" s="447"/>
      <c r="I38" s="447"/>
      <c r="J38" s="447"/>
      <c r="K38" s="447"/>
      <c r="L38" s="447"/>
      <c r="M38" s="447"/>
      <c r="N38" s="447"/>
      <c r="O38" s="447"/>
      <c r="P38" s="445">
        <f t="shared" si="5"/>
        <v>298.89805967352811</v>
      </c>
    </row>
    <row r="39" spans="2:16" ht="15.5">
      <c r="B39" s="501"/>
      <c r="C39" s="446" t="s">
        <v>235</v>
      </c>
      <c r="D39" s="447">
        <v>258.56166578115295</v>
      </c>
      <c r="E39" s="447">
        <v>203.2437413385673</v>
      </c>
      <c r="F39" s="447">
        <v>331.13667122055222</v>
      </c>
      <c r="G39" s="447"/>
      <c r="H39" s="447"/>
      <c r="I39" s="447"/>
      <c r="J39" s="447"/>
      <c r="K39" s="447"/>
      <c r="L39" s="447"/>
      <c r="M39" s="447"/>
      <c r="N39" s="447"/>
      <c r="O39" s="447"/>
      <c r="P39" s="445">
        <f t="shared" si="5"/>
        <v>264.31402611342418</v>
      </c>
    </row>
    <row r="40" spans="2:16" ht="15.5">
      <c r="B40" s="501"/>
      <c r="C40" s="446" t="s">
        <v>220</v>
      </c>
      <c r="D40" s="447">
        <v>486.07170829520021</v>
      </c>
      <c r="E40" s="447">
        <v>490.19814173593841</v>
      </c>
      <c r="F40" s="447">
        <v>493.97618103140815</v>
      </c>
      <c r="G40" s="447"/>
      <c r="H40" s="447"/>
      <c r="I40" s="447"/>
      <c r="J40" s="447"/>
      <c r="K40" s="447"/>
      <c r="L40" s="447"/>
      <c r="M40" s="447"/>
      <c r="N40" s="447"/>
      <c r="O40" s="447"/>
      <c r="P40" s="445">
        <f t="shared" si="5"/>
        <v>490.08201035418227</v>
      </c>
    </row>
    <row r="41" spans="2:16" ht="15.5">
      <c r="B41" s="501"/>
      <c r="C41" s="446" t="s">
        <v>224</v>
      </c>
      <c r="D41" s="447">
        <v>82.669482447974161</v>
      </c>
      <c r="E41" s="447">
        <v>81.452411562244222</v>
      </c>
      <c r="F41" s="447">
        <v>79.94999927589204</v>
      </c>
      <c r="G41" s="447"/>
      <c r="H41" s="447"/>
      <c r="I41" s="447"/>
      <c r="J41" s="447"/>
      <c r="K41" s="447"/>
      <c r="L41" s="447"/>
      <c r="M41" s="447"/>
      <c r="N41" s="447"/>
      <c r="O41" s="447"/>
      <c r="P41" s="445">
        <f t="shared" si="5"/>
        <v>81.357297762036808</v>
      </c>
    </row>
    <row r="42" spans="2:16" ht="15.5">
      <c r="B42" s="501"/>
      <c r="C42" s="446" t="s">
        <v>226</v>
      </c>
      <c r="D42" s="447">
        <v>78.306366965294018</v>
      </c>
      <c r="E42" s="447">
        <v>77.971322564328403</v>
      </c>
      <c r="F42" s="447">
        <v>77.906796798443906</v>
      </c>
      <c r="G42" s="447"/>
      <c r="H42" s="447"/>
      <c r="I42" s="447"/>
      <c r="J42" s="447"/>
      <c r="K42" s="447"/>
      <c r="L42" s="447"/>
      <c r="M42" s="447"/>
      <c r="N42" s="447"/>
      <c r="O42" s="447"/>
      <c r="P42" s="445">
        <f t="shared" si="5"/>
        <v>78.061495442688781</v>
      </c>
    </row>
    <row r="43" spans="2:16" ht="15.5">
      <c r="B43" s="501"/>
      <c r="C43" s="446" t="s">
        <v>236</v>
      </c>
      <c r="D43" s="447">
        <v>76.250132772766719</v>
      </c>
      <c r="E43" s="447">
        <v>72.949975663847383</v>
      </c>
      <c r="F43" s="447">
        <v>0</v>
      </c>
      <c r="G43" s="447"/>
      <c r="H43" s="447"/>
      <c r="I43" s="447"/>
      <c r="J43" s="447"/>
      <c r="K43" s="447"/>
      <c r="L43" s="447"/>
      <c r="M43" s="447"/>
      <c r="N43" s="447"/>
      <c r="O43" s="447"/>
      <c r="P43" s="445">
        <f t="shared" si="5"/>
        <v>74.600054218307051</v>
      </c>
    </row>
    <row r="44" spans="2:16" ht="15.5">
      <c r="B44" s="501"/>
      <c r="C44" s="446" t="s">
        <v>237</v>
      </c>
      <c r="D44" s="447">
        <v>110.80830487807768</v>
      </c>
      <c r="E44" s="447">
        <v>97.15750138812345</v>
      </c>
      <c r="F44" s="447">
        <v>84.60142398436416</v>
      </c>
      <c r="G44" s="447"/>
      <c r="H44" s="447"/>
      <c r="I44" s="447"/>
      <c r="J44" s="447"/>
      <c r="K44" s="447"/>
      <c r="L44" s="447"/>
      <c r="M44" s="447"/>
      <c r="N44" s="447"/>
      <c r="O44" s="447"/>
      <c r="P44" s="445">
        <f t="shared" si="5"/>
        <v>97.522410083521763</v>
      </c>
    </row>
    <row r="45" spans="2:16" ht="16" thickBot="1">
      <c r="B45" s="502"/>
      <c r="C45" s="448" t="s">
        <v>232</v>
      </c>
      <c r="D45" s="426">
        <v>76.123665150077642</v>
      </c>
      <c r="E45" s="426">
        <v>77.592138128204311</v>
      </c>
      <c r="F45" s="426">
        <v>83.044478559400275</v>
      </c>
      <c r="G45" s="426"/>
      <c r="H45" s="426"/>
      <c r="I45" s="426"/>
      <c r="J45" s="426"/>
      <c r="K45" s="426"/>
      <c r="L45" s="426"/>
      <c r="M45" s="426"/>
      <c r="N45" s="426"/>
      <c r="O45" s="426"/>
      <c r="P45" s="449">
        <f t="shared" si="5"/>
        <v>78.920093945894067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FF0000"/>
    <outlinePr summaryBelow="0" summaryRight="0"/>
  </sheetPr>
  <dimension ref="A1:P37"/>
  <sheetViews>
    <sheetView view="pageBreakPreview" topLeftCell="A4" zoomScale="115" zoomScaleNormal="100" zoomScaleSheetLayoutView="115" workbookViewId="0">
      <selection activeCell="F6" sqref="F6"/>
    </sheetView>
  </sheetViews>
  <sheetFormatPr defaultColWidth="12.54296875" defaultRowHeight="15.75" customHeight="1"/>
  <cols>
    <col min="1" max="1" width="27.453125" style="99" bestFit="1" customWidth="1"/>
    <col min="2" max="2" width="12.54296875" style="99" customWidth="1"/>
    <col min="3" max="4" width="12.54296875" style="99"/>
    <col min="5" max="5" width="16.453125" style="99" customWidth="1"/>
    <col min="6" max="6" width="2.453125" style="99" customWidth="1"/>
    <col min="7" max="7" width="24.81640625" style="99" bestFit="1" customWidth="1"/>
    <col min="8" max="10" width="12.54296875" style="99"/>
    <col min="11" max="11" width="16.453125" style="99" customWidth="1"/>
    <col min="12" max="12" width="12.54296875" style="100"/>
    <col min="13" max="16384" width="12.54296875" style="99"/>
  </cols>
  <sheetData>
    <row r="1" spans="1:12" ht="15.75" customHeight="1">
      <c r="A1" s="507" t="s">
        <v>334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99"/>
    </row>
    <row r="2" spans="1:12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</row>
    <row r="3" spans="1:12" ht="21.65" customHeight="1">
      <c r="A3" s="114" t="s">
        <v>73</v>
      </c>
      <c r="B3" s="115">
        <v>4</v>
      </c>
      <c r="C3" s="114" t="s">
        <v>20</v>
      </c>
      <c r="D3" s="509" t="s">
        <v>365</v>
      </c>
      <c r="E3" s="509"/>
      <c r="F3" s="100"/>
      <c r="G3" s="109"/>
      <c r="H3" s="100"/>
      <c r="I3" s="100"/>
      <c r="J3" s="100"/>
      <c r="K3" s="100"/>
    </row>
    <row r="4" spans="1:12" ht="15.75" customHeight="1">
      <c r="A4" s="110" t="s">
        <v>531</v>
      </c>
      <c r="E4" s="102" t="s">
        <v>23</v>
      </c>
      <c r="G4" s="111" t="s">
        <v>71</v>
      </c>
      <c r="L4" s="99"/>
    </row>
    <row r="5" spans="1:12" s="104" customFormat="1" ht="15.75" customHeight="1">
      <c r="A5" s="121" t="s">
        <v>197</v>
      </c>
      <c r="B5" s="116" t="s">
        <v>22</v>
      </c>
      <c r="C5" s="116" t="s">
        <v>1</v>
      </c>
      <c r="D5" s="116" t="s">
        <v>2</v>
      </c>
      <c r="E5" s="116" t="s">
        <v>3</v>
      </c>
      <c r="G5" s="121" t="s">
        <v>197</v>
      </c>
      <c r="H5" s="116" t="s">
        <v>69</v>
      </c>
      <c r="I5" s="116" t="s">
        <v>22</v>
      </c>
      <c r="J5" s="116" t="s">
        <v>67</v>
      </c>
      <c r="K5" s="116" t="s">
        <v>3</v>
      </c>
      <c r="L5" s="105" t="s">
        <v>60</v>
      </c>
    </row>
    <row r="6" spans="1:12" ht="18" customHeight="1">
      <c r="A6" s="107" t="s">
        <v>24</v>
      </c>
      <c r="B6" s="450" t="e">
        <f>'（１）收支狀況'!#REF!/1000</f>
        <v>#REF!</v>
      </c>
      <c r="C6" s="418">
        <f>'數值累積總表(月)'!F2</f>
        <v>148837.99842999995</v>
      </c>
      <c r="D6" s="117" t="e">
        <f t="shared" ref="D6:D11" si="0">B6-C6</f>
        <v>#REF!</v>
      </c>
      <c r="E6" s="418">
        <f>'數值累積總表(月)'!P2</f>
        <v>411707.36404999997</v>
      </c>
      <c r="G6" s="107" t="s">
        <v>198</v>
      </c>
      <c r="H6" s="119">
        <v>497.6</v>
      </c>
      <c r="I6" s="451" t="e">
        <f>'（２）ＫＰＩ達成進度'!#REF!</f>
        <v>#REF!</v>
      </c>
      <c r="J6" s="428">
        <f>'數值累積總表(月)'!F10</f>
        <v>409.81563372836604</v>
      </c>
      <c r="K6" s="428">
        <f>'數值累積總表(月)'!P10</f>
        <v>448.08049576570926</v>
      </c>
      <c r="L6" s="101" t="s">
        <v>195</v>
      </c>
    </row>
    <row r="7" spans="1:12" ht="18" customHeight="1">
      <c r="A7" s="107" t="s">
        <v>25</v>
      </c>
      <c r="B7" s="450" t="e">
        <f>'（１）收支狀況'!#REF!</f>
        <v>#REF!</v>
      </c>
      <c r="C7" s="418">
        <f>'數值累積總表(月)'!F3</f>
        <v>5045753</v>
      </c>
      <c r="D7" s="117" t="e">
        <f t="shared" si="0"/>
        <v>#REF!</v>
      </c>
      <c r="E7" s="418">
        <f>'數值累積總表(月)'!P3</f>
        <v>13601456</v>
      </c>
      <c r="G7" s="107" t="s">
        <v>199</v>
      </c>
      <c r="H7" s="118">
        <v>0.8</v>
      </c>
      <c r="I7" s="427">
        <f>'[1]（２）ＫＰＩ達成進度'!K10</f>
        <v>0.82360963344933713</v>
      </c>
      <c r="J7" s="430">
        <f>'數值累積總表(月)'!F11</f>
        <v>0.82358447292678061</v>
      </c>
      <c r="K7" s="430">
        <f>'數值累積總表(月)'!P11</f>
        <v>0.90048331142626459</v>
      </c>
      <c r="L7" s="101" t="s">
        <v>4</v>
      </c>
    </row>
    <row r="8" spans="1:12" ht="18" customHeight="1">
      <c r="A8" s="107" t="s">
        <v>5</v>
      </c>
      <c r="B8" s="450">
        <v>93614</v>
      </c>
      <c r="C8" s="418">
        <f>'數值累積總表(月)'!F4</f>
        <v>93614</v>
      </c>
      <c r="D8" s="117">
        <f>B8-C8</f>
        <v>0</v>
      </c>
      <c r="E8" s="418">
        <f>'數值累積總表(月)'!P4</f>
        <v>261644</v>
      </c>
      <c r="G8" s="107" t="s">
        <v>200</v>
      </c>
      <c r="H8" s="118">
        <v>2.5000000000000001E-3</v>
      </c>
      <c r="I8" s="452" t="e">
        <f>'（２）ＫＰＩ達成進度'!#REF!</f>
        <v>#REF!</v>
      </c>
      <c r="J8" s="429">
        <f>'數值累積總表(月)'!F12</f>
        <v>2.0222247634522129E-3</v>
      </c>
      <c r="K8" s="429">
        <f>'數值累積總表(月)'!P12</f>
        <v>2.267177204798534E-3</v>
      </c>
      <c r="L8" s="101" t="s">
        <v>55</v>
      </c>
    </row>
    <row r="9" spans="1:12" ht="18" customHeight="1">
      <c r="A9" s="107" t="s">
        <v>6</v>
      </c>
      <c r="B9" s="427">
        <v>0.64800000000000002</v>
      </c>
      <c r="C9" s="453">
        <f>'數值累積總表(月)'!F5</f>
        <v>0.64800000000000002</v>
      </c>
      <c r="D9" s="118">
        <f t="shared" si="0"/>
        <v>0</v>
      </c>
      <c r="E9" s="453">
        <f>'數值累積總表(月)'!P5</f>
        <v>0.65200000000000002</v>
      </c>
      <c r="G9" s="107" t="s">
        <v>201</v>
      </c>
      <c r="H9" s="118">
        <v>4.0000000000000001E-3</v>
      </c>
      <c r="I9" s="427" t="e">
        <f>'（２）ＫＰＩ達成進度'!#REF!</f>
        <v>#REF!</v>
      </c>
      <c r="J9" s="430">
        <f>'數值累積總表(月)'!F13</f>
        <v>4.8799137535570384E-3</v>
      </c>
      <c r="K9" s="430">
        <f>'數值累積總表(月)'!P13</f>
        <v>5.2395523808081044E-3</v>
      </c>
      <c r="L9" s="101" t="s">
        <v>98</v>
      </c>
    </row>
    <row r="10" spans="1:12" ht="18" customHeight="1">
      <c r="A10" s="107" t="s">
        <v>64</v>
      </c>
      <c r="B10" s="450">
        <v>22710</v>
      </c>
      <c r="C10" s="418">
        <f>'數值累積總表(月)'!F6</f>
        <v>22710</v>
      </c>
      <c r="D10" s="117">
        <f>B10-C10</f>
        <v>0</v>
      </c>
      <c r="E10" s="418">
        <f>'[1]數值累積總表(月)'!P6</f>
        <v>67948</v>
      </c>
      <c r="G10" s="107" t="s">
        <v>202</v>
      </c>
      <c r="H10" s="118">
        <v>0.8</v>
      </c>
      <c r="I10" s="427" t="e">
        <f>'（２）ＫＰＩ達成進度'!#REF!</f>
        <v>#REF!</v>
      </c>
      <c r="J10" s="430">
        <f>'數值累積總表(月)'!F14</f>
        <v>0.89999999999999947</v>
      </c>
      <c r="K10" s="430">
        <f>'數值累積總表(月)'!P14</f>
        <v>0.89999999999999947</v>
      </c>
      <c r="L10" s="101" t="s">
        <v>7</v>
      </c>
    </row>
    <row r="11" spans="1:12" ht="18" customHeight="1">
      <c r="A11" s="107" t="s">
        <v>65</v>
      </c>
      <c r="B11" s="427">
        <v>0.157</v>
      </c>
      <c r="C11" s="453">
        <f>'數值累積總表(月)'!F7</f>
        <v>0.157</v>
      </c>
      <c r="D11" s="118">
        <f t="shared" si="0"/>
        <v>0</v>
      </c>
      <c r="E11" s="453">
        <f>'數值累積總表(月)'!P7</f>
        <v>0.17133333333333334</v>
      </c>
      <c r="G11" s="107" t="s">
        <v>203</v>
      </c>
      <c r="H11" s="118">
        <v>1</v>
      </c>
      <c r="I11" s="427" t="e">
        <f>'（２）ＫＰＩ達成進度'!#REF!</f>
        <v>#REF!</v>
      </c>
      <c r="J11" s="430">
        <f>'數值累積總表(月)'!F15</f>
        <v>0.21960297766749381</v>
      </c>
      <c r="K11" s="430">
        <f>'數值累積總表(月)'!P15</f>
        <v>0.21959999999999999</v>
      </c>
      <c r="L11" s="101" t="s">
        <v>62</v>
      </c>
    </row>
    <row r="12" spans="1:12" ht="9.65" customHeight="1">
      <c r="L12" s="99"/>
    </row>
    <row r="13" spans="1:12" ht="15.75" customHeight="1">
      <c r="A13" s="110" t="s">
        <v>32</v>
      </c>
      <c r="E13" s="311" t="s">
        <v>23</v>
      </c>
      <c r="G13" s="110" t="s">
        <v>33</v>
      </c>
      <c r="K13" s="311" t="s">
        <v>430</v>
      </c>
      <c r="L13" s="99"/>
    </row>
    <row r="14" spans="1:12" s="106" customFormat="1" ht="13.5">
      <c r="A14" s="120"/>
      <c r="B14" s="120" t="s">
        <v>22</v>
      </c>
      <c r="C14" s="120" t="s">
        <v>41</v>
      </c>
      <c r="D14" s="120" t="s">
        <v>67</v>
      </c>
      <c r="E14" s="120" t="s">
        <v>68</v>
      </c>
      <c r="G14" s="120"/>
      <c r="H14" s="120" t="s">
        <v>22</v>
      </c>
      <c r="I14" s="120" t="s">
        <v>41</v>
      </c>
      <c r="J14" s="120" t="s">
        <v>67</v>
      </c>
      <c r="K14" s="120" t="s">
        <v>68</v>
      </c>
    </row>
    <row r="15" spans="1:12" ht="18" customHeight="1">
      <c r="A15" s="107" t="s">
        <v>386</v>
      </c>
      <c r="B15" s="450">
        <f>SUM('（３）業績構成比'!M7:M9)/1000</f>
        <v>6378.1459000000004</v>
      </c>
      <c r="C15" s="118" t="str">
        <f>IFERROR(B15/$B$6,"")</f>
        <v/>
      </c>
      <c r="D15" s="454">
        <f>'數值累積總表(月)'!F17</f>
        <v>0.36414345188530645</v>
      </c>
      <c r="E15" s="118" t="str">
        <f>IFERROR(C15-D15,"")</f>
        <v/>
      </c>
      <c r="G15" s="107" t="s">
        <v>387</v>
      </c>
      <c r="H15" s="450">
        <f>SUM('（４）訂單數量構成比'!M7:M9)</f>
        <v>321465</v>
      </c>
      <c r="I15" s="118" t="str">
        <f t="shared" ref="I15:I23" si="1">IFERROR(H15/$B$7,"")</f>
        <v/>
      </c>
      <c r="J15" s="454">
        <f>'數值累積總表(月)'!F27</f>
        <v>0.57640851623137324</v>
      </c>
      <c r="K15" s="118" t="str">
        <f>IFERROR(I15-J15,"")</f>
        <v/>
      </c>
      <c r="L15" s="99"/>
    </row>
    <row r="16" spans="1:12" ht="18" customHeight="1">
      <c r="A16" s="107" t="s">
        <v>223</v>
      </c>
      <c r="B16" s="450">
        <f>SUM('（３）業績構成比'!S7:S9)/1000</f>
        <v>761.65179000000001</v>
      </c>
      <c r="C16" s="118" t="str">
        <f t="shared" ref="C16:C23" si="2">IFERROR(B16/$B$6,"")</f>
        <v/>
      </c>
      <c r="D16" s="454">
        <f>'數值累積總表(月)'!F18</f>
        <v>8.4480826486750038E-2</v>
      </c>
      <c r="E16" s="118" t="str">
        <f t="shared" ref="E16:E23" si="3">IFERROR(C16-D16,"")</f>
        <v/>
      </c>
      <c r="G16" s="107" t="s">
        <v>223</v>
      </c>
      <c r="H16" s="450">
        <f>SUM('（４）訂單數量構成比'!S7:S9)</f>
        <v>28968</v>
      </c>
      <c r="I16" s="118" t="str">
        <f t="shared" si="1"/>
        <v/>
      </c>
      <c r="J16" s="454">
        <f>'數值累積總表(月)'!F28</f>
        <v>0.10179987010858439</v>
      </c>
      <c r="K16" s="118" t="str">
        <f t="shared" ref="K16:K23" si="4">IFERROR(I16-J16,"")</f>
        <v/>
      </c>
      <c r="L16" s="99"/>
    </row>
    <row r="17" spans="1:16" ht="18" customHeight="1">
      <c r="A17" s="107" t="s">
        <v>219</v>
      </c>
      <c r="B17" s="450">
        <f>SUM('（３）業績構成比'!U7:U9)/1000</f>
        <v>287.38825000000003</v>
      </c>
      <c r="C17" s="118" t="str">
        <f t="shared" si="2"/>
        <v/>
      </c>
      <c r="D17" s="454">
        <f>'數值累積總表(月)'!F19</f>
        <v>2.4365160296787799E-2</v>
      </c>
      <c r="E17" s="118" t="str">
        <f t="shared" si="3"/>
        <v/>
      </c>
      <c r="G17" s="107" t="s">
        <v>235</v>
      </c>
      <c r="H17" s="450">
        <f>SUM('（４）訂單數量構成比'!U7:U9)</f>
        <v>10265</v>
      </c>
      <c r="I17" s="118" t="str">
        <f t="shared" si="1"/>
        <v/>
      </c>
      <c r="J17" s="454">
        <f>'數值累積總表(月)'!F29</f>
        <v>2.6809080825002728E-2</v>
      </c>
      <c r="K17" s="118" t="str">
        <f t="shared" si="4"/>
        <v/>
      </c>
      <c r="L17" s="99"/>
    </row>
    <row r="18" spans="1:16" ht="18" customHeight="1">
      <c r="A18" s="107" t="s">
        <v>221</v>
      </c>
      <c r="B18" s="450">
        <f>SUM('（３）業績構成比'!W7:W9)/1000</f>
        <v>372.33153000000004</v>
      </c>
      <c r="C18" s="118" t="str">
        <f t="shared" si="2"/>
        <v/>
      </c>
      <c r="D18" s="454">
        <f>'數值累積總表(月)'!F20</f>
        <v>1.4684918119400437E-2</v>
      </c>
      <c r="E18" s="118" t="str">
        <f t="shared" si="3"/>
        <v/>
      </c>
      <c r="G18" s="107" t="s">
        <v>220</v>
      </c>
      <c r="H18" s="450">
        <f>SUM('（４）訂單數量構成比'!W7:W9)</f>
        <v>14490</v>
      </c>
      <c r="I18" s="118" t="str">
        <f t="shared" si="1"/>
        <v/>
      </c>
      <c r="J18" s="454">
        <f>'數值累積總表(月)'!F30</f>
        <v>1.640151628508173E-2</v>
      </c>
      <c r="K18" s="118" t="str">
        <f t="shared" si="4"/>
        <v/>
      </c>
      <c r="L18" s="99"/>
    </row>
    <row r="19" spans="1:16" ht="18" customHeight="1">
      <c r="A19" s="107" t="s">
        <v>225</v>
      </c>
      <c r="B19" s="450">
        <f>SUM('（３）業績構成比'!AC7:AC9)/1000</f>
        <v>2169.0538900000001</v>
      </c>
      <c r="C19" s="118" t="str">
        <f t="shared" si="2"/>
        <v/>
      </c>
      <c r="D19" s="454">
        <f>'數值累積總表(月)'!F21</f>
        <v>0.20289323995580696</v>
      </c>
      <c r="E19" s="118" t="str">
        <f t="shared" si="3"/>
        <v/>
      </c>
      <c r="G19" s="107" t="s">
        <v>224</v>
      </c>
      <c r="H19" s="450">
        <f>SUM('（４）訂單數量構成比'!AC7:AC9)</f>
        <v>43187</v>
      </c>
      <c r="I19" s="118" t="str">
        <f t="shared" si="1"/>
        <v/>
      </c>
      <c r="J19" s="454">
        <f>'數值累積總表(月)'!F31</f>
        <v>0.11343936177613133</v>
      </c>
      <c r="K19" s="118" t="str">
        <f t="shared" si="4"/>
        <v/>
      </c>
      <c r="L19" s="99"/>
    </row>
    <row r="20" spans="1:16" ht="18" customHeight="1">
      <c r="A20" s="107" t="s">
        <v>227</v>
      </c>
      <c r="B20" s="450">
        <f>SUM('（３）業績構成比'!AE7:AE9)/1000</f>
        <v>4154.9153999999999</v>
      </c>
      <c r="C20" s="118" t="str">
        <f t="shared" si="2"/>
        <v/>
      </c>
      <c r="D20" s="454">
        <f>'數值累積總表(月)'!F22</f>
        <v>0.29293399487971084</v>
      </c>
      <c r="E20" s="118" t="str">
        <f t="shared" si="3"/>
        <v/>
      </c>
      <c r="G20" s="107" t="s">
        <v>226</v>
      </c>
      <c r="H20" s="450">
        <f>SUM('（４）訂單數量構成比'!AE7:AE9)</f>
        <v>66980</v>
      </c>
      <c r="I20" s="118" t="str">
        <f t="shared" si="1"/>
        <v/>
      </c>
      <c r="J20" s="454">
        <f>'數值累積總表(月)'!F32</f>
        <v>0.14223546019791297</v>
      </c>
      <c r="K20" s="118" t="str">
        <f t="shared" si="4"/>
        <v/>
      </c>
      <c r="L20" s="99"/>
    </row>
    <row r="21" spans="1:16" ht="18" customHeight="1">
      <c r="A21" s="107" t="s">
        <v>230</v>
      </c>
      <c r="B21" s="450">
        <f>SUM('（３）業績構成比'!AG7:AG9)/1000</f>
        <v>0</v>
      </c>
      <c r="C21" s="118" t="str">
        <f t="shared" si="2"/>
        <v/>
      </c>
      <c r="D21" s="454">
        <f>'數值累積總表(月)'!F23</f>
        <v>0</v>
      </c>
      <c r="E21" s="118" t="str">
        <f t="shared" si="3"/>
        <v/>
      </c>
      <c r="G21" s="107" t="s">
        <v>236</v>
      </c>
      <c r="H21" s="450">
        <f>SUM('（４）訂單數量構成比'!AG7:AG9)</f>
        <v>0</v>
      </c>
      <c r="I21" s="118" t="str">
        <f t="shared" si="1"/>
        <v/>
      </c>
      <c r="J21" s="454">
        <f>'數值累積總表(月)'!F33</f>
        <v>0</v>
      </c>
      <c r="K21" s="118" t="str">
        <f t="shared" si="4"/>
        <v/>
      </c>
      <c r="L21" s="99"/>
    </row>
    <row r="22" spans="1:16" ht="18" customHeight="1">
      <c r="A22" s="107" t="s">
        <v>231</v>
      </c>
      <c r="B22" s="450">
        <f>SUM('（３）業績構成比'!AI7:AI9)/1000</f>
        <v>2140.6655499999997</v>
      </c>
      <c r="C22" s="118" t="str">
        <f t="shared" si="2"/>
        <v/>
      </c>
      <c r="D22" s="454">
        <f>'數值累積總表(月)'!F24</f>
        <v>1.6541184549440737E-3</v>
      </c>
      <c r="E22" s="118" t="str">
        <f t="shared" si="3"/>
        <v/>
      </c>
      <c r="G22" s="107" t="s">
        <v>237</v>
      </c>
      <c r="H22" s="450">
        <f>SUM('（４）訂單數量構成比'!AI7:AI9)</f>
        <v>59298</v>
      </c>
      <c r="I22" s="118" t="str">
        <f t="shared" si="1"/>
        <v/>
      </c>
      <c r="J22" s="454">
        <f>'數值累積總表(月)'!F34</f>
        <v>6.7918504928798538E-4</v>
      </c>
      <c r="K22" s="118" t="str">
        <f t="shared" si="4"/>
        <v/>
      </c>
      <c r="L22" s="99"/>
    </row>
    <row r="23" spans="1:16" ht="18" customHeight="1">
      <c r="A23" s="107" t="s">
        <v>233</v>
      </c>
      <c r="B23" s="450">
        <f>SUM('（３）業績構成比'!AK7:AK9)/1000</f>
        <v>204.13139999999996</v>
      </c>
      <c r="C23" s="118" t="str">
        <f t="shared" si="2"/>
        <v/>
      </c>
      <c r="D23" s="454">
        <f>'數值累積總表(月)'!F25</f>
        <v>1.4844289921293864E-2</v>
      </c>
      <c r="E23" s="118" t="str">
        <f t="shared" si="3"/>
        <v/>
      </c>
      <c r="G23" s="107" t="s">
        <v>232</v>
      </c>
      <c r="H23" s="450">
        <f>SUM('（４）訂單數量構成比'!AK7:AK9)</f>
        <v>10362</v>
      </c>
      <c r="I23" s="118" t="str">
        <f t="shared" si="1"/>
        <v/>
      </c>
      <c r="J23" s="454">
        <f>'數值累積總表(月)'!F35</f>
        <v>2.2227009526625659E-2</v>
      </c>
      <c r="K23" s="118" t="str">
        <f t="shared" si="4"/>
        <v/>
      </c>
      <c r="L23" s="99"/>
    </row>
    <row r="24" spans="1:16" ht="15.75" customHeight="1">
      <c r="C24" s="112">
        <f>SUM(C15:C23)</f>
        <v>0</v>
      </c>
      <c r="D24" s="112">
        <f t="shared" ref="D24" si="5">SUM(D15:D23)</f>
        <v>1.0000000000000004</v>
      </c>
      <c r="I24" s="112">
        <f t="shared" ref="I24:J24" si="6">SUM(I15:I23)</f>
        <v>0</v>
      </c>
      <c r="J24" s="112">
        <f t="shared" si="6"/>
        <v>1</v>
      </c>
      <c r="L24" s="99"/>
    </row>
    <row r="25" spans="1:16" ht="9.65" customHeight="1">
      <c r="A25" s="113"/>
      <c r="L25" s="99"/>
    </row>
    <row r="26" spans="1:16" ht="15.75" customHeight="1">
      <c r="A26" s="110" t="s">
        <v>196</v>
      </c>
      <c r="L26" s="99"/>
    </row>
    <row r="27" spans="1:16" ht="15.75" customHeight="1">
      <c r="A27" s="107" t="s">
        <v>188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6" ht="18" customHeight="1">
      <c r="A28" s="107" t="s">
        <v>234</v>
      </c>
      <c r="B28" s="455">
        <f>'（５-1）品群別人時生產性(18℃-飯糰)'!C1</f>
        <v>754.59166044781273</v>
      </c>
      <c r="C28" s="456">
        <f>'數值累積總表(月)'!F37</f>
        <v>757.5904244152307</v>
      </c>
      <c r="D28" s="222">
        <f t="shared" ref="D28:D36" si="7">B28-C28</f>
        <v>-2.9987639674179718</v>
      </c>
      <c r="E28" s="431">
        <f>'數值累積總表(月)'!P37</f>
        <v>766.89212529503368</v>
      </c>
      <c r="G28" s="122"/>
      <c r="H28" s="122"/>
      <c r="I28" s="122"/>
      <c r="J28" s="122"/>
      <c r="K28" s="122"/>
      <c r="L28" s="122"/>
      <c r="M28" s="122"/>
      <c r="N28" s="122"/>
      <c r="O28" s="123"/>
      <c r="P28" s="123"/>
    </row>
    <row r="29" spans="1:16" ht="18" customHeight="1">
      <c r="A29" s="107" t="s">
        <v>222</v>
      </c>
      <c r="B29" s="455">
        <f>'（５-2）品群別人時生產性(18℃-壽司手卷)'!C1</f>
        <v>323.81926610497885</v>
      </c>
      <c r="C29" s="456">
        <f>'數值累積總表(月)'!F38</f>
        <v>311.70581961708376</v>
      </c>
      <c r="D29" s="222">
        <f t="shared" si="7"/>
        <v>12.113446487895089</v>
      </c>
      <c r="E29" s="431">
        <f>'數值累積總表(月)'!P38</f>
        <v>298.89805967352811</v>
      </c>
      <c r="G29" s="124"/>
      <c r="H29" s="124"/>
      <c r="I29" s="125"/>
      <c r="J29" s="1"/>
      <c r="K29" s="126"/>
      <c r="L29" s="67"/>
      <c r="M29" s="67"/>
      <c r="N29" s="67"/>
      <c r="O29" s="67"/>
      <c r="P29" s="67"/>
    </row>
    <row r="30" spans="1:16" ht="18" customHeight="1">
      <c r="A30" s="107" t="s">
        <v>235</v>
      </c>
      <c r="B30" s="455">
        <f>'（５-3）品群別人時生產性(4℃-飯糰)'!C1</f>
        <v>346.03759444892415</v>
      </c>
      <c r="C30" s="456">
        <f>'數值累積總表(月)'!F39</f>
        <v>331.13667122055222</v>
      </c>
      <c r="D30" s="222">
        <f t="shared" si="7"/>
        <v>14.900923228371937</v>
      </c>
      <c r="E30" s="431">
        <f>'數值累積總表(月)'!P39</f>
        <v>264.31402611342418</v>
      </c>
      <c r="L30" s="99"/>
    </row>
    <row r="31" spans="1:16" ht="18" customHeight="1">
      <c r="A31" s="107" t="s">
        <v>220</v>
      </c>
      <c r="B31" s="455">
        <f>'（５-4）品群別人時生產性(4℃-壽司手卷)'!C1</f>
        <v>353.15447554032437</v>
      </c>
      <c r="C31" s="456">
        <f>'數值累積總表(月)'!F40</f>
        <v>493.97618103140815</v>
      </c>
      <c r="D31" s="222">
        <f t="shared" si="7"/>
        <v>-140.82170549108378</v>
      </c>
      <c r="E31" s="431">
        <f>'數值累積總表(月)'!P40</f>
        <v>490.08201035418227</v>
      </c>
      <c r="L31" s="99"/>
    </row>
    <row r="32" spans="1:16" ht="18" customHeight="1">
      <c r="A32" s="107" t="s">
        <v>224</v>
      </c>
      <c r="B32" s="455">
        <f>'（５-5）品群別人時生產性(微波主食) '!C1</f>
        <v>85.277751468978749</v>
      </c>
      <c r="C32" s="456">
        <f>'數值累積總表(月)'!F41</f>
        <v>79.94999927589204</v>
      </c>
      <c r="D32" s="222">
        <f t="shared" si="7"/>
        <v>5.3277521930867096</v>
      </c>
      <c r="E32" s="431">
        <f>'數值累積總表(月)'!P41</f>
        <v>81.357297762036808</v>
      </c>
      <c r="L32" s="99"/>
    </row>
    <row r="33" spans="1:12" ht="18" customHeight="1">
      <c r="A33" s="107" t="s">
        <v>226</v>
      </c>
      <c r="B33" s="455">
        <f>'（５-6）品群別人時生產性(便當)'!C1</f>
        <v>78.576001609187784</v>
      </c>
      <c r="C33" s="456">
        <f>'數值累積總表(月)'!F42</f>
        <v>77.906796798443906</v>
      </c>
      <c r="D33" s="222">
        <f t="shared" si="7"/>
        <v>0.66920481074387794</v>
      </c>
      <c r="E33" s="431">
        <f>'數值累積總表(月)'!P42</f>
        <v>78.061495442688781</v>
      </c>
      <c r="L33" s="99"/>
    </row>
    <row r="34" spans="1:12" ht="18" customHeight="1">
      <c r="A34" s="107" t="s">
        <v>236</v>
      </c>
      <c r="B34" s="455">
        <f>'（５-7）品群別人時生產性(熱食義麵) '!C1</f>
        <v>0</v>
      </c>
      <c r="C34" s="456">
        <f>'數值累積總表(月)'!F43</f>
        <v>0</v>
      </c>
      <c r="D34" s="222">
        <f t="shared" si="7"/>
        <v>0</v>
      </c>
      <c r="E34" s="431">
        <f>'數值累積總表(月)'!P43</f>
        <v>74.600054218307051</v>
      </c>
      <c r="L34" s="99"/>
    </row>
    <row r="35" spans="1:12" ht="18" customHeight="1">
      <c r="A35" s="107" t="s">
        <v>237</v>
      </c>
      <c r="B35" s="455">
        <f>'（５-8）品群別人時生產性(季節調理麵) '!C1</f>
        <v>163.41538100277251</v>
      </c>
      <c r="C35" s="456">
        <f>'數值累積總表(月)'!F44</f>
        <v>84.60142398436416</v>
      </c>
      <c r="D35" s="222">
        <f t="shared" si="7"/>
        <v>78.813957018408345</v>
      </c>
      <c r="E35" s="431">
        <f>'數值累積總表(月)'!P44</f>
        <v>97.522410083521763</v>
      </c>
      <c r="L35" s="99"/>
    </row>
    <row r="36" spans="1:12" ht="18" customHeight="1">
      <c r="A36" s="103" t="s">
        <v>232</v>
      </c>
      <c r="B36" s="455">
        <f>'（５-9）品群別人時生產性(微波小吃)'!C1</f>
        <v>83.085237287212749</v>
      </c>
      <c r="C36" s="456">
        <f>'數值累積總表(月)'!F45</f>
        <v>83.044478559400275</v>
      </c>
      <c r="D36" s="222">
        <f t="shared" si="7"/>
        <v>4.0758727812473694E-2</v>
      </c>
      <c r="E36" s="431">
        <f>'數值累積總表(月)'!P45</f>
        <v>78.920093945894067</v>
      </c>
      <c r="L36" s="99"/>
    </row>
    <row r="37" spans="1:12" ht="15.75" customHeight="1">
      <c r="L37" s="99"/>
    </row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92D050"/>
    <outlinePr summaryBelow="0" summaryRight="0"/>
  </sheetPr>
  <dimension ref="A1:Q38"/>
  <sheetViews>
    <sheetView tabSelected="1" view="pageBreakPreview" topLeftCell="A22" zoomScaleNormal="60" zoomScaleSheetLayoutView="100" workbookViewId="0">
      <selection activeCell="G30" sqref="G30"/>
    </sheetView>
  </sheetViews>
  <sheetFormatPr defaultColWidth="12.54296875" defaultRowHeight="15.75" customHeight="1"/>
  <cols>
    <col min="1" max="1" width="27.453125" style="99" bestFit="1" customWidth="1"/>
    <col min="2" max="2" width="12.54296875" style="99" customWidth="1"/>
    <col min="3" max="4" width="12.54296875" style="99"/>
    <col min="5" max="5" width="16.453125" style="99" customWidth="1"/>
    <col min="6" max="6" width="2.453125" style="99" customWidth="1"/>
    <col min="7" max="7" width="24.81640625" style="99" bestFit="1" customWidth="1"/>
    <col min="8" max="10" width="12.54296875" style="99"/>
    <col min="11" max="11" width="16.453125" style="99" customWidth="1"/>
    <col min="12" max="12" width="12.54296875" style="100"/>
    <col min="13" max="16384" width="12.54296875" style="99"/>
  </cols>
  <sheetData>
    <row r="1" spans="1:16" ht="15.75" customHeight="1">
      <c r="A1" s="507" t="s">
        <v>366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99"/>
    </row>
    <row r="2" spans="1:16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</row>
    <row r="3" spans="1:16" ht="21.65" customHeight="1">
      <c r="A3" s="114" t="s">
        <v>325</v>
      </c>
      <c r="B3" s="115">
        <v>5</v>
      </c>
      <c r="C3" s="157" t="s">
        <v>326</v>
      </c>
      <c r="D3" s="115" t="s">
        <v>690</v>
      </c>
      <c r="E3" s="114" t="s">
        <v>20</v>
      </c>
      <c r="F3" s="510" t="s">
        <v>365</v>
      </c>
      <c r="G3" s="511"/>
      <c r="H3" s="100"/>
      <c r="I3" s="109"/>
      <c r="J3" s="100"/>
      <c r="K3" s="100"/>
      <c r="M3" s="100"/>
      <c r="N3" s="100"/>
    </row>
    <row r="4" spans="1:16" ht="15.75" customHeight="1">
      <c r="A4" s="110" t="s">
        <v>408</v>
      </c>
      <c r="E4" s="102" t="s">
        <v>414</v>
      </c>
      <c r="G4" s="111" t="s">
        <v>71</v>
      </c>
      <c r="L4" s="99"/>
    </row>
    <row r="5" spans="1:16" s="104" customFormat="1" ht="15.75" customHeight="1">
      <c r="A5" s="121" t="s">
        <v>197</v>
      </c>
      <c r="B5" s="121" t="s">
        <v>328</v>
      </c>
      <c r="C5" s="121" t="s">
        <v>330</v>
      </c>
      <c r="D5" s="116" t="s">
        <v>2</v>
      </c>
      <c r="E5" s="116" t="s">
        <v>3</v>
      </c>
      <c r="G5" s="121" t="s">
        <v>197</v>
      </c>
      <c r="H5" s="116" t="s">
        <v>69</v>
      </c>
      <c r="I5" s="116" t="s">
        <v>327</v>
      </c>
      <c r="J5" s="116" t="s">
        <v>329</v>
      </c>
      <c r="K5" s="116" t="s">
        <v>3</v>
      </c>
      <c r="L5" s="105" t="s">
        <v>60</v>
      </c>
    </row>
    <row r="6" spans="1:16" ht="18" customHeight="1">
      <c r="A6" s="107" t="s">
        <v>24</v>
      </c>
      <c r="B6" s="117">
        <f>'（１）收支狀況'!G12/1000</f>
        <v>38419.572549999997</v>
      </c>
      <c r="C6" s="117">
        <v>37624.281149999995</v>
      </c>
      <c r="D6" s="117">
        <f>B6-C6</f>
        <v>795.29140000000189</v>
      </c>
      <c r="E6" s="216">
        <f>'（１）收支狀況'!H8:H8/1000</f>
        <v>59575.569989999996</v>
      </c>
      <c r="G6" s="217" t="s">
        <v>410</v>
      </c>
      <c r="H6" s="218">
        <v>442.4</v>
      </c>
      <c r="I6" s="218">
        <f>'（２）ＫＰＩ達成進度'!G12</f>
        <v>410.70344692485804</v>
      </c>
      <c r="J6" s="218">
        <v>409.72046242744102</v>
      </c>
      <c r="K6" s="218">
        <f>'（２）ＫＰＩ達成進度'!H8</f>
        <v>411.4877858597365</v>
      </c>
      <c r="L6" s="101" t="s">
        <v>195</v>
      </c>
    </row>
    <row r="7" spans="1:16" ht="18" customHeight="1">
      <c r="A7" s="107" t="s">
        <v>25</v>
      </c>
      <c r="B7" s="117">
        <f>'（１）收支狀況'!J12</f>
        <v>1283685</v>
      </c>
      <c r="C7" s="117">
        <v>1262288</v>
      </c>
      <c r="D7" s="117">
        <f t="shared" ref="D7:D11" si="0">B7-C7</f>
        <v>21397</v>
      </c>
      <c r="E7" s="216">
        <f>'（１）收支狀況'!K8:K8</f>
        <v>1990958</v>
      </c>
      <c r="G7" s="217" t="s">
        <v>411</v>
      </c>
      <c r="H7" s="219">
        <v>0.8</v>
      </c>
      <c r="I7" s="118">
        <f>'（２）ＫＰＩ達成進度'!J12</f>
        <v>0.9283531802098961</v>
      </c>
      <c r="J7" s="118">
        <v>0.92613124418499349</v>
      </c>
      <c r="K7" s="219">
        <f>'（２）ＫＰＩ達成進度'!K8</f>
        <v>0.93012609823629411</v>
      </c>
      <c r="L7" s="101" t="s">
        <v>4</v>
      </c>
    </row>
    <row r="8" spans="1:16" ht="18" customHeight="1">
      <c r="A8" s="107" t="s">
        <v>409</v>
      </c>
      <c r="B8" s="117">
        <f>'（１）收支狀況'!M12/1000</f>
        <v>25686.052979825774</v>
      </c>
      <c r="C8" s="117">
        <v>25299.964531154637</v>
      </c>
      <c r="D8" s="117">
        <f>B8-C8</f>
        <v>386.08844867113658</v>
      </c>
      <c r="E8" s="216">
        <f>'（１）收支狀況'!N8:N8/1000</f>
        <v>39856.822052801654</v>
      </c>
      <c r="G8" s="217" t="s">
        <v>200</v>
      </c>
      <c r="H8" s="118">
        <v>2.5000000000000001E-3</v>
      </c>
      <c r="I8" s="220">
        <f>'（２）ＫＰＩ達成進度'!M12</f>
        <v>2.0046815993621878E-3</v>
      </c>
      <c r="J8" s="220">
        <v>2.0023818766068025E-3</v>
      </c>
      <c r="K8" s="220">
        <f>'（２）ＫＰＩ達成進度'!N8</f>
        <v>2.004526084030748E-3</v>
      </c>
      <c r="L8" s="101" t="s">
        <v>55</v>
      </c>
    </row>
    <row r="9" spans="1:16" ht="18" customHeight="1">
      <c r="A9" s="107" t="s">
        <v>6</v>
      </c>
      <c r="B9" s="219">
        <f>'（１）收支狀況'!P12</f>
        <v>0.66856685993571197</v>
      </c>
      <c r="C9" s="219">
        <v>0.67243715382332658</v>
      </c>
      <c r="D9" s="219">
        <f t="shared" si="0"/>
        <v>-3.8702938876146176E-3</v>
      </c>
      <c r="E9" s="219">
        <f>'（１）收支狀況'!Q8</f>
        <v>0.66901285307873326</v>
      </c>
      <c r="G9" s="217" t="s">
        <v>201</v>
      </c>
      <c r="H9" s="118">
        <v>4.0000000000000001E-3</v>
      </c>
      <c r="I9" s="118">
        <f>'（２）ＫＰＩ達成進度'!P12</f>
        <v>6.1073690592780916E-3</v>
      </c>
      <c r="J9" s="118">
        <v>5.388819720072888E-3</v>
      </c>
      <c r="K9" s="118">
        <f>'（２）ＫＰＩ達成進度'!Q8</f>
        <v>6.1668044452926566E-3</v>
      </c>
      <c r="L9" s="101" t="s">
        <v>98</v>
      </c>
    </row>
    <row r="10" spans="1:16" ht="18" customHeight="1">
      <c r="A10" s="107" t="s">
        <v>64</v>
      </c>
      <c r="B10" s="117">
        <f>'（１）收支狀況'!S12/1000</f>
        <v>5512.6754259999998</v>
      </c>
      <c r="C10" s="117">
        <v>5540.8398999999999</v>
      </c>
      <c r="D10" s="117">
        <f t="shared" si="0"/>
        <v>-28.164474000000155</v>
      </c>
      <c r="E10" s="216">
        <f>'（１）收支狀況'!T8/1000</f>
        <v>8636.290632000002</v>
      </c>
      <c r="G10" s="217" t="s">
        <v>412</v>
      </c>
      <c r="H10" s="219">
        <v>0.8</v>
      </c>
      <c r="I10" s="219">
        <f>'（２）ＫＰＩ達成進度'!S12</f>
        <v>0.90000000000000013</v>
      </c>
      <c r="J10" s="219">
        <v>0.90000000000000013</v>
      </c>
      <c r="K10" s="219">
        <f>'（２）ＫＰＩ達成進度'!T8</f>
        <v>0.90000000000000024</v>
      </c>
      <c r="L10" s="101" t="s">
        <v>7</v>
      </c>
      <c r="M10" s="312"/>
      <c r="N10" s="312"/>
      <c r="O10" s="312"/>
      <c r="P10" s="312"/>
    </row>
    <row r="11" spans="1:16" ht="18" customHeight="1">
      <c r="A11" s="107" t="s">
        <v>65</v>
      </c>
      <c r="B11" s="219">
        <f>'（１）收支狀況'!V12</f>
        <v>0.14348612074810813</v>
      </c>
      <c r="C11" s="219">
        <v>0.14726766148461021</v>
      </c>
      <c r="D11" s="219">
        <f t="shared" si="0"/>
        <v>-3.7815407365020814E-3</v>
      </c>
      <c r="E11" s="219">
        <f>'（１）收支狀況'!W8</f>
        <v>0.1449636257521269</v>
      </c>
      <c r="G11" s="217" t="s">
        <v>413</v>
      </c>
      <c r="H11" s="219">
        <v>1</v>
      </c>
      <c r="I11" s="309">
        <f>19/52*100%</f>
        <v>0.36538461538461536</v>
      </c>
      <c r="J11" s="309">
        <v>0.34615384615384615</v>
      </c>
      <c r="K11" s="309">
        <f>'（２）ＫＰＩ達成進度'!W8</f>
        <v>0.35839160839160839</v>
      </c>
      <c r="L11" s="101" t="s">
        <v>62</v>
      </c>
      <c r="M11" s="313"/>
      <c r="N11" s="313"/>
      <c r="O11" s="313"/>
      <c r="P11" s="313"/>
    </row>
    <row r="12" spans="1:16" ht="9.65" customHeight="1">
      <c r="L12" s="99"/>
    </row>
    <row r="13" spans="1:16" ht="15.75" customHeight="1">
      <c r="A13" s="110" t="s">
        <v>32</v>
      </c>
      <c r="E13" s="311" t="s">
        <v>23</v>
      </c>
      <c r="G13" s="110" t="s">
        <v>33</v>
      </c>
      <c r="K13" s="311" t="s">
        <v>430</v>
      </c>
      <c r="L13" s="99"/>
    </row>
    <row r="14" spans="1:16" s="106" customFormat="1" ht="13.5">
      <c r="A14" s="120"/>
      <c r="B14" s="158" t="s">
        <v>328</v>
      </c>
      <c r="C14" s="120" t="s">
        <v>66</v>
      </c>
      <c r="D14" s="158" t="s">
        <v>331</v>
      </c>
      <c r="E14" s="120" t="s">
        <v>68</v>
      </c>
      <c r="G14" s="120"/>
      <c r="H14" s="158" t="s">
        <v>328</v>
      </c>
      <c r="I14" s="120" t="s">
        <v>66</v>
      </c>
      <c r="J14" s="158" t="s">
        <v>331</v>
      </c>
      <c r="K14" s="120" t="s">
        <v>68</v>
      </c>
    </row>
    <row r="15" spans="1:16" ht="18" customHeight="1">
      <c r="A15" s="107" t="s">
        <v>386</v>
      </c>
      <c r="B15" s="117">
        <f>SUM('（３）業績構成比'!M14:M20)/1000</f>
        <v>14747.47503</v>
      </c>
      <c r="C15" s="219">
        <f>IFERROR(B15/$B$6,"")</f>
        <v>0.38385317824156795</v>
      </c>
      <c r="D15" s="219">
        <v>0.38822459601995624</v>
      </c>
      <c r="E15" s="219">
        <f>IFERROR(C15-D15,"")</f>
        <v>-4.3714177783882868E-3</v>
      </c>
      <c r="G15" s="107" t="s">
        <v>387</v>
      </c>
      <c r="H15" s="117">
        <f>SUM('（４）訂單數量構成比'!M14:M20)</f>
        <v>754370</v>
      </c>
      <c r="I15" s="219">
        <f>IFERROR(H15/$B$7,"")</f>
        <v>0.5876597451867086</v>
      </c>
      <c r="J15" s="219">
        <v>0.58526738747417384</v>
      </c>
      <c r="K15" s="219">
        <f t="shared" ref="K15:K23" si="1">IFERROR(I15-J15,"")</f>
        <v>2.392357712534765E-3</v>
      </c>
      <c r="L15" s="99"/>
    </row>
    <row r="16" spans="1:16" ht="18" customHeight="1">
      <c r="A16" s="107" t="s">
        <v>223</v>
      </c>
      <c r="B16" s="117">
        <f>SUM('（３）業績構成比'!S14:S20)/1000</f>
        <v>1887.47684</v>
      </c>
      <c r="C16" s="219">
        <f t="shared" ref="C16:C23" si="2">IFERROR(B16/$B$6,"")</f>
        <v>4.9128002076118886E-2</v>
      </c>
      <c r="D16" s="219">
        <v>4.5390189468111609E-2</v>
      </c>
      <c r="E16" s="219">
        <f t="shared" ref="E16:E23" si="3">IFERROR(C16-D16,"")</f>
        <v>3.7378126080072765E-3</v>
      </c>
      <c r="G16" s="107" t="s">
        <v>254</v>
      </c>
      <c r="H16" s="117">
        <f>SUM('（４）訂單數量構成比'!S14:S20)</f>
        <v>71264</v>
      </c>
      <c r="I16" s="219">
        <f>IFERROR(H16/$B$7,"")</f>
        <v>5.5515177009936238E-2</v>
      </c>
      <c r="J16" s="219">
        <v>5.1363872586921523E-2</v>
      </c>
      <c r="K16" s="219">
        <f t="shared" si="1"/>
        <v>4.151304423014715E-3</v>
      </c>
      <c r="L16" s="99"/>
    </row>
    <row r="17" spans="1:17" ht="18" customHeight="1">
      <c r="A17" s="107" t="s">
        <v>219</v>
      </c>
      <c r="B17" s="117">
        <f>SUM('（３）業績構成比'!U14:U20)/1000</f>
        <v>665.12294999999995</v>
      </c>
      <c r="C17" s="219">
        <f t="shared" si="2"/>
        <v>1.7312086154378622E-2</v>
      </c>
      <c r="D17" s="219">
        <v>1.7530047613946241E-2</v>
      </c>
      <c r="E17" s="219">
        <f t="shared" si="3"/>
        <v>-2.1796145956761923E-4</v>
      </c>
      <c r="G17" s="107" t="s">
        <v>235</v>
      </c>
      <c r="H17" s="117">
        <f>SUM('（４）訂單數量構成比'!U14:U20)</f>
        <v>23670</v>
      </c>
      <c r="I17" s="219">
        <f t="shared" ref="I17:I23" si="4">IFERROR(H17/$B$7,"")</f>
        <v>1.8439103050982134E-2</v>
      </c>
      <c r="J17" s="219">
        <v>1.863045517346279E-2</v>
      </c>
      <c r="K17" s="219">
        <f t="shared" si="1"/>
        <v>-1.9135212248065636E-4</v>
      </c>
      <c r="L17" s="99"/>
    </row>
    <row r="18" spans="1:17" ht="18" customHeight="1">
      <c r="A18" s="107" t="s">
        <v>221</v>
      </c>
      <c r="B18" s="117">
        <f>SUM('（３）業績構成比'!W14:W20)/1000</f>
        <v>318.23523000000006</v>
      </c>
      <c r="C18" s="219">
        <f t="shared" si="2"/>
        <v>8.2831538426369113E-3</v>
      </c>
      <c r="D18" s="219">
        <v>1.5801358905165423E-2</v>
      </c>
      <c r="E18" s="219">
        <f t="shared" si="3"/>
        <v>-7.5182050625285119E-3</v>
      </c>
      <c r="G18" s="107" t="s">
        <v>220</v>
      </c>
      <c r="H18" s="117">
        <f>SUM('（４）訂單數量構成比'!W14:W20)</f>
        <v>13593</v>
      </c>
      <c r="I18" s="219">
        <f t="shared" si="4"/>
        <v>1.0589046378200259E-2</v>
      </c>
      <c r="J18" s="219">
        <v>1.9002002712534698E-2</v>
      </c>
      <c r="K18" s="219">
        <f t="shared" si="1"/>
        <v>-8.4129563343344396E-3</v>
      </c>
      <c r="L18" s="99"/>
    </row>
    <row r="19" spans="1:17" ht="18" customHeight="1">
      <c r="A19" s="107" t="s">
        <v>225</v>
      </c>
      <c r="B19" s="117">
        <f>SUM('（３）業績構成比'!AC14:AC20)/1000</f>
        <v>5644.4874700000009</v>
      </c>
      <c r="C19" s="219">
        <f t="shared" si="2"/>
        <v>0.14691697734674566</v>
      </c>
      <c r="D19" s="219">
        <v>0.1452857049469502</v>
      </c>
      <c r="E19" s="219">
        <f t="shared" si="3"/>
        <v>1.6312723997954637E-3</v>
      </c>
      <c r="G19" s="107" t="s">
        <v>224</v>
      </c>
      <c r="H19" s="117">
        <f>SUM('（４）訂單數量構成比'!AC14:AC20)</f>
        <v>108812</v>
      </c>
      <c r="I19" s="219">
        <f t="shared" si="4"/>
        <v>8.4765343522748962E-2</v>
      </c>
      <c r="J19" s="219">
        <v>8.5932845753108639E-2</v>
      </c>
      <c r="K19" s="219">
        <f t="shared" si="1"/>
        <v>-1.1675022303596766E-3</v>
      </c>
      <c r="L19" s="99"/>
    </row>
    <row r="20" spans="1:17" ht="18" customHeight="1">
      <c r="A20" s="107" t="s">
        <v>227</v>
      </c>
      <c r="B20" s="117">
        <f>SUM('（３）業績構成比'!AE14:AE20)/1000</f>
        <v>10384.79675</v>
      </c>
      <c r="C20" s="219">
        <f t="shared" si="2"/>
        <v>0.27029964314373928</v>
      </c>
      <c r="D20" s="219">
        <v>0.25908310224287173</v>
      </c>
      <c r="E20" s="219">
        <f t="shared" si="3"/>
        <v>1.1216540900867544E-2</v>
      </c>
      <c r="G20" s="107" t="s">
        <v>226</v>
      </c>
      <c r="H20" s="117">
        <f>SUM('（４）訂單數量構成比'!AE14:AE20)</f>
        <v>167336</v>
      </c>
      <c r="I20" s="219">
        <f t="shared" si="4"/>
        <v>0.13035596739075397</v>
      </c>
      <c r="J20" s="219">
        <v>0.12460706273053376</v>
      </c>
      <c r="K20" s="219">
        <f t="shared" si="1"/>
        <v>5.748904660220211E-3</v>
      </c>
      <c r="L20" s="99"/>
    </row>
    <row r="21" spans="1:17" ht="18" customHeight="1">
      <c r="A21" s="107" t="s">
        <v>230</v>
      </c>
      <c r="B21" s="117">
        <f>SUM('（３）業績構成比'!AG14:AG20)/1000</f>
        <v>0</v>
      </c>
      <c r="C21" s="219">
        <f t="shared" si="2"/>
        <v>0</v>
      </c>
      <c r="D21" s="219">
        <v>0</v>
      </c>
      <c r="E21" s="219">
        <f t="shared" si="3"/>
        <v>0</v>
      </c>
      <c r="G21" s="107" t="s">
        <v>236</v>
      </c>
      <c r="H21" s="117">
        <f>SUM('（４）訂單數量構成比'!AG14:AG20)</f>
        <v>0</v>
      </c>
      <c r="I21" s="219">
        <f t="shared" si="4"/>
        <v>0</v>
      </c>
      <c r="J21" s="219">
        <v>0</v>
      </c>
      <c r="K21" s="219">
        <f t="shared" si="1"/>
        <v>0</v>
      </c>
      <c r="L21" s="99"/>
    </row>
    <row r="22" spans="1:17" ht="18" customHeight="1">
      <c r="A22" s="107" t="s">
        <v>231</v>
      </c>
      <c r="B22" s="117">
        <f>SUM('（３）業績構成比'!AI14:AI20)/1000</f>
        <v>4268.150779999999</v>
      </c>
      <c r="C22" s="219">
        <f t="shared" si="2"/>
        <v>0.11109313552214416</v>
      </c>
      <c r="D22" s="219">
        <v>0.11630871384767974</v>
      </c>
      <c r="E22" s="219">
        <f t="shared" si="3"/>
        <v>-5.2155783255355831E-3</v>
      </c>
      <c r="G22" s="107" t="s">
        <v>237</v>
      </c>
      <c r="H22" s="117">
        <f>SUM('（４）訂單數量構成比'!AI14:AI20)</f>
        <v>119065</v>
      </c>
      <c r="I22" s="219">
        <f t="shared" si="4"/>
        <v>9.275250548226395E-2</v>
      </c>
      <c r="J22" s="219">
        <v>9.6470852927382653E-2</v>
      </c>
      <c r="K22" s="219">
        <f t="shared" si="1"/>
        <v>-3.7183474451187026E-3</v>
      </c>
      <c r="L22" s="99"/>
    </row>
    <row r="23" spans="1:17" ht="18" customHeight="1">
      <c r="A23" s="107" t="s">
        <v>233</v>
      </c>
      <c r="B23" s="117">
        <f>SUM('（３）業績構成比'!AK14:AK20)/1000</f>
        <v>503.82749999999999</v>
      </c>
      <c r="C23" s="219">
        <f t="shared" si="2"/>
        <v>1.3113823672668634E-2</v>
      </c>
      <c r="D23" s="219">
        <v>1.2376286955319012E-2</v>
      </c>
      <c r="E23" s="219">
        <f t="shared" si="3"/>
        <v>7.3753671734962285E-4</v>
      </c>
      <c r="G23" s="107" t="s">
        <v>232</v>
      </c>
      <c r="H23" s="117">
        <f>SUM('（４）訂單數量構成比'!AK14:AK20)</f>
        <v>25575</v>
      </c>
      <c r="I23" s="219">
        <f t="shared" si="4"/>
        <v>1.9923111978405916E-2</v>
      </c>
      <c r="J23" s="219">
        <v>1.8725520641882043E-2</v>
      </c>
      <c r="K23" s="219">
        <f t="shared" si="1"/>
        <v>1.1975913365238726E-3</v>
      </c>
      <c r="L23" s="99"/>
    </row>
    <row r="24" spans="1:17" ht="15.75" customHeight="1">
      <c r="B24" s="102"/>
      <c r="C24" s="112">
        <f>SUM(C15:C23)</f>
        <v>1</v>
      </c>
      <c r="D24" s="112">
        <f>SUM(D15:D23)</f>
        <v>1.0000000000000002</v>
      </c>
      <c r="I24" s="112">
        <f>SUM(I15:I23)</f>
        <v>1.0000000000000002</v>
      </c>
      <c r="J24" s="112">
        <f>SUM(J15:J23)</f>
        <v>1</v>
      </c>
      <c r="L24" s="99"/>
    </row>
    <row r="25" spans="1:17" ht="9.65" customHeight="1">
      <c r="A25" s="113"/>
      <c r="L25" s="99"/>
    </row>
    <row r="26" spans="1:17" ht="15.75" customHeight="1">
      <c r="A26" s="110" t="s">
        <v>426</v>
      </c>
      <c r="L26" s="99"/>
    </row>
    <row r="27" spans="1:17" ht="15.75" customHeight="1">
      <c r="A27" s="107" t="s">
        <v>188</v>
      </c>
      <c r="B27" s="159" t="s">
        <v>328</v>
      </c>
      <c r="C27" s="159" t="s">
        <v>330</v>
      </c>
      <c r="D27" s="107" t="s">
        <v>2</v>
      </c>
      <c r="E27" s="107" t="s">
        <v>3</v>
      </c>
      <c r="L27" s="99"/>
    </row>
    <row r="28" spans="1:17" ht="18" customHeight="1">
      <c r="A28" s="107" t="s">
        <v>387</v>
      </c>
      <c r="B28" s="210">
        <f>'（５-1）品群別人時生產性(18℃-飯糰)'!L47</f>
        <v>754.59198984643274</v>
      </c>
      <c r="C28" s="210">
        <v>754.59133104919283</v>
      </c>
      <c r="D28" s="221">
        <f>B28-C28</f>
        <v>6.5879723990747152E-4</v>
      </c>
      <c r="E28" s="222">
        <f>'（５-1）品群別人時生產性(18℃-飯糰)'!C1</f>
        <v>754.59166044781273</v>
      </c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3"/>
    </row>
    <row r="29" spans="1:17" ht="18" customHeight="1">
      <c r="A29" s="107" t="s">
        <v>222</v>
      </c>
      <c r="B29" s="210">
        <f>'（５-2）品群別人時生產性(18℃-壽司手卷)'!L27</f>
        <v>328.28593764406145</v>
      </c>
      <c r="C29" s="210">
        <v>319.3525945658962</v>
      </c>
      <c r="D29" s="221">
        <f>B29-C29</f>
        <v>8.933343078165251</v>
      </c>
      <c r="E29" s="222">
        <f>'（５-2）品群別人時生產性(18℃-壽司手卷)'!C1</f>
        <v>323.81926610497885</v>
      </c>
      <c r="G29" s="124"/>
      <c r="H29" s="124"/>
      <c r="I29" s="125"/>
      <c r="J29" s="1"/>
      <c r="K29" s="126"/>
      <c r="L29" s="67"/>
      <c r="M29" s="66"/>
      <c r="N29" s="67"/>
      <c r="O29" s="67"/>
      <c r="P29" s="67"/>
      <c r="Q29" s="67"/>
    </row>
    <row r="30" spans="1:17" ht="18" customHeight="1">
      <c r="A30" s="107" t="s">
        <v>235</v>
      </c>
      <c r="B30" s="210">
        <f>'（５-3）品群別人時生產性(4℃-飯糰)'!L27</f>
        <v>361.14748041183083</v>
      </c>
      <c r="C30" s="210">
        <v>330.92770848601748</v>
      </c>
      <c r="D30" s="221">
        <f>B30-C30</f>
        <v>30.219771925813347</v>
      </c>
      <c r="E30" s="222">
        <f>'（５-3）品群別人時生產性(4℃-飯糰)'!C1</f>
        <v>346.03759444892415</v>
      </c>
      <c r="L30" s="99"/>
    </row>
    <row r="31" spans="1:17" ht="18" customHeight="1">
      <c r="A31" s="107" t="s">
        <v>220</v>
      </c>
      <c r="B31" s="210">
        <f>'（５-4）品群別人時生產性(4℃-壽司手卷)'!L27</f>
        <v>375.84262164674169</v>
      </c>
      <c r="C31" s="210">
        <v>330.46632943390705</v>
      </c>
      <c r="D31" s="221">
        <f>B31-C31</f>
        <v>45.376292212834642</v>
      </c>
      <c r="E31" s="222">
        <f>'（５-4）品群別人時生產性(4℃-壽司手卷)'!C1</f>
        <v>353.15447554032437</v>
      </c>
      <c r="L31" s="99"/>
    </row>
    <row r="32" spans="1:17" ht="18" customHeight="1">
      <c r="A32" s="107" t="s">
        <v>225</v>
      </c>
      <c r="B32" s="210">
        <f>'（５-5）品群別人時生產性(微波主食) '!L27</f>
        <v>85.681574152812331</v>
      </c>
      <c r="C32" s="210">
        <v>84.873928785145154</v>
      </c>
      <c r="D32" s="221">
        <f t="shared" ref="D32:D36" si="5">B32-C32</f>
        <v>0.80764536766717754</v>
      </c>
      <c r="E32" s="222">
        <f>'（５-5）品群別人時生產性(微波主食) '!C1</f>
        <v>85.277751468978749</v>
      </c>
      <c r="L32" s="99"/>
    </row>
    <row r="33" spans="1:12" ht="18" customHeight="1">
      <c r="A33" s="107" t="s">
        <v>226</v>
      </c>
      <c r="B33" s="210">
        <f>'（５-6）品群別人時生產性(便當)'!L27</f>
        <v>78.595014871081574</v>
      </c>
      <c r="C33" s="210">
        <v>78.556988347293995</v>
      </c>
      <c r="D33" s="221">
        <f t="shared" si="5"/>
        <v>3.8026523787578981E-2</v>
      </c>
      <c r="E33" s="222">
        <f>'（５-6）品群別人時生產性(便當)'!C1</f>
        <v>78.576001609187784</v>
      </c>
      <c r="L33" s="99"/>
    </row>
    <row r="34" spans="1:12" ht="18" customHeight="1">
      <c r="A34" s="107" t="s">
        <v>236</v>
      </c>
      <c r="B34" s="210">
        <f>'（５-7）品群別人時生產性(熱食義麵) '!L27</f>
        <v>0</v>
      </c>
      <c r="C34" s="210">
        <v>0</v>
      </c>
      <c r="D34" s="221">
        <f t="shared" si="5"/>
        <v>0</v>
      </c>
      <c r="E34" s="222">
        <f>'（５-7）品群別人時生產性(熱食義麵) '!C1</f>
        <v>0</v>
      </c>
      <c r="L34" s="99"/>
    </row>
    <row r="35" spans="1:12" ht="18" customHeight="1">
      <c r="A35" s="107" t="s">
        <v>237</v>
      </c>
      <c r="B35" s="210">
        <f>'（５-8）品群別人時生產性(季節調理麵) '!L27</f>
        <v>163.76049586239057</v>
      </c>
      <c r="C35" s="210">
        <v>163.07026614315444</v>
      </c>
      <c r="D35" s="221">
        <f t="shared" si="5"/>
        <v>0.69022971923612886</v>
      </c>
      <c r="E35" s="222">
        <f>'（５-8）品群別人時生產性(季節調理麵) '!C1</f>
        <v>163.41538100277251</v>
      </c>
      <c r="L35" s="99"/>
    </row>
    <row r="36" spans="1:12" ht="18" customHeight="1">
      <c r="A36" s="103" t="s">
        <v>232</v>
      </c>
      <c r="B36" s="210">
        <f>'（５-9）品群別人時生產性(微波小吃)'!L27</f>
        <v>83.069668324972028</v>
      </c>
      <c r="C36" s="210">
        <v>83.100806249453484</v>
      </c>
      <c r="D36" s="221">
        <f t="shared" si="5"/>
        <v>-3.1137924481456025E-2</v>
      </c>
      <c r="E36" s="223">
        <f>'（５-9）品群別人時生產性(微波小吃)'!C1</f>
        <v>83.085237287212749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  <pageSetUpPr fitToPage="1"/>
  </sheetPr>
  <dimension ref="B2:W69"/>
  <sheetViews>
    <sheetView zoomScale="80" zoomScaleNormal="80" workbookViewId="0">
      <selection activeCell="O31" sqref="O31"/>
    </sheetView>
  </sheetViews>
  <sheetFormatPr defaultColWidth="8.81640625" defaultRowHeight="13.5"/>
  <cols>
    <col min="1" max="1" width="8.81640625" style="75"/>
    <col min="2" max="2" width="12.54296875" style="78" customWidth="1"/>
    <col min="3" max="3" width="8.81640625" style="75"/>
    <col min="4" max="4" width="17.453125" style="77" customWidth="1"/>
    <col min="5" max="5" width="4.453125" style="77" customWidth="1"/>
    <col min="6" max="8" width="19.54296875" style="81" customWidth="1"/>
    <col min="9" max="13" width="19.54296875" style="82" customWidth="1"/>
    <col min="14" max="14" width="19.54296875" style="83" customWidth="1"/>
    <col min="15" max="17" width="19.54296875" style="84" customWidth="1"/>
    <col min="18" max="20" width="19.54296875" style="83" customWidth="1"/>
    <col min="21" max="21" width="19.54296875" style="84" customWidth="1"/>
    <col min="22" max="23" width="19.54296875" style="75" customWidth="1"/>
    <col min="24" max="16384" width="8.81640625" style="75"/>
  </cols>
  <sheetData>
    <row r="2" spans="2:23" ht="38.15" customHeight="1">
      <c r="B2" s="522" t="s">
        <v>126</v>
      </c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522"/>
      <c r="R2" s="522"/>
      <c r="S2" s="522"/>
      <c r="T2" s="522"/>
      <c r="U2" s="522"/>
      <c r="V2" s="522"/>
      <c r="W2" s="522"/>
    </row>
    <row r="3" spans="2:23" s="77" customFormat="1" ht="23.5" customHeight="1">
      <c r="B3" s="526" t="s">
        <v>122</v>
      </c>
      <c r="C3" s="527" t="s">
        <v>119</v>
      </c>
      <c r="D3" s="528" t="s">
        <v>105</v>
      </c>
      <c r="E3" s="528"/>
      <c r="F3" s="525" t="s">
        <v>123</v>
      </c>
      <c r="G3" s="525"/>
      <c r="H3" s="525"/>
      <c r="I3" s="523" t="s">
        <v>124</v>
      </c>
      <c r="J3" s="523"/>
      <c r="K3" s="523"/>
      <c r="L3" s="524" t="s">
        <v>125</v>
      </c>
      <c r="M3" s="524"/>
      <c r="N3" s="524"/>
      <c r="O3" s="521" t="s">
        <v>127</v>
      </c>
      <c r="P3" s="521"/>
      <c r="Q3" s="521"/>
      <c r="R3" s="529" t="s">
        <v>128</v>
      </c>
      <c r="S3" s="529"/>
      <c r="T3" s="529"/>
      <c r="U3" s="521" t="s">
        <v>129</v>
      </c>
      <c r="V3" s="521"/>
      <c r="W3" s="521"/>
    </row>
    <row r="4" spans="2:23" s="77" customFormat="1" ht="23.5" customHeight="1">
      <c r="B4" s="526"/>
      <c r="C4" s="527"/>
      <c r="D4" s="528"/>
      <c r="E4" s="528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515">
        <v>46148</v>
      </c>
      <c r="C5" s="520"/>
      <c r="D5" s="80">
        <v>46140</v>
      </c>
      <c r="E5" s="80" t="s">
        <v>118</v>
      </c>
      <c r="F5" s="164">
        <v>6434818.2700000005</v>
      </c>
      <c r="G5" s="517">
        <f>SUM(F5:F11)</f>
        <v>37624281.149999999</v>
      </c>
      <c r="H5" s="517"/>
      <c r="I5" s="214">
        <v>214895</v>
      </c>
      <c r="J5" s="518">
        <f t="shared" ref="J5" si="0">SUM(I5:I11)</f>
        <v>1262288</v>
      </c>
      <c r="K5" s="518"/>
      <c r="L5" s="164">
        <v>4415081.3932121648</v>
      </c>
      <c r="M5" s="517">
        <f t="shared" ref="M5" si="1">SUM(L5:L11)</f>
        <v>25299964.531154636</v>
      </c>
      <c r="N5" s="517"/>
      <c r="O5" s="154">
        <f t="shared" ref="O5:O11" si="2">L5/F5</f>
        <v>0.68612371134020611</v>
      </c>
      <c r="P5" s="514">
        <f>M5/G5</f>
        <v>0.67243715382332658</v>
      </c>
      <c r="Q5" s="512"/>
      <c r="R5" s="165">
        <v>888285.34600000002</v>
      </c>
      <c r="S5" s="513">
        <f t="shared" ref="S5" si="3">SUM(R5:R11)</f>
        <v>5540839.9000000004</v>
      </c>
      <c r="T5" s="517"/>
      <c r="U5" s="154">
        <f t="shared" ref="U5:U11" si="4">R5/F5</f>
        <v>0.1380435792788908</v>
      </c>
      <c r="V5" s="514">
        <f>S5/G5</f>
        <v>0.14726766148461021</v>
      </c>
      <c r="W5" s="512"/>
    </row>
    <row r="6" spans="2:23">
      <c r="B6" s="516"/>
      <c r="C6" s="520"/>
      <c r="D6" s="80">
        <f t="shared" ref="D6" si="5">D5+1</f>
        <v>46141</v>
      </c>
      <c r="E6" s="80" t="s">
        <v>112</v>
      </c>
      <c r="F6" s="164">
        <v>5586966.5599999996</v>
      </c>
      <c r="G6" s="517"/>
      <c r="H6" s="517"/>
      <c r="I6" s="214">
        <v>189446</v>
      </c>
      <c r="J6" s="518"/>
      <c r="K6" s="518"/>
      <c r="L6" s="164">
        <v>3741194.0818375261</v>
      </c>
      <c r="M6" s="517"/>
      <c r="N6" s="517"/>
      <c r="O6" s="154">
        <f t="shared" si="2"/>
        <v>0.66962886597938154</v>
      </c>
      <c r="P6" s="514"/>
      <c r="Q6" s="512"/>
      <c r="R6" s="165">
        <v>808748.228</v>
      </c>
      <c r="S6" s="513"/>
      <c r="T6" s="517"/>
      <c r="U6" s="154">
        <f t="shared" si="4"/>
        <v>0.14475623208312169</v>
      </c>
      <c r="V6" s="514"/>
      <c r="W6" s="512"/>
    </row>
    <row r="7" spans="2:23">
      <c r="B7" s="516"/>
      <c r="C7" s="520"/>
      <c r="D7" s="80">
        <f t="shared" ref="D7:D67" si="6">D6+1</f>
        <v>46142</v>
      </c>
      <c r="E7" s="80" t="s">
        <v>113</v>
      </c>
      <c r="F7" s="164">
        <v>4446498.88</v>
      </c>
      <c r="G7" s="517"/>
      <c r="H7" s="517"/>
      <c r="I7" s="214">
        <v>150674</v>
      </c>
      <c r="J7" s="518"/>
      <c r="K7" s="518"/>
      <c r="L7" s="164">
        <v>2972919.983129072</v>
      </c>
      <c r="M7" s="517"/>
      <c r="N7" s="517"/>
      <c r="O7" s="154">
        <f t="shared" si="2"/>
        <v>0.66859793814432988</v>
      </c>
      <c r="P7" s="514"/>
      <c r="Q7" s="512"/>
      <c r="R7" s="165">
        <v>720191.12</v>
      </c>
      <c r="S7" s="513"/>
      <c r="T7" s="517"/>
      <c r="U7" s="154">
        <f t="shared" si="4"/>
        <v>0.16196813255466289</v>
      </c>
      <c r="V7" s="514"/>
      <c r="W7" s="512"/>
    </row>
    <row r="8" spans="2:23">
      <c r="B8" s="516"/>
      <c r="C8" s="519" t="s">
        <v>114</v>
      </c>
      <c r="D8" s="80">
        <f t="shared" si="6"/>
        <v>46143</v>
      </c>
      <c r="E8" s="80" t="s">
        <v>114</v>
      </c>
      <c r="F8" s="164">
        <v>4128529.58</v>
      </c>
      <c r="G8" s="517"/>
      <c r="H8" s="517">
        <f>SUM(F8:F38)</f>
        <v>59575569.989999995</v>
      </c>
      <c r="I8" s="214">
        <v>140738</v>
      </c>
      <c r="J8" s="518"/>
      <c r="K8" s="518">
        <f>SUM(I8:I38)</f>
        <v>1990958</v>
      </c>
      <c r="L8" s="164">
        <v>2836938.2538692784</v>
      </c>
      <c r="M8" s="517"/>
      <c r="N8" s="517">
        <f>SUM(L8:L38)</f>
        <v>39856822.052801654</v>
      </c>
      <c r="O8" s="154">
        <f t="shared" si="2"/>
        <v>0.68715463917525776</v>
      </c>
      <c r="P8" s="514"/>
      <c r="Q8" s="512">
        <f>N8/H8</f>
        <v>0.66901285307873326</v>
      </c>
      <c r="R8" s="165">
        <v>715052.78</v>
      </c>
      <c r="S8" s="513"/>
      <c r="T8" s="517">
        <f>SUM(R8:R38)</f>
        <v>8636290.6320000011</v>
      </c>
      <c r="U8" s="154">
        <f t="shared" si="4"/>
        <v>0.17319793067826342</v>
      </c>
      <c r="V8" s="514"/>
      <c r="W8" s="512">
        <f>T8/H8</f>
        <v>0.1449636257521269</v>
      </c>
    </row>
    <row r="9" spans="2:23">
      <c r="B9" s="516"/>
      <c r="C9" s="519"/>
      <c r="D9" s="80">
        <f t="shared" si="6"/>
        <v>46144</v>
      </c>
      <c r="E9" s="80" t="s">
        <v>115</v>
      </c>
      <c r="F9" s="164">
        <v>4422738.33</v>
      </c>
      <c r="G9" s="517"/>
      <c r="H9" s="517"/>
      <c r="I9" s="214">
        <v>150228</v>
      </c>
      <c r="J9" s="518"/>
      <c r="K9" s="518"/>
      <c r="L9" s="164">
        <v>2943355.1562352581</v>
      </c>
      <c r="M9" s="517"/>
      <c r="N9" s="517"/>
      <c r="O9" s="154">
        <f t="shared" si="2"/>
        <v>0.66550515463917537</v>
      </c>
      <c r="P9" s="514"/>
      <c r="Q9" s="512"/>
      <c r="R9" s="165">
        <v>720724.18200000003</v>
      </c>
      <c r="S9" s="513"/>
      <c r="T9" s="517"/>
      <c r="U9" s="154">
        <f t="shared" si="4"/>
        <v>0.16295881153791886</v>
      </c>
      <c r="V9" s="514"/>
      <c r="W9" s="512"/>
    </row>
    <row r="10" spans="2:23">
      <c r="B10" s="516"/>
      <c r="C10" s="519"/>
      <c r="D10" s="80">
        <f t="shared" si="6"/>
        <v>46145</v>
      </c>
      <c r="E10" s="80" t="s">
        <v>116</v>
      </c>
      <c r="F10" s="164">
        <v>6472238.8599999994</v>
      </c>
      <c r="G10" s="517"/>
      <c r="H10" s="517"/>
      <c r="I10" s="214">
        <v>212432</v>
      </c>
      <c r="J10" s="518"/>
      <c r="K10" s="518"/>
      <c r="L10" s="164">
        <v>4332663.4859303096</v>
      </c>
      <c r="M10" s="517"/>
      <c r="N10" s="517"/>
      <c r="O10" s="154">
        <f t="shared" si="2"/>
        <v>0.6694226804123713</v>
      </c>
      <c r="P10" s="514"/>
      <c r="Q10" s="512"/>
      <c r="R10" s="165">
        <v>865468.50399999996</v>
      </c>
      <c r="S10" s="513"/>
      <c r="T10" s="517"/>
      <c r="U10" s="154">
        <f t="shared" si="4"/>
        <v>0.13372011180687482</v>
      </c>
      <c r="V10" s="514"/>
      <c r="W10" s="512"/>
    </row>
    <row r="11" spans="2:23">
      <c r="B11" s="516"/>
      <c r="C11" s="519"/>
      <c r="D11" s="80">
        <f t="shared" si="6"/>
        <v>46146</v>
      </c>
      <c r="E11" s="80" t="s">
        <v>117</v>
      </c>
      <c r="F11" s="164">
        <v>6132490.6699999999</v>
      </c>
      <c r="G11" s="517"/>
      <c r="H11" s="517"/>
      <c r="I11" s="214">
        <v>203875</v>
      </c>
      <c r="J11" s="518"/>
      <c r="K11" s="518"/>
      <c r="L11" s="164">
        <v>4057812.1769410307</v>
      </c>
      <c r="M11" s="517"/>
      <c r="N11" s="517"/>
      <c r="O11" s="154">
        <f t="shared" si="2"/>
        <v>0.6616907216494845</v>
      </c>
      <c r="P11" s="514"/>
      <c r="Q11" s="512"/>
      <c r="R11" s="165">
        <v>822369.74</v>
      </c>
      <c r="S11" s="513"/>
      <c r="T11" s="517"/>
      <c r="U11" s="154">
        <f t="shared" si="4"/>
        <v>0.13410044698853166</v>
      </c>
      <c r="V11" s="514"/>
      <c r="W11" s="512"/>
    </row>
    <row r="12" spans="2:23">
      <c r="B12" s="515">
        <f>B5+7</f>
        <v>46155</v>
      </c>
      <c r="C12" s="519"/>
      <c r="D12" s="80">
        <f t="shared" si="6"/>
        <v>46147</v>
      </c>
      <c r="E12" s="80" t="s">
        <v>118</v>
      </c>
      <c r="F12" s="164">
        <v>5984383.9399999995</v>
      </c>
      <c r="G12" s="517">
        <f>SUM(F12:F18)</f>
        <v>38419572.549999997</v>
      </c>
      <c r="H12" s="517"/>
      <c r="I12" s="214">
        <v>198337</v>
      </c>
      <c r="J12" s="518">
        <f t="shared" ref="J12" si="7">SUM(I12:I18)</f>
        <v>1283685</v>
      </c>
      <c r="K12" s="518"/>
      <c r="L12" s="164">
        <v>4026441.5820635054</v>
      </c>
      <c r="M12" s="517">
        <f t="shared" ref="M12" si="8">SUM(L12:L18)</f>
        <v>25686052.979825772</v>
      </c>
      <c r="N12" s="517"/>
      <c r="O12" s="154">
        <f t="shared" ref="O12:O18" si="9">L12/F12</f>
        <v>0.67282474226804134</v>
      </c>
      <c r="P12" s="514">
        <f>M12/G12</f>
        <v>0.66856685993571197</v>
      </c>
      <c r="Q12" s="512"/>
      <c r="R12" s="165">
        <v>817348.35800000001</v>
      </c>
      <c r="S12" s="513">
        <f t="shared" ref="S12" si="10">SUM(R12:R18)</f>
        <v>5512675.426</v>
      </c>
      <c r="T12" s="517"/>
      <c r="U12" s="154">
        <f t="shared" ref="U12:U18" si="11">R12/F12</f>
        <v>0.13658020043413191</v>
      </c>
      <c r="V12" s="514">
        <f>S12/G12</f>
        <v>0.14348612074810813</v>
      </c>
      <c r="W12" s="512"/>
    </row>
    <row r="13" spans="2:23">
      <c r="B13" s="516"/>
      <c r="C13" s="519"/>
      <c r="D13" s="80">
        <f t="shared" si="6"/>
        <v>46148</v>
      </c>
      <c r="E13" s="80" t="s">
        <v>112</v>
      </c>
      <c r="F13" s="164">
        <v>5601506.870000001</v>
      </c>
      <c r="G13" s="517"/>
      <c r="H13" s="517"/>
      <c r="I13" s="214">
        <v>188660</v>
      </c>
      <c r="J13" s="518"/>
      <c r="K13" s="518"/>
      <c r="L13" s="164">
        <v>3714549.7722255667</v>
      </c>
      <c r="M13" s="517"/>
      <c r="N13" s="517"/>
      <c r="O13" s="154">
        <f t="shared" si="9"/>
        <v>0.66313402061855653</v>
      </c>
      <c r="P13" s="514"/>
      <c r="Q13" s="512"/>
      <c r="R13" s="165">
        <v>791562.48600000003</v>
      </c>
      <c r="S13" s="513"/>
      <c r="T13" s="517"/>
      <c r="U13" s="154">
        <f t="shared" si="11"/>
        <v>0.1413124190277035</v>
      </c>
      <c r="V13" s="514"/>
      <c r="W13" s="512"/>
    </row>
    <row r="14" spans="2:23">
      <c r="B14" s="516"/>
      <c r="C14" s="519"/>
      <c r="D14" s="80">
        <f t="shared" si="6"/>
        <v>46149</v>
      </c>
      <c r="E14" s="80" t="s">
        <v>113</v>
      </c>
      <c r="F14" s="164">
        <v>5146313.3899999997</v>
      </c>
      <c r="G14" s="517"/>
      <c r="H14" s="517"/>
      <c r="I14" s="214">
        <v>175320</v>
      </c>
      <c r="J14" s="518"/>
      <c r="K14" s="518"/>
      <c r="L14" s="164">
        <v>3443997.8082315451</v>
      </c>
      <c r="M14" s="517"/>
      <c r="N14" s="517"/>
      <c r="O14" s="154">
        <f t="shared" si="9"/>
        <v>0.66921649484536061</v>
      </c>
      <c r="P14" s="514"/>
      <c r="Q14" s="512"/>
      <c r="R14" s="165">
        <v>743044.16200000001</v>
      </c>
      <c r="S14" s="513"/>
      <c r="T14" s="517"/>
      <c r="U14" s="154">
        <f t="shared" si="11"/>
        <v>0.14438377644156647</v>
      </c>
      <c r="V14" s="514"/>
      <c r="W14" s="512"/>
    </row>
    <row r="15" spans="2:23">
      <c r="B15" s="516"/>
      <c r="C15" s="519"/>
      <c r="D15" s="80">
        <f t="shared" si="6"/>
        <v>46150</v>
      </c>
      <c r="E15" s="80" t="s">
        <v>114</v>
      </c>
      <c r="F15" s="164">
        <v>4462931.74</v>
      </c>
      <c r="G15" s="517"/>
      <c r="H15" s="517"/>
      <c r="I15" s="214">
        <v>151315</v>
      </c>
      <c r="J15" s="518"/>
      <c r="K15" s="518"/>
      <c r="L15" s="164">
        <v>3016113.6833397942</v>
      </c>
      <c r="M15" s="517"/>
      <c r="N15" s="517"/>
      <c r="O15" s="154">
        <f t="shared" si="9"/>
        <v>0.67581443298969079</v>
      </c>
      <c r="P15" s="514"/>
      <c r="Q15" s="512"/>
      <c r="R15" s="165">
        <v>721133.71400000004</v>
      </c>
      <c r="S15" s="513"/>
      <c r="T15" s="517"/>
      <c r="U15" s="154">
        <f t="shared" si="11"/>
        <v>0.16158295847025436</v>
      </c>
      <c r="V15" s="514"/>
      <c r="W15" s="512"/>
    </row>
    <row r="16" spans="2:23">
      <c r="B16" s="516"/>
      <c r="C16" s="519"/>
      <c r="D16" s="80">
        <f t="shared" si="6"/>
        <v>46151</v>
      </c>
      <c r="E16" s="80" t="s">
        <v>115</v>
      </c>
      <c r="F16" s="164">
        <v>4779377.75</v>
      </c>
      <c r="G16" s="517"/>
      <c r="H16" s="517"/>
      <c r="I16" s="214">
        <v>161184</v>
      </c>
      <c r="J16" s="518"/>
      <c r="K16" s="518"/>
      <c r="L16" s="164">
        <v>3162469.9124329896</v>
      </c>
      <c r="M16" s="517"/>
      <c r="N16" s="517"/>
      <c r="O16" s="154">
        <f t="shared" si="9"/>
        <v>0.6616907216494845</v>
      </c>
      <c r="P16" s="514"/>
      <c r="Q16" s="512"/>
      <c r="R16" s="165">
        <v>747478.38800000004</v>
      </c>
      <c r="S16" s="513"/>
      <c r="T16" s="517"/>
      <c r="U16" s="154">
        <f t="shared" si="11"/>
        <v>0.15639659116712423</v>
      </c>
      <c r="V16" s="514"/>
      <c r="W16" s="512"/>
    </row>
    <row r="17" spans="2:23">
      <c r="B17" s="516"/>
      <c r="C17" s="519"/>
      <c r="D17" s="80">
        <f t="shared" si="6"/>
        <v>46152</v>
      </c>
      <c r="E17" s="80" t="s">
        <v>116</v>
      </c>
      <c r="F17" s="164">
        <v>6245830.3399999999</v>
      </c>
      <c r="G17" s="517"/>
      <c r="H17" s="517"/>
      <c r="I17" s="214">
        <v>206176</v>
      </c>
      <c r="J17" s="518"/>
      <c r="K17" s="518"/>
      <c r="L17" s="164">
        <v>4152124.9860263914</v>
      </c>
      <c r="M17" s="517"/>
      <c r="N17" s="517"/>
      <c r="O17" s="154">
        <f t="shared" si="9"/>
        <v>0.66478350515463913</v>
      </c>
      <c r="P17" s="514"/>
      <c r="Q17" s="512"/>
      <c r="R17" s="165">
        <v>848777.16599999997</v>
      </c>
      <c r="S17" s="513"/>
      <c r="T17" s="517"/>
      <c r="U17" s="154">
        <f t="shared" si="11"/>
        <v>0.13589500831686055</v>
      </c>
      <c r="V17" s="514"/>
      <c r="W17" s="512"/>
    </row>
    <row r="18" spans="2:23">
      <c r="B18" s="516"/>
      <c r="C18" s="519"/>
      <c r="D18" s="80">
        <f t="shared" si="6"/>
        <v>46153</v>
      </c>
      <c r="E18" s="80" t="s">
        <v>117</v>
      </c>
      <c r="F18" s="164">
        <v>6199228.5199999996</v>
      </c>
      <c r="G18" s="517"/>
      <c r="H18" s="517"/>
      <c r="I18" s="214">
        <v>202693</v>
      </c>
      <c r="J18" s="518"/>
      <c r="K18" s="518"/>
      <c r="L18" s="164">
        <v>4170355.2355059795</v>
      </c>
      <c r="M18" s="517"/>
      <c r="N18" s="517"/>
      <c r="O18" s="154">
        <f t="shared" si="9"/>
        <v>0.67272164948453617</v>
      </c>
      <c r="P18" s="514"/>
      <c r="Q18" s="512"/>
      <c r="R18" s="165">
        <v>843331.152</v>
      </c>
      <c r="S18" s="513"/>
      <c r="T18" s="517"/>
      <c r="U18" s="154">
        <f t="shared" si="11"/>
        <v>0.1360380810739979</v>
      </c>
      <c r="V18" s="514"/>
      <c r="W18" s="512"/>
    </row>
    <row r="19" spans="2:23">
      <c r="B19" s="515">
        <f>B12+7</f>
        <v>46162</v>
      </c>
      <c r="C19" s="519"/>
      <c r="D19" s="80">
        <f t="shared" si="6"/>
        <v>46154</v>
      </c>
      <c r="E19" s="80" t="s">
        <v>118</v>
      </c>
      <c r="F19" s="164"/>
      <c r="G19" s="517">
        <f>SUM(F19:F25)</f>
        <v>0</v>
      </c>
      <c r="H19" s="517"/>
      <c r="I19" s="214"/>
      <c r="J19" s="518">
        <f t="shared" ref="J19" si="12">SUM(I19:I25)</f>
        <v>0</v>
      </c>
      <c r="K19" s="518"/>
      <c r="L19" s="164"/>
      <c r="M19" s="517">
        <f t="shared" ref="M19" si="13">SUM(L19:L25)</f>
        <v>0</v>
      </c>
      <c r="N19" s="517"/>
      <c r="O19" s="154" t="e">
        <f t="shared" ref="O19:O32" si="14">L19/F19</f>
        <v>#DIV/0!</v>
      </c>
      <c r="P19" s="514" t="e">
        <f>M19/G19</f>
        <v>#DIV/0!</v>
      </c>
      <c r="Q19" s="512"/>
      <c r="R19" s="165"/>
      <c r="S19" s="513">
        <f t="shared" ref="S19" si="15">SUM(R19:R25)</f>
        <v>0</v>
      </c>
      <c r="T19" s="517"/>
      <c r="U19" s="154" t="e">
        <f t="shared" ref="U19:U32" si="16">R19/F19</f>
        <v>#DIV/0!</v>
      </c>
      <c r="V19" s="514" t="e">
        <f>S19/G19</f>
        <v>#DIV/0!</v>
      </c>
      <c r="W19" s="512"/>
    </row>
    <row r="20" spans="2:23">
      <c r="B20" s="516"/>
      <c r="C20" s="519"/>
      <c r="D20" s="80">
        <f t="shared" si="6"/>
        <v>46155</v>
      </c>
      <c r="E20" s="80" t="s">
        <v>112</v>
      </c>
      <c r="F20" s="164"/>
      <c r="G20" s="517"/>
      <c r="H20" s="517"/>
      <c r="I20" s="214"/>
      <c r="J20" s="518"/>
      <c r="K20" s="518"/>
      <c r="L20" s="164"/>
      <c r="M20" s="517"/>
      <c r="N20" s="517"/>
      <c r="O20" s="154" t="e">
        <f t="shared" si="14"/>
        <v>#DIV/0!</v>
      </c>
      <c r="P20" s="514"/>
      <c r="Q20" s="512"/>
      <c r="R20" s="165"/>
      <c r="S20" s="513"/>
      <c r="T20" s="517"/>
      <c r="U20" s="154" t="e">
        <f t="shared" si="16"/>
        <v>#DIV/0!</v>
      </c>
      <c r="V20" s="514"/>
      <c r="W20" s="512"/>
    </row>
    <row r="21" spans="2:23">
      <c r="B21" s="516"/>
      <c r="C21" s="519"/>
      <c r="D21" s="80">
        <f t="shared" si="6"/>
        <v>46156</v>
      </c>
      <c r="E21" s="80" t="s">
        <v>113</v>
      </c>
      <c r="F21" s="164"/>
      <c r="G21" s="517"/>
      <c r="H21" s="517"/>
      <c r="I21" s="214"/>
      <c r="J21" s="518"/>
      <c r="K21" s="518"/>
      <c r="L21" s="164"/>
      <c r="M21" s="517"/>
      <c r="N21" s="517"/>
      <c r="O21" s="154" t="e">
        <f t="shared" si="14"/>
        <v>#DIV/0!</v>
      </c>
      <c r="P21" s="514"/>
      <c r="Q21" s="512"/>
      <c r="R21" s="165"/>
      <c r="S21" s="513"/>
      <c r="T21" s="517"/>
      <c r="U21" s="154" t="e">
        <f t="shared" si="16"/>
        <v>#DIV/0!</v>
      </c>
      <c r="V21" s="514"/>
      <c r="W21" s="512"/>
    </row>
    <row r="22" spans="2:23">
      <c r="B22" s="516"/>
      <c r="C22" s="519"/>
      <c r="D22" s="80">
        <f t="shared" si="6"/>
        <v>46157</v>
      </c>
      <c r="E22" s="80" t="s">
        <v>114</v>
      </c>
      <c r="F22" s="164"/>
      <c r="G22" s="517"/>
      <c r="H22" s="517"/>
      <c r="I22" s="214"/>
      <c r="J22" s="518"/>
      <c r="K22" s="518"/>
      <c r="L22" s="164"/>
      <c r="M22" s="517"/>
      <c r="N22" s="517"/>
      <c r="O22" s="154" t="e">
        <f t="shared" si="14"/>
        <v>#DIV/0!</v>
      </c>
      <c r="P22" s="514"/>
      <c r="Q22" s="512"/>
      <c r="R22" s="165"/>
      <c r="S22" s="513"/>
      <c r="T22" s="517"/>
      <c r="U22" s="154" t="e">
        <f t="shared" si="16"/>
        <v>#DIV/0!</v>
      </c>
      <c r="V22" s="514"/>
      <c r="W22" s="512"/>
    </row>
    <row r="23" spans="2:23">
      <c r="B23" s="516"/>
      <c r="C23" s="519"/>
      <c r="D23" s="80">
        <f t="shared" si="6"/>
        <v>46158</v>
      </c>
      <c r="E23" s="80" t="s">
        <v>115</v>
      </c>
      <c r="F23" s="164"/>
      <c r="G23" s="517"/>
      <c r="H23" s="517"/>
      <c r="I23" s="214"/>
      <c r="J23" s="518"/>
      <c r="K23" s="518"/>
      <c r="L23" s="164"/>
      <c r="M23" s="517"/>
      <c r="N23" s="517"/>
      <c r="O23" s="154" t="e">
        <f t="shared" si="14"/>
        <v>#DIV/0!</v>
      </c>
      <c r="P23" s="514"/>
      <c r="Q23" s="512"/>
      <c r="R23" s="165"/>
      <c r="S23" s="513"/>
      <c r="T23" s="517"/>
      <c r="U23" s="154" t="e">
        <f t="shared" si="16"/>
        <v>#DIV/0!</v>
      </c>
      <c r="V23" s="514"/>
      <c r="W23" s="512"/>
    </row>
    <row r="24" spans="2:23">
      <c r="B24" s="516"/>
      <c r="C24" s="519"/>
      <c r="D24" s="80">
        <f t="shared" si="6"/>
        <v>46159</v>
      </c>
      <c r="E24" s="80" t="s">
        <v>116</v>
      </c>
      <c r="F24" s="164"/>
      <c r="G24" s="517"/>
      <c r="H24" s="517"/>
      <c r="I24" s="214"/>
      <c r="J24" s="518"/>
      <c r="K24" s="518"/>
      <c r="L24" s="164"/>
      <c r="M24" s="517"/>
      <c r="N24" s="517"/>
      <c r="O24" s="154" t="e">
        <f t="shared" si="14"/>
        <v>#DIV/0!</v>
      </c>
      <c r="P24" s="514"/>
      <c r="Q24" s="512"/>
      <c r="R24" s="165"/>
      <c r="S24" s="513"/>
      <c r="T24" s="517"/>
      <c r="U24" s="154" t="e">
        <f t="shared" si="16"/>
        <v>#DIV/0!</v>
      </c>
      <c r="V24" s="514"/>
      <c r="W24" s="512"/>
    </row>
    <row r="25" spans="2:23">
      <c r="B25" s="516"/>
      <c r="C25" s="519"/>
      <c r="D25" s="80">
        <f t="shared" si="6"/>
        <v>46160</v>
      </c>
      <c r="E25" s="80" t="s">
        <v>117</v>
      </c>
      <c r="F25" s="164"/>
      <c r="G25" s="517"/>
      <c r="H25" s="517"/>
      <c r="I25" s="214"/>
      <c r="J25" s="518"/>
      <c r="K25" s="518"/>
      <c r="L25" s="164"/>
      <c r="M25" s="517"/>
      <c r="N25" s="517"/>
      <c r="O25" s="154" t="e">
        <f t="shared" si="14"/>
        <v>#DIV/0!</v>
      </c>
      <c r="P25" s="514"/>
      <c r="Q25" s="512"/>
      <c r="R25" s="165"/>
      <c r="S25" s="513"/>
      <c r="T25" s="517"/>
      <c r="U25" s="154" t="e">
        <f t="shared" si="16"/>
        <v>#DIV/0!</v>
      </c>
      <c r="V25" s="514"/>
      <c r="W25" s="512"/>
    </row>
    <row r="26" spans="2:23">
      <c r="B26" s="515">
        <f>B19+7</f>
        <v>46169</v>
      </c>
      <c r="C26" s="519"/>
      <c r="D26" s="80">
        <f t="shared" si="6"/>
        <v>46161</v>
      </c>
      <c r="E26" s="80" t="s">
        <v>118</v>
      </c>
      <c r="F26" s="164"/>
      <c r="G26" s="517">
        <f>SUM(F26:F32)</f>
        <v>0</v>
      </c>
      <c r="H26" s="517"/>
      <c r="I26" s="214"/>
      <c r="J26" s="518">
        <f t="shared" ref="J26" si="17">SUM(I26:I32)</f>
        <v>0</v>
      </c>
      <c r="K26" s="518"/>
      <c r="L26" s="164"/>
      <c r="M26" s="517">
        <f t="shared" ref="M26" si="18">SUM(L26:L32)</f>
        <v>0</v>
      </c>
      <c r="N26" s="517"/>
      <c r="O26" s="154" t="e">
        <f t="shared" si="14"/>
        <v>#DIV/0!</v>
      </c>
      <c r="P26" s="514" t="e">
        <f>M26/G26</f>
        <v>#DIV/0!</v>
      </c>
      <c r="Q26" s="512"/>
      <c r="R26" s="165"/>
      <c r="S26" s="513">
        <f t="shared" ref="S26" si="19">SUM(R26:R32)</f>
        <v>0</v>
      </c>
      <c r="T26" s="517"/>
      <c r="U26" s="154" t="e">
        <f t="shared" si="16"/>
        <v>#DIV/0!</v>
      </c>
      <c r="V26" s="514" t="e">
        <f>S26/G26</f>
        <v>#DIV/0!</v>
      </c>
      <c r="W26" s="512"/>
    </row>
    <row r="27" spans="2:23">
      <c r="B27" s="516"/>
      <c r="C27" s="519"/>
      <c r="D27" s="80">
        <f t="shared" si="6"/>
        <v>46162</v>
      </c>
      <c r="E27" s="80" t="s">
        <v>112</v>
      </c>
      <c r="F27" s="164"/>
      <c r="G27" s="517"/>
      <c r="H27" s="517"/>
      <c r="I27" s="214"/>
      <c r="J27" s="518"/>
      <c r="K27" s="518"/>
      <c r="L27" s="164"/>
      <c r="M27" s="517"/>
      <c r="N27" s="517"/>
      <c r="O27" s="154" t="e">
        <f t="shared" si="14"/>
        <v>#DIV/0!</v>
      </c>
      <c r="P27" s="514"/>
      <c r="Q27" s="512"/>
      <c r="R27" s="165"/>
      <c r="S27" s="513"/>
      <c r="T27" s="517"/>
      <c r="U27" s="154" t="e">
        <f t="shared" si="16"/>
        <v>#DIV/0!</v>
      </c>
      <c r="V27" s="514"/>
      <c r="W27" s="512"/>
    </row>
    <row r="28" spans="2:23">
      <c r="B28" s="516"/>
      <c r="C28" s="519"/>
      <c r="D28" s="80">
        <f t="shared" si="6"/>
        <v>46163</v>
      </c>
      <c r="E28" s="80" t="s">
        <v>113</v>
      </c>
      <c r="F28" s="164"/>
      <c r="G28" s="517"/>
      <c r="H28" s="517"/>
      <c r="I28" s="214"/>
      <c r="J28" s="518"/>
      <c r="K28" s="518"/>
      <c r="L28" s="164"/>
      <c r="M28" s="517"/>
      <c r="N28" s="517"/>
      <c r="O28" s="154" t="e">
        <f t="shared" si="14"/>
        <v>#DIV/0!</v>
      </c>
      <c r="P28" s="514"/>
      <c r="Q28" s="512"/>
      <c r="R28" s="165"/>
      <c r="S28" s="513"/>
      <c r="T28" s="517"/>
      <c r="U28" s="154" t="e">
        <f t="shared" si="16"/>
        <v>#DIV/0!</v>
      </c>
      <c r="V28" s="514"/>
      <c r="W28" s="512"/>
    </row>
    <row r="29" spans="2:23">
      <c r="B29" s="516"/>
      <c r="C29" s="519"/>
      <c r="D29" s="80">
        <f t="shared" si="6"/>
        <v>46164</v>
      </c>
      <c r="E29" s="80" t="s">
        <v>114</v>
      </c>
      <c r="F29" s="164"/>
      <c r="G29" s="517"/>
      <c r="H29" s="517"/>
      <c r="I29" s="214"/>
      <c r="J29" s="518"/>
      <c r="K29" s="518"/>
      <c r="L29" s="164"/>
      <c r="M29" s="517"/>
      <c r="N29" s="517"/>
      <c r="O29" s="154" t="e">
        <f t="shared" si="14"/>
        <v>#DIV/0!</v>
      </c>
      <c r="P29" s="514"/>
      <c r="Q29" s="512"/>
      <c r="R29" s="165"/>
      <c r="S29" s="513"/>
      <c r="T29" s="517"/>
      <c r="U29" s="154" t="e">
        <f t="shared" si="16"/>
        <v>#DIV/0!</v>
      </c>
      <c r="V29" s="514"/>
      <c r="W29" s="512"/>
    </row>
    <row r="30" spans="2:23">
      <c r="B30" s="516"/>
      <c r="C30" s="519"/>
      <c r="D30" s="80">
        <f t="shared" si="6"/>
        <v>46165</v>
      </c>
      <c r="E30" s="80" t="s">
        <v>115</v>
      </c>
      <c r="F30" s="164"/>
      <c r="G30" s="517"/>
      <c r="H30" s="517"/>
      <c r="I30" s="214"/>
      <c r="J30" s="518"/>
      <c r="K30" s="518"/>
      <c r="L30" s="164"/>
      <c r="M30" s="517"/>
      <c r="N30" s="517"/>
      <c r="O30" s="154" t="e">
        <f t="shared" si="14"/>
        <v>#DIV/0!</v>
      </c>
      <c r="P30" s="514"/>
      <c r="Q30" s="512"/>
      <c r="R30" s="165"/>
      <c r="S30" s="513"/>
      <c r="T30" s="517"/>
      <c r="U30" s="154" t="e">
        <f t="shared" si="16"/>
        <v>#DIV/0!</v>
      </c>
      <c r="V30" s="514"/>
      <c r="W30" s="512"/>
    </row>
    <row r="31" spans="2:23">
      <c r="B31" s="516"/>
      <c r="C31" s="519"/>
      <c r="D31" s="80">
        <f t="shared" si="6"/>
        <v>46166</v>
      </c>
      <c r="E31" s="80" t="s">
        <v>116</v>
      </c>
      <c r="F31" s="164"/>
      <c r="G31" s="517"/>
      <c r="H31" s="517"/>
      <c r="I31" s="214"/>
      <c r="J31" s="518"/>
      <c r="K31" s="518"/>
      <c r="L31" s="164"/>
      <c r="M31" s="517"/>
      <c r="N31" s="517"/>
      <c r="O31" s="154" t="e">
        <f t="shared" si="14"/>
        <v>#DIV/0!</v>
      </c>
      <c r="P31" s="514"/>
      <c r="Q31" s="512"/>
      <c r="R31" s="165"/>
      <c r="S31" s="513"/>
      <c r="T31" s="517"/>
      <c r="U31" s="154" t="e">
        <f t="shared" si="16"/>
        <v>#DIV/0!</v>
      </c>
      <c r="V31" s="514"/>
      <c r="W31" s="512"/>
    </row>
    <row r="32" spans="2:23">
      <c r="B32" s="516"/>
      <c r="C32" s="519"/>
      <c r="D32" s="80">
        <f t="shared" si="6"/>
        <v>46167</v>
      </c>
      <c r="E32" s="80" t="s">
        <v>117</v>
      </c>
      <c r="F32" s="164"/>
      <c r="G32" s="517"/>
      <c r="H32" s="517"/>
      <c r="I32" s="214"/>
      <c r="J32" s="518"/>
      <c r="K32" s="518"/>
      <c r="L32" s="164"/>
      <c r="M32" s="517"/>
      <c r="N32" s="517"/>
      <c r="O32" s="154" t="e">
        <f t="shared" si="14"/>
        <v>#DIV/0!</v>
      </c>
      <c r="P32" s="514"/>
      <c r="Q32" s="512"/>
      <c r="R32" s="165"/>
      <c r="S32" s="513"/>
      <c r="T32" s="517"/>
      <c r="U32" s="154" t="e">
        <f t="shared" si="16"/>
        <v>#DIV/0!</v>
      </c>
      <c r="V32" s="514"/>
      <c r="W32" s="512"/>
    </row>
    <row r="33" spans="2:23">
      <c r="B33" s="515">
        <f>B26+7</f>
        <v>46176</v>
      </c>
      <c r="C33" s="519"/>
      <c r="D33" s="80">
        <f t="shared" si="6"/>
        <v>46168</v>
      </c>
      <c r="E33" s="80" t="s">
        <v>118</v>
      </c>
      <c r="F33" s="164"/>
      <c r="G33" s="517">
        <f>SUM(F33:F39)</f>
        <v>0</v>
      </c>
      <c r="H33" s="517"/>
      <c r="I33" s="214"/>
      <c r="J33" s="518">
        <f t="shared" ref="J33" si="20">SUM(I33:I39)</f>
        <v>0</v>
      </c>
      <c r="K33" s="518"/>
      <c r="L33" s="164"/>
      <c r="M33" s="517">
        <f t="shared" ref="M33" si="21">SUM(L33:L39)</f>
        <v>0</v>
      </c>
      <c r="N33" s="517"/>
      <c r="O33" s="154" t="e">
        <f t="shared" ref="O33:O60" si="22">L33/F33</f>
        <v>#DIV/0!</v>
      </c>
      <c r="P33" s="514" t="e">
        <f>M33/G33</f>
        <v>#DIV/0!</v>
      </c>
      <c r="Q33" s="512"/>
      <c r="R33" s="165"/>
      <c r="S33" s="513">
        <f t="shared" ref="S33" si="23">SUM(R33:R39)</f>
        <v>0</v>
      </c>
      <c r="T33" s="517"/>
      <c r="U33" s="154" t="e">
        <f t="shared" ref="U33:U60" si="24">R33/F33</f>
        <v>#DIV/0!</v>
      </c>
      <c r="V33" s="514" t="e">
        <f>S33/G33</f>
        <v>#DIV/0!</v>
      </c>
      <c r="W33" s="512"/>
    </row>
    <row r="34" spans="2:23">
      <c r="B34" s="516"/>
      <c r="C34" s="519"/>
      <c r="D34" s="80">
        <f t="shared" si="6"/>
        <v>46169</v>
      </c>
      <c r="E34" s="80" t="s">
        <v>112</v>
      </c>
      <c r="F34" s="164"/>
      <c r="G34" s="517"/>
      <c r="H34" s="517"/>
      <c r="I34" s="214"/>
      <c r="J34" s="518"/>
      <c r="K34" s="518"/>
      <c r="L34" s="164"/>
      <c r="M34" s="517"/>
      <c r="N34" s="517"/>
      <c r="O34" s="154" t="e">
        <f t="shared" si="22"/>
        <v>#DIV/0!</v>
      </c>
      <c r="P34" s="514"/>
      <c r="Q34" s="512"/>
      <c r="R34" s="165"/>
      <c r="S34" s="513"/>
      <c r="T34" s="517"/>
      <c r="U34" s="154" t="e">
        <f t="shared" si="24"/>
        <v>#DIV/0!</v>
      </c>
      <c r="V34" s="514"/>
      <c r="W34" s="512"/>
    </row>
    <row r="35" spans="2:23">
      <c r="B35" s="516"/>
      <c r="C35" s="519"/>
      <c r="D35" s="80">
        <f t="shared" si="6"/>
        <v>46170</v>
      </c>
      <c r="E35" s="80" t="s">
        <v>113</v>
      </c>
      <c r="F35" s="164"/>
      <c r="G35" s="517"/>
      <c r="H35" s="517"/>
      <c r="I35" s="214"/>
      <c r="J35" s="518"/>
      <c r="K35" s="518"/>
      <c r="L35" s="164"/>
      <c r="M35" s="517"/>
      <c r="N35" s="517"/>
      <c r="O35" s="154" t="e">
        <f t="shared" si="22"/>
        <v>#DIV/0!</v>
      </c>
      <c r="P35" s="514"/>
      <c r="Q35" s="512"/>
      <c r="R35" s="165"/>
      <c r="S35" s="513"/>
      <c r="T35" s="517"/>
      <c r="U35" s="154" t="e">
        <f t="shared" si="24"/>
        <v>#DIV/0!</v>
      </c>
      <c r="V35" s="514"/>
      <c r="W35" s="512"/>
    </row>
    <row r="36" spans="2:23">
      <c r="B36" s="516"/>
      <c r="C36" s="519"/>
      <c r="D36" s="80">
        <f t="shared" si="6"/>
        <v>46171</v>
      </c>
      <c r="E36" s="80" t="s">
        <v>114</v>
      </c>
      <c r="F36" s="164"/>
      <c r="G36" s="517"/>
      <c r="H36" s="517"/>
      <c r="I36" s="214"/>
      <c r="J36" s="518"/>
      <c r="K36" s="518"/>
      <c r="L36" s="164"/>
      <c r="M36" s="517"/>
      <c r="N36" s="517"/>
      <c r="O36" s="154" t="e">
        <f t="shared" si="22"/>
        <v>#DIV/0!</v>
      </c>
      <c r="P36" s="514"/>
      <c r="Q36" s="512"/>
      <c r="R36" s="165"/>
      <c r="S36" s="513"/>
      <c r="T36" s="517"/>
      <c r="U36" s="154" t="e">
        <f t="shared" si="24"/>
        <v>#DIV/0!</v>
      </c>
      <c r="V36" s="514"/>
      <c r="W36" s="512"/>
    </row>
    <row r="37" spans="2:23">
      <c r="B37" s="516"/>
      <c r="C37" s="519"/>
      <c r="D37" s="80">
        <f t="shared" si="6"/>
        <v>46172</v>
      </c>
      <c r="E37" s="80" t="s">
        <v>115</v>
      </c>
      <c r="F37" s="164"/>
      <c r="G37" s="517"/>
      <c r="H37" s="517"/>
      <c r="I37" s="214"/>
      <c r="J37" s="518"/>
      <c r="K37" s="518"/>
      <c r="L37" s="164"/>
      <c r="M37" s="517"/>
      <c r="N37" s="517"/>
      <c r="O37" s="154" t="e">
        <f t="shared" si="22"/>
        <v>#DIV/0!</v>
      </c>
      <c r="P37" s="514"/>
      <c r="Q37" s="512"/>
      <c r="R37" s="165"/>
      <c r="S37" s="513"/>
      <c r="T37" s="517"/>
      <c r="U37" s="154" t="e">
        <f t="shared" si="24"/>
        <v>#DIV/0!</v>
      </c>
      <c r="V37" s="514"/>
      <c r="W37" s="512"/>
    </row>
    <row r="38" spans="2:23">
      <c r="B38" s="516"/>
      <c r="C38" s="519"/>
      <c r="D38" s="80">
        <f t="shared" si="6"/>
        <v>46173</v>
      </c>
      <c r="E38" s="80" t="s">
        <v>116</v>
      </c>
      <c r="F38" s="164"/>
      <c r="G38" s="517"/>
      <c r="H38" s="517"/>
      <c r="I38" s="214"/>
      <c r="J38" s="518"/>
      <c r="K38" s="518"/>
      <c r="L38" s="164"/>
      <c r="M38" s="517"/>
      <c r="N38" s="517"/>
      <c r="O38" s="154" t="e">
        <f t="shared" si="22"/>
        <v>#DIV/0!</v>
      </c>
      <c r="P38" s="514"/>
      <c r="Q38" s="512"/>
      <c r="R38" s="165"/>
      <c r="S38" s="513"/>
      <c r="T38" s="517"/>
      <c r="U38" s="154" t="e">
        <f t="shared" si="24"/>
        <v>#DIV/0!</v>
      </c>
      <c r="V38" s="514"/>
      <c r="W38" s="512"/>
    </row>
    <row r="39" spans="2:23">
      <c r="B39" s="516"/>
      <c r="C39" s="519" t="s">
        <v>115</v>
      </c>
      <c r="D39" s="80">
        <f t="shared" si="6"/>
        <v>46174</v>
      </c>
      <c r="E39" s="80" t="s">
        <v>117</v>
      </c>
      <c r="F39" s="164"/>
      <c r="G39" s="517"/>
      <c r="I39" s="214"/>
      <c r="J39" s="518"/>
      <c r="L39" s="164"/>
      <c r="M39" s="517"/>
      <c r="O39" s="154" t="e">
        <f t="shared" si="22"/>
        <v>#DIV/0!</v>
      </c>
      <c r="P39" s="514"/>
      <c r="R39" s="165"/>
      <c r="S39" s="513"/>
      <c r="U39" s="154" t="e">
        <f t="shared" si="24"/>
        <v>#DIV/0!</v>
      </c>
      <c r="V39" s="514"/>
    </row>
    <row r="40" spans="2:23">
      <c r="B40" s="515">
        <f>B33+7</f>
        <v>46183</v>
      </c>
      <c r="C40" s="519"/>
      <c r="D40" s="80">
        <f t="shared" si="6"/>
        <v>46175</v>
      </c>
      <c r="E40" s="80" t="s">
        <v>118</v>
      </c>
      <c r="F40" s="164"/>
      <c r="G40" s="517">
        <f>SUM(F40:F46)</f>
        <v>0</v>
      </c>
      <c r="I40" s="214"/>
      <c r="J40" s="518">
        <f t="shared" ref="J40" si="25">SUM(I40:I46)</f>
        <v>0</v>
      </c>
      <c r="L40" s="164"/>
      <c r="M40" s="517">
        <f t="shared" ref="M40" si="26">SUM(L40:L46)</f>
        <v>0</v>
      </c>
      <c r="O40" s="154" t="e">
        <f t="shared" si="22"/>
        <v>#DIV/0!</v>
      </c>
      <c r="P40" s="514" t="e">
        <f>M40/G40</f>
        <v>#DIV/0!</v>
      </c>
      <c r="R40" s="165"/>
      <c r="S40" s="513">
        <f t="shared" ref="S40" si="27">SUM(R40:R46)</f>
        <v>0</v>
      </c>
      <c r="U40" s="154" t="e">
        <f t="shared" si="24"/>
        <v>#DIV/0!</v>
      </c>
      <c r="V40" s="514" t="e">
        <f>S40/G40</f>
        <v>#DIV/0!</v>
      </c>
    </row>
    <row r="41" spans="2:23">
      <c r="B41" s="516"/>
      <c r="C41" s="519"/>
      <c r="D41" s="80">
        <f t="shared" si="6"/>
        <v>46176</v>
      </c>
      <c r="E41" s="80" t="s">
        <v>112</v>
      </c>
      <c r="F41" s="164"/>
      <c r="G41" s="517"/>
      <c r="I41" s="214"/>
      <c r="J41" s="518"/>
      <c r="L41" s="164"/>
      <c r="M41" s="517"/>
      <c r="O41" s="154" t="e">
        <f t="shared" si="22"/>
        <v>#DIV/0!</v>
      </c>
      <c r="P41" s="514"/>
      <c r="R41" s="165"/>
      <c r="S41" s="513"/>
      <c r="U41" s="154" t="e">
        <f t="shared" si="24"/>
        <v>#DIV/0!</v>
      </c>
      <c r="V41" s="514"/>
    </row>
    <row r="42" spans="2:23">
      <c r="B42" s="516"/>
      <c r="C42" s="519"/>
      <c r="D42" s="80">
        <f t="shared" si="6"/>
        <v>46177</v>
      </c>
      <c r="E42" s="80" t="s">
        <v>113</v>
      </c>
      <c r="F42" s="164"/>
      <c r="G42" s="517"/>
      <c r="I42" s="214"/>
      <c r="J42" s="518"/>
      <c r="L42" s="164"/>
      <c r="M42" s="517"/>
      <c r="O42" s="154" t="e">
        <f t="shared" si="22"/>
        <v>#DIV/0!</v>
      </c>
      <c r="P42" s="514"/>
      <c r="R42" s="165"/>
      <c r="S42" s="513"/>
      <c r="U42" s="154" t="e">
        <f t="shared" si="24"/>
        <v>#DIV/0!</v>
      </c>
      <c r="V42" s="514"/>
    </row>
    <row r="43" spans="2:23">
      <c r="B43" s="516"/>
      <c r="C43" s="519"/>
      <c r="D43" s="80">
        <f t="shared" si="6"/>
        <v>46178</v>
      </c>
      <c r="E43" s="80" t="s">
        <v>114</v>
      </c>
      <c r="F43" s="164"/>
      <c r="G43" s="517"/>
      <c r="H43" s="164"/>
      <c r="I43" s="214"/>
      <c r="J43" s="518"/>
      <c r="K43" s="214"/>
      <c r="L43" s="164"/>
      <c r="M43" s="517"/>
      <c r="N43" s="164"/>
      <c r="O43" s="154" t="e">
        <f t="shared" si="22"/>
        <v>#DIV/0!</v>
      </c>
      <c r="P43" s="514"/>
      <c r="Q43" s="458"/>
      <c r="R43" s="165"/>
      <c r="S43" s="513"/>
      <c r="T43" s="164"/>
      <c r="U43" s="154" t="e">
        <f t="shared" si="24"/>
        <v>#DIV/0!</v>
      </c>
      <c r="V43" s="514"/>
      <c r="W43" s="458"/>
    </row>
    <row r="44" spans="2:23">
      <c r="B44" s="516"/>
      <c r="C44" s="519"/>
      <c r="D44" s="80">
        <f t="shared" si="6"/>
        <v>46179</v>
      </c>
      <c r="E44" s="80" t="s">
        <v>115</v>
      </c>
      <c r="F44" s="164"/>
      <c r="G44" s="517"/>
      <c r="I44" s="214"/>
      <c r="J44" s="518"/>
      <c r="L44" s="164"/>
      <c r="M44" s="517"/>
      <c r="O44" s="154" t="e">
        <f t="shared" si="22"/>
        <v>#DIV/0!</v>
      </c>
      <c r="P44" s="514"/>
      <c r="R44" s="165"/>
      <c r="S44" s="513"/>
      <c r="U44" s="154" t="e">
        <f t="shared" si="24"/>
        <v>#DIV/0!</v>
      </c>
      <c r="V44" s="514"/>
    </row>
    <row r="45" spans="2:23">
      <c r="B45" s="516"/>
      <c r="C45" s="519"/>
      <c r="D45" s="80">
        <f t="shared" si="6"/>
        <v>46180</v>
      </c>
      <c r="E45" s="80" t="s">
        <v>116</v>
      </c>
      <c r="F45" s="164"/>
      <c r="G45" s="517"/>
      <c r="I45" s="214"/>
      <c r="J45" s="518"/>
      <c r="L45" s="164"/>
      <c r="M45" s="517"/>
      <c r="O45" s="154" t="e">
        <f t="shared" si="22"/>
        <v>#DIV/0!</v>
      </c>
      <c r="P45" s="514"/>
      <c r="R45" s="165"/>
      <c r="S45" s="513"/>
      <c r="U45" s="154" t="e">
        <f t="shared" si="24"/>
        <v>#DIV/0!</v>
      </c>
      <c r="V45" s="514"/>
    </row>
    <row r="46" spans="2:23">
      <c r="B46" s="516"/>
      <c r="C46" s="519"/>
      <c r="D46" s="80">
        <f t="shared" si="6"/>
        <v>46181</v>
      </c>
      <c r="E46" s="80" t="s">
        <v>117</v>
      </c>
      <c r="F46" s="164"/>
      <c r="G46" s="517"/>
      <c r="I46" s="214"/>
      <c r="J46" s="518"/>
      <c r="L46" s="164"/>
      <c r="M46" s="517"/>
      <c r="O46" s="154" t="e">
        <f t="shared" si="22"/>
        <v>#DIV/0!</v>
      </c>
      <c r="P46" s="514"/>
      <c r="R46" s="165"/>
      <c r="S46" s="513"/>
      <c r="U46" s="154" t="e">
        <f t="shared" si="24"/>
        <v>#DIV/0!</v>
      </c>
      <c r="V46" s="514"/>
    </row>
    <row r="47" spans="2:23">
      <c r="B47" s="515">
        <f>B40+7</f>
        <v>46190</v>
      </c>
      <c r="C47" s="519"/>
      <c r="D47" s="80">
        <f t="shared" si="6"/>
        <v>46182</v>
      </c>
      <c r="E47" s="80" t="s">
        <v>118</v>
      </c>
      <c r="F47" s="164"/>
      <c r="G47" s="517">
        <f>SUM(F47:F53)</f>
        <v>0</v>
      </c>
      <c r="I47" s="214"/>
      <c r="J47" s="518">
        <f t="shared" ref="J47" si="28">SUM(I47:I53)</f>
        <v>0</v>
      </c>
      <c r="L47" s="164"/>
      <c r="M47" s="517">
        <f t="shared" ref="M47" si="29">SUM(L47:L53)</f>
        <v>0</v>
      </c>
      <c r="O47" s="154" t="e">
        <f t="shared" si="22"/>
        <v>#DIV/0!</v>
      </c>
      <c r="P47" s="514" t="e">
        <f>M47/G47</f>
        <v>#DIV/0!</v>
      </c>
      <c r="R47" s="165"/>
      <c r="S47" s="513">
        <f t="shared" ref="S47" si="30">SUM(R47:R53)</f>
        <v>0</v>
      </c>
      <c r="U47" s="154" t="e">
        <f t="shared" si="24"/>
        <v>#DIV/0!</v>
      </c>
      <c r="V47" s="514" t="e">
        <f>S47/G47</f>
        <v>#DIV/0!</v>
      </c>
    </row>
    <row r="48" spans="2:23">
      <c r="B48" s="516"/>
      <c r="C48" s="519"/>
      <c r="D48" s="80">
        <f t="shared" si="6"/>
        <v>46183</v>
      </c>
      <c r="E48" s="80" t="s">
        <v>112</v>
      </c>
      <c r="F48" s="164"/>
      <c r="G48" s="517"/>
      <c r="I48" s="214"/>
      <c r="J48" s="518"/>
      <c r="L48" s="164"/>
      <c r="M48" s="517"/>
      <c r="O48" s="154" t="e">
        <f t="shared" si="22"/>
        <v>#DIV/0!</v>
      </c>
      <c r="P48" s="514"/>
      <c r="R48" s="165"/>
      <c r="S48" s="513"/>
      <c r="U48" s="154" t="e">
        <f t="shared" si="24"/>
        <v>#DIV/0!</v>
      </c>
      <c r="V48" s="514"/>
    </row>
    <row r="49" spans="2:23">
      <c r="B49" s="516"/>
      <c r="C49" s="519"/>
      <c r="D49" s="80">
        <f t="shared" si="6"/>
        <v>46184</v>
      </c>
      <c r="E49" s="80" t="s">
        <v>113</v>
      </c>
      <c r="F49" s="164"/>
      <c r="G49" s="517"/>
      <c r="I49" s="214"/>
      <c r="J49" s="518"/>
      <c r="L49" s="164"/>
      <c r="M49" s="517"/>
      <c r="O49" s="154" t="e">
        <f t="shared" si="22"/>
        <v>#DIV/0!</v>
      </c>
      <c r="P49" s="514"/>
      <c r="R49" s="165"/>
      <c r="S49" s="513"/>
      <c r="U49" s="154" t="e">
        <f t="shared" si="24"/>
        <v>#DIV/0!</v>
      </c>
      <c r="V49" s="514"/>
    </row>
    <row r="50" spans="2:23">
      <c r="B50" s="516"/>
      <c r="C50" s="519"/>
      <c r="D50" s="80">
        <f t="shared" si="6"/>
        <v>46185</v>
      </c>
      <c r="E50" s="80" t="s">
        <v>114</v>
      </c>
      <c r="F50" s="164"/>
      <c r="G50" s="517"/>
      <c r="H50" s="164"/>
      <c r="I50" s="214"/>
      <c r="J50" s="518"/>
      <c r="K50" s="214"/>
      <c r="L50" s="164"/>
      <c r="M50" s="517"/>
      <c r="N50" s="164"/>
      <c r="O50" s="154" t="e">
        <f t="shared" si="22"/>
        <v>#DIV/0!</v>
      </c>
      <c r="P50" s="514"/>
      <c r="Q50" s="458"/>
      <c r="R50" s="165"/>
      <c r="S50" s="513"/>
      <c r="T50" s="164"/>
      <c r="U50" s="154" t="e">
        <f t="shared" si="24"/>
        <v>#DIV/0!</v>
      </c>
      <c r="V50" s="514"/>
      <c r="W50" s="458"/>
    </row>
    <row r="51" spans="2:23">
      <c r="B51" s="516"/>
      <c r="C51" s="519"/>
      <c r="D51" s="80">
        <f t="shared" si="6"/>
        <v>46186</v>
      </c>
      <c r="E51" s="80" t="s">
        <v>115</v>
      </c>
      <c r="F51" s="164"/>
      <c r="G51" s="517"/>
      <c r="I51" s="214"/>
      <c r="J51" s="518"/>
      <c r="L51" s="164"/>
      <c r="M51" s="517"/>
      <c r="O51" s="154" t="e">
        <f t="shared" si="22"/>
        <v>#DIV/0!</v>
      </c>
      <c r="P51" s="514"/>
      <c r="R51" s="165"/>
      <c r="S51" s="513"/>
      <c r="U51" s="154" t="e">
        <f t="shared" si="24"/>
        <v>#DIV/0!</v>
      </c>
      <c r="V51" s="514"/>
    </row>
    <row r="52" spans="2:23">
      <c r="B52" s="516"/>
      <c r="C52" s="519"/>
      <c r="D52" s="80">
        <f t="shared" si="6"/>
        <v>46187</v>
      </c>
      <c r="E52" s="80" t="s">
        <v>116</v>
      </c>
      <c r="F52" s="164"/>
      <c r="G52" s="517"/>
      <c r="I52" s="214"/>
      <c r="J52" s="518"/>
      <c r="L52" s="164"/>
      <c r="M52" s="517"/>
      <c r="O52" s="154" t="e">
        <f t="shared" si="22"/>
        <v>#DIV/0!</v>
      </c>
      <c r="P52" s="514"/>
      <c r="R52" s="165"/>
      <c r="S52" s="513"/>
      <c r="U52" s="154" t="e">
        <f t="shared" si="24"/>
        <v>#DIV/0!</v>
      </c>
      <c r="V52" s="514"/>
    </row>
    <row r="53" spans="2:23">
      <c r="B53" s="516"/>
      <c r="C53" s="519"/>
      <c r="D53" s="80">
        <f t="shared" si="6"/>
        <v>46188</v>
      </c>
      <c r="E53" s="80" t="s">
        <v>117</v>
      </c>
      <c r="F53" s="164"/>
      <c r="G53" s="517"/>
      <c r="I53" s="214"/>
      <c r="J53" s="518"/>
      <c r="L53" s="164"/>
      <c r="M53" s="517"/>
      <c r="O53" s="154" t="e">
        <f t="shared" si="22"/>
        <v>#DIV/0!</v>
      </c>
      <c r="P53" s="514"/>
      <c r="R53" s="165"/>
      <c r="S53" s="513"/>
      <c r="U53" s="154" t="e">
        <f t="shared" si="24"/>
        <v>#DIV/0!</v>
      </c>
      <c r="V53" s="514"/>
    </row>
    <row r="54" spans="2:23">
      <c r="B54" s="515">
        <f>B47+7</f>
        <v>46197</v>
      </c>
      <c r="C54" s="519"/>
      <c r="D54" s="80">
        <f t="shared" si="6"/>
        <v>46189</v>
      </c>
      <c r="E54" s="80" t="s">
        <v>118</v>
      </c>
      <c r="F54" s="164"/>
      <c r="G54" s="517">
        <f>SUM(F54:F60)</f>
        <v>0</v>
      </c>
      <c r="I54" s="214"/>
      <c r="J54" s="518">
        <f t="shared" ref="J54" si="31">SUM(I54:I60)</f>
        <v>0</v>
      </c>
      <c r="L54" s="164"/>
      <c r="M54" s="517">
        <f t="shared" ref="M54" si="32">SUM(L54:L60)</f>
        <v>0</v>
      </c>
      <c r="O54" s="154" t="e">
        <f t="shared" si="22"/>
        <v>#DIV/0!</v>
      </c>
      <c r="P54" s="514" t="e">
        <f>M54/G54</f>
        <v>#DIV/0!</v>
      </c>
      <c r="R54" s="165"/>
      <c r="S54" s="513">
        <f t="shared" ref="S54" si="33">SUM(R54:R60)</f>
        <v>0</v>
      </c>
      <c r="U54" s="154" t="e">
        <f t="shared" si="24"/>
        <v>#DIV/0!</v>
      </c>
      <c r="V54" s="514" t="e">
        <f>S54/G54</f>
        <v>#DIV/0!</v>
      </c>
    </row>
    <row r="55" spans="2:23">
      <c r="B55" s="516"/>
      <c r="C55" s="519"/>
      <c r="D55" s="80">
        <f t="shared" si="6"/>
        <v>46190</v>
      </c>
      <c r="E55" s="80" t="s">
        <v>112</v>
      </c>
      <c r="F55" s="164"/>
      <c r="G55" s="517"/>
      <c r="I55" s="214"/>
      <c r="J55" s="518"/>
      <c r="L55" s="164"/>
      <c r="M55" s="517"/>
      <c r="O55" s="154" t="e">
        <f t="shared" si="22"/>
        <v>#DIV/0!</v>
      </c>
      <c r="P55" s="514"/>
      <c r="R55" s="165"/>
      <c r="S55" s="513"/>
      <c r="U55" s="154" t="e">
        <f t="shared" si="24"/>
        <v>#DIV/0!</v>
      </c>
      <c r="V55" s="514"/>
    </row>
    <row r="56" spans="2:23">
      <c r="B56" s="516"/>
      <c r="C56" s="519"/>
      <c r="D56" s="80">
        <f t="shared" si="6"/>
        <v>46191</v>
      </c>
      <c r="E56" s="80" t="s">
        <v>113</v>
      </c>
      <c r="F56" s="164"/>
      <c r="G56" s="517"/>
      <c r="I56" s="214"/>
      <c r="J56" s="518"/>
      <c r="L56" s="164"/>
      <c r="M56" s="517"/>
      <c r="O56" s="154" t="e">
        <f t="shared" si="22"/>
        <v>#DIV/0!</v>
      </c>
      <c r="P56" s="514"/>
      <c r="R56" s="165"/>
      <c r="S56" s="513"/>
      <c r="U56" s="154" t="e">
        <f t="shared" si="24"/>
        <v>#DIV/0!</v>
      </c>
      <c r="V56" s="514"/>
    </row>
    <row r="57" spans="2:23">
      <c r="B57" s="516"/>
      <c r="C57" s="519"/>
      <c r="D57" s="80">
        <f t="shared" si="6"/>
        <v>46192</v>
      </c>
      <c r="E57" s="80" t="s">
        <v>114</v>
      </c>
      <c r="F57" s="164"/>
      <c r="G57" s="517"/>
      <c r="H57" s="164"/>
      <c r="I57" s="214"/>
      <c r="J57" s="518"/>
      <c r="K57" s="214"/>
      <c r="L57" s="164"/>
      <c r="M57" s="517"/>
      <c r="N57" s="164"/>
      <c r="O57" s="154" t="e">
        <f t="shared" si="22"/>
        <v>#DIV/0!</v>
      </c>
      <c r="P57" s="514"/>
      <c r="Q57" s="458"/>
      <c r="R57" s="165"/>
      <c r="S57" s="513"/>
      <c r="T57" s="164"/>
      <c r="U57" s="154" t="e">
        <f t="shared" si="24"/>
        <v>#DIV/0!</v>
      </c>
      <c r="V57" s="514"/>
      <c r="W57" s="458"/>
    </row>
    <row r="58" spans="2:23">
      <c r="B58" s="516"/>
      <c r="C58" s="519"/>
      <c r="D58" s="80">
        <f t="shared" si="6"/>
        <v>46193</v>
      </c>
      <c r="E58" s="80" t="s">
        <v>115</v>
      </c>
      <c r="F58" s="164"/>
      <c r="G58" s="517"/>
      <c r="I58" s="214"/>
      <c r="J58" s="518"/>
      <c r="L58" s="164"/>
      <c r="M58" s="517"/>
      <c r="O58" s="154" t="e">
        <f t="shared" si="22"/>
        <v>#DIV/0!</v>
      </c>
      <c r="P58" s="514"/>
      <c r="R58" s="165"/>
      <c r="S58" s="513"/>
      <c r="U58" s="154" t="e">
        <f t="shared" si="24"/>
        <v>#DIV/0!</v>
      </c>
      <c r="V58" s="514"/>
    </row>
    <row r="59" spans="2:23">
      <c r="B59" s="516"/>
      <c r="C59" s="519"/>
      <c r="D59" s="80">
        <f t="shared" si="6"/>
        <v>46194</v>
      </c>
      <c r="E59" s="80" t="s">
        <v>116</v>
      </c>
      <c r="F59" s="164"/>
      <c r="G59" s="517"/>
      <c r="I59" s="214"/>
      <c r="J59" s="518"/>
      <c r="L59" s="164"/>
      <c r="M59" s="517"/>
      <c r="O59" s="154" t="e">
        <f t="shared" si="22"/>
        <v>#DIV/0!</v>
      </c>
      <c r="P59" s="514"/>
      <c r="R59" s="165"/>
      <c r="S59" s="513"/>
      <c r="U59" s="154" t="e">
        <f t="shared" si="24"/>
        <v>#DIV/0!</v>
      </c>
      <c r="V59" s="514"/>
    </row>
    <row r="60" spans="2:23">
      <c r="B60" s="516"/>
      <c r="C60" s="519"/>
      <c r="D60" s="80">
        <f t="shared" si="6"/>
        <v>46195</v>
      </c>
      <c r="E60" s="80" t="s">
        <v>117</v>
      </c>
      <c r="F60" s="164"/>
      <c r="G60" s="517"/>
      <c r="I60" s="214"/>
      <c r="J60" s="518"/>
      <c r="L60" s="164"/>
      <c r="M60" s="517"/>
      <c r="O60" s="154" t="e">
        <f t="shared" si="22"/>
        <v>#DIV/0!</v>
      </c>
      <c r="P60" s="514"/>
      <c r="R60" s="165"/>
      <c r="S60" s="513"/>
      <c r="U60" s="154" t="e">
        <f t="shared" si="24"/>
        <v>#DIV/0!</v>
      </c>
      <c r="V60" s="514"/>
    </row>
    <row r="61" spans="2:23">
      <c r="B61" s="515">
        <f>B54+7</f>
        <v>46204</v>
      </c>
      <c r="C61" s="519"/>
      <c r="D61" s="80">
        <f t="shared" si="6"/>
        <v>46196</v>
      </c>
      <c r="E61" s="80" t="s">
        <v>118</v>
      </c>
      <c r="F61" s="164"/>
      <c r="G61" s="517">
        <f>SUM(F61:F67)</f>
        <v>0</v>
      </c>
      <c r="I61" s="214"/>
      <c r="J61" s="518">
        <f t="shared" ref="J61" si="34">SUM(I61:I67)</f>
        <v>0</v>
      </c>
      <c r="L61" s="164"/>
      <c r="M61" s="517">
        <f t="shared" ref="M61" si="35">SUM(L61:L67)</f>
        <v>0</v>
      </c>
      <c r="O61" s="154" t="e">
        <f t="shared" ref="O61:O67" si="36">L61/F61</f>
        <v>#DIV/0!</v>
      </c>
      <c r="P61" s="514" t="e">
        <f>M61/G61</f>
        <v>#DIV/0!</v>
      </c>
      <c r="R61" s="165"/>
      <c r="S61" s="513">
        <f t="shared" ref="S61" si="37">SUM(R61:R67)</f>
        <v>0</v>
      </c>
      <c r="U61" s="154" t="e">
        <f t="shared" ref="U61:U67" si="38">R61/F61</f>
        <v>#DIV/0!</v>
      </c>
      <c r="V61" s="514" t="e">
        <f>S61/G61</f>
        <v>#DIV/0!</v>
      </c>
    </row>
    <row r="62" spans="2:23">
      <c r="B62" s="516"/>
      <c r="C62" s="519"/>
      <c r="D62" s="80">
        <f t="shared" si="6"/>
        <v>46197</v>
      </c>
      <c r="E62" s="80" t="s">
        <v>112</v>
      </c>
      <c r="F62" s="164"/>
      <c r="G62" s="517"/>
      <c r="I62" s="214"/>
      <c r="J62" s="518"/>
      <c r="L62" s="164"/>
      <c r="M62" s="517"/>
      <c r="O62" s="154" t="e">
        <f t="shared" si="36"/>
        <v>#DIV/0!</v>
      </c>
      <c r="P62" s="514"/>
      <c r="R62" s="165"/>
      <c r="S62" s="513"/>
      <c r="U62" s="154" t="e">
        <f t="shared" si="38"/>
        <v>#DIV/0!</v>
      </c>
      <c r="V62" s="514"/>
    </row>
    <row r="63" spans="2:23">
      <c r="B63" s="516"/>
      <c r="C63" s="519"/>
      <c r="D63" s="80">
        <f t="shared" si="6"/>
        <v>46198</v>
      </c>
      <c r="E63" s="80" t="s">
        <v>113</v>
      </c>
      <c r="F63" s="164"/>
      <c r="G63" s="517"/>
      <c r="I63" s="214"/>
      <c r="J63" s="518"/>
      <c r="L63" s="164"/>
      <c r="M63" s="517"/>
      <c r="O63" s="154" t="e">
        <f t="shared" si="36"/>
        <v>#DIV/0!</v>
      </c>
      <c r="P63" s="514"/>
      <c r="R63" s="165"/>
      <c r="S63" s="513"/>
      <c r="U63" s="154" t="e">
        <f t="shared" si="38"/>
        <v>#DIV/0!</v>
      </c>
      <c r="V63" s="514"/>
    </row>
    <row r="64" spans="2:23">
      <c r="B64" s="516"/>
      <c r="C64" s="519"/>
      <c r="D64" s="80">
        <f t="shared" si="6"/>
        <v>46199</v>
      </c>
      <c r="E64" s="80" t="s">
        <v>114</v>
      </c>
      <c r="F64" s="164"/>
      <c r="G64" s="517"/>
      <c r="H64" s="164"/>
      <c r="I64" s="214"/>
      <c r="J64" s="518"/>
      <c r="K64" s="214"/>
      <c r="L64" s="164"/>
      <c r="M64" s="517"/>
      <c r="N64" s="164"/>
      <c r="O64" s="154" t="e">
        <f t="shared" si="36"/>
        <v>#DIV/0!</v>
      </c>
      <c r="P64" s="514"/>
      <c r="Q64" s="458"/>
      <c r="R64" s="165"/>
      <c r="S64" s="513"/>
      <c r="T64" s="164"/>
      <c r="U64" s="154" t="e">
        <f t="shared" si="38"/>
        <v>#DIV/0!</v>
      </c>
      <c r="V64" s="514"/>
      <c r="W64" s="458"/>
    </row>
    <row r="65" spans="2:22">
      <c r="B65" s="516"/>
      <c r="C65" s="519"/>
      <c r="D65" s="80">
        <f t="shared" si="6"/>
        <v>46200</v>
      </c>
      <c r="E65" s="80" t="s">
        <v>115</v>
      </c>
      <c r="F65" s="164"/>
      <c r="G65" s="517"/>
      <c r="I65" s="214"/>
      <c r="J65" s="518"/>
      <c r="L65" s="164"/>
      <c r="M65" s="517"/>
      <c r="O65" s="154" t="e">
        <f t="shared" si="36"/>
        <v>#DIV/0!</v>
      </c>
      <c r="P65" s="514"/>
      <c r="R65" s="165"/>
      <c r="S65" s="513"/>
      <c r="U65" s="154" t="e">
        <f t="shared" si="38"/>
        <v>#DIV/0!</v>
      </c>
      <c r="V65" s="514"/>
    </row>
    <row r="66" spans="2:22">
      <c r="B66" s="516"/>
      <c r="C66" s="519"/>
      <c r="D66" s="80">
        <f t="shared" si="6"/>
        <v>46201</v>
      </c>
      <c r="E66" s="80" t="s">
        <v>116</v>
      </c>
      <c r="F66" s="164"/>
      <c r="G66" s="517"/>
      <c r="I66" s="214"/>
      <c r="J66" s="518"/>
      <c r="L66" s="164"/>
      <c r="M66" s="517"/>
      <c r="O66" s="154" t="e">
        <f t="shared" si="36"/>
        <v>#DIV/0!</v>
      </c>
      <c r="P66" s="514"/>
      <c r="R66" s="165"/>
      <c r="S66" s="513"/>
      <c r="U66" s="154" t="e">
        <f t="shared" si="38"/>
        <v>#DIV/0!</v>
      </c>
      <c r="V66" s="514"/>
    </row>
    <row r="67" spans="2:22">
      <c r="B67" s="516"/>
      <c r="C67" s="519"/>
      <c r="D67" s="80">
        <f t="shared" si="6"/>
        <v>46202</v>
      </c>
      <c r="E67" s="80" t="s">
        <v>117</v>
      </c>
      <c r="F67" s="164"/>
      <c r="G67" s="517"/>
      <c r="I67" s="214"/>
      <c r="J67" s="518"/>
      <c r="L67" s="164"/>
      <c r="M67" s="517"/>
      <c r="O67" s="154" t="e">
        <f t="shared" si="36"/>
        <v>#DIV/0!</v>
      </c>
      <c r="P67" s="514"/>
      <c r="R67" s="165"/>
      <c r="S67" s="513"/>
      <c r="U67" s="154" t="e">
        <f t="shared" si="38"/>
        <v>#DIV/0!</v>
      </c>
      <c r="V67" s="514"/>
    </row>
    <row r="68" spans="2:22">
      <c r="C68" s="519"/>
    </row>
    <row r="69" spans="2:22">
      <c r="C69" s="519"/>
    </row>
  </sheetData>
  <mergeCells count="88">
    <mergeCell ref="W5:W7"/>
    <mergeCell ref="B5:B11"/>
    <mergeCell ref="J5:J11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V5:V11"/>
    <mergeCell ref="H5:H7"/>
    <mergeCell ref="K5:K7"/>
    <mergeCell ref="T5:T7"/>
    <mergeCell ref="S5:S11"/>
    <mergeCell ref="G5:G11"/>
    <mergeCell ref="M5:M11"/>
    <mergeCell ref="P5:P11"/>
    <mergeCell ref="J12:J18"/>
    <mergeCell ref="M12:M18"/>
    <mergeCell ref="P12:P18"/>
    <mergeCell ref="N5:N7"/>
    <mergeCell ref="Q5:Q7"/>
    <mergeCell ref="C5:C7"/>
    <mergeCell ref="S26:S32"/>
    <mergeCell ref="V26:V32"/>
    <mergeCell ref="B33:B39"/>
    <mergeCell ref="G33:G39"/>
    <mergeCell ref="J33:J39"/>
    <mergeCell ref="M33:M39"/>
    <mergeCell ref="P33:P39"/>
    <mergeCell ref="S33:S39"/>
    <mergeCell ref="V33:V39"/>
    <mergeCell ref="C8:C38"/>
    <mergeCell ref="B26:B32"/>
    <mergeCell ref="G26:G32"/>
    <mergeCell ref="J26:J32"/>
    <mergeCell ref="M26:M32"/>
    <mergeCell ref="P26:P32"/>
    <mergeCell ref="S12:S18"/>
    <mergeCell ref="V12:V18"/>
    <mergeCell ref="B19:B25"/>
    <mergeCell ref="G19:G25"/>
    <mergeCell ref="J19:J25"/>
    <mergeCell ref="M19:M25"/>
    <mergeCell ref="P19:P25"/>
    <mergeCell ref="S19:S25"/>
    <mergeCell ref="V19:V25"/>
    <mergeCell ref="H8:H38"/>
    <mergeCell ref="K8:K38"/>
    <mergeCell ref="N8:N38"/>
    <mergeCell ref="Q8:Q38"/>
    <mergeCell ref="T8:T38"/>
    <mergeCell ref="B12:B18"/>
    <mergeCell ref="G12:G18"/>
    <mergeCell ref="V47:V53"/>
    <mergeCell ref="B40:B46"/>
    <mergeCell ref="G40:G46"/>
    <mergeCell ref="J40:J46"/>
    <mergeCell ref="M40:M46"/>
    <mergeCell ref="P40:P46"/>
    <mergeCell ref="S40:S46"/>
    <mergeCell ref="V40:V46"/>
    <mergeCell ref="B47:B53"/>
    <mergeCell ref="G47:G53"/>
    <mergeCell ref="J47:J53"/>
    <mergeCell ref="M47:M53"/>
    <mergeCell ref="P47:P53"/>
    <mergeCell ref="S47:S53"/>
    <mergeCell ref="W8:W38"/>
    <mergeCell ref="S54:S60"/>
    <mergeCell ref="V54:V60"/>
    <mergeCell ref="B61:B67"/>
    <mergeCell ref="G61:G67"/>
    <mergeCell ref="J61:J67"/>
    <mergeCell ref="M61:M67"/>
    <mergeCell ref="P61:P67"/>
    <mergeCell ref="S61:S67"/>
    <mergeCell ref="V61:V67"/>
    <mergeCell ref="C39:C69"/>
    <mergeCell ref="B54:B60"/>
    <mergeCell ref="G54:G60"/>
    <mergeCell ref="J54:J60"/>
    <mergeCell ref="M54:M60"/>
    <mergeCell ref="P54:P60"/>
  </mergeCells>
  <phoneticPr fontId="13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B1:W67"/>
  <sheetViews>
    <sheetView zoomScale="85" zoomScaleNormal="85" workbookViewId="0">
      <selection activeCell="N8" sqref="N8:N38"/>
    </sheetView>
  </sheetViews>
  <sheetFormatPr defaultColWidth="8.81640625" defaultRowHeight="13.5"/>
  <cols>
    <col min="1" max="1" width="4.453125" style="73" customWidth="1"/>
    <col min="2" max="2" width="18.54296875" style="78" bestFit="1" customWidth="1"/>
    <col min="3" max="3" width="8.81640625" style="75"/>
    <col min="4" max="4" width="17.453125" style="77" customWidth="1"/>
    <col min="5" max="5" width="4.453125" style="77" customWidth="1"/>
    <col min="6" max="8" width="25.54296875" style="88" customWidth="1"/>
    <col min="9" max="11" width="15" style="72" customWidth="1"/>
    <col min="12" max="12" width="14.54296875" style="168" customWidth="1"/>
    <col min="13" max="17" width="14.54296875" style="72" customWidth="1"/>
    <col min="18" max="21" width="14.1796875" style="72" customWidth="1"/>
    <col min="22" max="23" width="14.1796875" style="73" customWidth="1"/>
    <col min="24" max="16384" width="8.81640625" style="73"/>
  </cols>
  <sheetData>
    <row r="1" spans="2:23">
      <c r="B1" s="163" t="s">
        <v>359</v>
      </c>
      <c r="C1" s="166">
        <v>442.4</v>
      </c>
    </row>
    <row r="2" spans="2:23" ht="38.15" customHeight="1">
      <c r="B2" s="522" t="s">
        <v>130</v>
      </c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</row>
    <row r="3" spans="2:23" s="71" customFormat="1" ht="23.5" customHeight="1">
      <c r="B3" s="526" t="s">
        <v>122</v>
      </c>
      <c r="C3" s="527" t="s">
        <v>119</v>
      </c>
      <c r="D3" s="528" t="s">
        <v>105</v>
      </c>
      <c r="E3" s="528"/>
      <c r="F3" s="536" t="s">
        <v>107</v>
      </c>
      <c r="G3" s="536"/>
      <c r="H3" s="536"/>
      <c r="I3" s="538" t="s">
        <v>108</v>
      </c>
      <c r="J3" s="538"/>
      <c r="K3" s="538"/>
      <c r="L3" s="537" t="s">
        <v>324</v>
      </c>
      <c r="M3" s="537"/>
      <c r="N3" s="537"/>
      <c r="O3" s="537" t="s">
        <v>106</v>
      </c>
      <c r="P3" s="537"/>
      <c r="Q3" s="537"/>
      <c r="R3" s="537" t="s">
        <v>358</v>
      </c>
      <c r="S3" s="537"/>
      <c r="T3" s="537"/>
      <c r="U3" s="537" t="s">
        <v>431</v>
      </c>
      <c r="V3" s="537"/>
      <c r="W3" s="537"/>
    </row>
    <row r="4" spans="2:23" ht="15">
      <c r="B4" s="526"/>
      <c r="C4" s="527"/>
      <c r="D4" s="528"/>
      <c r="E4" s="528"/>
      <c r="F4" s="79" t="s">
        <v>116</v>
      </c>
      <c r="G4" s="90" t="s">
        <v>131</v>
      </c>
      <c r="H4" s="90" t="s">
        <v>132</v>
      </c>
      <c r="I4" s="79" t="s">
        <v>116</v>
      </c>
      <c r="J4" s="89" t="s">
        <v>131</v>
      </c>
      <c r="K4" s="89" t="s">
        <v>132</v>
      </c>
      <c r="L4" s="169" t="s">
        <v>116</v>
      </c>
      <c r="M4" s="89" t="s">
        <v>131</v>
      </c>
      <c r="N4" s="89" t="s">
        <v>132</v>
      </c>
      <c r="O4" s="167" t="s">
        <v>116</v>
      </c>
      <c r="P4" s="89" t="s">
        <v>131</v>
      </c>
      <c r="Q4" s="89" t="s">
        <v>132</v>
      </c>
      <c r="R4" s="79" t="s">
        <v>116</v>
      </c>
      <c r="S4" s="89" t="s">
        <v>131</v>
      </c>
      <c r="T4" s="89" t="s">
        <v>132</v>
      </c>
      <c r="U4" s="79" t="s">
        <v>116</v>
      </c>
      <c r="V4" s="89" t="s">
        <v>131</v>
      </c>
      <c r="W4" s="89" t="s">
        <v>132</v>
      </c>
    </row>
    <row r="5" spans="2:23">
      <c r="B5" s="515">
        <v>46148</v>
      </c>
      <c r="C5" s="520"/>
      <c r="D5" s="80">
        <v>46140</v>
      </c>
      <c r="E5" s="457" t="s">
        <v>118</v>
      </c>
      <c r="F5" s="88">
        <v>399.75430402726511</v>
      </c>
      <c r="G5" s="531">
        <f t="shared" ref="G5" si="0">AVERAGE(F5:F11)</f>
        <v>409.72046242744102</v>
      </c>
      <c r="H5" s="534"/>
      <c r="I5" s="154">
        <f t="shared" ref="I5:I11" si="1">F5/$C$1</f>
        <v>0.9036037613636192</v>
      </c>
      <c r="J5" s="530">
        <f t="shared" ref="J5" si="2">AVERAGE(I5:I11)</f>
        <v>0.92613124418499349</v>
      </c>
      <c r="K5" s="533"/>
      <c r="L5" s="162">
        <v>1.9999699074640695E-3</v>
      </c>
      <c r="M5" s="532">
        <f>AVERAGE(L5:L11)</f>
        <v>2.0023818766068025E-3</v>
      </c>
      <c r="N5" s="532"/>
      <c r="O5" s="84">
        <v>4.2745687361890328E-3</v>
      </c>
      <c r="P5" s="533">
        <f t="shared" ref="P5" si="3">AVERAGE(O5:O11)</f>
        <v>5.388819720072888E-3</v>
      </c>
      <c r="Q5" s="532"/>
      <c r="R5" s="154">
        <v>0.9</v>
      </c>
      <c r="S5" s="530">
        <f t="shared" ref="S5" si="4">AVERAGE(R5:R11)</f>
        <v>0.90000000000000013</v>
      </c>
      <c r="T5" s="533"/>
      <c r="U5" s="154">
        <f t="shared" ref="U5:U11" si="5">18/52*100%</f>
        <v>0.34615384615384615</v>
      </c>
      <c r="V5" s="514">
        <f t="shared" ref="V5" si="6">AVERAGE(U5:U11)</f>
        <v>0.3461538461538462</v>
      </c>
      <c r="W5" s="533"/>
    </row>
    <row r="6" spans="2:23">
      <c r="B6" s="515"/>
      <c r="C6" s="520"/>
      <c r="D6" s="80">
        <f t="shared" ref="D6" si="7">D5+1</f>
        <v>46141</v>
      </c>
      <c r="E6" s="457" t="s">
        <v>112</v>
      </c>
      <c r="F6" s="88">
        <v>399.78288508067499</v>
      </c>
      <c r="G6" s="531"/>
      <c r="H6" s="534"/>
      <c r="I6" s="154">
        <f t="shared" si="1"/>
        <v>0.90366836591472655</v>
      </c>
      <c r="J6" s="530"/>
      <c r="K6" s="533"/>
      <c r="L6" s="162">
        <v>2.0001055277481376E-3</v>
      </c>
      <c r="M6" s="532"/>
      <c r="N6" s="532"/>
      <c r="O6" s="84">
        <v>4.1835263821589754E-3</v>
      </c>
      <c r="P6" s="533"/>
      <c r="Q6" s="532"/>
      <c r="R6" s="154">
        <v>0.9</v>
      </c>
      <c r="S6" s="530"/>
      <c r="T6" s="533"/>
      <c r="U6" s="154">
        <f t="shared" si="5"/>
        <v>0.34615384615384615</v>
      </c>
      <c r="V6" s="514"/>
      <c r="W6" s="533"/>
    </row>
    <row r="7" spans="2:23">
      <c r="B7" s="515"/>
      <c r="C7" s="520"/>
      <c r="D7" s="80">
        <f t="shared" ref="D7:D67" si="8">D6+1</f>
        <v>46142</v>
      </c>
      <c r="E7" s="457" t="s">
        <v>113</v>
      </c>
      <c r="F7" s="88">
        <v>417.06453190105208</v>
      </c>
      <c r="G7" s="531"/>
      <c r="H7" s="534"/>
      <c r="I7" s="154">
        <f t="shared" si="1"/>
        <v>0.94273176288664584</v>
      </c>
      <c r="J7" s="530"/>
      <c r="K7" s="533"/>
      <c r="L7" s="162">
        <v>1.9995819722324996E-3</v>
      </c>
      <c r="M7" s="532"/>
      <c r="N7" s="532"/>
      <c r="O7" s="84">
        <v>4.1803774388896259E-3</v>
      </c>
      <c r="P7" s="533"/>
      <c r="Q7" s="532"/>
      <c r="R7" s="154">
        <v>0.9</v>
      </c>
      <c r="S7" s="530"/>
      <c r="T7" s="533"/>
      <c r="U7" s="154">
        <f t="shared" si="5"/>
        <v>0.34615384615384615</v>
      </c>
      <c r="V7" s="514"/>
      <c r="W7" s="533"/>
    </row>
    <row r="8" spans="2:23">
      <c r="B8" s="515"/>
      <c r="C8" s="520" t="s">
        <v>114</v>
      </c>
      <c r="D8" s="80">
        <f t="shared" si="8"/>
        <v>46143</v>
      </c>
      <c r="E8" s="457" t="s">
        <v>114</v>
      </c>
      <c r="F8" s="88">
        <v>421.58555206989342</v>
      </c>
      <c r="G8" s="531"/>
      <c r="H8" s="534">
        <f>AVERAGEIF(F8:F38,"&lt;&gt;0")</f>
        <v>411.4877858597365</v>
      </c>
      <c r="I8" s="154">
        <f t="shared" si="1"/>
        <v>0.95295106706576271</v>
      </c>
      <c r="J8" s="530"/>
      <c r="K8" s="533">
        <f>AVERAGEIF(I8:I38,"&lt;&gt;0")</f>
        <v>0.93012609823629411</v>
      </c>
      <c r="L8" s="162">
        <v>1.9983886611755846E-3</v>
      </c>
      <c r="M8" s="532"/>
      <c r="N8" s="532">
        <f>AVERAGEIF(L8:L38,"&lt;&gt;0")</f>
        <v>2.004526084030748E-3</v>
      </c>
      <c r="O8" s="84">
        <v>6.4823775829650227E-3</v>
      </c>
      <c r="P8" s="533"/>
      <c r="Q8" s="532">
        <f>AVERAGEIF(O8:O38,"&lt;&gt;0")</f>
        <v>6.1668044452926566E-3</v>
      </c>
      <c r="R8" s="154">
        <v>0.9</v>
      </c>
      <c r="S8" s="530"/>
      <c r="T8" s="533">
        <f>AVERAGEIF(R8:R38,"&lt;&gt;0")</f>
        <v>0.90000000000000024</v>
      </c>
      <c r="U8" s="154">
        <f t="shared" si="5"/>
        <v>0.34615384615384615</v>
      </c>
      <c r="V8" s="514"/>
      <c r="W8" s="533">
        <f>AVERAGEIF(U8:U38,"&lt;&gt;0")</f>
        <v>0.35839160839160839</v>
      </c>
    </row>
    <row r="9" spans="2:23">
      <c r="B9" s="515"/>
      <c r="C9" s="520"/>
      <c r="D9" s="80">
        <f t="shared" si="8"/>
        <v>46144</v>
      </c>
      <c r="E9" s="457" t="s">
        <v>115</v>
      </c>
      <c r="F9" s="88">
        <v>423.2801153570785</v>
      </c>
      <c r="G9" s="531"/>
      <c r="H9" s="534"/>
      <c r="I9" s="154">
        <f t="shared" si="1"/>
        <v>0.95678145424294425</v>
      </c>
      <c r="J9" s="530"/>
      <c r="K9" s="533"/>
      <c r="L9" s="162">
        <v>2.004070021479204E-3</v>
      </c>
      <c r="M9" s="532"/>
      <c r="N9" s="532"/>
      <c r="O9" s="84">
        <v>6.3600143398038229E-3</v>
      </c>
      <c r="P9" s="533"/>
      <c r="Q9" s="532"/>
      <c r="R9" s="154">
        <v>0.9</v>
      </c>
      <c r="S9" s="530"/>
      <c r="T9" s="533"/>
      <c r="U9" s="154">
        <f t="shared" si="5"/>
        <v>0.34615384615384615</v>
      </c>
      <c r="V9" s="514"/>
      <c r="W9" s="533"/>
    </row>
    <row r="10" spans="2:23">
      <c r="B10" s="515"/>
      <c r="C10" s="520"/>
      <c r="D10" s="80">
        <f t="shared" si="8"/>
        <v>46145</v>
      </c>
      <c r="E10" s="457" t="s">
        <v>116</v>
      </c>
      <c r="F10" s="88">
        <v>403.29859707226103</v>
      </c>
      <c r="G10" s="531"/>
      <c r="H10" s="534"/>
      <c r="I10" s="154">
        <f t="shared" si="1"/>
        <v>0.91161527367147621</v>
      </c>
      <c r="J10" s="530"/>
      <c r="K10" s="533"/>
      <c r="L10" s="162">
        <v>2.0083570432380487E-3</v>
      </c>
      <c r="M10" s="532"/>
      <c r="N10" s="532"/>
      <c r="O10" s="84">
        <v>6.1243973001330158E-3</v>
      </c>
      <c r="P10" s="533"/>
      <c r="Q10" s="532"/>
      <c r="R10" s="154">
        <v>0.9</v>
      </c>
      <c r="S10" s="530"/>
      <c r="T10" s="533"/>
      <c r="U10" s="154">
        <f t="shared" si="5"/>
        <v>0.34615384615384615</v>
      </c>
      <c r="V10" s="514"/>
      <c r="W10" s="533"/>
    </row>
    <row r="11" spans="2:23">
      <c r="B11" s="515"/>
      <c r="C11" s="520"/>
      <c r="D11" s="80">
        <f t="shared" si="8"/>
        <v>46146</v>
      </c>
      <c r="E11" s="457" t="s">
        <v>117</v>
      </c>
      <c r="F11" s="88">
        <v>403.27725148386207</v>
      </c>
      <c r="G11" s="531"/>
      <c r="H11" s="534"/>
      <c r="I11" s="154">
        <f t="shared" si="1"/>
        <v>0.91156702414977875</v>
      </c>
      <c r="J11" s="530"/>
      <c r="K11" s="533"/>
      <c r="L11" s="162">
        <v>2.0062000029100737E-3</v>
      </c>
      <c r="M11" s="532"/>
      <c r="N11" s="532"/>
      <c r="O11" s="84">
        <v>6.1164762603707259E-3</v>
      </c>
      <c r="P11" s="533"/>
      <c r="Q11" s="532"/>
      <c r="R11" s="154">
        <v>0.9</v>
      </c>
      <c r="S11" s="530"/>
      <c r="T11" s="533"/>
      <c r="U11" s="154">
        <f t="shared" si="5"/>
        <v>0.34615384615384615</v>
      </c>
      <c r="V11" s="514"/>
      <c r="W11" s="533"/>
    </row>
    <row r="12" spans="2:23">
      <c r="B12" s="515">
        <f t="shared" ref="B12" si="9">B5+7</f>
        <v>46155</v>
      </c>
      <c r="C12" s="520"/>
      <c r="D12" s="80">
        <f t="shared" si="8"/>
        <v>46147</v>
      </c>
      <c r="E12" s="457" t="s">
        <v>118</v>
      </c>
      <c r="F12" s="88">
        <v>403.0732093535234</v>
      </c>
      <c r="G12" s="531">
        <f t="shared" ref="G12" si="10">AVERAGE(F12:F18)</f>
        <v>410.70344692485804</v>
      </c>
      <c r="H12" s="534"/>
      <c r="I12" s="154">
        <f t="shared" ref="I12:I18" si="11">F12/$C$1</f>
        <v>0.91110580776112893</v>
      </c>
      <c r="J12" s="530">
        <f t="shared" ref="J12" si="12">AVERAGE(I12:I18)</f>
        <v>0.9283531802098961</v>
      </c>
      <c r="K12" s="533"/>
      <c r="L12" s="162">
        <v>2.0043146162176222E-3</v>
      </c>
      <c r="M12" s="532">
        <f>AVERAGE(L12:L18)</f>
        <v>2.0046815993621878E-3</v>
      </c>
      <c r="N12" s="532"/>
      <c r="O12" s="84">
        <v>6.0261622685926792E-3</v>
      </c>
      <c r="P12" s="533">
        <f t="shared" ref="P12" si="13">AVERAGE(O12:O18)</f>
        <v>6.1073690592780916E-3</v>
      </c>
      <c r="Q12" s="532"/>
      <c r="R12" s="154">
        <v>0.9</v>
      </c>
      <c r="S12" s="530">
        <f t="shared" ref="S12" si="14">AVERAGE(R12:R18)</f>
        <v>0.90000000000000013</v>
      </c>
      <c r="T12" s="533"/>
      <c r="U12" s="154">
        <f>19/52*100%</f>
        <v>0.36538461538461536</v>
      </c>
      <c r="V12" s="514">
        <f t="shared" ref="V12" si="15">AVERAGE(U12:U18)</f>
        <v>0.36538461538461536</v>
      </c>
      <c r="W12" s="533"/>
    </row>
    <row r="13" spans="2:23">
      <c r="B13" s="515"/>
      <c r="C13" s="520"/>
      <c r="D13" s="80">
        <f t="shared" si="8"/>
        <v>46148</v>
      </c>
      <c r="E13" s="457" t="s">
        <v>112</v>
      </c>
      <c r="F13" s="88">
        <v>403.85732909575103</v>
      </c>
      <c r="G13" s="531"/>
      <c r="H13" s="534"/>
      <c r="I13" s="154">
        <f t="shared" si="11"/>
        <v>0.91287823032493454</v>
      </c>
      <c r="J13" s="530"/>
      <c r="K13" s="533"/>
      <c r="L13" s="162">
        <v>2.0041881694594804E-3</v>
      </c>
      <c r="M13" s="532"/>
      <c r="N13" s="532"/>
      <c r="O13" s="84">
        <v>6.0278412369420163E-3</v>
      </c>
      <c r="P13" s="533"/>
      <c r="Q13" s="532"/>
      <c r="R13" s="154">
        <v>0.9</v>
      </c>
      <c r="S13" s="530"/>
      <c r="T13" s="533"/>
      <c r="U13" s="154">
        <f>19/52*100%</f>
        <v>0.36538461538461536</v>
      </c>
      <c r="V13" s="514"/>
      <c r="W13" s="533"/>
    </row>
    <row r="14" spans="2:23">
      <c r="B14" s="515"/>
      <c r="C14" s="520"/>
      <c r="D14" s="80">
        <f t="shared" si="8"/>
        <v>46149</v>
      </c>
      <c r="E14" s="457" t="s">
        <v>113</v>
      </c>
      <c r="F14" s="88">
        <v>403.86518537519032</v>
      </c>
      <c r="G14" s="531"/>
      <c r="H14" s="534"/>
      <c r="I14" s="154">
        <f t="shared" si="11"/>
        <v>0.91289598864193111</v>
      </c>
      <c r="J14" s="530"/>
      <c r="K14" s="533"/>
      <c r="L14" s="162">
        <v>2.0039731198725156E-3</v>
      </c>
      <c r="M14" s="532"/>
      <c r="N14" s="532"/>
      <c r="O14" s="84">
        <v>6.2019900618605767E-3</v>
      </c>
      <c r="P14" s="533"/>
      <c r="Q14" s="532"/>
      <c r="R14" s="154">
        <v>0.9</v>
      </c>
      <c r="S14" s="530"/>
      <c r="T14" s="533"/>
      <c r="U14" s="154">
        <f t="shared" ref="U14:U18" si="16">19/52*100%</f>
        <v>0.36538461538461536</v>
      </c>
      <c r="V14" s="514"/>
      <c r="W14" s="533"/>
    </row>
    <row r="15" spans="2:23">
      <c r="B15" s="515"/>
      <c r="C15" s="520"/>
      <c r="D15" s="80">
        <f t="shared" si="8"/>
        <v>46150</v>
      </c>
      <c r="E15" s="457" t="s">
        <v>114</v>
      </c>
      <c r="F15" s="88">
        <v>405.06554719272492</v>
      </c>
      <c r="G15" s="531"/>
      <c r="H15" s="534"/>
      <c r="I15" s="154">
        <f t="shared" si="11"/>
        <v>0.9156092838895229</v>
      </c>
      <c r="J15" s="530"/>
      <c r="K15" s="533"/>
      <c r="L15" s="162">
        <v>2.0003208697966781E-3</v>
      </c>
      <c r="M15" s="532"/>
      <c r="N15" s="532"/>
      <c r="O15" s="84">
        <v>6.0802079397252818E-3</v>
      </c>
      <c r="P15" s="533"/>
      <c r="Q15" s="532"/>
      <c r="R15" s="154">
        <v>0.9</v>
      </c>
      <c r="S15" s="530"/>
      <c r="T15" s="533"/>
      <c r="U15" s="154">
        <f t="shared" si="16"/>
        <v>0.36538461538461536</v>
      </c>
      <c r="V15" s="514"/>
      <c r="W15" s="533"/>
    </row>
    <row r="16" spans="2:23">
      <c r="B16" s="515"/>
      <c r="C16" s="520"/>
      <c r="D16" s="80">
        <f t="shared" si="8"/>
        <v>46151</v>
      </c>
      <c r="E16" s="457" t="s">
        <v>115</v>
      </c>
      <c r="F16" s="88">
        <v>425.49494229298114</v>
      </c>
      <c r="G16" s="531"/>
      <c r="H16" s="534"/>
      <c r="I16" s="154">
        <f t="shared" si="11"/>
        <v>0.96178784424272412</v>
      </c>
      <c r="J16" s="530"/>
      <c r="K16" s="533"/>
      <c r="L16" s="162">
        <v>1.9998526377204649E-3</v>
      </c>
      <c r="M16" s="532"/>
      <c r="N16" s="532"/>
      <c r="O16" s="84">
        <v>6.1100531549321494E-3</v>
      </c>
      <c r="P16" s="533"/>
      <c r="Q16" s="532"/>
      <c r="R16" s="154">
        <v>0.9</v>
      </c>
      <c r="S16" s="530"/>
      <c r="T16" s="533"/>
      <c r="U16" s="154">
        <f t="shared" si="16"/>
        <v>0.36538461538461536</v>
      </c>
      <c r="V16" s="514"/>
      <c r="W16" s="533"/>
    </row>
    <row r="17" spans="2:23">
      <c r="B17" s="515"/>
      <c r="C17" s="520"/>
      <c r="D17" s="80">
        <f t="shared" si="8"/>
        <v>46152</v>
      </c>
      <c r="E17" s="457" t="s">
        <v>116</v>
      </c>
      <c r="F17" s="88">
        <v>426.57470816115932</v>
      </c>
      <c r="G17" s="531"/>
      <c r="H17" s="534"/>
      <c r="I17" s="154">
        <f t="shared" si="11"/>
        <v>0.96422854466808172</v>
      </c>
      <c r="J17" s="530"/>
      <c r="K17" s="533"/>
      <c r="L17" s="162">
        <v>2.0079385793883089E-3</v>
      </c>
      <c r="M17" s="532"/>
      <c r="N17" s="532"/>
      <c r="O17" s="84">
        <v>6.1516534565362472E-3</v>
      </c>
      <c r="P17" s="533"/>
      <c r="Q17" s="532"/>
      <c r="R17" s="154">
        <v>0.9</v>
      </c>
      <c r="S17" s="530"/>
      <c r="T17" s="533"/>
      <c r="U17" s="154">
        <f t="shared" si="16"/>
        <v>0.36538461538461536</v>
      </c>
      <c r="V17" s="514"/>
      <c r="W17" s="533"/>
    </row>
    <row r="18" spans="2:23">
      <c r="B18" s="515"/>
      <c r="C18" s="520"/>
      <c r="D18" s="80">
        <f t="shared" si="8"/>
        <v>46153</v>
      </c>
      <c r="E18" s="457" t="s">
        <v>117</v>
      </c>
      <c r="F18" s="88">
        <v>406.99320700267617</v>
      </c>
      <c r="G18" s="531"/>
      <c r="H18" s="534"/>
      <c r="I18" s="154">
        <f t="shared" si="11"/>
        <v>0.91996656194094983</v>
      </c>
      <c r="J18" s="530"/>
      <c r="K18" s="533"/>
      <c r="L18" s="162">
        <v>2.0121832030802443E-3</v>
      </c>
      <c r="M18" s="532"/>
      <c r="N18" s="532"/>
      <c r="O18" s="84">
        <v>6.1536752963576892E-3</v>
      </c>
      <c r="P18" s="533"/>
      <c r="Q18" s="532"/>
      <c r="R18" s="154">
        <v>0.9</v>
      </c>
      <c r="S18" s="530"/>
      <c r="T18" s="533"/>
      <c r="U18" s="154">
        <f t="shared" si="16"/>
        <v>0.36538461538461536</v>
      </c>
      <c r="V18" s="514"/>
      <c r="W18" s="533"/>
    </row>
    <row r="19" spans="2:23">
      <c r="B19" s="515">
        <f t="shared" ref="B19" si="17">B12+7</f>
        <v>46162</v>
      </c>
      <c r="C19" s="520"/>
      <c r="D19" s="80">
        <f t="shared" si="8"/>
        <v>46154</v>
      </c>
      <c r="E19" s="457" t="s">
        <v>118</v>
      </c>
      <c r="G19" s="531" t="e">
        <f t="shared" ref="G19" si="18">AVERAGE(F19:F25)</f>
        <v>#DIV/0!</v>
      </c>
      <c r="H19" s="534"/>
      <c r="I19" s="154">
        <f t="shared" ref="I19:I32" si="19">F19/$C$1</f>
        <v>0</v>
      </c>
      <c r="J19" s="530">
        <f t="shared" ref="J19" si="20">AVERAGE(I19:I25)</f>
        <v>0</v>
      </c>
      <c r="K19" s="533"/>
      <c r="L19" s="162"/>
      <c r="M19" s="532" t="e">
        <f>AVERAGE(L19:L25)</f>
        <v>#DIV/0!</v>
      </c>
      <c r="N19" s="532"/>
      <c r="O19" s="84"/>
      <c r="P19" s="533" t="e">
        <f t="shared" ref="P19" si="21">AVERAGE(O19:O25)</f>
        <v>#DIV/0!</v>
      </c>
      <c r="Q19" s="532"/>
      <c r="R19" s="154"/>
      <c r="S19" s="530" t="e">
        <f t="shared" ref="S19" si="22">AVERAGE(R19:R25)</f>
        <v>#DIV/0!</v>
      </c>
      <c r="T19" s="533"/>
      <c r="U19" s="154"/>
      <c r="V19" s="514" t="e">
        <f t="shared" ref="V19" si="23">AVERAGE(U19:U25)</f>
        <v>#DIV/0!</v>
      </c>
      <c r="W19" s="533"/>
    </row>
    <row r="20" spans="2:23">
      <c r="B20" s="515"/>
      <c r="C20" s="520"/>
      <c r="D20" s="80">
        <f t="shared" si="8"/>
        <v>46155</v>
      </c>
      <c r="E20" s="457" t="s">
        <v>112</v>
      </c>
      <c r="G20" s="531"/>
      <c r="H20" s="534"/>
      <c r="I20" s="154">
        <f t="shared" si="19"/>
        <v>0</v>
      </c>
      <c r="J20" s="530"/>
      <c r="K20" s="533"/>
      <c r="L20" s="162"/>
      <c r="M20" s="532"/>
      <c r="N20" s="532"/>
      <c r="O20" s="84"/>
      <c r="P20" s="533"/>
      <c r="Q20" s="532"/>
      <c r="R20" s="154"/>
      <c r="S20" s="530"/>
      <c r="T20" s="533"/>
      <c r="U20" s="154"/>
      <c r="V20" s="514"/>
      <c r="W20" s="533"/>
    </row>
    <row r="21" spans="2:23">
      <c r="B21" s="515"/>
      <c r="C21" s="520"/>
      <c r="D21" s="80">
        <f t="shared" si="8"/>
        <v>46156</v>
      </c>
      <c r="E21" s="457" t="s">
        <v>113</v>
      </c>
      <c r="G21" s="531"/>
      <c r="H21" s="534"/>
      <c r="I21" s="154">
        <f t="shared" si="19"/>
        <v>0</v>
      </c>
      <c r="J21" s="530"/>
      <c r="K21" s="533"/>
      <c r="L21" s="162"/>
      <c r="M21" s="532"/>
      <c r="N21" s="532"/>
      <c r="O21" s="84"/>
      <c r="P21" s="533"/>
      <c r="Q21" s="532"/>
      <c r="R21" s="154"/>
      <c r="S21" s="530"/>
      <c r="T21" s="533"/>
      <c r="U21" s="154"/>
      <c r="V21" s="514"/>
      <c r="W21" s="533"/>
    </row>
    <row r="22" spans="2:23">
      <c r="B22" s="515"/>
      <c r="C22" s="520"/>
      <c r="D22" s="80">
        <f t="shared" si="8"/>
        <v>46157</v>
      </c>
      <c r="E22" s="457" t="s">
        <v>114</v>
      </c>
      <c r="G22" s="531"/>
      <c r="H22" s="534"/>
      <c r="I22" s="154">
        <f t="shared" si="19"/>
        <v>0</v>
      </c>
      <c r="J22" s="530"/>
      <c r="K22" s="533"/>
      <c r="L22" s="162"/>
      <c r="M22" s="532"/>
      <c r="N22" s="532"/>
      <c r="O22" s="84"/>
      <c r="P22" s="533"/>
      <c r="Q22" s="532"/>
      <c r="R22" s="154"/>
      <c r="S22" s="530"/>
      <c r="T22" s="533"/>
      <c r="U22" s="154"/>
      <c r="V22" s="514"/>
      <c r="W22" s="533"/>
    </row>
    <row r="23" spans="2:23">
      <c r="B23" s="515"/>
      <c r="C23" s="520"/>
      <c r="D23" s="80">
        <f t="shared" si="8"/>
        <v>46158</v>
      </c>
      <c r="E23" s="457" t="s">
        <v>115</v>
      </c>
      <c r="G23" s="531"/>
      <c r="H23" s="534"/>
      <c r="I23" s="154">
        <f t="shared" si="19"/>
        <v>0</v>
      </c>
      <c r="J23" s="530"/>
      <c r="K23" s="533"/>
      <c r="L23" s="162"/>
      <c r="M23" s="532"/>
      <c r="N23" s="532"/>
      <c r="O23" s="84"/>
      <c r="P23" s="533"/>
      <c r="Q23" s="532"/>
      <c r="R23" s="154"/>
      <c r="S23" s="530"/>
      <c r="T23" s="533"/>
      <c r="U23" s="154"/>
      <c r="V23" s="514"/>
      <c r="W23" s="533"/>
    </row>
    <row r="24" spans="2:23">
      <c r="B24" s="515"/>
      <c r="C24" s="520"/>
      <c r="D24" s="80">
        <f t="shared" si="8"/>
        <v>46159</v>
      </c>
      <c r="E24" s="457" t="s">
        <v>116</v>
      </c>
      <c r="G24" s="531"/>
      <c r="H24" s="534"/>
      <c r="I24" s="154">
        <f t="shared" si="19"/>
        <v>0</v>
      </c>
      <c r="J24" s="530"/>
      <c r="K24" s="533"/>
      <c r="L24" s="162"/>
      <c r="M24" s="532"/>
      <c r="N24" s="532"/>
      <c r="O24" s="84"/>
      <c r="P24" s="533"/>
      <c r="Q24" s="532"/>
      <c r="R24" s="154"/>
      <c r="S24" s="530"/>
      <c r="T24" s="533"/>
      <c r="U24" s="154"/>
      <c r="V24" s="514"/>
      <c r="W24" s="533"/>
    </row>
    <row r="25" spans="2:23">
      <c r="B25" s="515"/>
      <c r="C25" s="520"/>
      <c r="D25" s="80">
        <f t="shared" si="8"/>
        <v>46160</v>
      </c>
      <c r="E25" s="457" t="s">
        <v>117</v>
      </c>
      <c r="G25" s="531"/>
      <c r="H25" s="534"/>
      <c r="I25" s="154">
        <f t="shared" si="19"/>
        <v>0</v>
      </c>
      <c r="J25" s="530"/>
      <c r="K25" s="533"/>
      <c r="L25" s="162"/>
      <c r="M25" s="532"/>
      <c r="N25" s="532"/>
      <c r="O25" s="84"/>
      <c r="P25" s="533"/>
      <c r="Q25" s="532"/>
      <c r="R25" s="154"/>
      <c r="S25" s="530"/>
      <c r="T25" s="533"/>
      <c r="U25" s="154"/>
      <c r="V25" s="514"/>
      <c r="W25" s="533"/>
    </row>
    <row r="26" spans="2:23">
      <c r="B26" s="515">
        <f t="shared" ref="B26" si="24">B19+7</f>
        <v>46169</v>
      </c>
      <c r="C26" s="520"/>
      <c r="D26" s="80">
        <f t="shared" si="8"/>
        <v>46161</v>
      </c>
      <c r="E26" s="457" t="s">
        <v>118</v>
      </c>
      <c r="G26" s="531" t="e">
        <f t="shared" ref="G26" si="25">AVERAGE(F26:F32)</f>
        <v>#DIV/0!</v>
      </c>
      <c r="H26" s="534"/>
      <c r="I26" s="154">
        <f t="shared" si="19"/>
        <v>0</v>
      </c>
      <c r="J26" s="530">
        <f t="shared" ref="J26" si="26">AVERAGE(I26:I32)</f>
        <v>0</v>
      </c>
      <c r="K26" s="533"/>
      <c r="L26" s="162"/>
      <c r="M26" s="532" t="e">
        <f>AVERAGE(L26:L32)</f>
        <v>#DIV/0!</v>
      </c>
      <c r="N26" s="532"/>
      <c r="O26" s="84"/>
      <c r="P26" s="533" t="e">
        <f t="shared" ref="P26" si="27">AVERAGE(O26:O32)</f>
        <v>#DIV/0!</v>
      </c>
      <c r="Q26" s="532"/>
      <c r="R26" s="154"/>
      <c r="S26" s="530" t="e">
        <f t="shared" ref="S26" si="28">AVERAGE(R26:R32)</f>
        <v>#DIV/0!</v>
      </c>
      <c r="T26" s="533"/>
      <c r="U26" s="154"/>
      <c r="V26" s="514" t="e">
        <f t="shared" ref="V26" si="29">AVERAGE(U26:U32)</f>
        <v>#DIV/0!</v>
      </c>
      <c r="W26" s="533"/>
    </row>
    <row r="27" spans="2:23">
      <c r="B27" s="515"/>
      <c r="C27" s="520"/>
      <c r="D27" s="80">
        <f t="shared" si="8"/>
        <v>46162</v>
      </c>
      <c r="E27" s="457" t="s">
        <v>112</v>
      </c>
      <c r="G27" s="531"/>
      <c r="H27" s="534"/>
      <c r="I27" s="154">
        <f t="shared" si="19"/>
        <v>0</v>
      </c>
      <c r="J27" s="530"/>
      <c r="K27" s="533"/>
      <c r="L27" s="162"/>
      <c r="M27" s="532"/>
      <c r="N27" s="532"/>
      <c r="O27" s="84"/>
      <c r="P27" s="533"/>
      <c r="Q27" s="532"/>
      <c r="R27" s="154"/>
      <c r="S27" s="530"/>
      <c r="T27" s="533"/>
      <c r="U27" s="154"/>
      <c r="V27" s="514"/>
      <c r="W27" s="533"/>
    </row>
    <row r="28" spans="2:23">
      <c r="B28" s="515"/>
      <c r="C28" s="520"/>
      <c r="D28" s="80">
        <f t="shared" si="8"/>
        <v>46163</v>
      </c>
      <c r="E28" s="457" t="s">
        <v>113</v>
      </c>
      <c r="G28" s="531"/>
      <c r="H28" s="534"/>
      <c r="I28" s="154">
        <f t="shared" si="19"/>
        <v>0</v>
      </c>
      <c r="J28" s="530"/>
      <c r="K28" s="533"/>
      <c r="L28" s="162"/>
      <c r="M28" s="532"/>
      <c r="N28" s="532"/>
      <c r="O28" s="84"/>
      <c r="P28" s="533"/>
      <c r="Q28" s="532"/>
      <c r="R28" s="154"/>
      <c r="S28" s="530"/>
      <c r="T28" s="533"/>
      <c r="U28" s="154"/>
      <c r="V28" s="514"/>
      <c r="W28" s="533"/>
    </row>
    <row r="29" spans="2:23">
      <c r="B29" s="515"/>
      <c r="C29" s="520"/>
      <c r="D29" s="80">
        <f t="shared" si="8"/>
        <v>46164</v>
      </c>
      <c r="E29" s="457" t="s">
        <v>114</v>
      </c>
      <c r="G29" s="531"/>
      <c r="H29" s="534"/>
      <c r="I29" s="154">
        <f t="shared" si="19"/>
        <v>0</v>
      </c>
      <c r="J29" s="530"/>
      <c r="K29" s="533"/>
      <c r="L29" s="162"/>
      <c r="M29" s="532"/>
      <c r="N29" s="532"/>
      <c r="O29" s="84"/>
      <c r="P29" s="533"/>
      <c r="Q29" s="532"/>
      <c r="R29" s="154"/>
      <c r="S29" s="530"/>
      <c r="T29" s="533"/>
      <c r="U29" s="154"/>
      <c r="V29" s="514"/>
      <c r="W29" s="533"/>
    </row>
    <row r="30" spans="2:23">
      <c r="B30" s="515"/>
      <c r="C30" s="520"/>
      <c r="D30" s="80">
        <f t="shared" si="8"/>
        <v>46165</v>
      </c>
      <c r="E30" s="457" t="s">
        <v>115</v>
      </c>
      <c r="G30" s="531"/>
      <c r="H30" s="534"/>
      <c r="I30" s="154">
        <f t="shared" si="19"/>
        <v>0</v>
      </c>
      <c r="J30" s="530"/>
      <c r="K30" s="533"/>
      <c r="L30" s="162"/>
      <c r="M30" s="532"/>
      <c r="N30" s="532"/>
      <c r="O30" s="84"/>
      <c r="P30" s="533"/>
      <c r="Q30" s="532"/>
      <c r="R30" s="154"/>
      <c r="S30" s="530"/>
      <c r="T30" s="533"/>
      <c r="U30" s="154"/>
      <c r="V30" s="514"/>
      <c r="W30" s="533"/>
    </row>
    <row r="31" spans="2:23">
      <c r="B31" s="515"/>
      <c r="C31" s="520"/>
      <c r="D31" s="80">
        <f t="shared" si="8"/>
        <v>46166</v>
      </c>
      <c r="E31" s="457" t="s">
        <v>116</v>
      </c>
      <c r="G31" s="531"/>
      <c r="H31" s="534"/>
      <c r="I31" s="154">
        <f t="shared" si="19"/>
        <v>0</v>
      </c>
      <c r="J31" s="530"/>
      <c r="K31" s="533"/>
      <c r="L31" s="162"/>
      <c r="M31" s="532"/>
      <c r="N31" s="532"/>
      <c r="O31" s="84"/>
      <c r="P31" s="533"/>
      <c r="Q31" s="532"/>
      <c r="R31" s="154"/>
      <c r="S31" s="530"/>
      <c r="T31" s="533"/>
      <c r="U31" s="154"/>
      <c r="V31" s="514"/>
      <c r="W31" s="533"/>
    </row>
    <row r="32" spans="2:23">
      <c r="B32" s="515"/>
      <c r="C32" s="520"/>
      <c r="D32" s="80">
        <f t="shared" si="8"/>
        <v>46167</v>
      </c>
      <c r="E32" s="457" t="s">
        <v>117</v>
      </c>
      <c r="G32" s="531"/>
      <c r="H32" s="534"/>
      <c r="I32" s="154">
        <f t="shared" si="19"/>
        <v>0</v>
      </c>
      <c r="J32" s="530"/>
      <c r="K32" s="533"/>
      <c r="L32" s="162"/>
      <c r="M32" s="532"/>
      <c r="N32" s="532"/>
      <c r="O32" s="84"/>
      <c r="P32" s="533"/>
      <c r="Q32" s="532"/>
      <c r="R32" s="154"/>
      <c r="S32" s="530"/>
      <c r="T32" s="533"/>
      <c r="U32" s="154"/>
      <c r="V32" s="514"/>
      <c r="W32" s="533"/>
    </row>
    <row r="33" spans="2:23">
      <c r="B33" s="515">
        <f t="shared" ref="B33" si="30">B26+7</f>
        <v>46176</v>
      </c>
      <c r="C33" s="520"/>
      <c r="D33" s="80">
        <f t="shared" si="8"/>
        <v>46168</v>
      </c>
      <c r="E33" s="457" t="s">
        <v>118</v>
      </c>
      <c r="G33" s="531" t="e">
        <f t="shared" ref="G33" si="31">AVERAGE(F33:F39)</f>
        <v>#DIV/0!</v>
      </c>
      <c r="H33" s="534"/>
      <c r="I33" s="154">
        <f t="shared" ref="I33:I60" si="32">F33/$C$1</f>
        <v>0</v>
      </c>
      <c r="J33" s="530">
        <f t="shared" ref="J33" si="33">AVERAGE(I33:I39)</f>
        <v>0</v>
      </c>
      <c r="K33" s="533"/>
      <c r="L33" s="162"/>
      <c r="M33" s="532" t="e">
        <f>AVERAGE(L33:L39)</f>
        <v>#DIV/0!</v>
      </c>
      <c r="N33" s="532"/>
      <c r="O33" s="84"/>
      <c r="P33" s="533" t="e">
        <f t="shared" ref="P33" si="34">AVERAGE(O33:O39)</f>
        <v>#DIV/0!</v>
      </c>
      <c r="Q33" s="532"/>
      <c r="R33" s="154"/>
      <c r="S33" s="530" t="e">
        <f t="shared" ref="S33" si="35">AVERAGE(R33:R39)</f>
        <v>#DIV/0!</v>
      </c>
      <c r="T33" s="533"/>
      <c r="U33" s="154"/>
      <c r="V33" s="514" t="e">
        <f t="shared" ref="V33" si="36">AVERAGE(U33:U39)</f>
        <v>#DIV/0!</v>
      </c>
      <c r="W33" s="533"/>
    </row>
    <row r="34" spans="2:23">
      <c r="B34" s="515"/>
      <c r="C34" s="520"/>
      <c r="D34" s="80">
        <f t="shared" si="8"/>
        <v>46169</v>
      </c>
      <c r="E34" s="457" t="s">
        <v>112</v>
      </c>
      <c r="G34" s="531"/>
      <c r="H34" s="534"/>
      <c r="I34" s="154">
        <f t="shared" si="32"/>
        <v>0</v>
      </c>
      <c r="J34" s="530"/>
      <c r="K34" s="533"/>
      <c r="L34" s="162"/>
      <c r="M34" s="532"/>
      <c r="N34" s="532"/>
      <c r="O34" s="84"/>
      <c r="P34" s="533"/>
      <c r="Q34" s="532"/>
      <c r="R34" s="154"/>
      <c r="S34" s="530"/>
      <c r="T34" s="533"/>
      <c r="U34" s="154"/>
      <c r="V34" s="514"/>
      <c r="W34" s="533"/>
    </row>
    <row r="35" spans="2:23">
      <c r="B35" s="515"/>
      <c r="C35" s="520"/>
      <c r="D35" s="80">
        <f t="shared" si="8"/>
        <v>46170</v>
      </c>
      <c r="E35" s="457" t="s">
        <v>113</v>
      </c>
      <c r="G35" s="531"/>
      <c r="H35" s="534"/>
      <c r="I35" s="154">
        <f t="shared" si="32"/>
        <v>0</v>
      </c>
      <c r="J35" s="530"/>
      <c r="K35" s="533"/>
      <c r="L35" s="162"/>
      <c r="M35" s="532"/>
      <c r="N35" s="532"/>
      <c r="O35" s="84"/>
      <c r="P35" s="533"/>
      <c r="Q35" s="532"/>
      <c r="R35" s="154"/>
      <c r="S35" s="530"/>
      <c r="T35" s="533"/>
      <c r="U35" s="154"/>
      <c r="V35" s="514"/>
      <c r="W35" s="533"/>
    </row>
    <row r="36" spans="2:23">
      <c r="B36" s="515"/>
      <c r="C36" s="520"/>
      <c r="D36" s="80">
        <f t="shared" si="8"/>
        <v>46171</v>
      </c>
      <c r="E36" s="457" t="s">
        <v>114</v>
      </c>
      <c r="G36" s="531"/>
      <c r="H36" s="534"/>
      <c r="I36" s="154">
        <f t="shared" si="32"/>
        <v>0</v>
      </c>
      <c r="J36" s="530"/>
      <c r="K36" s="533"/>
      <c r="L36" s="162"/>
      <c r="M36" s="532"/>
      <c r="N36" s="532"/>
      <c r="O36" s="84"/>
      <c r="P36" s="533"/>
      <c r="Q36" s="532"/>
      <c r="R36" s="154"/>
      <c r="S36" s="530"/>
      <c r="T36" s="533"/>
      <c r="U36" s="154"/>
      <c r="V36" s="514"/>
      <c r="W36" s="533"/>
    </row>
    <row r="37" spans="2:23">
      <c r="B37" s="515"/>
      <c r="C37" s="520"/>
      <c r="D37" s="80">
        <f t="shared" si="8"/>
        <v>46172</v>
      </c>
      <c r="E37" s="457" t="s">
        <v>115</v>
      </c>
      <c r="G37" s="531"/>
      <c r="H37" s="534"/>
      <c r="I37" s="154">
        <f t="shared" si="32"/>
        <v>0</v>
      </c>
      <c r="J37" s="530"/>
      <c r="K37" s="533"/>
      <c r="L37" s="162"/>
      <c r="M37" s="532"/>
      <c r="N37" s="532"/>
      <c r="O37" s="84"/>
      <c r="P37" s="533"/>
      <c r="Q37" s="532"/>
      <c r="R37" s="154"/>
      <c r="S37" s="530"/>
      <c r="T37" s="533"/>
      <c r="U37" s="154"/>
      <c r="V37" s="514"/>
      <c r="W37" s="533"/>
    </row>
    <row r="38" spans="2:23">
      <c r="B38" s="515"/>
      <c r="C38" s="520"/>
      <c r="D38" s="80">
        <f t="shared" si="8"/>
        <v>46173</v>
      </c>
      <c r="E38" s="457" t="s">
        <v>116</v>
      </c>
      <c r="G38" s="531"/>
      <c r="H38" s="534"/>
      <c r="I38" s="154">
        <f t="shared" si="32"/>
        <v>0</v>
      </c>
      <c r="J38" s="530"/>
      <c r="K38" s="533"/>
      <c r="L38" s="162"/>
      <c r="M38" s="532"/>
      <c r="N38" s="532"/>
      <c r="O38" s="84"/>
      <c r="P38" s="533"/>
      <c r="Q38" s="532"/>
      <c r="R38" s="154"/>
      <c r="S38" s="530"/>
      <c r="T38" s="533"/>
      <c r="U38" s="154"/>
      <c r="V38" s="514"/>
      <c r="W38" s="533"/>
    </row>
    <row r="39" spans="2:23">
      <c r="B39" s="515"/>
      <c r="C39" s="73"/>
      <c r="D39" s="80">
        <f t="shared" si="8"/>
        <v>46174</v>
      </c>
      <c r="E39" s="457" t="s">
        <v>117</v>
      </c>
      <c r="G39" s="531"/>
      <c r="I39" s="154">
        <f t="shared" si="32"/>
        <v>0</v>
      </c>
      <c r="J39" s="530"/>
      <c r="L39" s="162"/>
      <c r="M39" s="532"/>
      <c r="O39" s="84"/>
      <c r="P39" s="533"/>
      <c r="R39" s="154"/>
      <c r="S39" s="530"/>
      <c r="U39" s="154"/>
      <c r="V39" s="514"/>
    </row>
    <row r="40" spans="2:23">
      <c r="B40" s="515">
        <f t="shared" ref="B40" si="37">B33+7</f>
        <v>46183</v>
      </c>
      <c r="D40" s="80">
        <f t="shared" si="8"/>
        <v>46175</v>
      </c>
      <c r="E40" s="457" t="s">
        <v>118</v>
      </c>
      <c r="G40" s="531" t="e">
        <f t="shared" ref="G40" si="38">AVERAGE(F40:F46)</f>
        <v>#DIV/0!</v>
      </c>
      <c r="I40" s="154">
        <f t="shared" si="32"/>
        <v>0</v>
      </c>
      <c r="J40" s="530">
        <f t="shared" ref="J40" si="39">AVERAGE(I40:I46)</f>
        <v>0</v>
      </c>
      <c r="L40" s="162"/>
      <c r="M40" s="532" t="e">
        <f>AVERAGE(L40:L46)</f>
        <v>#DIV/0!</v>
      </c>
      <c r="O40" s="84"/>
      <c r="P40" s="533" t="e">
        <f t="shared" ref="P40" si="40">AVERAGE(O40:O46)</f>
        <v>#DIV/0!</v>
      </c>
      <c r="R40" s="154"/>
      <c r="S40" s="530" t="e">
        <f t="shared" ref="S40" si="41">AVERAGE(R40:R46)</f>
        <v>#DIV/0!</v>
      </c>
      <c r="U40" s="154"/>
      <c r="V40" s="514" t="e">
        <f t="shared" ref="V40" si="42">AVERAGE(U40:U46)</f>
        <v>#DIV/0!</v>
      </c>
    </row>
    <row r="41" spans="2:23">
      <c r="B41" s="515"/>
      <c r="D41" s="80">
        <f t="shared" si="8"/>
        <v>46176</v>
      </c>
      <c r="E41" s="457" t="s">
        <v>112</v>
      </c>
      <c r="G41" s="531"/>
      <c r="I41" s="154">
        <f t="shared" si="32"/>
        <v>0</v>
      </c>
      <c r="J41" s="530"/>
      <c r="L41" s="162"/>
      <c r="M41" s="532"/>
      <c r="O41" s="84"/>
      <c r="P41" s="533"/>
      <c r="R41" s="154"/>
      <c r="S41" s="530"/>
      <c r="U41" s="154"/>
      <c r="V41" s="514"/>
    </row>
    <row r="42" spans="2:23">
      <c r="B42" s="515"/>
      <c r="D42" s="80">
        <f t="shared" si="8"/>
        <v>46177</v>
      </c>
      <c r="E42" s="457" t="s">
        <v>113</v>
      </c>
      <c r="G42" s="531"/>
      <c r="I42" s="154">
        <f t="shared" si="32"/>
        <v>0</v>
      </c>
      <c r="J42" s="530"/>
      <c r="L42" s="162"/>
      <c r="M42" s="532"/>
      <c r="O42" s="84"/>
      <c r="P42" s="533"/>
      <c r="R42" s="154"/>
      <c r="S42" s="530"/>
      <c r="U42" s="154"/>
      <c r="V42" s="514"/>
    </row>
    <row r="43" spans="2:23">
      <c r="B43" s="515"/>
      <c r="C43" s="73"/>
      <c r="D43" s="80">
        <f t="shared" si="8"/>
        <v>46178</v>
      </c>
      <c r="E43" s="457" t="s">
        <v>114</v>
      </c>
      <c r="G43" s="531"/>
      <c r="H43" s="87"/>
      <c r="I43" s="154">
        <f t="shared" si="32"/>
        <v>0</v>
      </c>
      <c r="J43" s="530"/>
      <c r="K43" s="84"/>
      <c r="L43" s="162"/>
      <c r="M43" s="532"/>
      <c r="N43" s="162"/>
      <c r="O43" s="84"/>
      <c r="P43" s="533"/>
      <c r="Q43" s="162"/>
      <c r="R43" s="154"/>
      <c r="S43" s="530"/>
      <c r="T43" s="84"/>
      <c r="U43" s="154"/>
      <c r="V43" s="514"/>
      <c r="W43" s="84"/>
    </row>
    <row r="44" spans="2:23">
      <c r="B44" s="515"/>
      <c r="C44" s="73"/>
      <c r="D44" s="80">
        <f t="shared" si="8"/>
        <v>46179</v>
      </c>
      <c r="E44" s="457" t="s">
        <v>115</v>
      </c>
      <c r="G44" s="531"/>
      <c r="I44" s="154">
        <f t="shared" si="32"/>
        <v>0</v>
      </c>
      <c r="J44" s="530"/>
      <c r="L44" s="162"/>
      <c r="M44" s="532"/>
      <c r="O44" s="84"/>
      <c r="P44" s="533"/>
      <c r="R44" s="154"/>
      <c r="S44" s="530"/>
      <c r="U44" s="154"/>
      <c r="V44" s="514"/>
    </row>
    <row r="45" spans="2:23">
      <c r="B45" s="515"/>
      <c r="C45" s="73"/>
      <c r="D45" s="80">
        <f t="shared" si="8"/>
        <v>46180</v>
      </c>
      <c r="E45" s="457" t="s">
        <v>116</v>
      </c>
      <c r="G45" s="531"/>
      <c r="I45" s="154">
        <f t="shared" si="32"/>
        <v>0</v>
      </c>
      <c r="J45" s="530"/>
      <c r="L45" s="162"/>
      <c r="M45" s="532"/>
      <c r="O45" s="84"/>
      <c r="P45" s="533"/>
      <c r="R45" s="154"/>
      <c r="S45" s="530"/>
      <c r="U45" s="154"/>
      <c r="V45" s="514"/>
    </row>
    <row r="46" spans="2:23">
      <c r="B46" s="515"/>
      <c r="C46" s="73"/>
      <c r="D46" s="80">
        <f t="shared" si="8"/>
        <v>46181</v>
      </c>
      <c r="E46" s="457" t="s">
        <v>117</v>
      </c>
      <c r="G46" s="531"/>
      <c r="I46" s="154">
        <f t="shared" si="32"/>
        <v>0</v>
      </c>
      <c r="J46" s="530"/>
      <c r="L46" s="162"/>
      <c r="M46" s="532"/>
      <c r="O46" s="84"/>
      <c r="P46" s="533"/>
      <c r="R46" s="154"/>
      <c r="S46" s="530"/>
      <c r="U46" s="154"/>
      <c r="V46" s="514"/>
    </row>
    <row r="47" spans="2:23">
      <c r="B47" s="515">
        <f t="shared" ref="B47" si="43">B40+7</f>
        <v>46190</v>
      </c>
      <c r="D47" s="80">
        <f t="shared" si="8"/>
        <v>46182</v>
      </c>
      <c r="E47" s="457" t="s">
        <v>118</v>
      </c>
      <c r="G47" s="531" t="e">
        <f t="shared" ref="G47" si="44">AVERAGE(F47:F53)</f>
        <v>#DIV/0!</v>
      </c>
      <c r="I47" s="154">
        <f t="shared" si="32"/>
        <v>0</v>
      </c>
      <c r="J47" s="530">
        <f t="shared" ref="J47" si="45">AVERAGE(I47:I53)</f>
        <v>0</v>
      </c>
      <c r="L47" s="162"/>
      <c r="M47" s="532" t="e">
        <f>AVERAGE(L47:L53)</f>
        <v>#DIV/0!</v>
      </c>
      <c r="O47" s="84"/>
      <c r="P47" s="533" t="e">
        <f t="shared" ref="P47" si="46">AVERAGE(O47:O53)</f>
        <v>#DIV/0!</v>
      </c>
      <c r="R47" s="154"/>
      <c r="S47" s="530" t="e">
        <f t="shared" ref="S47" si="47">AVERAGE(R47:R53)</f>
        <v>#DIV/0!</v>
      </c>
      <c r="U47" s="154"/>
      <c r="V47" s="514" t="e">
        <f t="shared" ref="V47" si="48">AVERAGE(U47:U53)</f>
        <v>#DIV/0!</v>
      </c>
    </row>
    <row r="48" spans="2:23">
      <c r="B48" s="515"/>
      <c r="D48" s="80">
        <f t="shared" si="8"/>
        <v>46183</v>
      </c>
      <c r="E48" s="457" t="s">
        <v>112</v>
      </c>
      <c r="G48" s="531"/>
      <c r="I48" s="154">
        <f t="shared" si="32"/>
        <v>0</v>
      </c>
      <c r="J48" s="530"/>
      <c r="L48" s="162"/>
      <c r="M48" s="532"/>
      <c r="O48" s="84"/>
      <c r="P48" s="533"/>
      <c r="R48" s="154"/>
      <c r="S48" s="530"/>
      <c r="U48" s="154"/>
      <c r="V48" s="514"/>
    </row>
    <row r="49" spans="2:23">
      <c r="B49" s="515"/>
      <c r="D49" s="80">
        <f t="shared" si="8"/>
        <v>46184</v>
      </c>
      <c r="E49" s="457" t="s">
        <v>113</v>
      </c>
      <c r="G49" s="531"/>
      <c r="I49" s="154">
        <f t="shared" si="32"/>
        <v>0</v>
      </c>
      <c r="J49" s="530"/>
      <c r="L49" s="162"/>
      <c r="M49" s="532"/>
      <c r="O49" s="84"/>
      <c r="P49" s="533"/>
      <c r="R49" s="154"/>
      <c r="S49" s="530"/>
      <c r="U49" s="154"/>
      <c r="V49" s="514"/>
    </row>
    <row r="50" spans="2:23">
      <c r="B50" s="515"/>
      <c r="C50" s="73"/>
      <c r="D50" s="80">
        <f t="shared" si="8"/>
        <v>46185</v>
      </c>
      <c r="E50" s="457" t="s">
        <v>114</v>
      </c>
      <c r="G50" s="531"/>
      <c r="H50" s="87"/>
      <c r="I50" s="154">
        <f t="shared" si="32"/>
        <v>0</v>
      </c>
      <c r="J50" s="530"/>
      <c r="K50" s="84"/>
      <c r="L50" s="162"/>
      <c r="M50" s="532"/>
      <c r="N50" s="162"/>
      <c r="O50" s="84"/>
      <c r="P50" s="533"/>
      <c r="Q50" s="162"/>
      <c r="R50" s="154"/>
      <c r="S50" s="530"/>
      <c r="T50" s="84"/>
      <c r="U50" s="154"/>
      <c r="V50" s="514"/>
      <c r="W50" s="84"/>
    </row>
    <row r="51" spans="2:23">
      <c r="B51" s="515"/>
      <c r="C51" s="73"/>
      <c r="D51" s="80">
        <f t="shared" si="8"/>
        <v>46186</v>
      </c>
      <c r="E51" s="457" t="s">
        <v>115</v>
      </c>
      <c r="G51" s="531"/>
      <c r="I51" s="154">
        <f t="shared" si="32"/>
        <v>0</v>
      </c>
      <c r="J51" s="530"/>
      <c r="L51" s="162"/>
      <c r="M51" s="532"/>
      <c r="O51" s="84"/>
      <c r="P51" s="533"/>
      <c r="R51" s="154"/>
      <c r="S51" s="530"/>
      <c r="U51" s="154"/>
      <c r="V51" s="514"/>
    </row>
    <row r="52" spans="2:23">
      <c r="B52" s="515"/>
      <c r="C52" s="73"/>
      <c r="D52" s="80">
        <f t="shared" si="8"/>
        <v>46187</v>
      </c>
      <c r="E52" s="457" t="s">
        <v>116</v>
      </c>
      <c r="G52" s="531"/>
      <c r="I52" s="154">
        <f t="shared" si="32"/>
        <v>0</v>
      </c>
      <c r="J52" s="530"/>
      <c r="L52" s="162"/>
      <c r="M52" s="532"/>
      <c r="O52" s="84"/>
      <c r="P52" s="533"/>
      <c r="R52" s="154"/>
      <c r="S52" s="530"/>
      <c r="U52" s="154"/>
      <c r="V52" s="514"/>
    </row>
    <row r="53" spans="2:23">
      <c r="B53" s="515"/>
      <c r="C53" s="73"/>
      <c r="D53" s="80">
        <f t="shared" si="8"/>
        <v>46188</v>
      </c>
      <c r="E53" s="457" t="s">
        <v>117</v>
      </c>
      <c r="G53" s="531"/>
      <c r="I53" s="154">
        <f t="shared" si="32"/>
        <v>0</v>
      </c>
      <c r="J53" s="530"/>
      <c r="L53" s="162"/>
      <c r="M53" s="532"/>
      <c r="O53" s="84"/>
      <c r="P53" s="533"/>
      <c r="R53" s="154"/>
      <c r="S53" s="530"/>
      <c r="U53" s="154"/>
      <c r="V53" s="514"/>
    </row>
    <row r="54" spans="2:23">
      <c r="B54" s="515">
        <f t="shared" ref="B54" si="49">B47+7</f>
        <v>46197</v>
      </c>
      <c r="D54" s="80">
        <f t="shared" si="8"/>
        <v>46189</v>
      </c>
      <c r="E54" s="457" t="s">
        <v>118</v>
      </c>
      <c r="G54" s="531" t="e">
        <f t="shared" ref="G54" si="50">AVERAGE(F54:F60)</f>
        <v>#DIV/0!</v>
      </c>
      <c r="I54" s="154">
        <f t="shared" si="32"/>
        <v>0</v>
      </c>
      <c r="J54" s="530">
        <f t="shared" ref="J54" si="51">AVERAGE(I54:I60)</f>
        <v>0</v>
      </c>
      <c r="L54" s="162"/>
      <c r="M54" s="532" t="e">
        <f>AVERAGE(L54:L60)</f>
        <v>#DIV/0!</v>
      </c>
      <c r="O54" s="84"/>
      <c r="P54" s="533" t="e">
        <f t="shared" ref="P54" si="52">AVERAGE(O54:O60)</f>
        <v>#DIV/0!</v>
      </c>
      <c r="R54" s="154"/>
      <c r="S54" s="530" t="e">
        <f t="shared" ref="S54" si="53">AVERAGE(R54:R60)</f>
        <v>#DIV/0!</v>
      </c>
      <c r="U54" s="154"/>
      <c r="V54" s="514" t="e">
        <f t="shared" ref="V54" si="54">AVERAGE(U54:U60)</f>
        <v>#DIV/0!</v>
      </c>
    </row>
    <row r="55" spans="2:23">
      <c r="B55" s="515"/>
      <c r="D55" s="80">
        <f t="shared" si="8"/>
        <v>46190</v>
      </c>
      <c r="E55" s="457" t="s">
        <v>112</v>
      </c>
      <c r="G55" s="531"/>
      <c r="I55" s="154">
        <f t="shared" si="32"/>
        <v>0</v>
      </c>
      <c r="J55" s="530"/>
      <c r="L55" s="162"/>
      <c r="M55" s="532"/>
      <c r="O55" s="84"/>
      <c r="P55" s="533"/>
      <c r="R55" s="154"/>
      <c r="S55" s="530"/>
      <c r="U55" s="154"/>
      <c r="V55" s="514"/>
    </row>
    <row r="56" spans="2:23">
      <c r="B56" s="515"/>
      <c r="D56" s="80">
        <f t="shared" si="8"/>
        <v>46191</v>
      </c>
      <c r="E56" s="457" t="s">
        <v>113</v>
      </c>
      <c r="G56" s="531"/>
      <c r="I56" s="154">
        <f t="shared" si="32"/>
        <v>0</v>
      </c>
      <c r="J56" s="530"/>
      <c r="L56" s="162"/>
      <c r="M56" s="532"/>
      <c r="O56" s="84"/>
      <c r="P56" s="533"/>
      <c r="R56" s="154"/>
      <c r="S56" s="530"/>
      <c r="U56" s="154"/>
      <c r="V56" s="514"/>
    </row>
    <row r="57" spans="2:23">
      <c r="B57" s="515"/>
      <c r="C57" s="73"/>
      <c r="D57" s="80">
        <f t="shared" si="8"/>
        <v>46192</v>
      </c>
      <c r="E57" s="457" t="s">
        <v>114</v>
      </c>
      <c r="G57" s="531"/>
      <c r="H57" s="87"/>
      <c r="I57" s="154">
        <f t="shared" si="32"/>
        <v>0</v>
      </c>
      <c r="J57" s="530"/>
      <c r="K57" s="84"/>
      <c r="L57" s="162"/>
      <c r="M57" s="532"/>
      <c r="N57" s="162"/>
      <c r="O57" s="84"/>
      <c r="P57" s="533"/>
      <c r="Q57" s="162"/>
      <c r="R57" s="154"/>
      <c r="S57" s="530"/>
      <c r="T57" s="84"/>
      <c r="U57" s="154"/>
      <c r="V57" s="514"/>
      <c r="W57" s="84"/>
    </row>
    <row r="58" spans="2:23">
      <c r="B58" s="515"/>
      <c r="C58" s="73"/>
      <c r="D58" s="80">
        <f t="shared" si="8"/>
        <v>46193</v>
      </c>
      <c r="E58" s="457" t="s">
        <v>115</v>
      </c>
      <c r="G58" s="531"/>
      <c r="I58" s="154">
        <f t="shared" si="32"/>
        <v>0</v>
      </c>
      <c r="J58" s="530"/>
      <c r="L58" s="162"/>
      <c r="M58" s="532"/>
      <c r="O58" s="84"/>
      <c r="P58" s="533"/>
      <c r="R58" s="154"/>
      <c r="S58" s="530"/>
      <c r="U58" s="154"/>
      <c r="V58" s="514"/>
    </row>
    <row r="59" spans="2:23">
      <c r="B59" s="515"/>
      <c r="C59" s="73"/>
      <c r="D59" s="80">
        <f t="shared" si="8"/>
        <v>46194</v>
      </c>
      <c r="E59" s="457" t="s">
        <v>116</v>
      </c>
      <c r="G59" s="531"/>
      <c r="I59" s="154">
        <f t="shared" si="32"/>
        <v>0</v>
      </c>
      <c r="J59" s="530"/>
      <c r="L59" s="162"/>
      <c r="M59" s="532"/>
      <c r="O59" s="84"/>
      <c r="P59" s="533"/>
      <c r="R59" s="154"/>
      <c r="S59" s="530"/>
      <c r="U59" s="154"/>
      <c r="V59" s="514"/>
    </row>
    <row r="60" spans="2:23">
      <c r="B60" s="515"/>
      <c r="C60" s="73"/>
      <c r="D60" s="80">
        <f t="shared" si="8"/>
        <v>46195</v>
      </c>
      <c r="E60" s="457" t="s">
        <v>117</v>
      </c>
      <c r="G60" s="531"/>
      <c r="I60" s="154">
        <f t="shared" si="32"/>
        <v>0</v>
      </c>
      <c r="J60" s="530"/>
      <c r="L60" s="162"/>
      <c r="M60" s="532"/>
      <c r="O60" s="84"/>
      <c r="P60" s="533"/>
      <c r="R60" s="154"/>
      <c r="S60" s="530"/>
      <c r="U60" s="154"/>
      <c r="V60" s="514"/>
    </row>
    <row r="61" spans="2:23">
      <c r="B61" s="515">
        <f t="shared" ref="B61" si="55">B54+7</f>
        <v>46204</v>
      </c>
      <c r="D61" s="80">
        <f t="shared" si="8"/>
        <v>46196</v>
      </c>
      <c r="E61" s="457" t="s">
        <v>118</v>
      </c>
      <c r="G61" s="531" t="e">
        <f t="shared" ref="G61" si="56">AVERAGE(F61:F67)</f>
        <v>#DIV/0!</v>
      </c>
      <c r="I61" s="154">
        <f t="shared" ref="I61:I67" si="57">F61/$C$1</f>
        <v>0</v>
      </c>
      <c r="J61" s="530">
        <f t="shared" ref="J61" si="58">AVERAGE(I61:I67)</f>
        <v>0</v>
      </c>
      <c r="L61" s="162"/>
      <c r="M61" s="532" t="e">
        <f>AVERAGE(L61:L67)</f>
        <v>#DIV/0!</v>
      </c>
      <c r="O61" s="84"/>
      <c r="P61" s="533" t="e">
        <f t="shared" ref="P61" si="59">AVERAGE(O61:O67)</f>
        <v>#DIV/0!</v>
      </c>
      <c r="R61" s="154"/>
      <c r="S61" s="530" t="e">
        <f t="shared" ref="S61" si="60">AVERAGE(R61:R67)</f>
        <v>#DIV/0!</v>
      </c>
      <c r="U61" s="154"/>
      <c r="V61" s="514" t="e">
        <f t="shared" ref="V61" si="61">AVERAGE(U61:U67)</f>
        <v>#DIV/0!</v>
      </c>
    </row>
    <row r="62" spans="2:23">
      <c r="B62" s="515"/>
      <c r="D62" s="80">
        <f t="shared" si="8"/>
        <v>46197</v>
      </c>
      <c r="E62" s="457" t="s">
        <v>112</v>
      </c>
      <c r="G62" s="531"/>
      <c r="I62" s="154">
        <f t="shared" si="57"/>
        <v>0</v>
      </c>
      <c r="J62" s="530"/>
      <c r="L62" s="162"/>
      <c r="M62" s="532"/>
      <c r="O62" s="84"/>
      <c r="P62" s="533"/>
      <c r="R62" s="154"/>
      <c r="S62" s="530"/>
      <c r="U62" s="154"/>
      <c r="V62" s="514"/>
    </row>
    <row r="63" spans="2:23">
      <c r="B63" s="515"/>
      <c r="D63" s="80">
        <f t="shared" si="8"/>
        <v>46198</v>
      </c>
      <c r="E63" s="457" t="s">
        <v>113</v>
      </c>
      <c r="G63" s="531"/>
      <c r="I63" s="154">
        <f t="shared" si="57"/>
        <v>0</v>
      </c>
      <c r="J63" s="530"/>
      <c r="L63" s="162"/>
      <c r="M63" s="532"/>
      <c r="O63" s="84"/>
      <c r="P63" s="533"/>
      <c r="R63" s="154"/>
      <c r="S63" s="530"/>
      <c r="U63" s="154"/>
      <c r="V63" s="514"/>
    </row>
    <row r="64" spans="2:23">
      <c r="B64" s="515"/>
      <c r="C64" s="73"/>
      <c r="D64" s="80">
        <f t="shared" si="8"/>
        <v>46199</v>
      </c>
      <c r="E64" s="457" t="s">
        <v>114</v>
      </c>
      <c r="G64" s="531"/>
      <c r="H64" s="87"/>
      <c r="I64" s="154">
        <f t="shared" si="57"/>
        <v>0</v>
      </c>
      <c r="J64" s="530"/>
      <c r="K64" s="84"/>
      <c r="L64" s="162"/>
      <c r="M64" s="532"/>
      <c r="N64" s="162"/>
      <c r="O64" s="84"/>
      <c r="P64" s="533"/>
      <c r="Q64" s="162"/>
      <c r="R64" s="154"/>
      <c r="S64" s="530"/>
      <c r="T64" s="84"/>
      <c r="U64" s="154"/>
      <c r="V64" s="514"/>
      <c r="W64" s="84"/>
    </row>
    <row r="65" spans="2:22">
      <c r="B65" s="515"/>
      <c r="C65" s="73"/>
      <c r="D65" s="80">
        <f t="shared" si="8"/>
        <v>46200</v>
      </c>
      <c r="E65" s="457" t="s">
        <v>115</v>
      </c>
      <c r="G65" s="531"/>
      <c r="I65" s="154">
        <f t="shared" si="57"/>
        <v>0</v>
      </c>
      <c r="J65" s="530"/>
      <c r="L65" s="162"/>
      <c r="M65" s="532"/>
      <c r="O65" s="84"/>
      <c r="P65" s="533"/>
      <c r="R65" s="154"/>
      <c r="S65" s="530"/>
      <c r="U65" s="154"/>
      <c r="V65" s="514"/>
    </row>
    <row r="66" spans="2:22">
      <c r="B66" s="515"/>
      <c r="C66" s="73"/>
      <c r="D66" s="80">
        <f t="shared" si="8"/>
        <v>46201</v>
      </c>
      <c r="E66" s="457" t="s">
        <v>116</v>
      </c>
      <c r="G66" s="531"/>
      <c r="I66" s="154">
        <f t="shared" si="57"/>
        <v>0</v>
      </c>
      <c r="J66" s="530"/>
      <c r="L66" s="162"/>
      <c r="M66" s="532"/>
      <c r="O66" s="84"/>
      <c r="P66" s="533"/>
      <c r="R66" s="154"/>
      <c r="S66" s="530"/>
      <c r="U66" s="154"/>
      <c r="V66" s="514"/>
    </row>
    <row r="67" spans="2:22">
      <c r="B67" s="515"/>
      <c r="C67" s="73"/>
      <c r="D67" s="80">
        <f t="shared" si="8"/>
        <v>46202</v>
      </c>
      <c r="E67" s="457" t="s">
        <v>117</v>
      </c>
      <c r="G67" s="531"/>
      <c r="I67" s="154">
        <f t="shared" si="57"/>
        <v>0</v>
      </c>
      <c r="J67" s="530"/>
      <c r="L67" s="162"/>
      <c r="M67" s="532"/>
      <c r="O67" s="84"/>
      <c r="P67" s="533"/>
      <c r="R67" s="154"/>
      <c r="S67" s="530"/>
      <c r="U67" s="154"/>
      <c r="V67" s="514"/>
    </row>
  </sheetData>
  <mergeCells count="87"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U3:W3"/>
    <mergeCell ref="B5:B11"/>
    <mergeCell ref="N5:N7"/>
    <mergeCell ref="Q5:Q7"/>
    <mergeCell ref="T5:T7"/>
    <mergeCell ref="W5:W7"/>
    <mergeCell ref="H5:H7"/>
    <mergeCell ref="K5:K7"/>
    <mergeCell ref="S5:S11"/>
    <mergeCell ref="V5:V11"/>
    <mergeCell ref="J5:J11"/>
    <mergeCell ref="M5:M11"/>
    <mergeCell ref="P5:P11"/>
    <mergeCell ref="B12:B18"/>
    <mergeCell ref="G12:G18"/>
    <mergeCell ref="J12:J18"/>
    <mergeCell ref="M12:M18"/>
    <mergeCell ref="P12:P18"/>
    <mergeCell ref="B33:B39"/>
    <mergeCell ref="G33:G39"/>
    <mergeCell ref="J33:J39"/>
    <mergeCell ref="M33:M39"/>
    <mergeCell ref="P33:P39"/>
    <mergeCell ref="C8:C38"/>
    <mergeCell ref="H8:H38"/>
    <mergeCell ref="K8:K38"/>
    <mergeCell ref="B26:B32"/>
    <mergeCell ref="G26:G32"/>
    <mergeCell ref="G5:G11"/>
    <mergeCell ref="C5:C7"/>
    <mergeCell ref="J26:J32"/>
    <mergeCell ref="B19:B25"/>
    <mergeCell ref="G19:G25"/>
    <mergeCell ref="J19:J25"/>
    <mergeCell ref="M26:M32"/>
    <mergeCell ref="P26:P32"/>
    <mergeCell ref="N8:N38"/>
    <mergeCell ref="S12:S18"/>
    <mergeCell ref="W8:W38"/>
    <mergeCell ref="S26:S32"/>
    <mergeCell ref="V26:V32"/>
    <mergeCell ref="S33:S39"/>
    <mergeCell ref="V33:V39"/>
    <mergeCell ref="V12:V18"/>
    <mergeCell ref="M19:M25"/>
    <mergeCell ref="P19:P25"/>
    <mergeCell ref="S19:S25"/>
    <mergeCell ref="V19:V25"/>
    <mergeCell ref="Q8:Q38"/>
    <mergeCell ref="T8:T38"/>
    <mergeCell ref="S54:S60"/>
    <mergeCell ref="V54:V60"/>
    <mergeCell ref="B61:B67"/>
    <mergeCell ref="G61:G67"/>
    <mergeCell ref="J61:J67"/>
    <mergeCell ref="M61:M67"/>
    <mergeCell ref="P61:P67"/>
    <mergeCell ref="S61:S67"/>
    <mergeCell ref="V61:V67"/>
    <mergeCell ref="B54:B60"/>
    <mergeCell ref="G54:G60"/>
    <mergeCell ref="J54:J60"/>
    <mergeCell ref="M54:M60"/>
    <mergeCell ref="P54:P60"/>
    <mergeCell ref="S40:S46"/>
    <mergeCell ref="V40:V46"/>
    <mergeCell ref="B47:B53"/>
    <mergeCell ref="G47:G53"/>
    <mergeCell ref="J47:J53"/>
    <mergeCell ref="M47:M53"/>
    <mergeCell ref="P47:P53"/>
    <mergeCell ref="S47:S53"/>
    <mergeCell ref="V47:V53"/>
    <mergeCell ref="M40:M46"/>
    <mergeCell ref="P40:P46"/>
    <mergeCell ref="B40:B46"/>
    <mergeCell ref="G40:G46"/>
    <mergeCell ref="J40:J46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N20"/>
  <sheetViews>
    <sheetView topLeftCell="K25" zoomScale="85" zoomScaleNormal="85" workbookViewId="0">
      <selection activeCell="D22" sqref="D22:V45"/>
    </sheetView>
  </sheetViews>
  <sheetFormatPr defaultColWidth="8.81640625" defaultRowHeight="16"/>
  <cols>
    <col min="1" max="1" width="8.81640625" style="75"/>
    <col min="2" max="2" width="13.1796875" style="75" customWidth="1"/>
    <col min="3" max="3" width="8.81640625" style="95"/>
    <col min="4" max="4" width="17" style="95" customWidth="1"/>
    <col min="5" max="5" width="8.54296875" style="77" customWidth="1"/>
    <col min="6" max="6" width="20.26953125" style="321" bestFit="1" customWidth="1"/>
    <col min="7" max="8" width="20.26953125" style="94" bestFit="1" customWidth="1"/>
    <col min="9" max="9" width="18.26953125" style="91" bestFit="1" customWidth="1"/>
    <col min="10" max="10" width="10.54296875" style="84" customWidth="1"/>
    <col min="11" max="11" width="18.26953125" style="91" bestFit="1" customWidth="1"/>
    <col min="12" max="12" width="10.54296875" style="84" customWidth="1"/>
    <col min="13" max="13" width="20.26953125" style="84" bestFit="1" customWidth="1"/>
    <col min="14" max="14" width="10.54296875" style="84" customWidth="1"/>
    <col min="15" max="15" width="18.26953125" style="91" bestFit="1" customWidth="1"/>
    <col min="16" max="16" width="10.54296875" style="84" customWidth="1"/>
    <col min="17" max="17" width="18.26953125" style="91" bestFit="1" customWidth="1"/>
    <col min="18" max="18" width="10.54296875" style="84" customWidth="1"/>
    <col min="19" max="19" width="18.26953125" style="91" bestFit="1" customWidth="1"/>
    <col min="20" max="20" width="10.54296875" style="84" customWidth="1"/>
    <col min="21" max="21" width="18.26953125" style="91" bestFit="1" customWidth="1"/>
    <col min="22" max="22" width="10.54296875" style="84" customWidth="1"/>
    <col min="23" max="23" width="17" style="91" bestFit="1" customWidth="1"/>
    <col min="24" max="24" width="10.54296875" style="84" customWidth="1"/>
    <col min="25" max="25" width="18.26953125" style="91" bestFit="1" customWidth="1"/>
    <col min="26" max="26" width="10.54296875" style="84" customWidth="1"/>
    <col min="27" max="27" width="18.26953125" style="91" bestFit="1" customWidth="1"/>
    <col min="28" max="28" width="10.54296875" style="84" customWidth="1"/>
    <col min="29" max="29" width="18.26953125" style="91" bestFit="1" customWidth="1"/>
    <col min="30" max="30" width="10.54296875" style="84" customWidth="1"/>
    <col min="31" max="31" width="20.26953125" style="91" bestFit="1" customWidth="1"/>
    <col min="32" max="32" width="10.54296875" style="84" customWidth="1"/>
    <col min="33" max="33" width="18.26953125" style="91" bestFit="1" customWidth="1"/>
    <col min="34" max="34" width="10.453125" style="84" customWidth="1"/>
    <col min="35" max="35" width="20.26953125" style="91" bestFit="1" customWidth="1"/>
    <col min="36" max="36" width="10.453125" style="84" customWidth="1"/>
    <col min="37" max="37" width="18.26953125" style="91" bestFit="1" customWidth="1"/>
    <col min="38" max="38" width="10.453125" style="84" customWidth="1"/>
    <col min="39" max="16384" width="8.81640625" style="75"/>
  </cols>
  <sheetData>
    <row r="2" spans="1:40" ht="38.15" customHeight="1">
      <c r="A2" s="74"/>
      <c r="B2" s="522" t="s">
        <v>322</v>
      </c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522"/>
      <c r="R2" s="522"/>
      <c r="S2" s="522"/>
      <c r="T2" s="522"/>
      <c r="U2" s="522"/>
      <c r="V2" s="522"/>
      <c r="W2" s="522"/>
      <c r="X2" s="522"/>
      <c r="Y2" s="522"/>
      <c r="Z2" s="522"/>
      <c r="AA2" s="522"/>
      <c r="AB2" s="522"/>
      <c r="AC2" s="522"/>
      <c r="AD2" s="522"/>
      <c r="AE2" s="522"/>
      <c r="AF2" s="522"/>
      <c r="AG2" s="522"/>
      <c r="AH2" s="522"/>
      <c r="AI2" s="522"/>
      <c r="AJ2" s="522"/>
      <c r="AK2" s="522"/>
      <c r="AL2" s="522"/>
    </row>
    <row r="3" spans="1:40" ht="25.4" customHeight="1">
      <c r="B3" s="541" t="s">
        <v>151</v>
      </c>
      <c r="C3" s="542" t="s">
        <v>144</v>
      </c>
      <c r="D3" s="543" t="s">
        <v>105</v>
      </c>
      <c r="E3" s="543"/>
      <c r="F3" s="545" t="s">
        <v>135</v>
      </c>
      <c r="G3" s="545"/>
      <c r="H3" s="545"/>
      <c r="I3" s="546" t="s">
        <v>109</v>
      </c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</row>
    <row r="4" spans="1:40" ht="25.4" customHeight="1">
      <c r="B4" s="541"/>
      <c r="C4" s="542"/>
      <c r="D4" s="543"/>
      <c r="E4" s="543"/>
      <c r="F4" s="545"/>
      <c r="G4" s="545"/>
      <c r="H4" s="545"/>
      <c r="I4" s="539" t="s">
        <v>145</v>
      </c>
      <c r="J4" s="539"/>
      <c r="K4" s="539"/>
      <c r="L4" s="539"/>
      <c r="M4" s="539"/>
      <c r="N4" s="539"/>
      <c r="O4" s="539" t="s">
        <v>146</v>
      </c>
      <c r="P4" s="539"/>
      <c r="Q4" s="539"/>
      <c r="R4" s="539"/>
      <c r="S4" s="539"/>
      <c r="T4" s="539"/>
      <c r="U4" s="539" t="s">
        <v>147</v>
      </c>
      <c r="V4" s="539"/>
      <c r="W4" s="539" t="s">
        <v>148</v>
      </c>
      <c r="X4" s="539"/>
      <c r="Y4" s="539" t="s">
        <v>139</v>
      </c>
      <c r="Z4" s="539"/>
      <c r="AA4" s="539"/>
      <c r="AB4" s="539"/>
      <c r="AC4" s="539"/>
      <c r="AD4" s="539"/>
      <c r="AE4" s="539" t="s">
        <v>137</v>
      </c>
      <c r="AF4" s="539"/>
      <c r="AG4" s="539" t="s">
        <v>149</v>
      </c>
      <c r="AH4" s="539"/>
      <c r="AI4" s="539" t="s">
        <v>150</v>
      </c>
      <c r="AJ4" s="539"/>
      <c r="AK4" s="539" t="s">
        <v>143</v>
      </c>
      <c r="AL4" s="539"/>
    </row>
    <row r="5" spans="1:40" ht="25.4" customHeight="1">
      <c r="B5" s="541"/>
      <c r="C5" s="542"/>
      <c r="D5" s="543"/>
      <c r="E5" s="543"/>
      <c r="F5" s="547" t="s">
        <v>116</v>
      </c>
      <c r="G5" s="559" t="s">
        <v>120</v>
      </c>
      <c r="H5" s="559" t="s">
        <v>121</v>
      </c>
      <c r="I5" s="539" t="s">
        <v>133</v>
      </c>
      <c r="J5" s="539"/>
      <c r="K5" s="539" t="s">
        <v>134</v>
      </c>
      <c r="L5" s="539"/>
      <c r="M5" s="540" t="s">
        <v>152</v>
      </c>
      <c r="N5" s="539"/>
      <c r="O5" s="539" t="s">
        <v>133</v>
      </c>
      <c r="P5" s="539"/>
      <c r="Q5" s="539" t="s">
        <v>134</v>
      </c>
      <c r="R5" s="539"/>
      <c r="S5" s="540" t="s">
        <v>152</v>
      </c>
      <c r="T5" s="539"/>
      <c r="U5" s="539" t="s">
        <v>133</v>
      </c>
      <c r="V5" s="539"/>
      <c r="W5" s="539" t="s">
        <v>133</v>
      </c>
      <c r="X5" s="539"/>
      <c r="Y5" s="539" t="s">
        <v>133</v>
      </c>
      <c r="Z5" s="539"/>
      <c r="AA5" s="539" t="s">
        <v>134</v>
      </c>
      <c r="AB5" s="539"/>
      <c r="AC5" s="540" t="s">
        <v>152</v>
      </c>
      <c r="AD5" s="539"/>
      <c r="AE5" s="539" t="s">
        <v>133</v>
      </c>
      <c r="AF5" s="539"/>
      <c r="AG5" s="539" t="s">
        <v>133</v>
      </c>
      <c r="AH5" s="539"/>
      <c r="AI5" s="539" t="s">
        <v>133</v>
      </c>
      <c r="AJ5" s="539"/>
      <c r="AK5" s="539" t="s">
        <v>133</v>
      </c>
      <c r="AL5" s="539"/>
    </row>
    <row r="6" spans="1:40" s="77" customFormat="1" ht="23.5" customHeight="1">
      <c r="B6" s="541"/>
      <c r="C6" s="542"/>
      <c r="D6" s="544"/>
      <c r="E6" s="544"/>
      <c r="F6" s="548"/>
      <c r="G6" s="559"/>
      <c r="H6" s="559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>
      <c r="B7" s="549">
        <f>D8+7</f>
        <v>46148</v>
      </c>
      <c r="C7" s="554"/>
      <c r="D7" s="171">
        <v>46140</v>
      </c>
      <c r="E7" s="171" t="s">
        <v>118</v>
      </c>
      <c r="F7" s="322">
        <f t="shared" ref="F7:F20" si="0">SUM(M7,S7,U7,W7,AC7,AE7,AG7,AI7,AK7)</f>
        <v>6434818.2700000005</v>
      </c>
      <c r="G7" s="552">
        <f t="shared" ref="G7" si="1">SUM(F7:F13)</f>
        <v>37624281.149999999</v>
      </c>
      <c r="H7" s="557"/>
      <c r="I7" s="172">
        <v>1196647.98</v>
      </c>
      <c r="J7" s="173">
        <f t="shared" ref="J7:J20" si="2">I7/$F7</f>
        <v>0.18596453385155193</v>
      </c>
      <c r="K7" s="172">
        <v>1283344.1200000001</v>
      </c>
      <c r="L7" s="173">
        <f t="shared" ref="L7:L20" si="3">K7/$F7</f>
        <v>0.19943750796865939</v>
      </c>
      <c r="M7" s="172">
        <f t="shared" ref="M7:M20" si="4">I7+K7</f>
        <v>2479992.1</v>
      </c>
      <c r="N7" s="173">
        <f t="shared" ref="N7" si="5">M7/$F7</f>
        <v>0.38540204182021132</v>
      </c>
      <c r="O7" s="172">
        <v>293690.21000000002</v>
      </c>
      <c r="P7" s="173">
        <f t="shared" ref="P7:P20" si="6">O7/$F7</f>
        <v>4.5640793209222985E-2</v>
      </c>
      <c r="Q7" s="172">
        <v>0</v>
      </c>
      <c r="R7" s="173">
        <f t="shared" ref="R7:R20" si="7">Q7/$F7</f>
        <v>0</v>
      </c>
      <c r="S7" s="172">
        <f t="shared" ref="S7:S20" si="8">O7+Q7</f>
        <v>293690.21000000002</v>
      </c>
      <c r="T7" s="173">
        <f t="shared" ref="T7" si="9">S7/$F7</f>
        <v>4.5640793209222985E-2</v>
      </c>
      <c r="U7" s="172">
        <v>106373.61</v>
      </c>
      <c r="V7" s="173">
        <f t="shared" ref="V7" si="10">U7/$F7</f>
        <v>1.653094237267403E-2</v>
      </c>
      <c r="W7" s="172">
        <v>124844.22</v>
      </c>
      <c r="X7" s="173">
        <f t="shared" ref="X7:X20" si="11">W7/$F7</f>
        <v>1.9401359100076031E-2</v>
      </c>
      <c r="Y7" s="172">
        <v>224979.51</v>
      </c>
      <c r="Z7" s="173">
        <f t="shared" ref="Z7:Z20" si="12">Y7/$F7</f>
        <v>3.4962838196827585E-2</v>
      </c>
      <c r="AA7" s="172">
        <v>654753.21</v>
      </c>
      <c r="AB7" s="173">
        <f t="shared" ref="AB7:AB20" si="13">AA7/$F7</f>
        <v>0.10175162413716463</v>
      </c>
      <c r="AC7" s="172">
        <f t="shared" ref="AC7:AC20" si="14">Y7+AA7</f>
        <v>879732.72</v>
      </c>
      <c r="AD7" s="173">
        <f t="shared" ref="AD7:AD20" si="15">AC7/$F7</f>
        <v>0.1367144623339922</v>
      </c>
      <c r="AE7" s="172">
        <v>1635891.7599999998</v>
      </c>
      <c r="AF7" s="173">
        <f t="shared" ref="AF7:AF20" si="16">AE7/F7</f>
        <v>0.25422501325744506</v>
      </c>
      <c r="AG7" s="172">
        <v>0</v>
      </c>
      <c r="AH7" s="173">
        <f t="shared" ref="AH7:AH20" si="17">AG7/$F7</f>
        <v>0</v>
      </c>
      <c r="AI7" s="172">
        <v>840773.25</v>
      </c>
      <c r="AJ7" s="173">
        <f t="shared" ref="AJ7:AJ20" si="18">AI7/$F7</f>
        <v>0.13065998365793785</v>
      </c>
      <c r="AK7" s="172">
        <v>73520.399999999994</v>
      </c>
      <c r="AL7" s="173">
        <f t="shared" ref="AL7:AL20" si="19">AK7/$F7</f>
        <v>1.1425404248440412E-2</v>
      </c>
      <c r="AN7" s="72"/>
    </row>
    <row r="8" spans="1:40" s="73" customFormat="1" ht="14.25" customHeight="1">
      <c r="B8" s="550"/>
      <c r="C8" s="554"/>
      <c r="D8" s="171">
        <v>46141</v>
      </c>
      <c r="E8" s="171" t="s">
        <v>112</v>
      </c>
      <c r="F8" s="322">
        <f t="shared" si="0"/>
        <v>5586966.5599999996</v>
      </c>
      <c r="G8" s="552"/>
      <c r="H8" s="557"/>
      <c r="I8" s="172">
        <v>1152282.1399999999</v>
      </c>
      <c r="J8" s="173">
        <f t="shared" si="2"/>
        <v>0.20624468172939986</v>
      </c>
      <c r="K8" s="172">
        <v>1052758.5</v>
      </c>
      <c r="L8" s="173">
        <f t="shared" si="3"/>
        <v>0.18843114393009722</v>
      </c>
      <c r="M8" s="172">
        <f t="shared" si="4"/>
        <v>2205040.6399999997</v>
      </c>
      <c r="N8" s="173">
        <f t="shared" ref="N8" si="20">M8/F8</f>
        <v>0.39467582565949705</v>
      </c>
      <c r="O8" s="172">
        <v>273819.69</v>
      </c>
      <c r="P8" s="173">
        <f t="shared" si="6"/>
        <v>4.901044011260379E-2</v>
      </c>
      <c r="Q8" s="172">
        <v>0</v>
      </c>
      <c r="R8" s="173">
        <f t="shared" si="7"/>
        <v>0</v>
      </c>
      <c r="S8" s="172">
        <f t="shared" si="8"/>
        <v>273819.69</v>
      </c>
      <c r="T8" s="173">
        <f t="shared" ref="T8" si="21">S8/F8</f>
        <v>4.901044011260379E-2</v>
      </c>
      <c r="U8" s="172">
        <v>96518.21</v>
      </c>
      <c r="V8" s="173">
        <f t="shared" ref="V8" si="22">U8/F8</f>
        <v>1.7275601878669562E-2</v>
      </c>
      <c r="W8" s="172">
        <v>143424.39000000001</v>
      </c>
      <c r="X8" s="173">
        <f t="shared" si="11"/>
        <v>2.5671245470994912E-2</v>
      </c>
      <c r="Y8" s="172">
        <v>174567.75</v>
      </c>
      <c r="Z8" s="173">
        <f t="shared" si="12"/>
        <v>3.1245533354328867E-2</v>
      </c>
      <c r="AA8" s="172">
        <v>510976.59000000008</v>
      </c>
      <c r="AB8" s="173">
        <f t="shared" si="13"/>
        <v>9.1458680576029822E-2</v>
      </c>
      <c r="AC8" s="172">
        <f t="shared" si="14"/>
        <v>685544.34000000008</v>
      </c>
      <c r="AD8" s="173">
        <f t="shared" si="15"/>
        <v>0.12270421393035869</v>
      </c>
      <c r="AE8" s="172">
        <v>1433507.3699999999</v>
      </c>
      <c r="AF8" s="173">
        <f t="shared" si="16"/>
        <v>0.25658062467443871</v>
      </c>
      <c r="AG8" s="172">
        <v>0</v>
      </c>
      <c r="AH8" s="173">
        <f t="shared" si="17"/>
        <v>0</v>
      </c>
      <c r="AI8" s="172">
        <v>685934.0199999999</v>
      </c>
      <c r="AJ8" s="173">
        <f t="shared" si="18"/>
        <v>0.12277396197624636</v>
      </c>
      <c r="AK8" s="172">
        <v>63177.899999999994</v>
      </c>
      <c r="AL8" s="173">
        <f t="shared" si="19"/>
        <v>1.1308086297190939E-2</v>
      </c>
      <c r="AN8" s="72"/>
    </row>
    <row r="9" spans="1:40" s="73" customFormat="1" ht="14.25" customHeight="1">
      <c r="B9" s="550"/>
      <c r="C9" s="555"/>
      <c r="D9" s="171">
        <v>46142</v>
      </c>
      <c r="E9" s="171" t="s">
        <v>113</v>
      </c>
      <c r="F9" s="322">
        <f t="shared" si="0"/>
        <v>4446498.88</v>
      </c>
      <c r="G9" s="552"/>
      <c r="H9" s="557"/>
      <c r="I9" s="172">
        <v>762684.46000000008</v>
      </c>
      <c r="J9" s="173">
        <f t="shared" si="2"/>
        <v>0.17152471654282753</v>
      </c>
      <c r="K9" s="172">
        <v>930428.7</v>
      </c>
      <c r="L9" s="173">
        <f t="shared" si="3"/>
        <v>0.20924973222977625</v>
      </c>
      <c r="M9" s="172">
        <f t="shared" si="4"/>
        <v>1693113.1600000001</v>
      </c>
      <c r="N9" s="173">
        <f t="shared" ref="N9" si="23">M9/$F9</f>
        <v>0.3807744487726038</v>
      </c>
      <c r="O9" s="172">
        <v>194141.89</v>
      </c>
      <c r="P9" s="173">
        <f t="shared" si="6"/>
        <v>4.3661742696761908E-2</v>
      </c>
      <c r="Q9" s="172">
        <v>0</v>
      </c>
      <c r="R9" s="173">
        <f t="shared" si="7"/>
        <v>0</v>
      </c>
      <c r="S9" s="172">
        <f t="shared" si="8"/>
        <v>194141.89</v>
      </c>
      <c r="T9" s="173">
        <f t="shared" ref="T9" si="24">S9/$F9</f>
        <v>4.3661742696761908E-2</v>
      </c>
      <c r="U9" s="172">
        <v>84496.430000000008</v>
      </c>
      <c r="V9" s="173">
        <f t="shared" ref="V9" si="25">U9/$F9</f>
        <v>1.9002912691614127E-2</v>
      </c>
      <c r="W9" s="172">
        <v>104062.92000000001</v>
      </c>
      <c r="X9" s="173">
        <f t="shared" si="11"/>
        <v>2.3403338853421687E-2</v>
      </c>
      <c r="Y9" s="172">
        <v>149475.41</v>
      </c>
      <c r="Z9" s="173">
        <f t="shared" si="12"/>
        <v>3.3616428123332848E-2</v>
      </c>
      <c r="AA9" s="172">
        <v>454301.41999999993</v>
      </c>
      <c r="AB9" s="173">
        <f t="shared" si="13"/>
        <v>0.10217059134849032</v>
      </c>
      <c r="AC9" s="172">
        <f t="shared" si="14"/>
        <v>603776.82999999996</v>
      </c>
      <c r="AD9" s="173">
        <f t="shared" si="15"/>
        <v>0.13578701947182317</v>
      </c>
      <c r="AE9" s="172">
        <v>1085516.27</v>
      </c>
      <c r="AF9" s="173">
        <f t="shared" si="16"/>
        <v>0.24412831292560677</v>
      </c>
      <c r="AG9" s="172">
        <v>0</v>
      </c>
      <c r="AH9" s="173">
        <f t="shared" si="17"/>
        <v>0</v>
      </c>
      <c r="AI9" s="172">
        <v>613958.28</v>
      </c>
      <c r="AJ9" s="173">
        <f t="shared" si="18"/>
        <v>0.13807678728123282</v>
      </c>
      <c r="AK9" s="172">
        <v>67433.099999999991</v>
      </c>
      <c r="AL9" s="173">
        <f t="shared" si="19"/>
        <v>1.5165437306935743E-2</v>
      </c>
      <c r="AN9" s="72"/>
    </row>
    <row r="10" spans="1:40" s="73" customFormat="1" ht="14.25" customHeight="1">
      <c r="B10" s="550"/>
      <c r="C10" s="553" t="s">
        <v>114</v>
      </c>
      <c r="D10" s="171">
        <v>46143</v>
      </c>
      <c r="E10" s="171" t="s">
        <v>114</v>
      </c>
      <c r="F10" s="322">
        <f t="shared" si="0"/>
        <v>4128529.58</v>
      </c>
      <c r="G10" s="552"/>
      <c r="H10" s="556">
        <f>SUM(F10:F20)</f>
        <v>59575569.989999995</v>
      </c>
      <c r="I10" s="172">
        <v>735223.63</v>
      </c>
      <c r="J10" s="173">
        <f t="shared" si="2"/>
        <v>0.17808365321195058</v>
      </c>
      <c r="K10" s="172">
        <v>904301.05</v>
      </c>
      <c r="L10" s="173">
        <f t="shared" si="3"/>
        <v>0.21903707663395258</v>
      </c>
      <c r="M10" s="172">
        <f t="shared" si="4"/>
        <v>1639524.6800000002</v>
      </c>
      <c r="N10" s="173">
        <f t="shared" ref="N10" si="26">M10/F10</f>
        <v>0.39712072984590319</v>
      </c>
      <c r="O10" s="172">
        <v>189738.31</v>
      </c>
      <c r="P10" s="173">
        <f t="shared" si="6"/>
        <v>4.5957841968519937E-2</v>
      </c>
      <c r="Q10" s="172">
        <v>0</v>
      </c>
      <c r="R10" s="173">
        <f t="shared" si="7"/>
        <v>0</v>
      </c>
      <c r="S10" s="172">
        <f t="shared" si="8"/>
        <v>189738.31</v>
      </c>
      <c r="T10" s="173">
        <f t="shared" ref="T10" si="27">S10/F10</f>
        <v>4.5957841968519937E-2</v>
      </c>
      <c r="U10" s="172">
        <v>74886.61</v>
      </c>
      <c r="V10" s="173">
        <f t="shared" ref="V10" si="28">U10/F10</f>
        <v>1.8138809120510163E-2</v>
      </c>
      <c r="W10" s="172">
        <v>51528.840000000004</v>
      </c>
      <c r="X10" s="173">
        <f t="shared" si="11"/>
        <v>1.2481160423222644E-2</v>
      </c>
      <c r="Y10" s="172">
        <v>153506.08000000002</v>
      </c>
      <c r="Z10" s="173">
        <f t="shared" si="12"/>
        <v>3.7181780347084255E-2</v>
      </c>
      <c r="AA10" s="172">
        <v>528791.27999999991</v>
      </c>
      <c r="AB10" s="173">
        <f t="shared" si="13"/>
        <v>0.12808223115601364</v>
      </c>
      <c r="AC10" s="172">
        <f t="shared" si="14"/>
        <v>682297.35999999987</v>
      </c>
      <c r="AD10" s="173">
        <f t="shared" si="15"/>
        <v>0.16526401150309789</v>
      </c>
      <c r="AE10" s="172">
        <v>951820.67</v>
      </c>
      <c r="AF10" s="173">
        <f t="shared" si="16"/>
        <v>0.23054713586428999</v>
      </c>
      <c r="AG10" s="172">
        <v>0</v>
      </c>
      <c r="AH10" s="173">
        <f t="shared" si="17"/>
        <v>0</v>
      </c>
      <c r="AI10" s="172">
        <v>473191.21</v>
      </c>
      <c r="AJ10" s="173">
        <f t="shared" si="18"/>
        <v>0.11461494966447594</v>
      </c>
      <c r="AK10" s="172">
        <v>65541.899999999994</v>
      </c>
      <c r="AL10" s="173">
        <f t="shared" si="19"/>
        <v>1.5875361609980276E-2</v>
      </c>
      <c r="AN10" s="72"/>
    </row>
    <row r="11" spans="1:40" s="73" customFormat="1" ht="14.25" customHeight="1">
      <c r="B11" s="550"/>
      <c r="C11" s="554"/>
      <c r="D11" s="171">
        <v>46144</v>
      </c>
      <c r="E11" s="171" t="s">
        <v>115</v>
      </c>
      <c r="F11" s="322">
        <f t="shared" si="0"/>
        <v>4422738.33</v>
      </c>
      <c r="G11" s="552"/>
      <c r="H11" s="557"/>
      <c r="I11" s="172">
        <v>696928.84999999986</v>
      </c>
      <c r="J11" s="173">
        <f t="shared" si="2"/>
        <v>0.15757858548235654</v>
      </c>
      <c r="K11" s="172">
        <v>1077660.98</v>
      </c>
      <c r="L11" s="173">
        <f t="shared" si="3"/>
        <v>0.24366374395023274</v>
      </c>
      <c r="M11" s="172">
        <f t="shared" si="4"/>
        <v>1774589.8299999998</v>
      </c>
      <c r="N11" s="173">
        <f t="shared" ref="N11" si="29">M11/$F11</f>
        <v>0.40124232943258931</v>
      </c>
      <c r="O11" s="172">
        <v>185451.78999999998</v>
      </c>
      <c r="P11" s="173">
        <f t="shared" si="6"/>
        <v>4.1931440696379607E-2</v>
      </c>
      <c r="Q11" s="172">
        <v>0</v>
      </c>
      <c r="R11" s="173">
        <f t="shared" si="7"/>
        <v>0</v>
      </c>
      <c r="S11" s="172">
        <f t="shared" si="8"/>
        <v>185451.78999999998</v>
      </c>
      <c r="T11" s="173">
        <f t="shared" ref="T11" si="30">S11/$F11</f>
        <v>4.1931440696379607E-2</v>
      </c>
      <c r="U11" s="172">
        <v>77677.25</v>
      </c>
      <c r="V11" s="173">
        <f t="shared" ref="V11" si="31">U11/$F11</f>
        <v>1.7563157529150046E-2</v>
      </c>
      <c r="W11" s="172">
        <v>43769.16</v>
      </c>
      <c r="X11" s="173">
        <f t="shared" si="11"/>
        <v>9.8963937574846304E-3</v>
      </c>
      <c r="Y11" s="172">
        <v>182174.93000000002</v>
      </c>
      <c r="Z11" s="173">
        <f t="shared" si="12"/>
        <v>4.1190528674121221E-2</v>
      </c>
      <c r="AA11" s="172">
        <v>591196.37000000011</v>
      </c>
      <c r="AB11" s="173">
        <f t="shared" si="13"/>
        <v>0.13367202079079368</v>
      </c>
      <c r="AC11" s="172">
        <f t="shared" si="14"/>
        <v>773371.30000000016</v>
      </c>
      <c r="AD11" s="173">
        <f t="shared" si="15"/>
        <v>0.17486254946491492</v>
      </c>
      <c r="AE11" s="172">
        <v>1049970.06</v>
      </c>
      <c r="AF11" s="173">
        <f t="shared" si="16"/>
        <v>0.2374027088326521</v>
      </c>
      <c r="AG11" s="172">
        <v>0</v>
      </c>
      <c r="AH11" s="173">
        <f t="shared" si="17"/>
        <v>0</v>
      </c>
      <c r="AI11" s="172">
        <v>455262.94</v>
      </c>
      <c r="AJ11" s="173">
        <f t="shared" si="18"/>
        <v>0.10293689249302705</v>
      </c>
      <c r="AK11" s="172">
        <v>62646</v>
      </c>
      <c r="AL11" s="173">
        <f t="shared" si="19"/>
        <v>1.4164527793802352E-2</v>
      </c>
      <c r="AN11" s="72"/>
    </row>
    <row r="12" spans="1:40" s="73" customFormat="1" ht="14.25" customHeight="1">
      <c r="B12" s="550"/>
      <c r="C12" s="554"/>
      <c r="D12" s="171">
        <v>46145</v>
      </c>
      <c r="E12" s="171" t="s">
        <v>116</v>
      </c>
      <c r="F12" s="322">
        <f t="shared" si="0"/>
        <v>6472238.8599999994</v>
      </c>
      <c r="G12" s="552"/>
      <c r="H12" s="557"/>
      <c r="I12" s="172">
        <v>1156742.08</v>
      </c>
      <c r="J12" s="173">
        <f t="shared" si="2"/>
        <v>0.17872363876261516</v>
      </c>
      <c r="K12" s="172">
        <v>1287660.1300000001</v>
      </c>
      <c r="L12" s="173">
        <f t="shared" si="3"/>
        <v>0.19895126830964954</v>
      </c>
      <c r="M12" s="172">
        <f t="shared" si="4"/>
        <v>2444402.21</v>
      </c>
      <c r="N12" s="173">
        <f t="shared" ref="N12" si="32">M12/F12</f>
        <v>0.37767490707226464</v>
      </c>
      <c r="O12" s="172">
        <v>295800.71000000002</v>
      </c>
      <c r="P12" s="173">
        <f t="shared" si="6"/>
        <v>4.5702996505292769E-2</v>
      </c>
      <c r="Q12" s="172">
        <v>0</v>
      </c>
      <c r="R12" s="173">
        <f t="shared" si="7"/>
        <v>0</v>
      </c>
      <c r="S12" s="172">
        <f t="shared" si="8"/>
        <v>295800.71000000002</v>
      </c>
      <c r="T12" s="173">
        <f t="shared" ref="T12" si="33">S12/F12</f>
        <v>4.5702996505292769E-2</v>
      </c>
      <c r="U12" s="172">
        <v>113189.96</v>
      </c>
      <c r="V12" s="173">
        <f t="shared" ref="V12" si="34">U12/F12</f>
        <v>1.748853255394224E-2</v>
      </c>
      <c r="W12" s="172">
        <v>63000.240000000005</v>
      </c>
      <c r="X12" s="173">
        <f t="shared" si="11"/>
        <v>9.7339176385094067E-3</v>
      </c>
      <c r="Y12" s="172">
        <v>232813.77000000002</v>
      </c>
      <c r="Z12" s="173">
        <f t="shared" si="12"/>
        <v>3.5971133797123189E-2</v>
      </c>
      <c r="AA12" s="172">
        <v>696145.05</v>
      </c>
      <c r="AB12" s="173">
        <f t="shared" si="13"/>
        <v>0.10755861535060839</v>
      </c>
      <c r="AC12" s="172">
        <f t="shared" si="14"/>
        <v>928958.82000000007</v>
      </c>
      <c r="AD12" s="173">
        <f t="shared" si="15"/>
        <v>0.14352974914773156</v>
      </c>
      <c r="AE12" s="172">
        <v>1880462.73</v>
      </c>
      <c r="AF12" s="173">
        <f t="shared" si="16"/>
        <v>0.29054285088606885</v>
      </c>
      <c r="AG12" s="172">
        <v>0</v>
      </c>
      <c r="AH12" s="173">
        <f t="shared" si="17"/>
        <v>0</v>
      </c>
      <c r="AI12" s="172">
        <v>683482.69</v>
      </c>
      <c r="AJ12" s="173">
        <f t="shared" si="18"/>
        <v>0.10560220424250535</v>
      </c>
      <c r="AK12" s="172">
        <v>62941.5</v>
      </c>
      <c r="AL12" s="173">
        <f t="shared" si="19"/>
        <v>9.724841953685252E-3</v>
      </c>
      <c r="AN12" s="72"/>
    </row>
    <row r="13" spans="1:40" s="73" customFormat="1" ht="14.25" customHeight="1">
      <c r="B13" s="551"/>
      <c r="C13" s="554"/>
      <c r="D13" s="171">
        <v>46146</v>
      </c>
      <c r="E13" s="171" t="s">
        <v>117</v>
      </c>
      <c r="F13" s="322">
        <f t="shared" si="0"/>
        <v>6132490.6699999999</v>
      </c>
      <c r="G13" s="552"/>
      <c r="H13" s="557"/>
      <c r="I13" s="172">
        <v>1117910.6499999999</v>
      </c>
      <c r="J13" s="173">
        <f t="shared" si="2"/>
        <v>0.1822930861466765</v>
      </c>
      <c r="K13" s="172">
        <v>1252098.08</v>
      </c>
      <c r="L13" s="173">
        <f t="shared" si="3"/>
        <v>0.20417447777380804</v>
      </c>
      <c r="M13" s="172">
        <f t="shared" si="4"/>
        <v>2370008.73</v>
      </c>
      <c r="N13" s="173">
        <f t="shared" ref="N13:N14" si="35">M13/$F13</f>
        <v>0.38646756392048454</v>
      </c>
      <c r="O13" s="172">
        <v>275130.65000000002</v>
      </c>
      <c r="P13" s="173">
        <f t="shared" si="6"/>
        <v>4.4864422109263481E-2</v>
      </c>
      <c r="Q13" s="172">
        <v>0</v>
      </c>
      <c r="R13" s="173">
        <f t="shared" si="7"/>
        <v>0</v>
      </c>
      <c r="S13" s="172">
        <f t="shared" si="8"/>
        <v>275130.65000000002</v>
      </c>
      <c r="T13" s="173">
        <f t="shared" ref="T13:T14" si="36">S13/$F13</f>
        <v>4.4864422109263481E-2</v>
      </c>
      <c r="U13" s="172">
        <v>106413.37</v>
      </c>
      <c r="V13" s="173">
        <f t="shared" ref="V13:V14" si="37">U13/$F13</f>
        <v>1.7352390036330868E-2</v>
      </c>
      <c r="W13" s="172">
        <v>63885</v>
      </c>
      <c r="X13" s="173">
        <f t="shared" si="11"/>
        <v>1.0417463871983355E-2</v>
      </c>
      <c r="Y13" s="172">
        <v>228328.94</v>
      </c>
      <c r="Z13" s="173">
        <f t="shared" si="12"/>
        <v>3.7232659988702441E-2</v>
      </c>
      <c r="AA13" s="172">
        <v>684259.9</v>
      </c>
      <c r="AB13" s="173">
        <f t="shared" si="13"/>
        <v>0.11157944411515917</v>
      </c>
      <c r="AC13" s="172">
        <f t="shared" si="14"/>
        <v>912588.84000000008</v>
      </c>
      <c r="AD13" s="173">
        <f t="shared" si="15"/>
        <v>0.14881210410386161</v>
      </c>
      <c r="AE13" s="172">
        <v>1710646.62</v>
      </c>
      <c r="AF13" s="173">
        <f t="shared" si="16"/>
        <v>0.27894809989168728</v>
      </c>
      <c r="AG13" s="172">
        <v>0</v>
      </c>
      <c r="AH13" s="173">
        <f t="shared" si="17"/>
        <v>0</v>
      </c>
      <c r="AI13" s="172">
        <v>623429.36</v>
      </c>
      <c r="AJ13" s="173">
        <f t="shared" si="18"/>
        <v>0.10166005845712929</v>
      </c>
      <c r="AK13" s="172">
        <v>70388.099999999991</v>
      </c>
      <c r="AL13" s="173">
        <f t="shared" si="19"/>
        <v>1.1477897609259631E-2</v>
      </c>
      <c r="AN13" s="72"/>
    </row>
    <row r="14" spans="1:40" s="73" customFormat="1" ht="14.25" customHeight="1">
      <c r="B14" s="549">
        <f>D15+7</f>
        <v>46155</v>
      </c>
      <c r="C14" s="554"/>
      <c r="D14" s="171">
        <v>46147</v>
      </c>
      <c r="E14" s="171" t="s">
        <v>118</v>
      </c>
      <c r="F14" s="322">
        <f t="shared" si="0"/>
        <v>5984383.9399999995</v>
      </c>
      <c r="G14" s="552">
        <f t="shared" ref="G14" si="38">SUM(F14:F20)</f>
        <v>38419572.549999997</v>
      </c>
      <c r="H14" s="557"/>
      <c r="I14" s="172">
        <v>1056722.76</v>
      </c>
      <c r="J14" s="173">
        <f t="shared" si="2"/>
        <v>0.17658004075186395</v>
      </c>
      <c r="K14" s="172">
        <v>1211356.7500000002</v>
      </c>
      <c r="L14" s="173">
        <f t="shared" si="3"/>
        <v>0.20241962450022891</v>
      </c>
      <c r="M14" s="172">
        <f t="shared" si="4"/>
        <v>2268079.5100000002</v>
      </c>
      <c r="N14" s="173">
        <f t="shared" si="35"/>
        <v>0.37899966525209283</v>
      </c>
      <c r="O14" s="172">
        <v>289161.94</v>
      </c>
      <c r="P14" s="173">
        <f t="shared" si="6"/>
        <v>4.8319416484497821E-2</v>
      </c>
      <c r="Q14" s="172">
        <v>0</v>
      </c>
      <c r="R14" s="173">
        <f t="shared" si="7"/>
        <v>0</v>
      </c>
      <c r="S14" s="172">
        <f t="shared" si="8"/>
        <v>289161.94</v>
      </c>
      <c r="T14" s="173">
        <f t="shared" si="36"/>
        <v>4.8319416484497821E-2</v>
      </c>
      <c r="U14" s="172">
        <v>96983.859999999986</v>
      </c>
      <c r="V14" s="173">
        <f t="shared" si="37"/>
        <v>1.6206156050876643E-2</v>
      </c>
      <c r="W14" s="172">
        <v>51599.28</v>
      </c>
      <c r="X14" s="173">
        <f t="shared" si="11"/>
        <v>8.6223211139758536E-3</v>
      </c>
      <c r="Y14" s="172">
        <v>223730.57</v>
      </c>
      <c r="Z14" s="173">
        <f t="shared" si="12"/>
        <v>3.7385731303864175E-2</v>
      </c>
      <c r="AA14" s="172">
        <v>660245.14</v>
      </c>
      <c r="AB14" s="173">
        <f t="shared" si="13"/>
        <v>0.11032800479041457</v>
      </c>
      <c r="AC14" s="172">
        <f t="shared" si="14"/>
        <v>883975.71</v>
      </c>
      <c r="AD14" s="173">
        <f t="shared" si="15"/>
        <v>0.14771373609427874</v>
      </c>
      <c r="AE14" s="172">
        <v>1692750.3900000001</v>
      </c>
      <c r="AF14" s="173">
        <f t="shared" si="16"/>
        <v>0.28286126140496265</v>
      </c>
      <c r="AG14" s="172">
        <v>0</v>
      </c>
      <c r="AH14" s="173">
        <f t="shared" si="17"/>
        <v>0</v>
      </c>
      <c r="AI14" s="172">
        <v>630913.25</v>
      </c>
      <c r="AJ14" s="173">
        <f t="shared" si="18"/>
        <v>0.10542659968437788</v>
      </c>
      <c r="AK14" s="172">
        <v>70920</v>
      </c>
      <c r="AL14" s="173">
        <f t="shared" si="19"/>
        <v>1.1850843914937717E-2</v>
      </c>
      <c r="AN14" s="72"/>
    </row>
    <row r="15" spans="1:40" s="73" customFormat="1" ht="14.25" customHeight="1">
      <c r="B15" s="550"/>
      <c r="C15" s="554"/>
      <c r="D15" s="171">
        <v>46148</v>
      </c>
      <c r="E15" s="171" t="s">
        <v>112</v>
      </c>
      <c r="F15" s="322">
        <f t="shared" si="0"/>
        <v>5601506.870000001</v>
      </c>
      <c r="G15" s="552"/>
      <c r="H15" s="557"/>
      <c r="I15" s="172">
        <v>1042367.5000000001</v>
      </c>
      <c r="J15" s="173">
        <f t="shared" si="2"/>
        <v>0.18608698055564465</v>
      </c>
      <c r="K15" s="172">
        <v>1158816.8900000001</v>
      </c>
      <c r="L15" s="173">
        <f t="shared" si="3"/>
        <v>0.20687592051458109</v>
      </c>
      <c r="M15" s="172">
        <f t="shared" si="4"/>
        <v>2201184.39</v>
      </c>
      <c r="N15" s="173">
        <f t="shared" ref="N15" si="39">M15/F15</f>
        <v>0.39296290107022575</v>
      </c>
      <c r="O15" s="172">
        <v>283443.26</v>
      </c>
      <c r="P15" s="173">
        <f t="shared" si="6"/>
        <v>5.0601251873498093E-2</v>
      </c>
      <c r="Q15" s="172">
        <v>0</v>
      </c>
      <c r="R15" s="173">
        <f t="shared" si="7"/>
        <v>0</v>
      </c>
      <c r="S15" s="172">
        <f t="shared" si="8"/>
        <v>283443.26</v>
      </c>
      <c r="T15" s="173">
        <f t="shared" ref="T15" si="40">S15/F15</f>
        <v>5.0601251873498093E-2</v>
      </c>
      <c r="U15" s="172">
        <v>94909.73</v>
      </c>
      <c r="V15" s="173">
        <f t="shared" ref="V15" si="41">U15/F15</f>
        <v>1.6943606819141505E-2</v>
      </c>
      <c r="W15" s="172">
        <v>58081.08</v>
      </c>
      <c r="X15" s="173">
        <f t="shared" si="11"/>
        <v>1.036883134269904E-2</v>
      </c>
      <c r="Y15" s="172">
        <v>195118.49000000002</v>
      </c>
      <c r="Z15" s="173">
        <f t="shared" si="12"/>
        <v>3.4833214441813226E-2</v>
      </c>
      <c r="AA15" s="172">
        <v>608668.34</v>
      </c>
      <c r="AB15" s="173">
        <f t="shared" si="13"/>
        <v>0.10866153592702812</v>
      </c>
      <c r="AC15" s="172">
        <f t="shared" si="14"/>
        <v>803786.83</v>
      </c>
      <c r="AD15" s="173">
        <f t="shared" si="15"/>
        <v>0.14349475036884135</v>
      </c>
      <c r="AE15" s="172">
        <v>1525813.43</v>
      </c>
      <c r="AF15" s="173">
        <f t="shared" si="16"/>
        <v>0.27239338724581441</v>
      </c>
      <c r="AG15" s="172">
        <v>0</v>
      </c>
      <c r="AH15" s="173">
        <f t="shared" si="17"/>
        <v>0</v>
      </c>
      <c r="AI15" s="172">
        <v>556867.15</v>
      </c>
      <c r="AJ15" s="173">
        <f t="shared" si="18"/>
        <v>9.941381184095556E-2</v>
      </c>
      <c r="AK15" s="172">
        <v>77421</v>
      </c>
      <c r="AL15" s="173">
        <f t="shared" si="19"/>
        <v>1.382145943882418E-2</v>
      </c>
      <c r="AN15" s="72"/>
    </row>
    <row r="16" spans="1:40" s="73" customFormat="1" ht="14.25" customHeight="1">
      <c r="B16" s="550"/>
      <c r="C16" s="554"/>
      <c r="D16" s="171">
        <v>46149</v>
      </c>
      <c r="E16" s="171" t="s">
        <v>113</v>
      </c>
      <c r="F16" s="322">
        <f t="shared" si="0"/>
        <v>5146313.3899999997</v>
      </c>
      <c r="G16" s="552"/>
      <c r="H16" s="557"/>
      <c r="I16" s="172">
        <v>1025270.2699999998</v>
      </c>
      <c r="J16" s="173">
        <f t="shared" si="2"/>
        <v>0.19922421980601532</v>
      </c>
      <c r="K16" s="172">
        <v>1038831.8900000001</v>
      </c>
      <c r="L16" s="173">
        <f t="shared" si="3"/>
        <v>0.20185943048446961</v>
      </c>
      <c r="M16" s="172">
        <f t="shared" si="4"/>
        <v>2064102.16</v>
      </c>
      <c r="N16" s="173">
        <f t="shared" ref="N16" si="42">M16/$F16</f>
        <v>0.40108365029048493</v>
      </c>
      <c r="O16" s="172">
        <v>290629.81</v>
      </c>
      <c r="P16" s="173">
        <f t="shared" si="6"/>
        <v>5.6473399106384388E-2</v>
      </c>
      <c r="Q16" s="172">
        <v>0</v>
      </c>
      <c r="R16" s="173">
        <f t="shared" si="7"/>
        <v>0</v>
      </c>
      <c r="S16" s="172">
        <f t="shared" si="8"/>
        <v>290629.81</v>
      </c>
      <c r="T16" s="173">
        <f t="shared" ref="T16" si="43">S16/$F16</f>
        <v>5.6473399106384388E-2</v>
      </c>
      <c r="U16" s="172">
        <v>90950.97</v>
      </c>
      <c r="V16" s="173">
        <f t="shared" ref="V16" si="44">U16/$F16</f>
        <v>1.7673033705395854E-2</v>
      </c>
      <c r="W16" s="172">
        <v>54794.67</v>
      </c>
      <c r="X16" s="173">
        <f t="shared" si="11"/>
        <v>1.0647363626644587E-2</v>
      </c>
      <c r="Y16" s="172">
        <v>184729.58000000002</v>
      </c>
      <c r="Z16" s="173">
        <f t="shared" si="12"/>
        <v>3.5895517043123569E-2</v>
      </c>
      <c r="AA16" s="172">
        <v>503106.35000000003</v>
      </c>
      <c r="AB16" s="173">
        <f t="shared" si="13"/>
        <v>9.776053494480251E-2</v>
      </c>
      <c r="AC16" s="172">
        <f t="shared" si="14"/>
        <v>687835.93</v>
      </c>
      <c r="AD16" s="173">
        <f t="shared" si="15"/>
        <v>0.13365605198792607</v>
      </c>
      <c r="AE16" s="172">
        <v>1344665.0899999999</v>
      </c>
      <c r="AF16" s="173">
        <f t="shared" si="16"/>
        <v>0.26128705892899384</v>
      </c>
      <c r="AG16" s="172">
        <v>0</v>
      </c>
      <c r="AH16" s="173">
        <f t="shared" si="17"/>
        <v>0</v>
      </c>
      <c r="AI16" s="172">
        <v>540819.05999999994</v>
      </c>
      <c r="AJ16" s="173">
        <f t="shared" si="18"/>
        <v>0.10508863705247456</v>
      </c>
      <c r="AK16" s="172">
        <v>72515.7</v>
      </c>
      <c r="AL16" s="173">
        <f t="shared" si="19"/>
        <v>1.4090805301695784E-2</v>
      </c>
      <c r="AN16" s="72"/>
    </row>
    <row r="17" spans="2:40" s="73" customFormat="1" ht="14.25" customHeight="1">
      <c r="B17" s="550"/>
      <c r="C17" s="554"/>
      <c r="D17" s="171">
        <v>46150</v>
      </c>
      <c r="E17" s="171" t="s">
        <v>114</v>
      </c>
      <c r="F17" s="322">
        <f t="shared" si="0"/>
        <v>4462931.74</v>
      </c>
      <c r="G17" s="552"/>
      <c r="H17" s="557"/>
      <c r="I17" s="172">
        <v>777175.74</v>
      </c>
      <c r="J17" s="173">
        <f t="shared" si="2"/>
        <v>0.17414018077722154</v>
      </c>
      <c r="K17" s="172">
        <v>961676.77999999991</v>
      </c>
      <c r="L17" s="173">
        <f t="shared" si="3"/>
        <v>0.21548095198964434</v>
      </c>
      <c r="M17" s="172">
        <f t="shared" si="4"/>
        <v>1738852.52</v>
      </c>
      <c r="N17" s="173">
        <f t="shared" ref="N17" si="45">M17/F17</f>
        <v>0.38962113276686594</v>
      </c>
      <c r="O17" s="172">
        <v>226043.27000000002</v>
      </c>
      <c r="P17" s="173">
        <f t="shared" si="6"/>
        <v>5.0649053843696029E-2</v>
      </c>
      <c r="Q17" s="172">
        <v>0</v>
      </c>
      <c r="R17" s="173">
        <f t="shared" si="7"/>
        <v>0</v>
      </c>
      <c r="S17" s="172">
        <f t="shared" si="8"/>
        <v>226043.27000000002</v>
      </c>
      <c r="T17" s="173">
        <f t="shared" ref="T17" si="46">S17/F17</f>
        <v>5.0649053843696029E-2</v>
      </c>
      <c r="U17" s="172">
        <v>79333.320000000007</v>
      </c>
      <c r="V17" s="173">
        <f t="shared" ref="V17" si="47">U17/F17</f>
        <v>1.7776054983982346E-2</v>
      </c>
      <c r="W17" s="172">
        <v>34375.919999999998</v>
      </c>
      <c r="X17" s="173">
        <f t="shared" si="11"/>
        <v>7.7025421858681617E-3</v>
      </c>
      <c r="Y17" s="172">
        <v>173545.89</v>
      </c>
      <c r="Z17" s="173">
        <f t="shared" si="12"/>
        <v>3.8886073126451183E-2</v>
      </c>
      <c r="AA17" s="172">
        <v>503735.32999999996</v>
      </c>
      <c r="AB17" s="173">
        <f t="shared" si="13"/>
        <v>0.11287094657647619</v>
      </c>
      <c r="AC17" s="172">
        <f t="shared" si="14"/>
        <v>677281.22</v>
      </c>
      <c r="AD17" s="173">
        <f t="shared" si="15"/>
        <v>0.15175701970292738</v>
      </c>
      <c r="AE17" s="172">
        <v>1077397.94</v>
      </c>
      <c r="AF17" s="173">
        <f t="shared" si="16"/>
        <v>0.24141035596479901</v>
      </c>
      <c r="AG17" s="172">
        <v>0</v>
      </c>
      <c r="AH17" s="173">
        <f t="shared" si="17"/>
        <v>0</v>
      </c>
      <c r="AI17" s="172">
        <v>559614.05000000005</v>
      </c>
      <c r="AJ17" s="173">
        <f t="shared" si="18"/>
        <v>0.12539157724155559</v>
      </c>
      <c r="AK17" s="172">
        <v>70033.5</v>
      </c>
      <c r="AL17" s="173">
        <f t="shared" si="19"/>
        <v>1.5692263310305526E-2</v>
      </c>
      <c r="AN17" s="72"/>
    </row>
    <row r="18" spans="2:40" s="73" customFormat="1" ht="14.25" customHeight="1">
      <c r="B18" s="550"/>
      <c r="C18" s="554"/>
      <c r="D18" s="171">
        <v>46151</v>
      </c>
      <c r="E18" s="171" t="s">
        <v>115</v>
      </c>
      <c r="F18" s="322">
        <f t="shared" si="0"/>
        <v>4779377.75</v>
      </c>
      <c r="G18" s="552"/>
      <c r="H18" s="557"/>
      <c r="I18" s="172">
        <v>749797.69</v>
      </c>
      <c r="J18" s="173">
        <f t="shared" si="2"/>
        <v>0.15688186396231182</v>
      </c>
      <c r="K18" s="172">
        <v>1107396.2000000002</v>
      </c>
      <c r="L18" s="173">
        <f t="shared" si="3"/>
        <v>0.23170300778171388</v>
      </c>
      <c r="M18" s="172">
        <f t="shared" si="4"/>
        <v>1857193.8900000001</v>
      </c>
      <c r="N18" s="173">
        <f t="shared" ref="N18" si="48">M18/$F18</f>
        <v>0.38858487174402573</v>
      </c>
      <c r="O18" s="172">
        <v>219797.09000000003</v>
      </c>
      <c r="P18" s="173">
        <f t="shared" si="6"/>
        <v>4.5988641513008681E-2</v>
      </c>
      <c r="Q18" s="172">
        <v>0</v>
      </c>
      <c r="R18" s="173">
        <f t="shared" si="7"/>
        <v>0</v>
      </c>
      <c r="S18" s="172">
        <f t="shared" si="8"/>
        <v>219797.09000000003</v>
      </c>
      <c r="T18" s="173">
        <f t="shared" ref="T18" si="49">S18/$F18</f>
        <v>4.5988641513008681E-2</v>
      </c>
      <c r="U18" s="172">
        <v>85618.32</v>
      </c>
      <c r="V18" s="173">
        <f t="shared" ref="V18" si="50">U18/$F18</f>
        <v>1.7914114447220669E-2</v>
      </c>
      <c r="W18" s="172">
        <v>35587.35</v>
      </c>
      <c r="X18" s="173">
        <f t="shared" si="11"/>
        <v>7.4460216081476292E-3</v>
      </c>
      <c r="Y18" s="172">
        <v>199660.09</v>
      </c>
      <c r="Z18" s="173">
        <f t="shared" si="12"/>
        <v>4.1775331527205604E-2</v>
      </c>
      <c r="AA18" s="172">
        <v>505230.48999999993</v>
      </c>
      <c r="AB18" s="173">
        <f t="shared" si="13"/>
        <v>0.10571051639515205</v>
      </c>
      <c r="AC18" s="172">
        <f t="shared" si="14"/>
        <v>704890.58</v>
      </c>
      <c r="AD18" s="173">
        <f t="shared" si="15"/>
        <v>0.14748584792235767</v>
      </c>
      <c r="AE18" s="172">
        <v>1227699.52</v>
      </c>
      <c r="AF18" s="173">
        <f t="shared" si="16"/>
        <v>0.25687434310878648</v>
      </c>
      <c r="AG18" s="172">
        <v>0</v>
      </c>
      <c r="AH18" s="173">
        <f t="shared" si="17"/>
        <v>0</v>
      </c>
      <c r="AI18" s="172">
        <v>581926.19999999995</v>
      </c>
      <c r="AJ18" s="173">
        <f t="shared" si="18"/>
        <v>0.12175773300195825</v>
      </c>
      <c r="AK18" s="172">
        <v>66664.800000000003</v>
      </c>
      <c r="AL18" s="173">
        <f t="shared" si="19"/>
        <v>1.3948426654494929E-2</v>
      </c>
      <c r="AN18" s="72"/>
    </row>
    <row r="19" spans="2:40" s="73" customFormat="1" ht="14.25" customHeight="1">
      <c r="B19" s="550"/>
      <c r="C19" s="554"/>
      <c r="D19" s="171">
        <v>46152</v>
      </c>
      <c r="E19" s="171" t="s">
        <v>116</v>
      </c>
      <c r="F19" s="322">
        <f t="shared" si="0"/>
        <v>6245830.3399999999</v>
      </c>
      <c r="G19" s="552"/>
      <c r="H19" s="557"/>
      <c r="I19" s="172">
        <v>1083630</v>
      </c>
      <c r="J19" s="173">
        <f t="shared" si="2"/>
        <v>0.17349654745825197</v>
      </c>
      <c r="K19" s="172">
        <v>1255020.8699999996</v>
      </c>
      <c r="L19" s="173">
        <f t="shared" si="3"/>
        <v>0.20093739369808108</v>
      </c>
      <c r="M19" s="172">
        <f t="shared" si="4"/>
        <v>2338650.8699999996</v>
      </c>
      <c r="N19" s="173">
        <f t="shared" ref="N19" si="51">M19/F19</f>
        <v>0.37443394115633305</v>
      </c>
      <c r="O19" s="172">
        <v>295487.26</v>
      </c>
      <c r="P19" s="173">
        <f t="shared" si="6"/>
        <v>4.7309523940735156E-2</v>
      </c>
      <c r="Q19" s="172">
        <v>0</v>
      </c>
      <c r="R19" s="173">
        <f t="shared" si="7"/>
        <v>0</v>
      </c>
      <c r="S19" s="172">
        <f t="shared" si="8"/>
        <v>295487.26</v>
      </c>
      <c r="T19" s="173">
        <f t="shared" ref="T19" si="52">S19/F19</f>
        <v>4.7309523940735156E-2</v>
      </c>
      <c r="U19" s="172">
        <v>112838.37</v>
      </c>
      <c r="V19" s="173">
        <f t="shared" ref="V19" si="53">U19/F19</f>
        <v>1.8066191980488536E-2</v>
      </c>
      <c r="W19" s="172">
        <v>39317.61</v>
      </c>
      <c r="X19" s="173">
        <f t="shared" si="11"/>
        <v>6.2950172930890088E-3</v>
      </c>
      <c r="Y19" s="172">
        <v>228612.79</v>
      </c>
      <c r="Z19" s="173">
        <f t="shared" si="12"/>
        <v>3.6602465573856754E-2</v>
      </c>
      <c r="AA19" s="172">
        <v>562910.9800000001</v>
      </c>
      <c r="AB19" s="173">
        <f t="shared" si="13"/>
        <v>9.0125883886881267E-2</v>
      </c>
      <c r="AC19" s="172">
        <f t="shared" si="14"/>
        <v>791523.77000000014</v>
      </c>
      <c r="AD19" s="173">
        <f t="shared" si="15"/>
        <v>0.12672834946073802</v>
      </c>
      <c r="AE19" s="172">
        <v>1848588.9100000001</v>
      </c>
      <c r="AF19" s="173">
        <f t="shared" si="16"/>
        <v>0.29597168180524097</v>
      </c>
      <c r="AG19" s="172">
        <v>0</v>
      </c>
      <c r="AH19" s="173">
        <f t="shared" si="17"/>
        <v>0</v>
      </c>
      <c r="AI19" s="172">
        <v>752049.54999999993</v>
      </c>
      <c r="AJ19" s="173">
        <f t="shared" si="18"/>
        <v>0.12040825783942123</v>
      </c>
      <c r="AK19" s="172">
        <v>67374</v>
      </c>
      <c r="AL19" s="173">
        <f t="shared" si="19"/>
        <v>1.0787036523953995E-2</v>
      </c>
      <c r="AN19" s="72"/>
    </row>
    <row r="20" spans="2:40" s="73" customFormat="1" ht="14.25" customHeight="1">
      <c r="B20" s="551"/>
      <c r="C20" s="555"/>
      <c r="D20" s="171">
        <v>46153</v>
      </c>
      <c r="E20" s="171" t="s">
        <v>117</v>
      </c>
      <c r="F20" s="322">
        <f t="shared" si="0"/>
        <v>6199228.5199999996</v>
      </c>
      <c r="G20" s="552"/>
      <c r="H20" s="558"/>
      <c r="I20" s="172">
        <v>1050325.18</v>
      </c>
      <c r="J20" s="173">
        <f t="shared" si="2"/>
        <v>0.16942836945136522</v>
      </c>
      <c r="K20" s="172">
        <v>1229086.51</v>
      </c>
      <c r="L20" s="173">
        <f t="shared" si="3"/>
        <v>0.19826443016815906</v>
      </c>
      <c r="M20" s="172">
        <f t="shared" si="4"/>
        <v>2279411.69</v>
      </c>
      <c r="N20" s="173">
        <f t="shared" ref="N20" si="54">M20/$F20</f>
        <v>0.36769279961952428</v>
      </c>
      <c r="O20" s="172">
        <v>282914.21000000002</v>
      </c>
      <c r="P20" s="173">
        <f t="shared" si="6"/>
        <v>4.5637002908871641E-2</v>
      </c>
      <c r="Q20" s="172">
        <v>0</v>
      </c>
      <c r="R20" s="173">
        <f t="shared" si="7"/>
        <v>0</v>
      </c>
      <c r="S20" s="172">
        <f t="shared" si="8"/>
        <v>282914.21000000002</v>
      </c>
      <c r="T20" s="173">
        <f t="shared" ref="T20" si="55">S20/$F20</f>
        <v>4.5637002908871641E-2</v>
      </c>
      <c r="U20" s="172">
        <v>104488.37999999999</v>
      </c>
      <c r="V20" s="173">
        <f t="shared" ref="V20" si="56">U20/$F20</f>
        <v>1.6855061829532298E-2</v>
      </c>
      <c r="W20" s="172">
        <v>44479.320000000007</v>
      </c>
      <c r="X20" s="173">
        <f t="shared" si="11"/>
        <v>7.1749766695162918E-3</v>
      </c>
      <c r="Y20" s="172">
        <v>233551.78</v>
      </c>
      <c r="Z20" s="173">
        <f t="shared" si="12"/>
        <v>3.7674329837416608E-2</v>
      </c>
      <c r="AA20" s="172">
        <v>861641.65000000014</v>
      </c>
      <c r="AB20" s="173">
        <f t="shared" si="13"/>
        <v>0.13899175473531344</v>
      </c>
      <c r="AC20" s="172">
        <f t="shared" si="14"/>
        <v>1095193.4300000002</v>
      </c>
      <c r="AD20" s="173">
        <f t="shared" si="15"/>
        <v>0.17666608457273006</v>
      </c>
      <c r="AE20" s="172">
        <v>1667881.47</v>
      </c>
      <c r="AF20" s="173">
        <f t="shared" si="16"/>
        <v>0.26904661840083288</v>
      </c>
      <c r="AG20" s="172">
        <v>0</v>
      </c>
      <c r="AH20" s="173">
        <f t="shared" si="17"/>
        <v>0</v>
      </c>
      <c r="AI20" s="172">
        <v>645961.5199999999</v>
      </c>
      <c r="AJ20" s="173">
        <f t="shared" si="18"/>
        <v>0.1042003078150763</v>
      </c>
      <c r="AK20" s="172">
        <v>78898.5</v>
      </c>
      <c r="AL20" s="173">
        <f t="shared" si="19"/>
        <v>1.272714818391628E-2</v>
      </c>
      <c r="AN20" s="72"/>
    </row>
  </sheetData>
  <mergeCells count="41">
    <mergeCell ref="B14:B20"/>
    <mergeCell ref="G14:G20"/>
    <mergeCell ref="C10:C20"/>
    <mergeCell ref="H10:H20"/>
    <mergeCell ref="AI4:AJ4"/>
    <mergeCell ref="G5:G6"/>
    <mergeCell ref="H5:H6"/>
    <mergeCell ref="I5:J5"/>
    <mergeCell ref="K5:L5"/>
    <mergeCell ref="B7:B13"/>
    <mergeCell ref="G7:G13"/>
    <mergeCell ref="C7:C9"/>
    <mergeCell ref="H7:H9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2:AL20"/>
  <sheetViews>
    <sheetView zoomScale="85" zoomScaleNormal="85" workbookViewId="0">
      <selection activeCell="H21" sqref="H21"/>
    </sheetView>
  </sheetViews>
  <sheetFormatPr defaultColWidth="8.81640625" defaultRowHeight="16"/>
  <cols>
    <col min="1" max="1" width="8.81640625" style="75"/>
    <col min="2" max="2" width="13.1796875" style="75" customWidth="1"/>
    <col min="3" max="3" width="8.81640625" style="95"/>
    <col min="4" max="4" width="17" style="95" customWidth="1"/>
    <col min="5" max="5" width="8.54296875" style="77" customWidth="1"/>
    <col min="6" max="8" width="17.453125" style="96" customWidth="1"/>
    <col min="9" max="9" width="10.54296875" style="82" customWidth="1"/>
    <col min="10" max="10" width="10.54296875" style="84" customWidth="1"/>
    <col min="11" max="11" width="10.54296875" style="82" customWidth="1"/>
    <col min="12" max="12" width="10.54296875" style="84" customWidth="1"/>
    <col min="13" max="13" width="10.54296875" style="82" customWidth="1"/>
    <col min="14" max="14" width="10.54296875" style="84" customWidth="1"/>
    <col min="15" max="15" width="10.54296875" style="82" customWidth="1"/>
    <col min="16" max="16" width="10.54296875" style="84" customWidth="1"/>
    <col min="17" max="17" width="10.54296875" style="82" customWidth="1"/>
    <col min="18" max="18" width="10.54296875" style="84" customWidth="1"/>
    <col min="19" max="19" width="10.54296875" style="82" customWidth="1"/>
    <col min="20" max="20" width="10.54296875" style="84" customWidth="1"/>
    <col min="21" max="21" width="10.54296875" style="82" customWidth="1"/>
    <col min="22" max="22" width="10.54296875" style="84" customWidth="1"/>
    <col min="23" max="23" width="10.54296875" style="82" customWidth="1"/>
    <col min="24" max="24" width="10.54296875" style="84" customWidth="1"/>
    <col min="25" max="25" width="10.54296875" style="82" customWidth="1"/>
    <col min="26" max="26" width="10.54296875" style="84" customWidth="1"/>
    <col min="27" max="27" width="10.54296875" style="82" customWidth="1"/>
    <col min="28" max="28" width="10.54296875" style="84" customWidth="1"/>
    <col min="29" max="29" width="10.54296875" style="82" customWidth="1"/>
    <col min="30" max="30" width="10.54296875" style="84" customWidth="1"/>
    <col min="31" max="31" width="10.54296875" style="82" customWidth="1"/>
    <col min="32" max="32" width="10.54296875" style="84" customWidth="1"/>
    <col min="33" max="33" width="10.453125" style="82" customWidth="1"/>
    <col min="34" max="34" width="10.453125" style="84" customWidth="1"/>
    <col min="35" max="35" width="10.453125" style="82" customWidth="1"/>
    <col min="36" max="36" width="10.453125" style="84" customWidth="1"/>
    <col min="37" max="37" width="10.453125" style="82" customWidth="1"/>
    <col min="38" max="38" width="10.453125" style="84" customWidth="1"/>
    <col min="39" max="16384" width="8.81640625" style="75"/>
  </cols>
  <sheetData>
    <row r="2" spans="1:38" ht="38.15" customHeight="1">
      <c r="A2" s="74"/>
      <c r="B2" s="522" t="s">
        <v>323</v>
      </c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522"/>
      <c r="R2" s="522"/>
      <c r="S2" s="522"/>
      <c r="T2" s="522"/>
      <c r="U2" s="522"/>
      <c r="V2" s="522"/>
      <c r="W2" s="522"/>
      <c r="X2" s="522"/>
      <c r="Y2" s="522"/>
      <c r="Z2" s="522"/>
      <c r="AA2" s="522"/>
      <c r="AB2" s="522"/>
      <c r="AC2" s="522"/>
      <c r="AD2" s="522"/>
      <c r="AE2" s="522"/>
      <c r="AF2" s="522"/>
      <c r="AG2" s="522"/>
      <c r="AH2" s="522"/>
      <c r="AI2" s="522"/>
      <c r="AJ2" s="522"/>
      <c r="AK2" s="522"/>
      <c r="AL2" s="522"/>
    </row>
    <row r="3" spans="1:38" ht="25.4" customHeight="1">
      <c r="B3" s="541" t="s">
        <v>415</v>
      </c>
      <c r="C3" s="542" t="s">
        <v>416</v>
      </c>
      <c r="D3" s="543" t="s">
        <v>105</v>
      </c>
      <c r="E3" s="543"/>
      <c r="F3" s="561" t="s">
        <v>153</v>
      </c>
      <c r="G3" s="561"/>
      <c r="H3" s="561"/>
      <c r="I3" s="571" t="s">
        <v>321</v>
      </c>
      <c r="J3" s="571"/>
      <c r="K3" s="571"/>
      <c r="L3" s="571"/>
      <c r="M3" s="571"/>
      <c r="N3" s="571"/>
      <c r="O3" s="571"/>
      <c r="P3" s="571"/>
      <c r="Q3" s="571"/>
      <c r="R3" s="571"/>
      <c r="S3" s="571"/>
      <c r="T3" s="571"/>
      <c r="U3" s="571"/>
      <c r="V3" s="571"/>
      <c r="W3" s="571"/>
      <c r="X3" s="571"/>
      <c r="Y3" s="571"/>
      <c r="Z3" s="571"/>
      <c r="AA3" s="571"/>
      <c r="AB3" s="571"/>
      <c r="AC3" s="571"/>
      <c r="AD3" s="571"/>
      <c r="AE3" s="571"/>
      <c r="AF3" s="571"/>
      <c r="AG3" s="571"/>
      <c r="AH3" s="571"/>
      <c r="AI3" s="571"/>
      <c r="AJ3" s="571"/>
      <c r="AK3" s="571"/>
      <c r="AL3" s="571"/>
    </row>
    <row r="4" spans="1:38" ht="25.4" customHeight="1">
      <c r="B4" s="541"/>
      <c r="C4" s="542"/>
      <c r="D4" s="543"/>
      <c r="E4" s="543"/>
      <c r="F4" s="561"/>
      <c r="G4" s="561"/>
      <c r="H4" s="561"/>
      <c r="I4" s="560" t="s">
        <v>417</v>
      </c>
      <c r="J4" s="560"/>
      <c r="K4" s="560"/>
      <c r="L4" s="560"/>
      <c r="M4" s="560"/>
      <c r="N4" s="560"/>
      <c r="O4" s="560" t="s">
        <v>418</v>
      </c>
      <c r="P4" s="560"/>
      <c r="Q4" s="560"/>
      <c r="R4" s="560"/>
      <c r="S4" s="560"/>
      <c r="T4" s="560"/>
      <c r="U4" s="560" t="s">
        <v>419</v>
      </c>
      <c r="V4" s="560"/>
      <c r="W4" s="560" t="s">
        <v>420</v>
      </c>
      <c r="X4" s="560"/>
      <c r="Y4" s="560" t="s">
        <v>139</v>
      </c>
      <c r="Z4" s="560"/>
      <c r="AA4" s="560"/>
      <c r="AB4" s="560"/>
      <c r="AC4" s="560"/>
      <c r="AD4" s="560"/>
      <c r="AE4" s="560" t="s">
        <v>137</v>
      </c>
      <c r="AF4" s="560"/>
      <c r="AG4" s="560" t="s">
        <v>421</v>
      </c>
      <c r="AH4" s="560"/>
      <c r="AI4" s="560" t="s">
        <v>422</v>
      </c>
      <c r="AJ4" s="560"/>
      <c r="AK4" s="560" t="s">
        <v>143</v>
      </c>
      <c r="AL4" s="560"/>
    </row>
    <row r="5" spans="1:38" ht="25.4" customHeight="1">
      <c r="B5" s="541"/>
      <c r="C5" s="542"/>
      <c r="D5" s="543"/>
      <c r="E5" s="543"/>
      <c r="F5" s="562" t="s">
        <v>116</v>
      </c>
      <c r="G5" s="562" t="s">
        <v>120</v>
      </c>
      <c r="H5" s="562" t="s">
        <v>121</v>
      </c>
      <c r="I5" s="560" t="s">
        <v>133</v>
      </c>
      <c r="J5" s="560"/>
      <c r="K5" s="560" t="s">
        <v>134</v>
      </c>
      <c r="L5" s="560"/>
      <c r="M5" s="560" t="s">
        <v>152</v>
      </c>
      <c r="N5" s="560"/>
      <c r="O5" s="560" t="s">
        <v>133</v>
      </c>
      <c r="P5" s="560"/>
      <c r="Q5" s="560" t="s">
        <v>134</v>
      </c>
      <c r="R5" s="560"/>
      <c r="S5" s="560" t="s">
        <v>152</v>
      </c>
      <c r="T5" s="560"/>
      <c r="U5" s="560" t="s">
        <v>133</v>
      </c>
      <c r="V5" s="560"/>
      <c r="W5" s="560" t="s">
        <v>133</v>
      </c>
      <c r="X5" s="560"/>
      <c r="Y5" s="560" t="s">
        <v>133</v>
      </c>
      <c r="Z5" s="560"/>
      <c r="AA5" s="560" t="s">
        <v>134</v>
      </c>
      <c r="AB5" s="560"/>
      <c r="AC5" s="560" t="s">
        <v>152</v>
      </c>
      <c r="AD5" s="560"/>
      <c r="AE5" s="560" t="s">
        <v>133</v>
      </c>
      <c r="AF5" s="560"/>
      <c r="AG5" s="560" t="s">
        <v>133</v>
      </c>
      <c r="AH5" s="560"/>
      <c r="AI5" s="560" t="s">
        <v>133</v>
      </c>
      <c r="AJ5" s="560"/>
      <c r="AK5" s="560" t="s">
        <v>133</v>
      </c>
      <c r="AL5" s="560"/>
    </row>
    <row r="6" spans="1:38" s="77" customFormat="1" ht="23.5" customHeight="1">
      <c r="B6" s="541"/>
      <c r="C6" s="565"/>
      <c r="D6" s="544"/>
      <c r="E6" s="544"/>
      <c r="F6" s="570"/>
      <c r="G6" s="562"/>
      <c r="H6" s="562"/>
      <c r="I6" s="215" t="s">
        <v>154</v>
      </c>
      <c r="J6" s="174" t="s">
        <v>111</v>
      </c>
      <c r="K6" s="215" t="s">
        <v>154</v>
      </c>
      <c r="L6" s="174" t="s">
        <v>111</v>
      </c>
      <c r="M6" s="215" t="s">
        <v>154</v>
      </c>
      <c r="N6" s="174" t="s">
        <v>111</v>
      </c>
      <c r="O6" s="215" t="s">
        <v>154</v>
      </c>
      <c r="P6" s="174" t="s">
        <v>111</v>
      </c>
      <c r="Q6" s="215" t="s">
        <v>154</v>
      </c>
      <c r="R6" s="174" t="s">
        <v>111</v>
      </c>
      <c r="S6" s="215" t="s">
        <v>154</v>
      </c>
      <c r="T6" s="174" t="s">
        <v>111</v>
      </c>
      <c r="U6" s="215" t="s">
        <v>154</v>
      </c>
      <c r="V6" s="174" t="s">
        <v>111</v>
      </c>
      <c r="W6" s="215" t="s">
        <v>154</v>
      </c>
      <c r="X6" s="174" t="s">
        <v>111</v>
      </c>
      <c r="Y6" s="215" t="s">
        <v>154</v>
      </c>
      <c r="Z6" s="174" t="s">
        <v>111</v>
      </c>
      <c r="AA6" s="215" t="s">
        <v>154</v>
      </c>
      <c r="AB6" s="174" t="s">
        <v>111</v>
      </c>
      <c r="AC6" s="215" t="s">
        <v>154</v>
      </c>
      <c r="AD6" s="174" t="s">
        <v>111</v>
      </c>
      <c r="AE6" s="215" t="s">
        <v>154</v>
      </c>
      <c r="AF6" s="174" t="s">
        <v>111</v>
      </c>
      <c r="AG6" s="215" t="s">
        <v>154</v>
      </c>
      <c r="AH6" s="174" t="s">
        <v>111</v>
      </c>
      <c r="AI6" s="215" t="s">
        <v>154</v>
      </c>
      <c r="AJ6" s="174" t="s">
        <v>111</v>
      </c>
      <c r="AK6" s="215" t="s">
        <v>154</v>
      </c>
      <c r="AL6" s="174" t="s">
        <v>111</v>
      </c>
    </row>
    <row r="7" spans="1:38" s="73" customFormat="1" ht="14.25" customHeight="1">
      <c r="B7" s="549" t="e">
        <f>#REF!+7</f>
        <v>#REF!</v>
      </c>
      <c r="C7" s="554"/>
      <c r="D7" s="171">
        <v>46140</v>
      </c>
      <c r="E7" s="171" t="s">
        <v>118</v>
      </c>
      <c r="F7" s="323">
        <f t="shared" ref="F7:F20" si="0">SUM(M7,S7,U7,W7,AC7,AE7,AG7,AI7,AK7)</f>
        <v>214895</v>
      </c>
      <c r="G7" s="563">
        <f t="shared" ref="G7" si="1">SUM(F7:F13)</f>
        <v>1262288</v>
      </c>
      <c r="H7" s="564"/>
      <c r="I7" s="310">
        <v>56898</v>
      </c>
      <c r="J7" s="232">
        <f t="shared" ref="J7:J20" si="2">I7/$F7</f>
        <v>0.26477116731426975</v>
      </c>
      <c r="K7" s="310">
        <v>67514</v>
      </c>
      <c r="L7" s="232">
        <f t="shared" ref="L7:L20" si="3">K7/$F7</f>
        <v>0.31417203750668932</v>
      </c>
      <c r="M7" s="310">
        <f t="shared" ref="M7:M20" si="4">I7+K7</f>
        <v>124412</v>
      </c>
      <c r="N7" s="232">
        <f t="shared" ref="N7:N20" si="5">M7/$F7</f>
        <v>0.57894320482095907</v>
      </c>
      <c r="O7" s="310">
        <v>11239</v>
      </c>
      <c r="P7" s="232">
        <f t="shared" ref="P7:P20" si="6">O7/$F7</f>
        <v>5.2299960445799112E-2</v>
      </c>
      <c r="Q7" s="310">
        <v>0</v>
      </c>
      <c r="R7" s="232">
        <f t="shared" ref="R7:R20" si="7">Q7/$F7</f>
        <v>0</v>
      </c>
      <c r="S7" s="310">
        <f t="shared" ref="S7:S20" si="8">O7+Q7</f>
        <v>11239</v>
      </c>
      <c r="T7" s="232">
        <f t="shared" ref="T7:T20" si="9">S7/$F7</f>
        <v>5.2299960445799112E-2</v>
      </c>
      <c r="U7" s="310">
        <v>3808</v>
      </c>
      <c r="V7" s="232">
        <f t="shared" ref="V7:V20" si="10">U7/$F7</f>
        <v>1.772028199818516E-2</v>
      </c>
      <c r="W7" s="310">
        <v>4795</v>
      </c>
      <c r="X7" s="232">
        <f t="shared" ref="X7:X20" si="11">W7/$F7</f>
        <v>2.2313222736685359E-2</v>
      </c>
      <c r="Y7" s="310">
        <v>3963</v>
      </c>
      <c r="Z7" s="232">
        <f t="shared" ref="Z7:Z20" si="12">Y7/$F7</f>
        <v>1.8441564484981039E-2</v>
      </c>
      <c r="AA7" s="310">
        <v>13498</v>
      </c>
      <c r="AB7" s="232">
        <f t="shared" ref="AB7:AB20" si="13">AA7/$F7</f>
        <v>6.2812071011424178E-2</v>
      </c>
      <c r="AC7" s="310">
        <f t="shared" ref="AC7:AC20" si="14">Y7+AA7</f>
        <v>17461</v>
      </c>
      <c r="AD7" s="232">
        <f t="shared" ref="AD7:AD20" si="15">AC7/$F7</f>
        <v>8.1253635496405227E-2</v>
      </c>
      <c r="AE7" s="310">
        <v>26331</v>
      </c>
      <c r="AF7" s="232">
        <f t="shared" ref="AF7:AF20" si="16">AE7/$F7</f>
        <v>0.12252960748272412</v>
      </c>
      <c r="AG7" s="310">
        <v>0</v>
      </c>
      <c r="AH7" s="232">
        <f t="shared" ref="AH7:AH20" si="17">AG7/$F7</f>
        <v>0</v>
      </c>
      <c r="AI7" s="310">
        <v>23117</v>
      </c>
      <c r="AJ7" s="232">
        <f t="shared" ref="AJ7:AJ20" si="18">AI7/$F7</f>
        <v>0.10757346611135671</v>
      </c>
      <c r="AK7" s="310">
        <v>3732</v>
      </c>
      <c r="AL7" s="232">
        <f t="shared" ref="AL7:AL20" si="19">AK7/$F7</f>
        <v>1.7366620907885245E-2</v>
      </c>
    </row>
    <row r="8" spans="1:38" s="73" customFormat="1" ht="14.25" customHeight="1">
      <c r="B8" s="550"/>
      <c r="C8" s="554"/>
      <c r="D8" s="171">
        <v>46141</v>
      </c>
      <c r="E8" s="171" t="s">
        <v>112</v>
      </c>
      <c r="F8" s="323">
        <f t="shared" si="0"/>
        <v>189446</v>
      </c>
      <c r="G8" s="563"/>
      <c r="H8" s="564"/>
      <c r="I8" s="310">
        <v>54628</v>
      </c>
      <c r="J8" s="232">
        <f t="shared" si="2"/>
        <v>0.28835657654423952</v>
      </c>
      <c r="K8" s="310">
        <v>56301</v>
      </c>
      <c r="L8" s="232">
        <f t="shared" si="3"/>
        <v>0.2971875890755149</v>
      </c>
      <c r="M8" s="310">
        <f t="shared" si="4"/>
        <v>110929</v>
      </c>
      <c r="N8" s="232">
        <f t="shared" si="5"/>
        <v>0.58554416561975442</v>
      </c>
      <c r="O8" s="310">
        <v>10410</v>
      </c>
      <c r="P8" s="232">
        <f t="shared" si="6"/>
        <v>5.4949695427720831E-2</v>
      </c>
      <c r="Q8" s="310">
        <v>0</v>
      </c>
      <c r="R8" s="232">
        <f t="shared" si="7"/>
        <v>0</v>
      </c>
      <c r="S8" s="310">
        <f t="shared" si="8"/>
        <v>10410</v>
      </c>
      <c r="T8" s="232">
        <f t="shared" si="9"/>
        <v>5.4949695427720831E-2</v>
      </c>
      <c r="U8" s="310">
        <v>3448</v>
      </c>
      <c r="V8" s="232">
        <f t="shared" si="10"/>
        <v>1.8200437063859886E-2</v>
      </c>
      <c r="W8" s="310">
        <v>5590</v>
      </c>
      <c r="X8" s="232">
        <f t="shared" si="11"/>
        <v>2.950708909135057E-2</v>
      </c>
      <c r="Y8" s="310">
        <v>3075</v>
      </c>
      <c r="Z8" s="232">
        <f t="shared" si="12"/>
        <v>1.6231538274759035E-2</v>
      </c>
      <c r="AA8" s="310">
        <v>10603</v>
      </c>
      <c r="AB8" s="232">
        <f t="shared" si="13"/>
        <v>5.5968455390982129E-2</v>
      </c>
      <c r="AC8" s="310">
        <f t="shared" si="14"/>
        <v>13678</v>
      </c>
      <c r="AD8" s="232">
        <f t="shared" si="15"/>
        <v>7.2199993665741161E-2</v>
      </c>
      <c r="AE8" s="310">
        <v>23123</v>
      </c>
      <c r="AF8" s="232">
        <f t="shared" si="16"/>
        <v>0.12205588927715549</v>
      </c>
      <c r="AG8" s="310">
        <v>0</v>
      </c>
      <c r="AH8" s="232">
        <f t="shared" si="17"/>
        <v>0</v>
      </c>
      <c r="AI8" s="310">
        <v>19061</v>
      </c>
      <c r="AJ8" s="232">
        <f t="shared" si="18"/>
        <v>0.10061442310737624</v>
      </c>
      <c r="AK8" s="310">
        <v>3207</v>
      </c>
      <c r="AL8" s="232">
        <f t="shared" si="19"/>
        <v>1.6928306747041374E-2</v>
      </c>
    </row>
    <row r="9" spans="1:38" s="73" customFormat="1" ht="14.25" customHeight="1">
      <c r="B9" s="550"/>
      <c r="C9" s="554"/>
      <c r="D9" s="171">
        <v>46142</v>
      </c>
      <c r="E9" s="171" t="s">
        <v>113</v>
      </c>
      <c r="F9" s="323">
        <f t="shared" si="0"/>
        <v>150674</v>
      </c>
      <c r="G9" s="563"/>
      <c r="H9" s="564"/>
      <c r="I9" s="310">
        <v>36437</v>
      </c>
      <c r="J9" s="232">
        <f t="shared" si="2"/>
        <v>0.24182672524788618</v>
      </c>
      <c r="K9" s="310">
        <v>49687</v>
      </c>
      <c r="L9" s="232">
        <f t="shared" si="3"/>
        <v>0.32976492294622828</v>
      </c>
      <c r="M9" s="310">
        <f t="shared" si="4"/>
        <v>86124</v>
      </c>
      <c r="N9" s="232">
        <f t="shared" si="5"/>
        <v>0.57159164819411445</v>
      </c>
      <c r="O9" s="310">
        <v>7319</v>
      </c>
      <c r="P9" s="232">
        <f t="shared" si="6"/>
        <v>4.8575069355031392E-2</v>
      </c>
      <c r="Q9" s="310">
        <v>0</v>
      </c>
      <c r="R9" s="232">
        <f t="shared" si="7"/>
        <v>0</v>
      </c>
      <c r="S9" s="310">
        <f t="shared" si="8"/>
        <v>7319</v>
      </c>
      <c r="T9" s="232">
        <f t="shared" si="9"/>
        <v>4.8575069355031392E-2</v>
      </c>
      <c r="U9" s="310">
        <v>3009</v>
      </c>
      <c r="V9" s="232">
        <f t="shared" si="10"/>
        <v>1.9970266933910297E-2</v>
      </c>
      <c r="W9" s="310">
        <v>4105</v>
      </c>
      <c r="X9" s="232">
        <f t="shared" si="11"/>
        <v>2.7244249173712785E-2</v>
      </c>
      <c r="Y9" s="310">
        <v>2633</v>
      </c>
      <c r="Z9" s="232">
        <f t="shared" si="12"/>
        <v>1.7474813172810175E-2</v>
      </c>
      <c r="AA9" s="310">
        <v>9415</v>
      </c>
      <c r="AB9" s="232">
        <f t="shared" si="13"/>
        <v>6.2485896704142715E-2</v>
      </c>
      <c r="AC9" s="310">
        <f t="shared" si="14"/>
        <v>12048</v>
      </c>
      <c r="AD9" s="232">
        <f t="shared" si="15"/>
        <v>7.996070987695289E-2</v>
      </c>
      <c r="AE9" s="310">
        <v>17526</v>
      </c>
      <c r="AF9" s="232">
        <f t="shared" si="16"/>
        <v>0.11631734738574671</v>
      </c>
      <c r="AG9" s="310">
        <v>0</v>
      </c>
      <c r="AH9" s="232">
        <f t="shared" si="17"/>
        <v>0</v>
      </c>
      <c r="AI9" s="310">
        <v>17120</v>
      </c>
      <c r="AJ9" s="232">
        <f t="shared" si="18"/>
        <v>0.11362278827136732</v>
      </c>
      <c r="AK9" s="310">
        <v>3423</v>
      </c>
      <c r="AL9" s="232">
        <f t="shared" si="19"/>
        <v>2.2717920809164155E-2</v>
      </c>
    </row>
    <row r="10" spans="1:38" s="73" customFormat="1" ht="14.25" customHeight="1">
      <c r="B10" s="550"/>
      <c r="C10" s="566" t="s">
        <v>114</v>
      </c>
      <c r="D10" s="171">
        <v>46143</v>
      </c>
      <c r="E10" s="171" t="s">
        <v>114</v>
      </c>
      <c r="F10" s="323">
        <f t="shared" si="0"/>
        <v>140738</v>
      </c>
      <c r="G10" s="563"/>
      <c r="H10" s="567">
        <f>SUM(F10:F20)</f>
        <v>1990958</v>
      </c>
      <c r="I10" s="310">
        <v>35108</v>
      </c>
      <c r="J10" s="232">
        <f t="shared" si="2"/>
        <v>0.24945643678324261</v>
      </c>
      <c r="K10" s="310">
        <v>47984</v>
      </c>
      <c r="L10" s="232">
        <f t="shared" si="3"/>
        <v>0.34094558683511206</v>
      </c>
      <c r="M10" s="310">
        <f t="shared" si="4"/>
        <v>83092</v>
      </c>
      <c r="N10" s="232">
        <f t="shared" si="5"/>
        <v>0.5904020236183547</v>
      </c>
      <c r="O10" s="310">
        <v>7180</v>
      </c>
      <c r="P10" s="232">
        <f t="shared" si="6"/>
        <v>5.1016782958404977E-2</v>
      </c>
      <c r="Q10" s="310">
        <v>0</v>
      </c>
      <c r="R10" s="232">
        <f t="shared" si="7"/>
        <v>0</v>
      </c>
      <c r="S10" s="310">
        <f t="shared" si="8"/>
        <v>7180</v>
      </c>
      <c r="T10" s="232">
        <f t="shared" si="9"/>
        <v>5.1016782958404977E-2</v>
      </c>
      <c r="U10" s="310">
        <v>2658</v>
      </c>
      <c r="V10" s="232">
        <f t="shared" si="10"/>
        <v>1.8886157256746579E-2</v>
      </c>
      <c r="W10" s="310">
        <v>2200</v>
      </c>
      <c r="X10" s="232">
        <f t="shared" si="11"/>
        <v>1.5631883357728544E-2</v>
      </c>
      <c r="Y10" s="310">
        <v>2704</v>
      </c>
      <c r="Z10" s="232">
        <f t="shared" si="12"/>
        <v>1.9213005726953631E-2</v>
      </c>
      <c r="AA10" s="310">
        <v>10892</v>
      </c>
      <c r="AB10" s="232">
        <f t="shared" si="13"/>
        <v>7.7392033423808779E-2</v>
      </c>
      <c r="AC10" s="310">
        <f t="shared" si="14"/>
        <v>13596</v>
      </c>
      <c r="AD10" s="232">
        <f t="shared" si="15"/>
        <v>9.6605039150762406E-2</v>
      </c>
      <c r="AE10" s="310">
        <v>15422</v>
      </c>
      <c r="AF10" s="232">
        <f t="shared" si="16"/>
        <v>0.1095795023376771</v>
      </c>
      <c r="AG10" s="310">
        <v>0</v>
      </c>
      <c r="AH10" s="232">
        <f t="shared" si="17"/>
        <v>0</v>
      </c>
      <c r="AI10" s="310">
        <v>13263</v>
      </c>
      <c r="AJ10" s="232">
        <f t="shared" si="18"/>
        <v>9.4238940442524413E-2</v>
      </c>
      <c r="AK10" s="310">
        <v>3327</v>
      </c>
      <c r="AL10" s="232">
        <f t="shared" si="19"/>
        <v>2.3639670877801305E-2</v>
      </c>
    </row>
    <row r="11" spans="1:38" s="73" customFormat="1" ht="14.25" customHeight="1">
      <c r="B11" s="550"/>
      <c r="C11" s="554"/>
      <c r="D11" s="171">
        <v>46144</v>
      </c>
      <c r="E11" s="171" t="s">
        <v>115</v>
      </c>
      <c r="F11" s="323">
        <f t="shared" si="0"/>
        <v>150228</v>
      </c>
      <c r="G11" s="563"/>
      <c r="H11" s="568"/>
      <c r="I11" s="310">
        <v>33372</v>
      </c>
      <c r="J11" s="232">
        <f t="shared" si="2"/>
        <v>0.22214234363767074</v>
      </c>
      <c r="K11" s="310">
        <v>56972</v>
      </c>
      <c r="L11" s="232">
        <f t="shared" si="3"/>
        <v>0.37923689325558485</v>
      </c>
      <c r="M11" s="310">
        <f t="shared" si="4"/>
        <v>90344</v>
      </c>
      <c r="N11" s="232">
        <f t="shared" si="5"/>
        <v>0.60137923689325556</v>
      </c>
      <c r="O11" s="310">
        <v>6959</v>
      </c>
      <c r="P11" s="232">
        <f t="shared" si="6"/>
        <v>4.6322922491146792E-2</v>
      </c>
      <c r="Q11" s="310">
        <v>0</v>
      </c>
      <c r="R11" s="232">
        <f t="shared" si="7"/>
        <v>0</v>
      </c>
      <c r="S11" s="310">
        <f t="shared" si="8"/>
        <v>6959</v>
      </c>
      <c r="T11" s="232">
        <f t="shared" si="9"/>
        <v>4.6322922491146792E-2</v>
      </c>
      <c r="U11" s="310">
        <v>2800</v>
      </c>
      <c r="V11" s="232">
        <f t="shared" si="10"/>
        <v>1.8638336395345741E-2</v>
      </c>
      <c r="W11" s="310">
        <v>1872</v>
      </c>
      <c r="X11" s="232">
        <f t="shared" si="11"/>
        <v>1.2461059190031152E-2</v>
      </c>
      <c r="Y11" s="310">
        <v>3209</v>
      </c>
      <c r="Z11" s="232">
        <f t="shared" si="12"/>
        <v>2.1360864818808743E-2</v>
      </c>
      <c r="AA11" s="310">
        <v>12056</v>
      </c>
      <c r="AB11" s="232">
        <f t="shared" si="13"/>
        <v>8.0251351279388664E-2</v>
      </c>
      <c r="AC11" s="310">
        <f t="shared" si="14"/>
        <v>15265</v>
      </c>
      <c r="AD11" s="232">
        <f t="shared" si="15"/>
        <v>0.1016122160981974</v>
      </c>
      <c r="AE11" s="310">
        <v>17040</v>
      </c>
      <c r="AF11" s="232">
        <f t="shared" si="16"/>
        <v>0.11342759006310409</v>
      </c>
      <c r="AG11" s="310">
        <v>0</v>
      </c>
      <c r="AH11" s="232">
        <f t="shared" si="17"/>
        <v>0</v>
      </c>
      <c r="AI11" s="310">
        <v>12768</v>
      </c>
      <c r="AJ11" s="232">
        <f t="shared" si="18"/>
        <v>8.4990813962776579E-2</v>
      </c>
      <c r="AK11" s="310">
        <v>3180</v>
      </c>
      <c r="AL11" s="232">
        <f t="shared" si="19"/>
        <v>2.1167824906142663E-2</v>
      </c>
    </row>
    <row r="12" spans="1:38" s="73" customFormat="1" ht="14.25" customHeight="1">
      <c r="B12" s="550"/>
      <c r="C12" s="554"/>
      <c r="D12" s="171">
        <v>46145</v>
      </c>
      <c r="E12" s="171" t="s">
        <v>116</v>
      </c>
      <c r="F12" s="323">
        <f t="shared" si="0"/>
        <v>212432</v>
      </c>
      <c r="G12" s="563"/>
      <c r="H12" s="568"/>
      <c r="I12" s="310">
        <v>55360</v>
      </c>
      <c r="J12" s="232">
        <f t="shared" si="2"/>
        <v>0.26060103939142881</v>
      </c>
      <c r="K12" s="310">
        <v>68288</v>
      </c>
      <c r="L12" s="232">
        <f t="shared" si="3"/>
        <v>0.32145816072908034</v>
      </c>
      <c r="M12" s="310">
        <f t="shared" si="4"/>
        <v>123648</v>
      </c>
      <c r="N12" s="232">
        <f t="shared" si="5"/>
        <v>0.58205920012050916</v>
      </c>
      <c r="O12" s="310">
        <v>11280</v>
      </c>
      <c r="P12" s="232">
        <f t="shared" si="6"/>
        <v>5.3099344731490548E-2</v>
      </c>
      <c r="Q12" s="310">
        <v>0</v>
      </c>
      <c r="R12" s="232">
        <f t="shared" si="7"/>
        <v>0</v>
      </c>
      <c r="S12" s="310">
        <f t="shared" si="8"/>
        <v>11280</v>
      </c>
      <c r="T12" s="232">
        <f t="shared" si="9"/>
        <v>5.3099344731490548E-2</v>
      </c>
      <c r="U12" s="310">
        <v>3993</v>
      </c>
      <c r="V12" s="232">
        <f t="shared" si="10"/>
        <v>1.8796603148301574E-2</v>
      </c>
      <c r="W12" s="310">
        <v>2692</v>
      </c>
      <c r="X12" s="232">
        <f t="shared" si="11"/>
        <v>1.2672290427054304E-2</v>
      </c>
      <c r="Y12" s="310">
        <v>4101</v>
      </c>
      <c r="Z12" s="232">
        <f t="shared" si="12"/>
        <v>1.9305001129773292E-2</v>
      </c>
      <c r="AA12" s="310">
        <v>14261</v>
      </c>
      <c r="AB12" s="232">
        <f t="shared" si="13"/>
        <v>6.7132070497853427E-2</v>
      </c>
      <c r="AC12" s="310">
        <f t="shared" si="14"/>
        <v>18362</v>
      </c>
      <c r="AD12" s="232">
        <f t="shared" si="15"/>
        <v>8.6437071627626719E-2</v>
      </c>
      <c r="AE12" s="310">
        <v>30259</v>
      </c>
      <c r="AF12" s="232">
        <f t="shared" si="16"/>
        <v>0.14244087519771031</v>
      </c>
      <c r="AG12" s="310">
        <v>0</v>
      </c>
      <c r="AH12" s="232">
        <f t="shared" si="17"/>
        <v>0</v>
      </c>
      <c r="AI12" s="310">
        <v>19003</v>
      </c>
      <c r="AJ12" s="232">
        <f t="shared" si="18"/>
        <v>8.945450779543572E-2</v>
      </c>
      <c r="AK12" s="310">
        <v>3195</v>
      </c>
      <c r="AL12" s="232">
        <f t="shared" si="19"/>
        <v>1.5040106951871657E-2</v>
      </c>
    </row>
    <row r="13" spans="1:38" s="73" customFormat="1" ht="14.25" customHeight="1">
      <c r="B13" s="551"/>
      <c r="C13" s="554"/>
      <c r="D13" s="171">
        <v>46146</v>
      </c>
      <c r="E13" s="171" t="s">
        <v>117</v>
      </c>
      <c r="F13" s="323">
        <f t="shared" si="0"/>
        <v>203875</v>
      </c>
      <c r="G13" s="563"/>
      <c r="H13" s="568"/>
      <c r="I13" s="310">
        <v>53553</v>
      </c>
      <c r="J13" s="232">
        <f t="shared" si="2"/>
        <v>0.26267565910484364</v>
      </c>
      <c r="K13" s="310">
        <v>66674</v>
      </c>
      <c r="L13" s="232">
        <f t="shared" si="3"/>
        <v>0.32703372164316369</v>
      </c>
      <c r="M13" s="310">
        <f t="shared" si="4"/>
        <v>120227</v>
      </c>
      <c r="N13" s="232">
        <f t="shared" si="5"/>
        <v>0.58970938074800738</v>
      </c>
      <c r="O13" s="310">
        <v>10449</v>
      </c>
      <c r="P13" s="232">
        <f t="shared" si="6"/>
        <v>5.1251992642550585E-2</v>
      </c>
      <c r="Q13" s="310">
        <v>0</v>
      </c>
      <c r="R13" s="232">
        <f t="shared" si="7"/>
        <v>0</v>
      </c>
      <c r="S13" s="310">
        <f t="shared" si="8"/>
        <v>10449</v>
      </c>
      <c r="T13" s="232">
        <f t="shared" si="9"/>
        <v>5.1251992642550585E-2</v>
      </c>
      <c r="U13" s="310">
        <v>3801</v>
      </c>
      <c r="V13" s="232">
        <f t="shared" si="10"/>
        <v>1.8643776824034335E-2</v>
      </c>
      <c r="W13" s="310">
        <v>2732</v>
      </c>
      <c r="X13" s="232">
        <f t="shared" si="11"/>
        <v>1.3400367872470877E-2</v>
      </c>
      <c r="Y13" s="310">
        <v>4022</v>
      </c>
      <c r="Z13" s="232">
        <f t="shared" si="12"/>
        <v>1.9727774371551196E-2</v>
      </c>
      <c r="AA13" s="310">
        <v>14040</v>
      </c>
      <c r="AB13" s="232">
        <f t="shared" si="13"/>
        <v>6.8865726548129988E-2</v>
      </c>
      <c r="AC13" s="310">
        <f t="shared" si="14"/>
        <v>18062</v>
      </c>
      <c r="AD13" s="232">
        <f t="shared" si="15"/>
        <v>8.8593500919681184E-2</v>
      </c>
      <c r="AE13" s="310">
        <v>27589</v>
      </c>
      <c r="AF13" s="232">
        <f t="shared" si="16"/>
        <v>0.13532311465358676</v>
      </c>
      <c r="AG13" s="310">
        <v>0</v>
      </c>
      <c r="AH13" s="232">
        <f t="shared" si="17"/>
        <v>0</v>
      </c>
      <c r="AI13" s="310">
        <v>17442</v>
      </c>
      <c r="AJ13" s="232">
        <f t="shared" si="18"/>
        <v>8.5552421827099934E-2</v>
      </c>
      <c r="AK13" s="310">
        <v>3573</v>
      </c>
      <c r="AL13" s="232">
        <f t="shared" si="19"/>
        <v>1.7525444512568975E-2</v>
      </c>
    </row>
    <row r="14" spans="1:38" s="73" customFormat="1" ht="14.25" customHeight="1">
      <c r="B14" s="549">
        <f>D15+7</f>
        <v>46155</v>
      </c>
      <c r="C14" s="554"/>
      <c r="D14" s="171">
        <v>46147</v>
      </c>
      <c r="E14" s="171" t="s">
        <v>118</v>
      </c>
      <c r="F14" s="323">
        <f t="shared" si="0"/>
        <v>198337</v>
      </c>
      <c r="G14" s="563">
        <f t="shared" ref="G14" si="20">SUM(F14:F20)</f>
        <v>1283685</v>
      </c>
      <c r="H14" s="568"/>
      <c r="I14" s="310">
        <v>51170</v>
      </c>
      <c r="J14" s="232">
        <f t="shared" si="2"/>
        <v>0.25799523034027944</v>
      </c>
      <c r="K14" s="310">
        <v>64604</v>
      </c>
      <c r="L14" s="232">
        <f t="shared" si="3"/>
        <v>0.32572843191134282</v>
      </c>
      <c r="M14" s="310">
        <f t="shared" si="4"/>
        <v>115774</v>
      </c>
      <c r="N14" s="232">
        <f t="shared" si="5"/>
        <v>0.5837236622516222</v>
      </c>
      <c r="O14" s="310">
        <v>10926</v>
      </c>
      <c r="P14" s="232">
        <f t="shared" si="6"/>
        <v>5.5088057195581255E-2</v>
      </c>
      <c r="Q14" s="310">
        <v>0</v>
      </c>
      <c r="R14" s="232">
        <f t="shared" si="7"/>
        <v>0</v>
      </c>
      <c r="S14" s="310">
        <f t="shared" si="8"/>
        <v>10926</v>
      </c>
      <c r="T14" s="232">
        <f t="shared" si="9"/>
        <v>5.5088057195581255E-2</v>
      </c>
      <c r="U14" s="310">
        <v>3463</v>
      </c>
      <c r="V14" s="232">
        <f t="shared" si="10"/>
        <v>1.7460181408410935E-2</v>
      </c>
      <c r="W14" s="310">
        <v>2204</v>
      </c>
      <c r="X14" s="232">
        <f t="shared" si="11"/>
        <v>1.1112399602696421E-2</v>
      </c>
      <c r="Y14" s="310">
        <v>3941</v>
      </c>
      <c r="Z14" s="232">
        <f t="shared" si="12"/>
        <v>1.9870220886672684E-2</v>
      </c>
      <c r="AA14" s="310">
        <v>13524</v>
      </c>
      <c r="AB14" s="232">
        <f t="shared" si="13"/>
        <v>6.8186974694585484E-2</v>
      </c>
      <c r="AC14" s="310">
        <f t="shared" si="14"/>
        <v>17465</v>
      </c>
      <c r="AD14" s="232">
        <f t="shared" si="15"/>
        <v>8.8057195581258157E-2</v>
      </c>
      <c r="AE14" s="310">
        <v>27258</v>
      </c>
      <c r="AF14" s="232">
        <f t="shared" si="16"/>
        <v>0.13743275334405583</v>
      </c>
      <c r="AG14" s="310">
        <v>0</v>
      </c>
      <c r="AH14" s="232">
        <f t="shared" si="17"/>
        <v>0</v>
      </c>
      <c r="AI14" s="310">
        <v>17647</v>
      </c>
      <c r="AJ14" s="232">
        <f t="shared" si="18"/>
        <v>8.8974825675491712E-2</v>
      </c>
      <c r="AK14" s="310">
        <v>3600</v>
      </c>
      <c r="AL14" s="232">
        <f t="shared" si="19"/>
        <v>1.8150924940883446E-2</v>
      </c>
    </row>
    <row r="15" spans="1:38" s="73" customFormat="1" ht="14.25" customHeight="1">
      <c r="B15" s="550"/>
      <c r="C15" s="554"/>
      <c r="D15" s="171">
        <f>D14+1</f>
        <v>46148</v>
      </c>
      <c r="E15" s="171" t="s">
        <v>112</v>
      </c>
      <c r="F15" s="323">
        <f t="shared" si="0"/>
        <v>188660</v>
      </c>
      <c r="G15" s="563"/>
      <c r="H15" s="568"/>
      <c r="I15" s="310">
        <v>50301</v>
      </c>
      <c r="J15" s="232">
        <f t="shared" si="2"/>
        <v>0.26662249549454042</v>
      </c>
      <c r="K15" s="310">
        <v>61649</v>
      </c>
      <c r="L15" s="232">
        <f t="shared" si="3"/>
        <v>0.32677303084914661</v>
      </c>
      <c r="M15" s="310">
        <f t="shared" si="4"/>
        <v>111950</v>
      </c>
      <c r="N15" s="232">
        <f t="shared" si="5"/>
        <v>0.59339552634368709</v>
      </c>
      <c r="O15" s="310">
        <v>10750</v>
      </c>
      <c r="P15" s="232">
        <f t="shared" si="6"/>
        <v>5.6980812042828372E-2</v>
      </c>
      <c r="Q15" s="310">
        <v>0</v>
      </c>
      <c r="R15" s="232">
        <f t="shared" si="7"/>
        <v>0</v>
      </c>
      <c r="S15" s="310">
        <f t="shared" si="8"/>
        <v>10750</v>
      </c>
      <c r="T15" s="232">
        <f t="shared" si="9"/>
        <v>5.6980812042828372E-2</v>
      </c>
      <c r="U15" s="310">
        <v>3404</v>
      </c>
      <c r="V15" s="232">
        <f t="shared" si="10"/>
        <v>1.8043040390119794E-2</v>
      </c>
      <c r="W15" s="310">
        <v>2480</v>
      </c>
      <c r="X15" s="232">
        <f t="shared" si="11"/>
        <v>1.3145340824764125E-2</v>
      </c>
      <c r="Y15" s="310">
        <v>3437</v>
      </c>
      <c r="Z15" s="232">
        <f t="shared" si="12"/>
        <v>1.8217958231739637E-2</v>
      </c>
      <c r="AA15" s="310">
        <v>12509</v>
      </c>
      <c r="AB15" s="232">
        <f t="shared" si="13"/>
        <v>6.6304463055231633E-2</v>
      </c>
      <c r="AC15" s="310">
        <f t="shared" si="14"/>
        <v>15946</v>
      </c>
      <c r="AD15" s="232">
        <f t="shared" si="15"/>
        <v>8.4522421286971267E-2</v>
      </c>
      <c r="AE15" s="310">
        <v>24611</v>
      </c>
      <c r="AF15" s="232">
        <f t="shared" si="16"/>
        <v>0.1304516060638185</v>
      </c>
      <c r="AG15" s="310">
        <v>0</v>
      </c>
      <c r="AH15" s="232">
        <f t="shared" si="17"/>
        <v>0</v>
      </c>
      <c r="AI15" s="310">
        <v>15589</v>
      </c>
      <c r="AJ15" s="232">
        <f t="shared" si="18"/>
        <v>8.2630128273083858E-2</v>
      </c>
      <c r="AK15" s="310">
        <v>3930</v>
      </c>
      <c r="AL15" s="232">
        <f t="shared" si="19"/>
        <v>2.0831124774727022E-2</v>
      </c>
    </row>
    <row r="16" spans="1:38" s="73" customFormat="1" ht="14.25" customHeight="1">
      <c r="B16" s="550"/>
      <c r="C16" s="554"/>
      <c r="D16" s="171">
        <f t="shared" ref="D16:D20" si="21">D15+1</f>
        <v>46149</v>
      </c>
      <c r="E16" s="171" t="s">
        <v>113</v>
      </c>
      <c r="F16" s="323">
        <f t="shared" si="0"/>
        <v>175320</v>
      </c>
      <c r="G16" s="563"/>
      <c r="H16" s="568"/>
      <c r="I16" s="310">
        <v>49517</v>
      </c>
      <c r="J16" s="232">
        <f t="shared" si="2"/>
        <v>0.28243782797170885</v>
      </c>
      <c r="K16" s="310">
        <v>55273</v>
      </c>
      <c r="L16" s="232">
        <f t="shared" si="3"/>
        <v>0.31526922199406798</v>
      </c>
      <c r="M16" s="310">
        <f t="shared" si="4"/>
        <v>104790</v>
      </c>
      <c r="N16" s="232">
        <f t="shared" si="5"/>
        <v>0.59770704996577684</v>
      </c>
      <c r="O16" s="310">
        <v>10999</v>
      </c>
      <c r="P16" s="232">
        <f t="shared" si="6"/>
        <v>6.2736710015970795E-2</v>
      </c>
      <c r="Q16" s="310">
        <v>0</v>
      </c>
      <c r="R16" s="232">
        <f t="shared" si="7"/>
        <v>0</v>
      </c>
      <c r="S16" s="310">
        <f t="shared" si="8"/>
        <v>10999</v>
      </c>
      <c r="T16" s="232">
        <f t="shared" si="9"/>
        <v>6.2736710015970795E-2</v>
      </c>
      <c r="U16" s="310">
        <v>3266</v>
      </c>
      <c r="V16" s="232">
        <f t="shared" si="10"/>
        <v>1.8628793064111339E-2</v>
      </c>
      <c r="W16" s="310">
        <v>2341</v>
      </c>
      <c r="X16" s="232">
        <f t="shared" si="11"/>
        <v>1.335272644307552E-2</v>
      </c>
      <c r="Y16" s="310">
        <v>3254</v>
      </c>
      <c r="Z16" s="232">
        <f t="shared" si="12"/>
        <v>1.8560346794433035E-2</v>
      </c>
      <c r="AA16" s="310">
        <v>10334</v>
      </c>
      <c r="AB16" s="232">
        <f t="shared" si="13"/>
        <v>5.8943645904631532E-2</v>
      </c>
      <c r="AC16" s="310">
        <f t="shared" si="14"/>
        <v>13588</v>
      </c>
      <c r="AD16" s="232">
        <f t="shared" si="15"/>
        <v>7.7503992699064564E-2</v>
      </c>
      <c r="AE16" s="310">
        <v>21569</v>
      </c>
      <c r="AF16" s="232">
        <f t="shared" si="16"/>
        <v>0.12302646589094228</v>
      </c>
      <c r="AG16" s="310">
        <v>0</v>
      </c>
      <c r="AH16" s="232">
        <f t="shared" si="17"/>
        <v>0</v>
      </c>
      <c r="AI16" s="310">
        <v>15086</v>
      </c>
      <c r="AJ16" s="232">
        <f t="shared" si="18"/>
        <v>8.6048368697239336E-2</v>
      </c>
      <c r="AK16" s="310">
        <v>3681</v>
      </c>
      <c r="AL16" s="232">
        <f t="shared" si="19"/>
        <v>2.0995893223819301E-2</v>
      </c>
    </row>
    <row r="17" spans="2:38" s="73" customFormat="1" ht="14.25" customHeight="1">
      <c r="B17" s="550"/>
      <c r="C17" s="554"/>
      <c r="D17" s="171">
        <f t="shared" si="21"/>
        <v>46150</v>
      </c>
      <c r="E17" s="171" t="s">
        <v>114</v>
      </c>
      <c r="F17" s="323">
        <f t="shared" si="0"/>
        <v>151315</v>
      </c>
      <c r="G17" s="563"/>
      <c r="H17" s="568"/>
      <c r="I17" s="310">
        <v>37424</v>
      </c>
      <c r="J17" s="232">
        <f t="shared" si="2"/>
        <v>0.2473251164788686</v>
      </c>
      <c r="K17" s="310">
        <v>51364</v>
      </c>
      <c r="L17" s="232">
        <f t="shared" si="3"/>
        <v>0.33945081452598885</v>
      </c>
      <c r="M17" s="310">
        <f t="shared" si="4"/>
        <v>88788</v>
      </c>
      <c r="N17" s="232">
        <f t="shared" si="5"/>
        <v>0.58677593100485737</v>
      </c>
      <c r="O17" s="310">
        <v>8469</v>
      </c>
      <c r="P17" s="232">
        <f t="shared" si="6"/>
        <v>5.5969335492185177E-2</v>
      </c>
      <c r="Q17" s="310">
        <v>0</v>
      </c>
      <c r="R17" s="232">
        <f t="shared" si="7"/>
        <v>0</v>
      </c>
      <c r="S17" s="310">
        <f t="shared" si="8"/>
        <v>8469</v>
      </c>
      <c r="T17" s="232">
        <f t="shared" si="9"/>
        <v>5.5969335492185177E-2</v>
      </c>
      <c r="U17" s="310">
        <v>2801</v>
      </c>
      <c r="V17" s="232">
        <f t="shared" si="10"/>
        <v>1.8511053101146615E-2</v>
      </c>
      <c r="W17" s="310">
        <v>1468</v>
      </c>
      <c r="X17" s="232">
        <f t="shared" si="11"/>
        <v>9.7016158345173981E-3</v>
      </c>
      <c r="Y17" s="310">
        <v>3057</v>
      </c>
      <c r="Z17" s="232">
        <f t="shared" si="12"/>
        <v>2.0202888015067904E-2</v>
      </c>
      <c r="AA17" s="310">
        <v>10274</v>
      </c>
      <c r="AB17" s="232">
        <f t="shared" si="13"/>
        <v>6.7898093381356772E-2</v>
      </c>
      <c r="AC17" s="310">
        <f t="shared" si="14"/>
        <v>13331</v>
      </c>
      <c r="AD17" s="232">
        <f t="shared" si="15"/>
        <v>8.810098139642468E-2</v>
      </c>
      <c r="AE17" s="310">
        <v>17380</v>
      </c>
      <c r="AF17" s="232">
        <f t="shared" si="16"/>
        <v>0.11485972970293758</v>
      </c>
      <c r="AG17" s="310">
        <v>0</v>
      </c>
      <c r="AH17" s="232">
        <f t="shared" si="17"/>
        <v>0</v>
      </c>
      <c r="AI17" s="310">
        <v>15523</v>
      </c>
      <c r="AJ17" s="232">
        <f t="shared" si="18"/>
        <v>0.10258731784687572</v>
      </c>
      <c r="AK17" s="310">
        <v>3555</v>
      </c>
      <c r="AL17" s="232">
        <f t="shared" si="19"/>
        <v>2.3494035621055415E-2</v>
      </c>
    </row>
    <row r="18" spans="2:38" s="73" customFormat="1" ht="14.25" customHeight="1">
      <c r="B18" s="550"/>
      <c r="C18" s="554"/>
      <c r="D18" s="171">
        <f t="shared" si="21"/>
        <v>46151</v>
      </c>
      <c r="E18" s="171" t="s">
        <v>115</v>
      </c>
      <c r="F18" s="323">
        <f t="shared" si="0"/>
        <v>161184</v>
      </c>
      <c r="G18" s="563"/>
      <c r="H18" s="568"/>
      <c r="I18" s="310">
        <v>36162</v>
      </c>
      <c r="J18" s="232">
        <f t="shared" si="2"/>
        <v>0.2243522930315664</v>
      </c>
      <c r="K18" s="310">
        <v>59339</v>
      </c>
      <c r="L18" s="232">
        <f t="shared" si="3"/>
        <v>0.36814448084177087</v>
      </c>
      <c r="M18" s="310">
        <f t="shared" si="4"/>
        <v>95501</v>
      </c>
      <c r="N18" s="232">
        <f t="shared" si="5"/>
        <v>0.59249677387333732</v>
      </c>
      <c r="O18" s="310">
        <v>8234</v>
      </c>
      <c r="P18" s="232">
        <f t="shared" si="6"/>
        <v>5.1084474885844749E-2</v>
      </c>
      <c r="Q18" s="310">
        <v>0</v>
      </c>
      <c r="R18" s="232">
        <f t="shared" si="7"/>
        <v>0</v>
      </c>
      <c r="S18" s="310">
        <f t="shared" si="8"/>
        <v>8234</v>
      </c>
      <c r="T18" s="232">
        <f t="shared" si="9"/>
        <v>5.1084474885844749E-2</v>
      </c>
      <c r="U18" s="310">
        <v>3051</v>
      </c>
      <c r="V18" s="232">
        <f t="shared" si="10"/>
        <v>1.8928677784395474E-2</v>
      </c>
      <c r="W18" s="310">
        <v>1521</v>
      </c>
      <c r="X18" s="232">
        <f t="shared" si="11"/>
        <v>9.4364204883859437E-3</v>
      </c>
      <c r="Y18" s="310">
        <v>3517</v>
      </c>
      <c r="Z18" s="232">
        <f t="shared" si="12"/>
        <v>2.181978360135001E-2</v>
      </c>
      <c r="AA18" s="310">
        <v>9935</v>
      </c>
      <c r="AB18" s="232">
        <f t="shared" si="13"/>
        <v>6.1637631526702402E-2</v>
      </c>
      <c r="AC18" s="310">
        <f t="shared" si="14"/>
        <v>13452</v>
      </c>
      <c r="AD18" s="232">
        <f t="shared" si="15"/>
        <v>8.3457415128052409E-2</v>
      </c>
      <c r="AE18" s="310">
        <v>19828</v>
      </c>
      <c r="AF18" s="232">
        <f t="shared" si="16"/>
        <v>0.12301469128449474</v>
      </c>
      <c r="AG18" s="310">
        <v>0</v>
      </c>
      <c r="AH18" s="232">
        <f t="shared" si="17"/>
        <v>0</v>
      </c>
      <c r="AI18" s="310">
        <v>16213</v>
      </c>
      <c r="AJ18" s="232">
        <f t="shared" si="18"/>
        <v>0.10058690688902125</v>
      </c>
      <c r="AK18" s="310">
        <v>3384</v>
      </c>
      <c r="AL18" s="232">
        <f t="shared" si="19"/>
        <v>2.0994639666468137E-2</v>
      </c>
    </row>
    <row r="19" spans="2:38" s="73" customFormat="1" ht="14.25" customHeight="1">
      <c r="B19" s="550"/>
      <c r="C19" s="554"/>
      <c r="D19" s="171">
        <f t="shared" si="21"/>
        <v>46152</v>
      </c>
      <c r="E19" s="171" t="s">
        <v>116</v>
      </c>
      <c r="F19" s="323">
        <f t="shared" si="0"/>
        <v>206176</v>
      </c>
      <c r="G19" s="563"/>
      <c r="H19" s="568"/>
      <c r="I19" s="310">
        <v>52910</v>
      </c>
      <c r="J19" s="232">
        <f t="shared" si="2"/>
        <v>0.25662540741890422</v>
      </c>
      <c r="K19" s="310">
        <v>67329</v>
      </c>
      <c r="L19" s="232">
        <f t="shared" si="3"/>
        <v>0.32656080242123237</v>
      </c>
      <c r="M19" s="310">
        <f t="shared" si="4"/>
        <v>120239</v>
      </c>
      <c r="N19" s="232">
        <f t="shared" si="5"/>
        <v>0.58318620984013658</v>
      </c>
      <c r="O19" s="310">
        <v>11202</v>
      </c>
      <c r="P19" s="232">
        <f t="shared" si="6"/>
        <v>5.4332221015055096E-2</v>
      </c>
      <c r="Q19" s="310">
        <v>0</v>
      </c>
      <c r="R19" s="232">
        <f t="shared" si="7"/>
        <v>0</v>
      </c>
      <c r="S19" s="310">
        <f t="shared" si="8"/>
        <v>11202</v>
      </c>
      <c r="T19" s="232">
        <f t="shared" si="9"/>
        <v>5.4332221015055096E-2</v>
      </c>
      <c r="U19" s="310">
        <v>3981</v>
      </c>
      <c r="V19" s="232">
        <f t="shared" si="10"/>
        <v>1.9308745925810958E-2</v>
      </c>
      <c r="W19" s="310">
        <v>1679</v>
      </c>
      <c r="X19" s="232">
        <f t="shared" si="11"/>
        <v>8.1435278596926897E-3</v>
      </c>
      <c r="Y19" s="310">
        <v>4027</v>
      </c>
      <c r="Z19" s="232">
        <f t="shared" si="12"/>
        <v>1.9531856278131306E-2</v>
      </c>
      <c r="AA19" s="310">
        <v>10888</v>
      </c>
      <c r="AB19" s="232">
        <f t="shared" si="13"/>
        <v>5.2809250349216207E-2</v>
      </c>
      <c r="AC19" s="310">
        <f t="shared" si="14"/>
        <v>14915</v>
      </c>
      <c r="AD19" s="232">
        <f t="shared" si="15"/>
        <v>7.234110662734751E-2</v>
      </c>
      <c r="AE19" s="310">
        <v>29764</v>
      </c>
      <c r="AF19" s="232">
        <f t="shared" si="16"/>
        <v>0.14436209840136582</v>
      </c>
      <c r="AG19" s="310">
        <v>0</v>
      </c>
      <c r="AH19" s="232">
        <f t="shared" si="17"/>
        <v>0</v>
      </c>
      <c r="AI19" s="310">
        <v>20976</v>
      </c>
      <c r="AJ19" s="232">
        <f t="shared" si="18"/>
        <v>0.10173832065807853</v>
      </c>
      <c r="AK19" s="310">
        <v>3420</v>
      </c>
      <c r="AL19" s="232">
        <f t="shared" si="19"/>
        <v>1.6587769672512805E-2</v>
      </c>
    </row>
    <row r="20" spans="2:38" s="73" customFormat="1" ht="14.25" customHeight="1">
      <c r="B20" s="551"/>
      <c r="C20" s="555"/>
      <c r="D20" s="171">
        <f t="shared" si="21"/>
        <v>46153</v>
      </c>
      <c r="E20" s="171" t="s">
        <v>117</v>
      </c>
      <c r="F20" s="323">
        <f t="shared" si="0"/>
        <v>202693</v>
      </c>
      <c r="G20" s="563"/>
      <c r="H20" s="569"/>
      <c r="I20" s="310">
        <v>51286</v>
      </c>
      <c r="J20" s="232">
        <f t="shared" si="2"/>
        <v>0.25302304470307313</v>
      </c>
      <c r="K20" s="310">
        <v>66042</v>
      </c>
      <c r="L20" s="232">
        <f t="shared" si="3"/>
        <v>0.32582279605117098</v>
      </c>
      <c r="M20" s="310">
        <f t="shared" si="4"/>
        <v>117328</v>
      </c>
      <c r="N20" s="232">
        <f t="shared" si="5"/>
        <v>0.57884584075424406</v>
      </c>
      <c r="O20" s="310">
        <v>10684</v>
      </c>
      <c r="P20" s="232">
        <f t="shared" si="6"/>
        <v>5.271025639760623E-2</v>
      </c>
      <c r="Q20" s="310">
        <v>0</v>
      </c>
      <c r="R20" s="232">
        <f t="shared" si="7"/>
        <v>0</v>
      </c>
      <c r="S20" s="310">
        <f t="shared" si="8"/>
        <v>10684</v>
      </c>
      <c r="T20" s="232">
        <f t="shared" si="9"/>
        <v>5.271025639760623E-2</v>
      </c>
      <c r="U20" s="310">
        <v>3704</v>
      </c>
      <c r="V20" s="232">
        <f t="shared" si="10"/>
        <v>1.8273941379327356E-2</v>
      </c>
      <c r="W20" s="310">
        <v>1900</v>
      </c>
      <c r="X20" s="232">
        <f t="shared" si="11"/>
        <v>9.3737820250329312E-3</v>
      </c>
      <c r="Y20" s="310">
        <v>4114</v>
      </c>
      <c r="Z20" s="232">
        <f t="shared" si="12"/>
        <v>2.0296704868939728E-2</v>
      </c>
      <c r="AA20" s="310">
        <v>16001</v>
      </c>
      <c r="AB20" s="232">
        <f t="shared" si="13"/>
        <v>7.8942045359237864E-2</v>
      </c>
      <c r="AC20" s="310">
        <f t="shared" si="14"/>
        <v>20115</v>
      </c>
      <c r="AD20" s="232">
        <f t="shared" si="15"/>
        <v>9.9238750228177589E-2</v>
      </c>
      <c r="AE20" s="310">
        <v>26926</v>
      </c>
      <c r="AF20" s="232">
        <f t="shared" si="16"/>
        <v>0.13284129200317721</v>
      </c>
      <c r="AG20" s="310">
        <v>0</v>
      </c>
      <c r="AH20" s="232">
        <f t="shared" si="17"/>
        <v>0</v>
      </c>
      <c r="AI20" s="310">
        <v>18031</v>
      </c>
      <c r="AJ20" s="232">
        <f t="shared" si="18"/>
        <v>8.8957191417562517E-2</v>
      </c>
      <c r="AK20" s="310">
        <v>4005</v>
      </c>
      <c r="AL20" s="232">
        <f t="shared" si="19"/>
        <v>1.9758945794872047E-2</v>
      </c>
    </row>
  </sheetData>
  <mergeCells count="41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F5:F6"/>
    <mergeCell ref="M5:N5"/>
    <mergeCell ref="I3:AL3"/>
    <mergeCell ref="AI4:AJ4"/>
    <mergeCell ref="B14:B20"/>
    <mergeCell ref="G14:G20"/>
    <mergeCell ref="C10:C20"/>
    <mergeCell ref="H10:H20"/>
    <mergeCell ref="G5:G6"/>
    <mergeCell ref="B7:B13"/>
    <mergeCell ref="G7:G13"/>
    <mergeCell ref="H7:H9"/>
    <mergeCell ref="C7:C9"/>
    <mergeCell ref="B3:B6"/>
    <mergeCell ref="C3:C6"/>
    <mergeCell ref="D3:E6"/>
    <mergeCell ref="AK4:AL4"/>
    <mergeCell ref="F3:H4"/>
    <mergeCell ref="AI5:AJ5"/>
    <mergeCell ref="K5:L5"/>
    <mergeCell ref="S5:T5"/>
    <mergeCell ref="H5:H6"/>
    <mergeCell ref="O4:T4"/>
    <mergeCell ref="I4:N4"/>
    <mergeCell ref="Y4:AD4"/>
    <mergeCell ref="O5:P5"/>
    <mergeCell ref="I5:J5"/>
    <mergeCell ref="Q5:R5"/>
    <mergeCell ref="AA5:AB5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81"/>
  <sheetViews>
    <sheetView zoomScale="85" zoomScaleNormal="85" workbookViewId="0">
      <pane xSplit="13" ySplit="1" topLeftCell="AC38" activePane="bottomRight" state="frozen"/>
      <selection activeCell="E31" sqref="E31"/>
      <selection pane="topRight" activeCell="E31" sqref="E31"/>
      <selection pane="bottomLeft" activeCell="E31" sqref="E31"/>
      <selection pane="bottomRight" activeCell="L47" sqref="L47:L8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5429687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8" customWidth="1"/>
    <col min="15" max="15" width="7.1796875" style="178" customWidth="1" collapsed="1"/>
    <col min="16" max="16" width="7.7265625" style="178" customWidth="1"/>
    <col min="17" max="18" width="8.7265625" style="178" customWidth="1"/>
    <col min="19" max="19" width="5.453125" style="178" customWidth="1"/>
    <col min="20" max="20" width="10.7265625" style="178" customWidth="1"/>
    <col min="21" max="21" width="7.7265625" style="179" customWidth="1"/>
    <col min="22" max="23" width="8.7265625" style="179" customWidth="1"/>
    <col min="24" max="24" width="5.453125" style="178" customWidth="1"/>
    <col min="25" max="25" width="10.7265625" style="179" customWidth="1"/>
    <col min="26" max="26" width="7.7265625" style="179" customWidth="1"/>
    <col min="27" max="28" width="8.7265625" style="179" customWidth="1"/>
    <col min="29" max="29" width="5.453125" style="178" customWidth="1"/>
    <col min="30" max="30" width="10.7265625" style="179" customWidth="1"/>
    <col min="31" max="31" width="7.7265625" style="179" customWidth="1"/>
    <col min="32" max="33" width="8.7265625" style="179" customWidth="1"/>
    <col min="34" max="34" width="5.453125" style="178" customWidth="1"/>
    <col min="35" max="35" width="10.7265625" style="179" customWidth="1"/>
    <col min="36" max="36" width="7.7265625" style="179" customWidth="1"/>
    <col min="37" max="38" width="8.7265625" style="179" customWidth="1"/>
    <col min="39" max="39" width="5.453125" style="178" customWidth="1"/>
    <col min="40" max="40" width="10.7265625" style="179" customWidth="1"/>
    <col min="41" max="41" width="7.7265625" style="179" customWidth="1"/>
    <col min="42" max="43" width="8.7265625" style="179" customWidth="1"/>
    <col min="44" max="44" width="5.453125" style="179" customWidth="1"/>
    <col min="45" max="45" width="10.7265625" style="179" customWidth="1"/>
    <col min="46" max="46" width="7.7265625" style="179" customWidth="1"/>
    <col min="47" max="48" width="8.7265625" style="179" customWidth="1"/>
    <col min="49" max="49" width="5.453125" style="179" customWidth="1"/>
    <col min="50" max="50" width="10.7265625" style="179" customWidth="1"/>
    <col min="51" max="16384" width="8.81640625" style="78"/>
  </cols>
  <sheetData>
    <row r="1" spans="1:50" ht="24.5">
      <c r="A1" s="74"/>
      <c r="B1" s="355" t="s">
        <v>736</v>
      </c>
      <c r="C1" s="175">
        <f>AVERAGE(L7,L47)</f>
        <v>754.59166044781273</v>
      </c>
    </row>
    <row r="2" spans="1:50" ht="14.25" customHeight="1">
      <c r="B2" s="572" t="s">
        <v>660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  <c r="N2" s="576" t="s">
        <v>369</v>
      </c>
      <c r="O2" s="576" t="s">
        <v>105</v>
      </c>
      <c r="P2" s="578">
        <v>46140</v>
      </c>
      <c r="Q2" s="579"/>
      <c r="R2" s="579"/>
      <c r="S2" s="579"/>
      <c r="T2" s="579"/>
      <c r="U2" s="580">
        <v>46141</v>
      </c>
      <c r="V2" s="581"/>
      <c r="W2" s="581"/>
      <c r="X2" s="581"/>
      <c r="Y2" s="581"/>
      <c r="Z2" s="578">
        <v>46142</v>
      </c>
      <c r="AA2" s="579"/>
      <c r="AB2" s="579"/>
      <c r="AC2" s="579"/>
      <c r="AD2" s="579"/>
      <c r="AE2" s="580">
        <v>46143</v>
      </c>
      <c r="AF2" s="581"/>
      <c r="AG2" s="581"/>
      <c r="AH2" s="581"/>
      <c r="AI2" s="581"/>
      <c r="AJ2" s="582">
        <v>46144</v>
      </c>
      <c r="AK2" s="583"/>
      <c r="AL2" s="583"/>
      <c r="AM2" s="583"/>
      <c r="AN2" s="584"/>
      <c r="AO2" s="580">
        <v>46145</v>
      </c>
      <c r="AP2" s="581"/>
      <c r="AQ2" s="581"/>
      <c r="AR2" s="581"/>
      <c r="AS2" s="581"/>
      <c r="AT2" s="582">
        <v>46146</v>
      </c>
      <c r="AU2" s="583"/>
      <c r="AV2" s="583"/>
      <c r="AW2" s="583"/>
      <c r="AX2" s="584"/>
    </row>
    <row r="3" spans="1:50" ht="14.25" customHeight="1"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5"/>
      <c r="N3" s="577"/>
      <c r="O3" s="577"/>
      <c r="P3" s="585">
        <v>46140</v>
      </c>
      <c r="Q3" s="585"/>
      <c r="R3" s="585"/>
      <c r="S3" s="585"/>
      <c r="T3" s="585"/>
      <c r="U3" s="586">
        <v>46141</v>
      </c>
      <c r="V3" s="586"/>
      <c r="W3" s="586"/>
      <c r="X3" s="586"/>
      <c r="Y3" s="586"/>
      <c r="Z3" s="585">
        <v>46142</v>
      </c>
      <c r="AA3" s="585"/>
      <c r="AB3" s="585"/>
      <c r="AC3" s="585"/>
      <c r="AD3" s="585"/>
      <c r="AE3" s="586">
        <v>46143</v>
      </c>
      <c r="AF3" s="586"/>
      <c r="AG3" s="586"/>
      <c r="AH3" s="586"/>
      <c r="AI3" s="586"/>
      <c r="AJ3" s="587">
        <v>46144</v>
      </c>
      <c r="AK3" s="588"/>
      <c r="AL3" s="588"/>
      <c r="AM3" s="588"/>
      <c r="AN3" s="589"/>
      <c r="AO3" s="586">
        <v>46145</v>
      </c>
      <c r="AP3" s="586"/>
      <c r="AQ3" s="586"/>
      <c r="AR3" s="586"/>
      <c r="AS3" s="586"/>
      <c r="AT3" s="587">
        <v>46146</v>
      </c>
      <c r="AU3" s="588"/>
      <c r="AV3" s="588"/>
      <c r="AW3" s="588"/>
      <c r="AX3" s="589"/>
    </row>
    <row r="4" spans="1:50" ht="14.25" customHeight="1">
      <c r="B4" s="590" t="s">
        <v>162</v>
      </c>
      <c r="C4" s="590" t="s">
        <v>157</v>
      </c>
      <c r="D4" s="590"/>
      <c r="E4" s="590" t="s">
        <v>158</v>
      </c>
      <c r="F4" s="590"/>
      <c r="G4" s="590"/>
      <c r="H4" s="590" t="s">
        <v>163</v>
      </c>
      <c r="I4" s="591" t="s">
        <v>370</v>
      </c>
      <c r="J4" s="591"/>
      <c r="K4" s="591"/>
      <c r="L4" s="591" t="s">
        <v>163</v>
      </c>
      <c r="M4" s="591" t="s">
        <v>165</v>
      </c>
      <c r="N4" s="592"/>
      <c r="O4" s="593" t="s">
        <v>164</v>
      </c>
      <c r="P4" s="593" t="s">
        <v>160</v>
      </c>
      <c r="Q4" s="593"/>
      <c r="R4" s="593"/>
      <c r="S4" s="593"/>
      <c r="T4" s="593" t="s">
        <v>163</v>
      </c>
      <c r="U4" s="593" t="s">
        <v>160</v>
      </c>
      <c r="V4" s="593"/>
      <c r="W4" s="593"/>
      <c r="X4" s="593"/>
      <c r="Y4" s="593" t="s">
        <v>163</v>
      </c>
      <c r="Z4" s="593" t="s">
        <v>160</v>
      </c>
      <c r="AA4" s="593"/>
      <c r="AB4" s="593"/>
      <c r="AC4" s="593"/>
      <c r="AD4" s="593" t="s">
        <v>163</v>
      </c>
      <c r="AE4" s="593" t="s">
        <v>160</v>
      </c>
      <c r="AF4" s="593"/>
      <c r="AG4" s="593"/>
      <c r="AH4" s="593"/>
      <c r="AI4" s="593" t="s">
        <v>163</v>
      </c>
      <c r="AJ4" s="593" t="s">
        <v>160</v>
      </c>
      <c r="AK4" s="593"/>
      <c r="AL4" s="593"/>
      <c r="AM4" s="593"/>
      <c r="AN4" s="593" t="s">
        <v>163</v>
      </c>
      <c r="AO4" s="593" t="s">
        <v>160</v>
      </c>
      <c r="AP4" s="593"/>
      <c r="AQ4" s="593"/>
      <c r="AR4" s="593"/>
      <c r="AS4" s="593" t="s">
        <v>163</v>
      </c>
      <c r="AT4" s="593" t="s">
        <v>160</v>
      </c>
      <c r="AU4" s="593"/>
      <c r="AV4" s="593"/>
      <c r="AW4" s="593"/>
      <c r="AX4" s="593" t="s">
        <v>163</v>
      </c>
    </row>
    <row r="5" spans="1:50" ht="14.25" customHeight="1">
      <c r="B5" s="590"/>
      <c r="C5" s="590"/>
      <c r="D5" s="590"/>
      <c r="E5" s="590" t="s">
        <v>371</v>
      </c>
      <c r="F5" s="590"/>
      <c r="G5" s="590"/>
      <c r="H5" s="590"/>
      <c r="I5" s="591" t="s">
        <v>371</v>
      </c>
      <c r="J5" s="591"/>
      <c r="K5" s="591"/>
      <c r="L5" s="591"/>
      <c r="M5" s="591"/>
      <c r="N5" s="592"/>
      <c r="O5" s="593"/>
      <c r="P5" s="593" t="s">
        <v>372</v>
      </c>
      <c r="Q5" s="593"/>
      <c r="R5" s="593"/>
      <c r="S5" s="593"/>
      <c r="T5" s="593"/>
      <c r="U5" s="593" t="s">
        <v>372</v>
      </c>
      <c r="V5" s="593"/>
      <c r="W5" s="593"/>
      <c r="X5" s="593"/>
      <c r="Y5" s="593"/>
      <c r="Z5" s="593" t="s">
        <v>372</v>
      </c>
      <c r="AA5" s="593"/>
      <c r="AB5" s="593"/>
      <c r="AC5" s="593"/>
      <c r="AD5" s="593"/>
      <c r="AE5" s="593" t="s">
        <v>372</v>
      </c>
      <c r="AF5" s="593"/>
      <c r="AG5" s="593"/>
      <c r="AH5" s="593"/>
      <c r="AI5" s="593"/>
      <c r="AJ5" s="593" t="s">
        <v>372</v>
      </c>
      <c r="AK5" s="593"/>
      <c r="AL5" s="593"/>
      <c r="AM5" s="593"/>
      <c r="AN5" s="593"/>
      <c r="AO5" s="593" t="s">
        <v>372</v>
      </c>
      <c r="AP5" s="593"/>
      <c r="AQ5" s="593"/>
      <c r="AR5" s="593"/>
      <c r="AS5" s="593"/>
      <c r="AT5" s="593" t="s">
        <v>372</v>
      </c>
      <c r="AU5" s="593"/>
      <c r="AV5" s="593"/>
      <c r="AW5" s="593"/>
      <c r="AX5" s="593"/>
    </row>
    <row r="6" spans="1:50" ht="14.25" customHeight="1">
      <c r="A6" s="177"/>
      <c r="B6" s="590"/>
      <c r="C6" s="590"/>
      <c r="D6" s="590"/>
      <c r="E6" s="180" t="s">
        <v>159</v>
      </c>
      <c r="F6" s="180" t="s">
        <v>373</v>
      </c>
      <c r="G6" s="180" t="s">
        <v>161</v>
      </c>
      <c r="H6" s="590"/>
      <c r="I6" s="181" t="s">
        <v>159</v>
      </c>
      <c r="J6" s="181" t="s">
        <v>373</v>
      </c>
      <c r="K6" s="181" t="s">
        <v>161</v>
      </c>
      <c r="L6" s="591"/>
      <c r="M6" s="591"/>
      <c r="N6" s="592"/>
      <c r="O6" s="593"/>
      <c r="P6" s="182" t="s">
        <v>159</v>
      </c>
      <c r="Q6" s="182" t="s">
        <v>373</v>
      </c>
      <c r="R6" s="182" t="s">
        <v>161</v>
      </c>
      <c r="S6" s="182" t="s">
        <v>165</v>
      </c>
      <c r="T6" s="593"/>
      <c r="U6" s="182" t="s">
        <v>159</v>
      </c>
      <c r="V6" s="182" t="s">
        <v>373</v>
      </c>
      <c r="W6" s="182" t="s">
        <v>161</v>
      </c>
      <c r="X6" s="182" t="s">
        <v>165</v>
      </c>
      <c r="Y6" s="593"/>
      <c r="Z6" s="182" t="s">
        <v>159</v>
      </c>
      <c r="AA6" s="182" t="s">
        <v>373</v>
      </c>
      <c r="AB6" s="182" t="s">
        <v>161</v>
      </c>
      <c r="AC6" s="182" t="s">
        <v>165</v>
      </c>
      <c r="AD6" s="593"/>
      <c r="AE6" s="182" t="s">
        <v>159</v>
      </c>
      <c r="AF6" s="182" t="s">
        <v>373</v>
      </c>
      <c r="AG6" s="182" t="s">
        <v>161</v>
      </c>
      <c r="AH6" s="182" t="s">
        <v>165</v>
      </c>
      <c r="AI6" s="593"/>
      <c r="AJ6" s="182" t="s">
        <v>159</v>
      </c>
      <c r="AK6" s="182" t="s">
        <v>373</v>
      </c>
      <c r="AL6" s="182" t="s">
        <v>161</v>
      </c>
      <c r="AM6" s="182" t="s">
        <v>165</v>
      </c>
      <c r="AN6" s="593"/>
      <c r="AO6" s="182" t="s">
        <v>159</v>
      </c>
      <c r="AP6" s="182" t="s">
        <v>373</v>
      </c>
      <c r="AQ6" s="182" t="s">
        <v>161</v>
      </c>
      <c r="AR6" s="182" t="s">
        <v>165</v>
      </c>
      <c r="AS6" s="593"/>
      <c r="AT6" s="182" t="s">
        <v>159</v>
      </c>
      <c r="AU6" s="182" t="s">
        <v>373</v>
      </c>
      <c r="AV6" s="182" t="s">
        <v>161</v>
      </c>
      <c r="AW6" s="182" t="s">
        <v>165</v>
      </c>
      <c r="AX6" s="593"/>
    </row>
    <row r="7" spans="1:50" ht="14.25" customHeight="1">
      <c r="B7" s="590" t="s">
        <v>374</v>
      </c>
      <c r="C7" s="180">
        <v>1</v>
      </c>
      <c r="D7" s="183" t="s">
        <v>399</v>
      </c>
      <c r="E7" s="184">
        <v>4</v>
      </c>
      <c r="F7" s="180">
        <v>3600</v>
      </c>
      <c r="G7" s="185">
        <f>F7/E7</f>
        <v>900</v>
      </c>
      <c r="H7" s="595">
        <f>AVERAGE(G7:G41)</f>
        <v>848.69463869463868</v>
      </c>
      <c r="I7" s="186">
        <f>AVERAGE(P7,U7,Z7,AE7,AJ7,AO7,AT7)</f>
        <v>4</v>
      </c>
      <c r="J7" s="186">
        <f>AVERAGE(Q7,V7,AA7,AF7,AK7,AP7,AU7)</f>
        <v>3183.5770589062586</v>
      </c>
      <c r="K7" s="187">
        <f>AVERAGE(R7,W7,AB7,AG7,AL7,AQ7,AV7)</f>
        <v>795.89426472656464</v>
      </c>
      <c r="L7" s="596">
        <f>IFERROR(AVERAGE(K7:K41),"-")</f>
        <v>754.59133104919283</v>
      </c>
      <c r="M7" s="186">
        <f>RANK(K7, K$7:$K$41)</f>
        <v>17</v>
      </c>
      <c r="N7" s="592"/>
      <c r="O7" s="593"/>
      <c r="P7" s="188">
        <v>4</v>
      </c>
      <c r="Q7" s="188">
        <v>3179.3643039924327</v>
      </c>
      <c r="R7" s="185">
        <f t="shared" ref="R7:R39" si="0">IFERROR(Q7/P7,"")</f>
        <v>794.84107599810818</v>
      </c>
      <c r="S7" s="182">
        <f>RANK(R7, R$7:R$41)</f>
        <v>17</v>
      </c>
      <c r="T7" s="594">
        <f>AVERAGE(R7:R41)</f>
        <v>754.59534297291793</v>
      </c>
      <c r="U7" s="188">
        <v>4</v>
      </c>
      <c r="V7" s="188">
        <v>3179.0043039924321</v>
      </c>
      <c r="W7" s="185">
        <f t="shared" ref="W7:W39" si="1">IFERROR(V7/U7,"")</f>
        <v>794.75107599810804</v>
      </c>
      <c r="X7" s="182">
        <f>RANK(W7, W$7:W$41)</f>
        <v>17</v>
      </c>
      <c r="Y7" s="594">
        <f>AVERAGE(W7:W41)</f>
        <v>754.62263193806371</v>
      </c>
      <c r="Z7" s="188">
        <v>4</v>
      </c>
      <c r="AA7" s="188">
        <v>3184.6141608717894</v>
      </c>
      <c r="AB7" s="185">
        <f>IFERROR(AA7/Z7,"")</f>
        <v>796.15354021794735</v>
      </c>
      <c r="AC7" s="182">
        <f>RANK(AB7, AB$7:AB$41)</f>
        <v>16</v>
      </c>
      <c r="AD7" s="594">
        <f>AVERAGE(AB7:AB41)</f>
        <v>754.70449809298657</v>
      </c>
      <c r="AE7" s="188">
        <v>4</v>
      </c>
      <c r="AF7" s="188">
        <v>3184.614160871789</v>
      </c>
      <c r="AG7" s="185">
        <f>IFERROR(AF7/AE7,"")</f>
        <v>796.15354021794724</v>
      </c>
      <c r="AH7" s="182">
        <f>RANK(AG7, AG$7:AG$41)</f>
        <v>16</v>
      </c>
      <c r="AI7" s="594">
        <f>AVERAGE(AG7:AG41)</f>
        <v>754.61017418311826</v>
      </c>
      <c r="AJ7" s="188">
        <v>4</v>
      </c>
      <c r="AK7" s="188">
        <v>3186.0541608717886</v>
      </c>
      <c r="AL7" s="185">
        <f>IFERROR(AK7/AJ7,"")</f>
        <v>796.51354021794714</v>
      </c>
      <c r="AM7" s="182">
        <f>RANK(AL7, AL$7:AL$41)</f>
        <v>15</v>
      </c>
      <c r="AN7" s="594">
        <f>AVERAGE(AL7:AL41)</f>
        <v>754.60773345452458</v>
      </c>
      <c r="AO7" s="188">
        <v>4</v>
      </c>
      <c r="AP7" s="188">
        <v>3186.4141608717882</v>
      </c>
      <c r="AQ7" s="185">
        <f>IFERROR(AP7/AO7,"")</f>
        <v>796.60354021794706</v>
      </c>
      <c r="AR7" s="182">
        <f>RANK(AQ7, AQ$7:AQ$41)</f>
        <v>15</v>
      </c>
      <c r="AS7" s="594">
        <f>AVERAGE(AQ7:AQ41)</f>
        <v>754.53169562409676</v>
      </c>
      <c r="AT7" s="188">
        <v>4</v>
      </c>
      <c r="AU7" s="188">
        <v>3184.9741608717877</v>
      </c>
      <c r="AV7" s="185">
        <f>IFERROR(AU7/AT7,"")</f>
        <v>796.24354021794693</v>
      </c>
      <c r="AW7" s="182">
        <f>RANK(AV7, AV$7:AV$41)</f>
        <v>16</v>
      </c>
      <c r="AX7" s="594">
        <f>AVERAGE(AV7:AV41)</f>
        <v>754.46724107864236</v>
      </c>
    </row>
    <row r="8" spans="1:50" ht="14.25" customHeight="1">
      <c r="B8" s="590"/>
      <c r="C8" s="180">
        <v>2</v>
      </c>
      <c r="D8" s="183" t="s">
        <v>397</v>
      </c>
      <c r="E8" s="184">
        <v>3</v>
      </c>
      <c r="F8" s="180">
        <v>3600</v>
      </c>
      <c r="G8" s="185">
        <f t="shared" ref="G8:G27" si="2">F8/E8</f>
        <v>1200</v>
      </c>
      <c r="H8" s="595"/>
      <c r="I8" s="186">
        <f t="shared" ref="I8:K37" si="3">AVERAGE(P8,U8,Z8,AE8,AJ8,AO8,AT8)</f>
        <v>3</v>
      </c>
      <c r="J8" s="186">
        <f t="shared" si="3"/>
        <v>3181.5653333603509</v>
      </c>
      <c r="K8" s="187">
        <f t="shared" si="3"/>
        <v>1060.5217777867836</v>
      </c>
      <c r="L8" s="596"/>
      <c r="M8" s="186">
        <f>RANK(K8, K$7:$K$41)</f>
        <v>6</v>
      </c>
      <c r="N8" s="592"/>
      <c r="O8" s="593"/>
      <c r="P8" s="188">
        <v>3</v>
      </c>
      <c r="Q8" s="188">
        <v>3182.6453333603504</v>
      </c>
      <c r="R8" s="185">
        <f t="shared" si="0"/>
        <v>1060.8817777867835</v>
      </c>
      <c r="S8" s="182">
        <f t="shared" ref="S8:S39" si="4">RANK(R8, R$7:R$41)</f>
        <v>5</v>
      </c>
      <c r="T8" s="594"/>
      <c r="U8" s="188">
        <v>3</v>
      </c>
      <c r="V8" s="188">
        <v>3181.9253333603497</v>
      </c>
      <c r="W8" s="185">
        <f t="shared" si="1"/>
        <v>1060.6417777867832</v>
      </c>
      <c r="X8" s="182">
        <f t="shared" ref="X8:X39" si="5">RANK(W8, W$7:W$41)</f>
        <v>6</v>
      </c>
      <c r="Y8" s="594"/>
      <c r="Z8" s="188">
        <v>3</v>
      </c>
      <c r="AA8" s="188">
        <v>3181.5653333603505</v>
      </c>
      <c r="AB8" s="185">
        <f t="shared" ref="AB8:AB39" si="6">IFERROR(AA8/Z8,"")</f>
        <v>1060.5217777867836</v>
      </c>
      <c r="AC8" s="182">
        <f t="shared" ref="AC8:AC39" si="7">RANK(AB8, AB$7:AB$41)</f>
        <v>6</v>
      </c>
      <c r="AD8" s="594"/>
      <c r="AE8" s="188">
        <v>3</v>
      </c>
      <c r="AF8" s="188">
        <v>3181.5653333603505</v>
      </c>
      <c r="AG8" s="185">
        <f t="shared" ref="AG8:AG39" si="8">IFERROR(AF8/AE8,"")</f>
        <v>1060.5217777867836</v>
      </c>
      <c r="AH8" s="182">
        <f t="shared" ref="AH8:AH39" si="9">RANK(AG8, AG$7:AG$41)</f>
        <v>6</v>
      </c>
      <c r="AI8" s="594"/>
      <c r="AJ8" s="188">
        <v>3</v>
      </c>
      <c r="AK8" s="188">
        <v>3181.5653333603505</v>
      </c>
      <c r="AL8" s="185">
        <f t="shared" ref="AL8:AL39" si="10">IFERROR(AK8/AJ8,"")</f>
        <v>1060.5217777867836</v>
      </c>
      <c r="AM8" s="182">
        <f t="shared" ref="AM8:AM39" si="11">RANK(AL8, AL$7:AL$41)</f>
        <v>6</v>
      </c>
      <c r="AN8" s="594"/>
      <c r="AO8" s="188">
        <v>3</v>
      </c>
      <c r="AP8" s="188">
        <v>3181.5653333603505</v>
      </c>
      <c r="AQ8" s="185">
        <f t="shared" ref="AQ8:AQ39" si="12">IFERROR(AP8/AO8,"")</f>
        <v>1060.5217777867836</v>
      </c>
      <c r="AR8" s="182">
        <f t="shared" ref="AR8:AR39" si="13">RANK(AQ8, AQ$7:AQ$41)</f>
        <v>6</v>
      </c>
      <c r="AS8" s="594"/>
      <c r="AT8" s="188">
        <v>3</v>
      </c>
      <c r="AU8" s="188">
        <v>3180.1253333603509</v>
      </c>
      <c r="AV8" s="185">
        <f t="shared" ref="AV8:AV39" si="14">IFERROR(AU8/AT8,"")</f>
        <v>1060.0417777867835</v>
      </c>
      <c r="AW8" s="182">
        <f t="shared" ref="AW8:AW39" si="15">RANK(AV8, AV$7:AV$41)</f>
        <v>6</v>
      </c>
      <c r="AX8" s="594"/>
    </row>
    <row r="9" spans="1:50" ht="14.25" customHeight="1">
      <c r="B9" s="590"/>
      <c r="C9" s="180">
        <v>3</v>
      </c>
      <c r="D9" s="183" t="s">
        <v>398</v>
      </c>
      <c r="E9" s="184">
        <v>5</v>
      </c>
      <c r="F9" s="180">
        <v>3600</v>
      </c>
      <c r="G9" s="185">
        <f t="shared" si="2"/>
        <v>720</v>
      </c>
      <c r="H9" s="595"/>
      <c r="I9" s="186">
        <f t="shared" si="3"/>
        <v>5</v>
      </c>
      <c r="J9" s="186">
        <f t="shared" si="3"/>
        <v>3185.2615419550525</v>
      </c>
      <c r="K9" s="187">
        <f t="shared" si="3"/>
        <v>637.05230839101046</v>
      </c>
      <c r="L9" s="596"/>
      <c r="M9" s="186">
        <f>RANK(K9, K$7:$K$41)</f>
        <v>24</v>
      </c>
      <c r="N9" s="592"/>
      <c r="O9" s="593"/>
      <c r="P9" s="188">
        <v>5</v>
      </c>
      <c r="Q9" s="188">
        <v>3183.6158276693386</v>
      </c>
      <c r="R9" s="185">
        <f t="shared" si="0"/>
        <v>636.7231655338677</v>
      </c>
      <c r="S9" s="182">
        <f t="shared" si="4"/>
        <v>24</v>
      </c>
      <c r="T9" s="594"/>
      <c r="U9" s="188">
        <v>5</v>
      </c>
      <c r="V9" s="188">
        <v>3184.6958276693381</v>
      </c>
      <c r="W9" s="185">
        <f t="shared" si="1"/>
        <v>636.93916553386759</v>
      </c>
      <c r="X9" s="182">
        <f t="shared" si="5"/>
        <v>24</v>
      </c>
      <c r="Y9" s="594"/>
      <c r="Z9" s="188">
        <v>5</v>
      </c>
      <c r="AA9" s="188">
        <v>3184.6958276693372</v>
      </c>
      <c r="AB9" s="185">
        <f t="shared" si="6"/>
        <v>636.93916553386748</v>
      </c>
      <c r="AC9" s="182">
        <f t="shared" si="7"/>
        <v>24</v>
      </c>
      <c r="AD9" s="594"/>
      <c r="AE9" s="188">
        <v>5</v>
      </c>
      <c r="AF9" s="188">
        <v>3186.1358276693372</v>
      </c>
      <c r="AG9" s="185">
        <f t="shared" si="8"/>
        <v>637.22716553386749</v>
      </c>
      <c r="AH9" s="182">
        <f t="shared" si="9"/>
        <v>24</v>
      </c>
      <c r="AI9" s="594"/>
      <c r="AJ9" s="188">
        <v>5</v>
      </c>
      <c r="AK9" s="188">
        <v>3185.0558276693378</v>
      </c>
      <c r="AL9" s="185">
        <f t="shared" si="10"/>
        <v>637.0111655338676</v>
      </c>
      <c r="AM9" s="182">
        <f t="shared" si="11"/>
        <v>24</v>
      </c>
      <c r="AN9" s="594"/>
      <c r="AO9" s="188">
        <v>5</v>
      </c>
      <c r="AP9" s="188">
        <v>3185.7758276693385</v>
      </c>
      <c r="AQ9" s="185">
        <f t="shared" si="12"/>
        <v>637.15516553386772</v>
      </c>
      <c r="AR9" s="182">
        <f t="shared" si="13"/>
        <v>24</v>
      </c>
      <c r="AS9" s="594"/>
      <c r="AT9" s="188">
        <v>5</v>
      </c>
      <c r="AU9" s="188">
        <v>3186.8558276693384</v>
      </c>
      <c r="AV9" s="185">
        <f t="shared" si="14"/>
        <v>637.37116553386772</v>
      </c>
      <c r="AW9" s="182">
        <f t="shared" si="15"/>
        <v>22</v>
      </c>
      <c r="AX9" s="594"/>
    </row>
    <row r="10" spans="1:50" ht="14.25" customHeight="1">
      <c r="B10" s="590"/>
      <c r="C10" s="180">
        <v>4</v>
      </c>
      <c r="D10" s="183" t="s">
        <v>229</v>
      </c>
      <c r="E10" s="184">
        <v>5</v>
      </c>
      <c r="F10" s="180">
        <v>3300</v>
      </c>
      <c r="G10" s="185">
        <f t="shared" si="2"/>
        <v>660</v>
      </c>
      <c r="H10" s="595"/>
      <c r="I10" s="186">
        <f t="shared" si="3"/>
        <v>5</v>
      </c>
      <c r="J10" s="186">
        <f t="shared" si="3"/>
        <v>2952.0174727125718</v>
      </c>
      <c r="K10" s="187">
        <f t="shared" si="3"/>
        <v>590.40349454251441</v>
      </c>
      <c r="L10" s="596"/>
      <c r="M10" s="186">
        <f>RANK(K10, K$7:$K$41)</f>
        <v>27</v>
      </c>
      <c r="N10" s="592"/>
      <c r="O10" s="593"/>
      <c r="P10" s="188">
        <v>5</v>
      </c>
      <c r="Q10" s="188">
        <v>2951.6874727125728</v>
      </c>
      <c r="R10" s="185">
        <f t="shared" si="0"/>
        <v>590.33749454251461</v>
      </c>
      <c r="S10" s="182">
        <f t="shared" si="4"/>
        <v>27</v>
      </c>
      <c r="T10" s="594"/>
      <c r="U10" s="188">
        <v>5</v>
      </c>
      <c r="V10" s="188">
        <v>2952.677472712573</v>
      </c>
      <c r="W10" s="185">
        <f t="shared" si="1"/>
        <v>590.53549454251458</v>
      </c>
      <c r="X10" s="182">
        <f t="shared" si="5"/>
        <v>27</v>
      </c>
      <c r="Y10" s="594"/>
      <c r="Z10" s="188">
        <v>5</v>
      </c>
      <c r="AA10" s="188">
        <v>2951.3574727125724</v>
      </c>
      <c r="AB10" s="185">
        <f t="shared" si="6"/>
        <v>590.27149454251446</v>
      </c>
      <c r="AC10" s="182">
        <f t="shared" si="7"/>
        <v>27</v>
      </c>
      <c r="AD10" s="594"/>
      <c r="AE10" s="188">
        <v>5</v>
      </c>
      <c r="AF10" s="188">
        <v>2952.0174727125718</v>
      </c>
      <c r="AG10" s="185">
        <f t="shared" si="8"/>
        <v>590.40349454251441</v>
      </c>
      <c r="AH10" s="182">
        <f t="shared" si="9"/>
        <v>27</v>
      </c>
      <c r="AI10" s="594"/>
      <c r="AJ10" s="188">
        <v>5</v>
      </c>
      <c r="AK10" s="188">
        <v>2952.6774727125717</v>
      </c>
      <c r="AL10" s="185">
        <f t="shared" si="10"/>
        <v>590.53549454251436</v>
      </c>
      <c r="AM10" s="182">
        <f t="shared" si="11"/>
        <v>27</v>
      </c>
      <c r="AN10" s="594"/>
      <c r="AO10" s="188">
        <v>5</v>
      </c>
      <c r="AP10" s="188">
        <v>2952.3474727125717</v>
      </c>
      <c r="AQ10" s="185">
        <f t="shared" si="12"/>
        <v>590.46949454251433</v>
      </c>
      <c r="AR10" s="182">
        <f t="shared" si="13"/>
        <v>27</v>
      </c>
      <c r="AS10" s="594"/>
      <c r="AT10" s="188">
        <v>5</v>
      </c>
      <c r="AU10" s="188">
        <v>2951.3574727125715</v>
      </c>
      <c r="AV10" s="185">
        <f t="shared" si="14"/>
        <v>590.27149454251435</v>
      </c>
      <c r="AW10" s="182">
        <f t="shared" si="15"/>
        <v>27</v>
      </c>
      <c r="AX10" s="594"/>
    </row>
    <row r="11" spans="1:50" ht="14.25" customHeight="1">
      <c r="B11" s="590"/>
      <c r="C11" s="180">
        <v>5</v>
      </c>
      <c r="D11" s="183" t="s">
        <v>394</v>
      </c>
      <c r="E11" s="184">
        <v>3</v>
      </c>
      <c r="F11" s="180">
        <v>3600</v>
      </c>
      <c r="G11" s="185">
        <f t="shared" si="2"/>
        <v>1200</v>
      </c>
      <c r="H11" s="595"/>
      <c r="I11" s="186">
        <f t="shared" si="3"/>
        <v>3</v>
      </c>
      <c r="J11" s="186">
        <f t="shared" si="3"/>
        <v>3183.2040007317141</v>
      </c>
      <c r="K11" s="187">
        <f t="shared" si="3"/>
        <v>1061.0680002439046</v>
      </c>
      <c r="L11" s="596"/>
      <c r="M11" s="186">
        <f>RANK(K11, K$7:$K$41)</f>
        <v>5</v>
      </c>
      <c r="N11" s="592"/>
      <c r="O11" s="593"/>
      <c r="P11" s="188">
        <v>3</v>
      </c>
      <c r="Q11" s="188">
        <v>3183.7182864459996</v>
      </c>
      <c r="R11" s="185">
        <f t="shared" si="0"/>
        <v>1061.2394288153332</v>
      </c>
      <c r="S11" s="182">
        <f t="shared" si="4"/>
        <v>4</v>
      </c>
      <c r="T11" s="594"/>
      <c r="U11" s="188">
        <v>3</v>
      </c>
      <c r="V11" s="188">
        <v>3182.9982864459998</v>
      </c>
      <c r="W11" s="185">
        <f t="shared" si="1"/>
        <v>1060.9994288153332</v>
      </c>
      <c r="X11" s="182">
        <f t="shared" si="5"/>
        <v>5</v>
      </c>
      <c r="Y11" s="594"/>
      <c r="Z11" s="188">
        <v>3</v>
      </c>
      <c r="AA11" s="188">
        <v>3184.4382864459994</v>
      </c>
      <c r="AB11" s="185">
        <f t="shared" si="6"/>
        <v>1061.4794288153332</v>
      </c>
      <c r="AC11" s="182">
        <f t="shared" si="7"/>
        <v>4</v>
      </c>
      <c r="AD11" s="594"/>
      <c r="AE11" s="188">
        <v>3</v>
      </c>
      <c r="AF11" s="188">
        <v>3183.3582864459995</v>
      </c>
      <c r="AG11" s="185">
        <f t="shared" si="8"/>
        <v>1061.1194288153331</v>
      </c>
      <c r="AH11" s="182">
        <f t="shared" si="9"/>
        <v>4</v>
      </c>
      <c r="AI11" s="594"/>
      <c r="AJ11" s="188">
        <v>3</v>
      </c>
      <c r="AK11" s="188">
        <v>3182.2782864459987</v>
      </c>
      <c r="AL11" s="185">
        <f t="shared" si="10"/>
        <v>1060.759428815333</v>
      </c>
      <c r="AM11" s="182">
        <f t="shared" si="11"/>
        <v>5</v>
      </c>
      <c r="AN11" s="594"/>
      <c r="AO11" s="188">
        <v>3</v>
      </c>
      <c r="AP11" s="188">
        <v>3182.2782864459991</v>
      </c>
      <c r="AQ11" s="185">
        <f t="shared" si="12"/>
        <v>1060.759428815333</v>
      </c>
      <c r="AR11" s="182">
        <f t="shared" si="13"/>
        <v>5</v>
      </c>
      <c r="AS11" s="594"/>
      <c r="AT11" s="188">
        <v>3</v>
      </c>
      <c r="AU11" s="188">
        <v>3183.3582864459991</v>
      </c>
      <c r="AV11" s="185">
        <f t="shared" si="14"/>
        <v>1061.1194288153331</v>
      </c>
      <c r="AW11" s="182">
        <f t="shared" si="15"/>
        <v>4</v>
      </c>
      <c r="AX11" s="594"/>
    </row>
    <row r="12" spans="1:50" ht="14.25" customHeight="1">
      <c r="B12" s="590"/>
      <c r="C12" s="180">
        <v>6</v>
      </c>
      <c r="D12" s="183" t="s">
        <v>341</v>
      </c>
      <c r="E12" s="184">
        <v>4</v>
      </c>
      <c r="F12" s="180">
        <v>3600</v>
      </c>
      <c r="G12" s="185">
        <f t="shared" si="2"/>
        <v>900</v>
      </c>
      <c r="H12" s="595"/>
      <c r="I12" s="186">
        <f t="shared" si="3"/>
        <v>4</v>
      </c>
      <c r="J12" s="186">
        <f t="shared" si="3"/>
        <v>3184.1485714285741</v>
      </c>
      <c r="K12" s="187">
        <f t="shared" si="3"/>
        <v>796.03714285714352</v>
      </c>
      <c r="L12" s="596"/>
      <c r="M12" s="186">
        <f>RANK(K12, K$7:$K$41)</f>
        <v>16</v>
      </c>
      <c r="N12" s="592"/>
      <c r="O12" s="593"/>
      <c r="P12" s="188">
        <v>4</v>
      </c>
      <c r="Q12" s="188">
        <v>3186.0000000000023</v>
      </c>
      <c r="R12" s="185">
        <f t="shared" si="0"/>
        <v>796.50000000000057</v>
      </c>
      <c r="S12" s="182">
        <f t="shared" si="4"/>
        <v>16</v>
      </c>
      <c r="T12" s="594"/>
      <c r="U12" s="188">
        <v>4</v>
      </c>
      <c r="V12" s="188">
        <v>3184.5600000000027</v>
      </c>
      <c r="W12" s="185">
        <f t="shared" si="1"/>
        <v>796.14000000000067</v>
      </c>
      <c r="X12" s="182">
        <f t="shared" si="5"/>
        <v>16</v>
      </c>
      <c r="Y12" s="594"/>
      <c r="Z12" s="188">
        <v>4</v>
      </c>
      <c r="AA12" s="188">
        <v>3183.4800000000032</v>
      </c>
      <c r="AB12" s="185">
        <f t="shared" si="6"/>
        <v>795.8700000000008</v>
      </c>
      <c r="AC12" s="182">
        <f t="shared" si="7"/>
        <v>17</v>
      </c>
      <c r="AD12" s="594"/>
      <c r="AE12" s="188">
        <v>4</v>
      </c>
      <c r="AF12" s="188">
        <v>3184.200000000003</v>
      </c>
      <c r="AG12" s="185">
        <f t="shared" si="8"/>
        <v>796.05000000000075</v>
      </c>
      <c r="AH12" s="182">
        <f t="shared" si="9"/>
        <v>17</v>
      </c>
      <c r="AI12" s="594"/>
      <c r="AJ12" s="188">
        <v>4</v>
      </c>
      <c r="AK12" s="188">
        <v>3183.4800000000032</v>
      </c>
      <c r="AL12" s="185">
        <f t="shared" si="10"/>
        <v>795.8700000000008</v>
      </c>
      <c r="AM12" s="182">
        <f t="shared" si="11"/>
        <v>17</v>
      </c>
      <c r="AN12" s="594"/>
      <c r="AO12" s="188">
        <v>4</v>
      </c>
      <c r="AP12" s="188">
        <v>3182.7600000000029</v>
      </c>
      <c r="AQ12" s="185">
        <f t="shared" si="12"/>
        <v>795.69000000000074</v>
      </c>
      <c r="AR12" s="182">
        <f t="shared" si="13"/>
        <v>17</v>
      </c>
      <c r="AS12" s="594"/>
      <c r="AT12" s="188">
        <v>4</v>
      </c>
      <c r="AU12" s="188">
        <v>3184.5600000000027</v>
      </c>
      <c r="AV12" s="185">
        <f t="shared" si="14"/>
        <v>796.14000000000067</v>
      </c>
      <c r="AW12" s="182">
        <f t="shared" si="15"/>
        <v>17</v>
      </c>
      <c r="AX12" s="594"/>
    </row>
    <row r="13" spans="1:50" ht="14.25" customHeight="1">
      <c r="B13" s="590"/>
      <c r="C13" s="180">
        <v>7</v>
      </c>
      <c r="D13" s="183" t="s">
        <v>396</v>
      </c>
      <c r="E13" s="184">
        <v>3</v>
      </c>
      <c r="F13" s="180">
        <v>3600</v>
      </c>
      <c r="G13" s="185">
        <f t="shared" si="2"/>
        <v>1200</v>
      </c>
      <c r="H13" s="595"/>
      <c r="I13" s="186">
        <f t="shared" si="3"/>
        <v>3</v>
      </c>
      <c r="J13" s="186">
        <f t="shared" si="3"/>
        <v>3183.4373359286051</v>
      </c>
      <c r="K13" s="187">
        <f t="shared" si="3"/>
        <v>1061.1457786428687</v>
      </c>
      <c r="L13" s="596"/>
      <c r="M13" s="186">
        <f>RANK(K13, K$7:$K$41)</f>
        <v>4</v>
      </c>
      <c r="N13" s="592"/>
      <c r="O13" s="593"/>
      <c r="P13" s="188">
        <v>3</v>
      </c>
      <c r="Q13" s="188">
        <v>3181.5859073571773</v>
      </c>
      <c r="R13" s="185">
        <f t="shared" si="0"/>
        <v>1060.5286357857258</v>
      </c>
      <c r="S13" s="182">
        <f t="shared" si="4"/>
        <v>6</v>
      </c>
      <c r="T13" s="594"/>
      <c r="U13" s="188">
        <v>3</v>
      </c>
      <c r="V13" s="188">
        <v>3183.3859073571771</v>
      </c>
      <c r="W13" s="185">
        <f t="shared" si="1"/>
        <v>1061.1286357857257</v>
      </c>
      <c r="X13" s="182">
        <f t="shared" si="5"/>
        <v>4</v>
      </c>
      <c r="Y13" s="594"/>
      <c r="Z13" s="188">
        <v>3</v>
      </c>
      <c r="AA13" s="188">
        <v>3182.6659073571773</v>
      </c>
      <c r="AB13" s="185">
        <f t="shared" si="6"/>
        <v>1060.8886357857257</v>
      </c>
      <c r="AC13" s="182">
        <f t="shared" si="7"/>
        <v>5</v>
      </c>
      <c r="AD13" s="594"/>
      <c r="AE13" s="188">
        <v>3</v>
      </c>
      <c r="AF13" s="188">
        <v>3182.3059073571767</v>
      </c>
      <c r="AG13" s="185">
        <f t="shared" si="8"/>
        <v>1060.7686357857256</v>
      </c>
      <c r="AH13" s="182">
        <f t="shared" si="9"/>
        <v>5</v>
      </c>
      <c r="AI13" s="594"/>
      <c r="AJ13" s="188">
        <v>3</v>
      </c>
      <c r="AK13" s="188">
        <v>3183.7459073571767</v>
      </c>
      <c r="AL13" s="185">
        <f t="shared" si="10"/>
        <v>1061.2486357857256</v>
      </c>
      <c r="AM13" s="182">
        <f t="shared" si="11"/>
        <v>4</v>
      </c>
      <c r="AN13" s="594"/>
      <c r="AO13" s="188">
        <v>3</v>
      </c>
      <c r="AP13" s="188">
        <v>3184.8259073571767</v>
      </c>
      <c r="AQ13" s="185">
        <f t="shared" si="12"/>
        <v>1061.6086357857255</v>
      </c>
      <c r="AR13" s="182">
        <f t="shared" si="13"/>
        <v>2</v>
      </c>
      <c r="AS13" s="594"/>
      <c r="AT13" s="188">
        <v>3</v>
      </c>
      <c r="AU13" s="188">
        <v>3185.5459073571765</v>
      </c>
      <c r="AV13" s="185">
        <f t="shared" si="14"/>
        <v>1061.8486357857255</v>
      </c>
      <c r="AW13" s="182">
        <f t="shared" si="15"/>
        <v>2</v>
      </c>
      <c r="AX13" s="594"/>
    </row>
    <row r="14" spans="1:50" ht="14.25" customHeight="1">
      <c r="B14" s="590"/>
      <c r="C14" s="180">
        <v>8</v>
      </c>
      <c r="D14" s="183" t="s">
        <v>395</v>
      </c>
      <c r="E14" s="184">
        <v>5</v>
      </c>
      <c r="F14" s="180">
        <v>3600</v>
      </c>
      <c r="G14" s="185">
        <f t="shared" si="2"/>
        <v>720</v>
      </c>
      <c r="H14" s="595"/>
      <c r="I14" s="186">
        <f t="shared" si="3"/>
        <v>5</v>
      </c>
      <c r="J14" s="186">
        <f t="shared" si="3"/>
        <v>3186.4962998570022</v>
      </c>
      <c r="K14" s="187">
        <f t="shared" si="3"/>
        <v>637.2992599714006</v>
      </c>
      <c r="L14" s="596"/>
      <c r="M14" s="186">
        <f>RANK(K14, K$7:$K$41)</f>
        <v>23</v>
      </c>
      <c r="N14" s="592"/>
      <c r="O14" s="593"/>
      <c r="P14" s="188">
        <v>5</v>
      </c>
      <c r="Q14" s="188">
        <v>3187.4220141427177</v>
      </c>
      <c r="R14" s="185">
        <f t="shared" si="0"/>
        <v>637.48440282854358</v>
      </c>
      <c r="S14" s="182">
        <f t="shared" si="4"/>
        <v>21</v>
      </c>
      <c r="T14" s="594"/>
      <c r="U14" s="188">
        <v>5</v>
      </c>
      <c r="V14" s="188">
        <v>3185.9820141427181</v>
      </c>
      <c r="W14" s="185">
        <f t="shared" si="1"/>
        <v>637.19640282854357</v>
      </c>
      <c r="X14" s="182">
        <f t="shared" si="5"/>
        <v>23</v>
      </c>
      <c r="Y14" s="594"/>
      <c r="Z14" s="188">
        <v>5</v>
      </c>
      <c r="AA14" s="188">
        <v>3187.7820141427169</v>
      </c>
      <c r="AB14" s="185">
        <f t="shared" si="6"/>
        <v>637.55640282854336</v>
      </c>
      <c r="AC14" s="182">
        <f t="shared" si="7"/>
        <v>22</v>
      </c>
      <c r="AD14" s="594"/>
      <c r="AE14" s="188">
        <v>5</v>
      </c>
      <c r="AF14" s="188">
        <v>3186.7020141427165</v>
      </c>
      <c r="AG14" s="185">
        <f t="shared" si="8"/>
        <v>637.34040282854335</v>
      </c>
      <c r="AH14" s="182">
        <f t="shared" si="9"/>
        <v>22</v>
      </c>
      <c r="AI14" s="594"/>
      <c r="AJ14" s="188">
        <v>5</v>
      </c>
      <c r="AK14" s="188">
        <v>3185.9820141427167</v>
      </c>
      <c r="AL14" s="185">
        <f t="shared" si="10"/>
        <v>637.19640282854334</v>
      </c>
      <c r="AM14" s="182">
        <f t="shared" si="11"/>
        <v>23</v>
      </c>
      <c r="AN14" s="594"/>
      <c r="AO14" s="188">
        <v>5</v>
      </c>
      <c r="AP14" s="188">
        <v>3185.9820141427167</v>
      </c>
      <c r="AQ14" s="185">
        <f t="shared" si="12"/>
        <v>637.19640282854334</v>
      </c>
      <c r="AR14" s="182">
        <f t="shared" si="13"/>
        <v>23</v>
      </c>
      <c r="AS14" s="594"/>
      <c r="AT14" s="188">
        <v>5</v>
      </c>
      <c r="AU14" s="188">
        <v>3185.6220141427161</v>
      </c>
      <c r="AV14" s="185">
        <f t="shared" si="14"/>
        <v>637.12440282854323</v>
      </c>
      <c r="AW14" s="182">
        <f t="shared" si="15"/>
        <v>23</v>
      </c>
      <c r="AX14" s="594"/>
    </row>
    <row r="15" spans="1:50" ht="14.25" customHeight="1">
      <c r="B15" s="590"/>
      <c r="C15" s="180">
        <v>9</v>
      </c>
      <c r="D15" s="183" t="s">
        <v>393</v>
      </c>
      <c r="E15" s="184">
        <v>5</v>
      </c>
      <c r="F15" s="180">
        <v>3600</v>
      </c>
      <c r="G15" s="185">
        <f t="shared" si="2"/>
        <v>720</v>
      </c>
      <c r="H15" s="595"/>
      <c r="I15" s="186">
        <f t="shared" si="3"/>
        <v>5</v>
      </c>
      <c r="J15" s="186">
        <f t="shared" si="3"/>
        <v>3187.0718373929449</v>
      </c>
      <c r="K15" s="187">
        <f t="shared" si="3"/>
        <v>637.41436747858904</v>
      </c>
      <c r="L15" s="596"/>
      <c r="M15" s="186">
        <f>RANK(K15, K$7:$K$41)</f>
        <v>22</v>
      </c>
      <c r="N15" s="592"/>
      <c r="O15" s="593"/>
      <c r="P15" s="188">
        <v>5</v>
      </c>
      <c r="Q15" s="188">
        <v>3187.7918373929433</v>
      </c>
      <c r="R15" s="185">
        <f t="shared" si="0"/>
        <v>637.55836747858871</v>
      </c>
      <c r="S15" s="182">
        <f t="shared" si="4"/>
        <v>20</v>
      </c>
      <c r="T15" s="594"/>
      <c r="U15" s="188">
        <v>5</v>
      </c>
      <c r="V15" s="188">
        <v>3188.511837392944</v>
      </c>
      <c r="W15" s="185">
        <f t="shared" si="1"/>
        <v>637.70236747858883</v>
      </c>
      <c r="X15" s="182">
        <f t="shared" si="5"/>
        <v>20</v>
      </c>
      <c r="Y15" s="594"/>
      <c r="Z15" s="188">
        <v>5</v>
      </c>
      <c r="AA15" s="188">
        <v>3187.431837392945</v>
      </c>
      <c r="AB15" s="185">
        <f t="shared" si="6"/>
        <v>637.48636747858905</v>
      </c>
      <c r="AC15" s="182">
        <f t="shared" si="7"/>
        <v>23</v>
      </c>
      <c r="AD15" s="594"/>
      <c r="AE15" s="188">
        <v>5</v>
      </c>
      <c r="AF15" s="188">
        <v>3187.7918373929451</v>
      </c>
      <c r="AG15" s="185">
        <f t="shared" si="8"/>
        <v>637.55836747858905</v>
      </c>
      <c r="AH15" s="182">
        <f t="shared" si="9"/>
        <v>21</v>
      </c>
      <c r="AI15" s="594"/>
      <c r="AJ15" s="188">
        <v>5</v>
      </c>
      <c r="AK15" s="188">
        <v>3187.0718373929458</v>
      </c>
      <c r="AL15" s="185">
        <f t="shared" si="10"/>
        <v>637.41436747858916</v>
      </c>
      <c r="AM15" s="182">
        <f t="shared" si="11"/>
        <v>22</v>
      </c>
      <c r="AN15" s="594"/>
      <c r="AO15" s="188">
        <v>5</v>
      </c>
      <c r="AP15" s="188">
        <v>3185.9918373929459</v>
      </c>
      <c r="AQ15" s="185">
        <f t="shared" si="12"/>
        <v>637.19836747858915</v>
      </c>
      <c r="AR15" s="182">
        <f t="shared" si="13"/>
        <v>22</v>
      </c>
      <c r="AS15" s="594"/>
      <c r="AT15" s="188">
        <v>5</v>
      </c>
      <c r="AU15" s="188">
        <v>3184.9118373929464</v>
      </c>
      <c r="AV15" s="185">
        <f t="shared" si="14"/>
        <v>636.98236747858925</v>
      </c>
      <c r="AW15" s="182">
        <f t="shared" si="15"/>
        <v>24</v>
      </c>
      <c r="AX15" s="594"/>
    </row>
    <row r="16" spans="1:50" ht="14.25" customHeight="1">
      <c r="B16" s="590"/>
      <c r="C16" s="180">
        <v>10</v>
      </c>
      <c r="D16" s="183" t="s">
        <v>228</v>
      </c>
      <c r="E16" s="184">
        <v>3</v>
      </c>
      <c r="F16" s="180">
        <v>3000</v>
      </c>
      <c r="G16" s="185">
        <f t="shared" si="2"/>
        <v>1000</v>
      </c>
      <c r="H16" s="595"/>
      <c r="I16" s="186">
        <f t="shared" si="3"/>
        <v>3</v>
      </c>
      <c r="J16" s="186">
        <f t="shared" si="3"/>
        <v>2706.1844155844115</v>
      </c>
      <c r="K16" s="187">
        <f t="shared" si="3"/>
        <v>902.06147186147052</v>
      </c>
      <c r="L16" s="596"/>
      <c r="M16" s="186">
        <f>RANK(K16, K$7:$K$41)</f>
        <v>12</v>
      </c>
      <c r="N16" s="592"/>
      <c r="O16" s="593"/>
      <c r="P16" s="188">
        <v>3</v>
      </c>
      <c r="Q16" s="188">
        <v>2705.4987012986976</v>
      </c>
      <c r="R16" s="185">
        <f t="shared" si="0"/>
        <v>901.83290043289924</v>
      </c>
      <c r="S16" s="182">
        <f t="shared" si="4"/>
        <v>12</v>
      </c>
      <c r="T16" s="594"/>
      <c r="U16" s="188">
        <v>3</v>
      </c>
      <c r="V16" s="188">
        <v>2704.8987012986977</v>
      </c>
      <c r="W16" s="185">
        <f t="shared" si="1"/>
        <v>901.63290043289919</v>
      </c>
      <c r="X16" s="182">
        <f t="shared" si="5"/>
        <v>13</v>
      </c>
      <c r="Y16" s="594"/>
      <c r="Z16" s="188">
        <v>3</v>
      </c>
      <c r="AA16" s="188">
        <v>2706.098701298698</v>
      </c>
      <c r="AB16" s="185">
        <f t="shared" si="6"/>
        <v>902.03290043289928</v>
      </c>
      <c r="AC16" s="182">
        <f t="shared" si="7"/>
        <v>12</v>
      </c>
      <c r="AD16" s="594"/>
      <c r="AE16" s="188">
        <v>3</v>
      </c>
      <c r="AF16" s="188">
        <v>2706.6987012986974</v>
      </c>
      <c r="AG16" s="185">
        <f t="shared" si="8"/>
        <v>902.2329004328991</v>
      </c>
      <c r="AH16" s="182">
        <f t="shared" si="9"/>
        <v>11</v>
      </c>
      <c r="AI16" s="594"/>
      <c r="AJ16" s="188">
        <v>3</v>
      </c>
      <c r="AK16" s="188">
        <v>2707.2987012986969</v>
      </c>
      <c r="AL16" s="185">
        <f t="shared" si="10"/>
        <v>902.43290043289892</v>
      </c>
      <c r="AM16" s="182">
        <f t="shared" si="11"/>
        <v>11</v>
      </c>
      <c r="AN16" s="594"/>
      <c r="AO16" s="188">
        <v>3</v>
      </c>
      <c r="AP16" s="188">
        <v>2706.9987012986967</v>
      </c>
      <c r="AQ16" s="185">
        <f t="shared" si="12"/>
        <v>902.3329004328989</v>
      </c>
      <c r="AR16" s="182">
        <f t="shared" si="13"/>
        <v>11</v>
      </c>
      <c r="AS16" s="594"/>
      <c r="AT16" s="188">
        <v>3</v>
      </c>
      <c r="AU16" s="188">
        <v>2705.7987012986973</v>
      </c>
      <c r="AV16" s="185">
        <f t="shared" si="14"/>
        <v>901.93290043289915</v>
      </c>
      <c r="AW16" s="182">
        <f t="shared" si="15"/>
        <v>12</v>
      </c>
      <c r="AX16" s="594"/>
    </row>
    <row r="17" spans="2:50" ht="14.25" customHeight="1">
      <c r="B17" s="590"/>
      <c r="C17" s="180">
        <v>11</v>
      </c>
      <c r="D17" s="183" t="s">
        <v>449</v>
      </c>
      <c r="E17" s="184">
        <v>12</v>
      </c>
      <c r="F17" s="180">
        <v>3600</v>
      </c>
      <c r="G17" s="185">
        <f t="shared" si="2"/>
        <v>300</v>
      </c>
      <c r="H17" s="595"/>
      <c r="I17" s="186">
        <f t="shared" si="3"/>
        <v>12</v>
      </c>
      <c r="J17" s="186">
        <f t="shared" si="3"/>
        <v>3124.1633170877212</v>
      </c>
      <c r="K17" s="187">
        <f t="shared" si="3"/>
        <v>260.34694309064344</v>
      </c>
      <c r="L17" s="596"/>
      <c r="M17" s="186">
        <f>RANK(K17, K$7:$K$41)</f>
        <v>32</v>
      </c>
      <c r="N17" s="592"/>
      <c r="O17" s="593"/>
      <c r="P17" s="188">
        <v>12</v>
      </c>
      <c r="Q17" s="188">
        <v>3123.1347456591502</v>
      </c>
      <c r="R17" s="185">
        <f t="shared" si="0"/>
        <v>260.2612288049292</v>
      </c>
      <c r="S17" s="182">
        <f t="shared" si="4"/>
        <v>32</v>
      </c>
      <c r="T17" s="594"/>
      <c r="U17" s="188">
        <v>12</v>
      </c>
      <c r="V17" s="188">
        <v>3122.0547456591503</v>
      </c>
      <c r="W17" s="185">
        <f t="shared" si="1"/>
        <v>260.17122880492917</v>
      </c>
      <c r="X17" s="182">
        <f t="shared" si="5"/>
        <v>32</v>
      </c>
      <c r="Y17" s="594"/>
      <c r="Z17" s="188">
        <v>12</v>
      </c>
      <c r="AA17" s="188">
        <v>3123.4947456591494</v>
      </c>
      <c r="AB17" s="185">
        <f t="shared" si="6"/>
        <v>260.29122880492912</v>
      </c>
      <c r="AC17" s="182">
        <f t="shared" si="7"/>
        <v>32</v>
      </c>
      <c r="AD17" s="594"/>
      <c r="AE17" s="188">
        <v>12</v>
      </c>
      <c r="AF17" s="188">
        <v>3123.8547456591496</v>
      </c>
      <c r="AG17" s="185">
        <f t="shared" si="8"/>
        <v>260.32122880492915</v>
      </c>
      <c r="AH17" s="182">
        <f t="shared" si="9"/>
        <v>32</v>
      </c>
      <c r="AI17" s="594"/>
      <c r="AJ17" s="188">
        <v>12</v>
      </c>
      <c r="AK17" s="188">
        <v>3124.934745659149</v>
      </c>
      <c r="AL17" s="185">
        <f t="shared" si="10"/>
        <v>260.41122880492907</v>
      </c>
      <c r="AM17" s="182">
        <f t="shared" si="11"/>
        <v>32</v>
      </c>
      <c r="AN17" s="594"/>
      <c r="AO17" s="188">
        <v>12</v>
      </c>
      <c r="AP17" s="188">
        <v>3125.6547456591493</v>
      </c>
      <c r="AQ17" s="185">
        <f t="shared" si="12"/>
        <v>260.47122880492913</v>
      </c>
      <c r="AR17" s="182">
        <f t="shared" si="13"/>
        <v>31</v>
      </c>
      <c r="AS17" s="594"/>
      <c r="AT17" s="188">
        <v>12</v>
      </c>
      <c r="AU17" s="188">
        <v>3126.0147456591499</v>
      </c>
      <c r="AV17" s="185">
        <f t="shared" si="14"/>
        <v>260.50122880492916</v>
      </c>
      <c r="AW17" s="182">
        <f t="shared" si="15"/>
        <v>31</v>
      </c>
      <c r="AX17" s="594"/>
    </row>
    <row r="18" spans="2:50" ht="14.25" customHeight="1">
      <c r="B18" s="590"/>
      <c r="C18" s="180">
        <v>12</v>
      </c>
      <c r="D18" s="183" t="s">
        <v>473</v>
      </c>
      <c r="E18" s="184">
        <v>3</v>
      </c>
      <c r="F18" s="180">
        <v>3300</v>
      </c>
      <c r="G18" s="185">
        <f t="shared" si="2"/>
        <v>1100</v>
      </c>
      <c r="H18" s="595"/>
      <c r="I18" s="186">
        <f t="shared" si="3"/>
        <v>3</v>
      </c>
      <c r="J18" s="186">
        <f t="shared" si="3"/>
        <v>2980.769806867715</v>
      </c>
      <c r="K18" s="187">
        <f t="shared" si="3"/>
        <v>993.58993562257172</v>
      </c>
      <c r="L18" s="596"/>
      <c r="M18" s="186">
        <f>RANK(K18, K$7:$K$41)</f>
        <v>9</v>
      </c>
      <c r="N18" s="592"/>
      <c r="O18" s="593"/>
      <c r="P18" s="188">
        <v>3</v>
      </c>
      <c r="Q18" s="188">
        <v>2980.7226640105723</v>
      </c>
      <c r="R18" s="185">
        <f t="shared" si="0"/>
        <v>993.57422133685748</v>
      </c>
      <c r="S18" s="182">
        <f t="shared" si="4"/>
        <v>9</v>
      </c>
      <c r="T18" s="594"/>
      <c r="U18" s="188">
        <v>3</v>
      </c>
      <c r="V18" s="188">
        <v>2979.7326640105721</v>
      </c>
      <c r="W18" s="185">
        <f t="shared" si="1"/>
        <v>993.24422133685732</v>
      </c>
      <c r="X18" s="182">
        <f t="shared" si="5"/>
        <v>9</v>
      </c>
      <c r="Y18" s="594"/>
      <c r="Z18" s="188">
        <v>3</v>
      </c>
      <c r="AA18" s="188">
        <v>2981.0526640105718</v>
      </c>
      <c r="AB18" s="185">
        <f t="shared" si="6"/>
        <v>993.68422133685726</v>
      </c>
      <c r="AC18" s="182">
        <f t="shared" si="7"/>
        <v>9</v>
      </c>
      <c r="AD18" s="594"/>
      <c r="AE18" s="188">
        <v>3</v>
      </c>
      <c r="AF18" s="188">
        <v>2980.7226640105719</v>
      </c>
      <c r="AG18" s="185">
        <f t="shared" si="8"/>
        <v>993.57422133685725</v>
      </c>
      <c r="AH18" s="182">
        <f t="shared" si="9"/>
        <v>9</v>
      </c>
      <c r="AI18" s="594"/>
      <c r="AJ18" s="188">
        <v>3</v>
      </c>
      <c r="AK18" s="188">
        <v>2981.0526640105713</v>
      </c>
      <c r="AL18" s="185">
        <f t="shared" si="10"/>
        <v>993.68422133685715</v>
      </c>
      <c r="AM18" s="182">
        <f t="shared" si="11"/>
        <v>9</v>
      </c>
      <c r="AN18" s="594"/>
      <c r="AO18" s="188">
        <v>3</v>
      </c>
      <c r="AP18" s="188">
        <v>2981.3826640105722</v>
      </c>
      <c r="AQ18" s="185">
        <f t="shared" si="12"/>
        <v>993.79422133685739</v>
      </c>
      <c r="AR18" s="182">
        <f t="shared" si="13"/>
        <v>9</v>
      </c>
      <c r="AS18" s="594"/>
      <c r="AT18" s="188">
        <v>3</v>
      </c>
      <c r="AU18" s="188">
        <v>2980.7226640105719</v>
      </c>
      <c r="AV18" s="185">
        <f t="shared" si="14"/>
        <v>993.57422133685725</v>
      </c>
      <c r="AW18" s="182">
        <f t="shared" si="15"/>
        <v>9</v>
      </c>
      <c r="AX18" s="594"/>
    </row>
    <row r="19" spans="2:50" ht="14.25" customHeight="1">
      <c r="B19" s="590"/>
      <c r="C19" s="180">
        <v>13</v>
      </c>
      <c r="D19" s="183" t="s">
        <v>612</v>
      </c>
      <c r="E19" s="184">
        <v>5</v>
      </c>
      <c r="F19" s="180">
        <v>3600</v>
      </c>
      <c r="G19" s="185">
        <f t="shared" si="2"/>
        <v>720</v>
      </c>
      <c r="H19" s="595"/>
      <c r="I19" s="186">
        <f t="shared" si="3"/>
        <v>5</v>
      </c>
      <c r="J19" s="186">
        <f t="shared" si="3"/>
        <v>3187.6903391034843</v>
      </c>
      <c r="K19" s="187">
        <f t="shared" si="3"/>
        <v>637.53806782069682</v>
      </c>
      <c r="L19" s="596"/>
      <c r="M19" s="186">
        <f>RANK(K19, K$7:$K$41)</f>
        <v>21</v>
      </c>
      <c r="N19" s="592"/>
      <c r="O19" s="593"/>
      <c r="P19" s="188">
        <v>5</v>
      </c>
      <c r="Q19" s="188">
        <v>3187.1760533891988</v>
      </c>
      <c r="R19" s="185">
        <f t="shared" si="0"/>
        <v>637.43521067783979</v>
      </c>
      <c r="S19" s="182">
        <f t="shared" si="4"/>
        <v>23</v>
      </c>
      <c r="T19" s="594"/>
      <c r="U19" s="188">
        <v>5</v>
      </c>
      <c r="V19" s="188">
        <v>3187.1760533891988</v>
      </c>
      <c r="W19" s="185">
        <f t="shared" si="1"/>
        <v>637.43521067783979</v>
      </c>
      <c r="X19" s="182">
        <f t="shared" si="5"/>
        <v>22</v>
      </c>
      <c r="Y19" s="594"/>
      <c r="Z19" s="188">
        <v>5</v>
      </c>
      <c r="AA19" s="188">
        <v>3187.8960533891986</v>
      </c>
      <c r="AB19" s="185">
        <f t="shared" si="6"/>
        <v>637.57921067783968</v>
      </c>
      <c r="AC19" s="182">
        <f t="shared" si="7"/>
        <v>21</v>
      </c>
      <c r="AD19" s="594"/>
      <c r="AE19" s="188">
        <v>5</v>
      </c>
      <c r="AF19" s="188">
        <v>3186.4560533891981</v>
      </c>
      <c r="AG19" s="185">
        <f t="shared" si="8"/>
        <v>637.29121067783967</v>
      </c>
      <c r="AH19" s="182">
        <f t="shared" si="9"/>
        <v>23</v>
      </c>
      <c r="AI19" s="594"/>
      <c r="AJ19" s="188">
        <v>5</v>
      </c>
      <c r="AK19" s="188">
        <v>3187.8960533891982</v>
      </c>
      <c r="AL19" s="185">
        <f t="shared" si="10"/>
        <v>637.57921067783968</v>
      </c>
      <c r="AM19" s="182">
        <f t="shared" si="11"/>
        <v>21</v>
      </c>
      <c r="AN19" s="594"/>
      <c r="AO19" s="188">
        <v>5</v>
      </c>
      <c r="AP19" s="188">
        <v>3189.3360533891978</v>
      </c>
      <c r="AQ19" s="185">
        <f t="shared" si="12"/>
        <v>637.86721067783958</v>
      </c>
      <c r="AR19" s="182">
        <f t="shared" si="13"/>
        <v>20</v>
      </c>
      <c r="AS19" s="594"/>
      <c r="AT19" s="188">
        <v>5</v>
      </c>
      <c r="AU19" s="188">
        <v>3187.8960533891977</v>
      </c>
      <c r="AV19" s="185">
        <f t="shared" si="14"/>
        <v>637.57921067783957</v>
      </c>
      <c r="AW19" s="182">
        <f t="shared" si="15"/>
        <v>21</v>
      </c>
      <c r="AX19" s="594"/>
    </row>
    <row r="20" spans="2:50" ht="14.25" customHeight="1">
      <c r="B20" s="590"/>
      <c r="C20" s="180">
        <v>14</v>
      </c>
      <c r="D20" s="183" t="s">
        <v>640</v>
      </c>
      <c r="E20" s="184">
        <v>3</v>
      </c>
      <c r="F20" s="180">
        <v>3600</v>
      </c>
      <c r="G20" s="185">
        <f t="shared" si="2"/>
        <v>1200</v>
      </c>
      <c r="H20" s="595"/>
      <c r="I20" s="186">
        <f t="shared" si="3"/>
        <v>3</v>
      </c>
      <c r="J20" s="186">
        <f t="shared" si="3"/>
        <v>3185.0187331314569</v>
      </c>
      <c r="K20" s="187">
        <f t="shared" si="3"/>
        <v>1061.6729110438189</v>
      </c>
      <c r="L20" s="596"/>
      <c r="M20" s="186">
        <f>RANK(K20, K$7:$K$41)</f>
        <v>3</v>
      </c>
      <c r="N20" s="592"/>
      <c r="O20" s="593"/>
      <c r="P20" s="188">
        <v>3</v>
      </c>
      <c r="Q20" s="188">
        <v>3187.2301617028852</v>
      </c>
      <c r="R20" s="185">
        <f t="shared" si="0"/>
        <v>1062.4100539009617</v>
      </c>
      <c r="S20" s="182">
        <f t="shared" si="4"/>
        <v>2</v>
      </c>
      <c r="T20" s="594"/>
      <c r="U20" s="188">
        <v>3</v>
      </c>
      <c r="V20" s="188">
        <v>3188.3101617028847</v>
      </c>
      <c r="W20" s="185">
        <f t="shared" si="1"/>
        <v>1062.7700539009616</v>
      </c>
      <c r="X20" s="182">
        <f t="shared" si="5"/>
        <v>2</v>
      </c>
      <c r="Y20" s="594"/>
      <c r="Z20" s="188">
        <v>3</v>
      </c>
      <c r="AA20" s="188">
        <v>3186.8701617028851</v>
      </c>
      <c r="AB20" s="185">
        <f t="shared" si="6"/>
        <v>1062.2900539009618</v>
      </c>
      <c r="AC20" s="182">
        <f t="shared" si="7"/>
        <v>3</v>
      </c>
      <c r="AD20" s="594"/>
      <c r="AE20" s="188">
        <v>3</v>
      </c>
      <c r="AF20" s="188">
        <v>3185.0701617028853</v>
      </c>
      <c r="AG20" s="185">
        <f t="shared" si="8"/>
        <v>1061.6900539009619</v>
      </c>
      <c r="AH20" s="182">
        <f t="shared" si="9"/>
        <v>3</v>
      </c>
      <c r="AI20" s="594"/>
      <c r="AJ20" s="188">
        <v>3</v>
      </c>
      <c r="AK20" s="188">
        <v>3183.9901617028854</v>
      </c>
      <c r="AL20" s="185">
        <f t="shared" si="10"/>
        <v>1061.3300539009617</v>
      </c>
      <c r="AM20" s="182">
        <f t="shared" si="11"/>
        <v>3</v>
      </c>
      <c r="AN20" s="594"/>
      <c r="AO20" s="188">
        <v>3</v>
      </c>
      <c r="AP20" s="188">
        <v>3182.5501617028854</v>
      </c>
      <c r="AQ20" s="185">
        <f t="shared" si="12"/>
        <v>1060.8500539009617</v>
      </c>
      <c r="AR20" s="182">
        <f t="shared" si="13"/>
        <v>4</v>
      </c>
      <c r="AS20" s="594"/>
      <c r="AT20" s="188">
        <v>3</v>
      </c>
      <c r="AU20" s="188">
        <v>3181.1101617028853</v>
      </c>
      <c r="AV20" s="185">
        <f t="shared" si="14"/>
        <v>1060.3700539009617</v>
      </c>
      <c r="AW20" s="182">
        <f t="shared" si="15"/>
        <v>5</v>
      </c>
      <c r="AX20" s="594"/>
    </row>
    <row r="21" spans="2:50" ht="14.25" customHeight="1">
      <c r="B21" s="590"/>
      <c r="C21" s="180">
        <v>15</v>
      </c>
      <c r="D21" s="183" t="s">
        <v>613</v>
      </c>
      <c r="E21" s="184">
        <v>5</v>
      </c>
      <c r="F21" s="180">
        <v>3600</v>
      </c>
      <c r="G21" s="185">
        <f t="shared" si="2"/>
        <v>720</v>
      </c>
      <c r="H21" s="595"/>
      <c r="I21" s="186">
        <f t="shared" si="3"/>
        <v>5</v>
      </c>
      <c r="J21" s="186">
        <f t="shared" si="3"/>
        <v>3182.1718280980981</v>
      </c>
      <c r="K21" s="187">
        <f t="shared" si="3"/>
        <v>636.43436561961971</v>
      </c>
      <c r="L21" s="596"/>
      <c r="M21" s="186">
        <f>RANK(K21, K$7:$K$41)</f>
        <v>26</v>
      </c>
      <c r="N21" s="592"/>
      <c r="O21" s="593"/>
      <c r="P21" s="188">
        <v>5</v>
      </c>
      <c r="Q21" s="188">
        <v>3181.2975423838125</v>
      </c>
      <c r="R21" s="185">
        <f t="shared" si="0"/>
        <v>636.25950847676245</v>
      </c>
      <c r="S21" s="182">
        <f t="shared" si="4"/>
        <v>26</v>
      </c>
      <c r="T21" s="594"/>
      <c r="U21" s="188">
        <v>5</v>
      </c>
      <c r="V21" s="188">
        <v>3181.6575423838121</v>
      </c>
      <c r="W21" s="185">
        <f t="shared" si="1"/>
        <v>636.33150847676245</v>
      </c>
      <c r="X21" s="182">
        <f t="shared" si="5"/>
        <v>26</v>
      </c>
      <c r="Y21" s="594"/>
      <c r="Z21" s="188">
        <v>5</v>
      </c>
      <c r="AA21" s="188">
        <v>3181.6575423838131</v>
      </c>
      <c r="AB21" s="185">
        <f t="shared" si="6"/>
        <v>636.33150847676256</v>
      </c>
      <c r="AC21" s="182">
        <f t="shared" si="7"/>
        <v>26</v>
      </c>
      <c r="AD21" s="594"/>
      <c r="AE21" s="188">
        <v>5</v>
      </c>
      <c r="AF21" s="188">
        <v>3183.4575423838128</v>
      </c>
      <c r="AG21" s="185">
        <f t="shared" si="8"/>
        <v>636.69150847676258</v>
      </c>
      <c r="AH21" s="182">
        <f t="shared" si="9"/>
        <v>25</v>
      </c>
      <c r="AI21" s="594"/>
      <c r="AJ21" s="188">
        <v>5</v>
      </c>
      <c r="AK21" s="188">
        <v>3182.3775423838129</v>
      </c>
      <c r="AL21" s="185">
        <f t="shared" si="10"/>
        <v>636.47550847676257</v>
      </c>
      <c r="AM21" s="182">
        <f t="shared" si="11"/>
        <v>26</v>
      </c>
      <c r="AN21" s="594"/>
      <c r="AO21" s="188">
        <v>5</v>
      </c>
      <c r="AP21" s="188">
        <v>3182.0175423838136</v>
      </c>
      <c r="AQ21" s="185">
        <f t="shared" si="12"/>
        <v>636.40350847676268</v>
      </c>
      <c r="AR21" s="182">
        <f t="shared" si="13"/>
        <v>26</v>
      </c>
      <c r="AS21" s="594"/>
      <c r="AT21" s="188">
        <v>5</v>
      </c>
      <c r="AU21" s="188">
        <v>3182.737542383813</v>
      </c>
      <c r="AV21" s="185">
        <f t="shared" si="14"/>
        <v>636.54750847676257</v>
      </c>
      <c r="AW21" s="182">
        <f t="shared" si="15"/>
        <v>26</v>
      </c>
      <c r="AX21" s="594"/>
    </row>
    <row r="22" spans="2:50" ht="14.25" customHeight="1">
      <c r="B22" s="590"/>
      <c r="C22" s="180">
        <v>16</v>
      </c>
      <c r="D22" s="183" t="s">
        <v>406</v>
      </c>
      <c r="E22" s="184">
        <v>5</v>
      </c>
      <c r="F22" s="180">
        <v>3600</v>
      </c>
      <c r="G22" s="185">
        <f t="shared" si="2"/>
        <v>720</v>
      </c>
      <c r="H22" s="595"/>
      <c r="I22" s="186">
        <f t="shared" si="3"/>
        <v>5</v>
      </c>
      <c r="J22" s="186">
        <f t="shared" si="3"/>
        <v>3192.7364688000262</v>
      </c>
      <c r="K22" s="187">
        <f t="shared" si="3"/>
        <v>638.54729376000523</v>
      </c>
      <c r="L22" s="596"/>
      <c r="M22" s="186">
        <f>RANK(K22, K$7:$K$41)</f>
        <v>19</v>
      </c>
      <c r="N22" s="592"/>
      <c r="O22" s="593"/>
      <c r="P22" s="188">
        <v>5</v>
      </c>
      <c r="Q22" s="188">
        <v>3192.0678973714544</v>
      </c>
      <c r="R22" s="185">
        <f t="shared" si="0"/>
        <v>638.41357947429083</v>
      </c>
      <c r="S22" s="182">
        <f t="shared" si="4"/>
        <v>19</v>
      </c>
      <c r="T22" s="594"/>
      <c r="U22" s="188">
        <v>5</v>
      </c>
      <c r="V22" s="188">
        <v>3193.8678973714541</v>
      </c>
      <c r="W22" s="185">
        <f t="shared" si="1"/>
        <v>638.77357947429084</v>
      </c>
      <c r="X22" s="182">
        <f t="shared" si="5"/>
        <v>19</v>
      </c>
      <c r="Y22" s="594"/>
      <c r="Z22" s="188">
        <v>5</v>
      </c>
      <c r="AA22" s="188">
        <v>3193.1478973714543</v>
      </c>
      <c r="AB22" s="185">
        <f t="shared" si="6"/>
        <v>638.62957947429084</v>
      </c>
      <c r="AC22" s="182">
        <f t="shared" si="7"/>
        <v>19</v>
      </c>
      <c r="AD22" s="594"/>
      <c r="AE22" s="188">
        <v>5</v>
      </c>
      <c r="AF22" s="188">
        <v>3192.7878973714542</v>
      </c>
      <c r="AG22" s="185">
        <f t="shared" si="8"/>
        <v>638.55757947429083</v>
      </c>
      <c r="AH22" s="182">
        <f t="shared" si="9"/>
        <v>19</v>
      </c>
      <c r="AI22" s="594"/>
      <c r="AJ22" s="188">
        <v>5</v>
      </c>
      <c r="AK22" s="188">
        <v>3192.4278973714545</v>
      </c>
      <c r="AL22" s="185">
        <f t="shared" si="10"/>
        <v>638.48557947429094</v>
      </c>
      <c r="AM22" s="182">
        <f t="shared" si="11"/>
        <v>19</v>
      </c>
      <c r="AN22" s="594"/>
      <c r="AO22" s="188">
        <v>5</v>
      </c>
      <c r="AP22" s="188">
        <v>3192.7878973714551</v>
      </c>
      <c r="AQ22" s="185">
        <f t="shared" si="12"/>
        <v>638.55757947429106</v>
      </c>
      <c r="AR22" s="182">
        <f t="shared" si="13"/>
        <v>19</v>
      </c>
      <c r="AS22" s="594"/>
      <c r="AT22" s="188">
        <v>5</v>
      </c>
      <c r="AU22" s="188">
        <v>3192.0678973714557</v>
      </c>
      <c r="AV22" s="185">
        <f t="shared" si="14"/>
        <v>638.41357947429117</v>
      </c>
      <c r="AW22" s="182">
        <f t="shared" si="15"/>
        <v>19</v>
      </c>
      <c r="AX22" s="594"/>
    </row>
    <row r="23" spans="2:50" ht="14.25" customHeight="1">
      <c r="B23" s="590"/>
      <c r="C23" s="180">
        <v>17</v>
      </c>
      <c r="D23" s="183" t="s">
        <v>405</v>
      </c>
      <c r="E23" s="184">
        <v>3</v>
      </c>
      <c r="F23" s="180">
        <v>3600</v>
      </c>
      <c r="G23" s="185">
        <f t="shared" si="2"/>
        <v>1200</v>
      </c>
      <c r="H23" s="595"/>
      <c r="I23" s="186">
        <f t="shared" si="3"/>
        <v>3</v>
      </c>
      <c r="J23" s="186">
        <f t="shared" si="3"/>
        <v>3185.6387703594528</v>
      </c>
      <c r="K23" s="187">
        <f t="shared" si="3"/>
        <v>1061.8795901198175</v>
      </c>
      <c r="L23" s="596"/>
      <c r="M23" s="186">
        <f>RANK(K23, K$7:$K$41)</f>
        <v>2</v>
      </c>
      <c r="N23" s="592"/>
      <c r="O23" s="593"/>
      <c r="P23" s="188">
        <v>3</v>
      </c>
      <c r="Q23" s="188">
        <v>3184.7644846451667</v>
      </c>
      <c r="R23" s="185">
        <f t="shared" si="0"/>
        <v>1061.5881615483888</v>
      </c>
      <c r="S23" s="182">
        <f t="shared" si="4"/>
        <v>3</v>
      </c>
      <c r="T23" s="594"/>
      <c r="U23" s="188">
        <v>3</v>
      </c>
      <c r="V23" s="188">
        <v>3186.2044846451663</v>
      </c>
      <c r="W23" s="185">
        <f t="shared" si="1"/>
        <v>1062.0681615483888</v>
      </c>
      <c r="X23" s="182">
        <f t="shared" si="5"/>
        <v>3</v>
      </c>
      <c r="Y23" s="594"/>
      <c r="Z23" s="188">
        <v>3</v>
      </c>
      <c r="AA23" s="188">
        <v>3188.0044846451665</v>
      </c>
      <c r="AB23" s="185">
        <f t="shared" si="6"/>
        <v>1062.6681615483888</v>
      </c>
      <c r="AC23" s="182">
        <f t="shared" si="7"/>
        <v>2</v>
      </c>
      <c r="AD23" s="594"/>
      <c r="AE23" s="188">
        <v>3</v>
      </c>
      <c r="AF23" s="188">
        <v>3186.9244846451666</v>
      </c>
      <c r="AG23" s="185">
        <f t="shared" si="8"/>
        <v>1062.3081615483889</v>
      </c>
      <c r="AH23" s="182">
        <f t="shared" si="9"/>
        <v>2</v>
      </c>
      <c r="AI23" s="594"/>
      <c r="AJ23" s="188">
        <v>3</v>
      </c>
      <c r="AK23" s="188">
        <v>3185.4844846451679</v>
      </c>
      <c r="AL23" s="185">
        <f t="shared" si="10"/>
        <v>1061.8281615483893</v>
      </c>
      <c r="AM23" s="182">
        <f t="shared" si="11"/>
        <v>2</v>
      </c>
      <c r="AN23" s="594"/>
      <c r="AO23" s="188">
        <v>3</v>
      </c>
      <c r="AP23" s="188">
        <v>3184.0444846451674</v>
      </c>
      <c r="AQ23" s="185">
        <f t="shared" si="12"/>
        <v>1061.348161548389</v>
      </c>
      <c r="AR23" s="182">
        <f t="shared" si="13"/>
        <v>3</v>
      </c>
      <c r="AS23" s="594"/>
      <c r="AT23" s="188">
        <v>3</v>
      </c>
      <c r="AU23" s="188">
        <v>3184.0444846451674</v>
      </c>
      <c r="AV23" s="185">
        <f t="shared" si="14"/>
        <v>1061.348161548389</v>
      </c>
      <c r="AW23" s="182">
        <f t="shared" si="15"/>
        <v>3</v>
      </c>
      <c r="AX23" s="594"/>
    </row>
    <row r="24" spans="2:50" ht="14.25" customHeight="1">
      <c r="B24" s="590"/>
      <c r="C24" s="180">
        <v>18</v>
      </c>
      <c r="D24" s="183" t="s">
        <v>407</v>
      </c>
      <c r="E24" s="184">
        <v>4</v>
      </c>
      <c r="F24" s="180">
        <v>3600</v>
      </c>
      <c r="G24" s="185">
        <f t="shared" si="2"/>
        <v>900</v>
      </c>
      <c r="H24" s="595"/>
      <c r="I24" s="186">
        <f t="shared" si="3"/>
        <v>4</v>
      </c>
      <c r="J24" s="186">
        <f t="shared" si="3"/>
        <v>3187.2850657573281</v>
      </c>
      <c r="K24" s="187">
        <f t="shared" si="3"/>
        <v>796.82126643933202</v>
      </c>
      <c r="L24" s="596"/>
      <c r="M24" s="186">
        <f>RANK(K24, K$7:$K$41)</f>
        <v>15</v>
      </c>
      <c r="N24" s="592"/>
      <c r="O24" s="593"/>
      <c r="P24" s="188">
        <v>4</v>
      </c>
      <c r="Q24" s="188">
        <v>3189.4964943287569</v>
      </c>
      <c r="R24" s="185">
        <f t="shared" si="0"/>
        <v>797.37412358218921</v>
      </c>
      <c r="S24" s="182">
        <f t="shared" si="4"/>
        <v>15</v>
      </c>
      <c r="T24" s="594"/>
      <c r="U24" s="188">
        <v>4</v>
      </c>
      <c r="V24" s="188">
        <v>3189.1364943287563</v>
      </c>
      <c r="W24" s="185">
        <f t="shared" si="1"/>
        <v>797.28412358218907</v>
      </c>
      <c r="X24" s="182">
        <f t="shared" si="5"/>
        <v>14</v>
      </c>
      <c r="Y24" s="594"/>
      <c r="Z24" s="188">
        <v>4</v>
      </c>
      <c r="AA24" s="188">
        <v>3187.6964943287567</v>
      </c>
      <c r="AB24" s="185">
        <f t="shared" si="6"/>
        <v>796.92412358218917</v>
      </c>
      <c r="AC24" s="182">
        <f t="shared" si="7"/>
        <v>15</v>
      </c>
      <c r="AD24" s="594"/>
      <c r="AE24" s="188">
        <v>4</v>
      </c>
      <c r="AF24" s="188">
        <v>3186.2564943287571</v>
      </c>
      <c r="AG24" s="185">
        <f t="shared" si="8"/>
        <v>796.56412358218927</v>
      </c>
      <c r="AH24" s="182">
        <f t="shared" si="9"/>
        <v>15</v>
      </c>
      <c r="AI24" s="594"/>
      <c r="AJ24" s="188">
        <v>4</v>
      </c>
      <c r="AK24" s="188">
        <v>3185.8964943287574</v>
      </c>
      <c r="AL24" s="185">
        <f t="shared" si="10"/>
        <v>796.47412358218935</v>
      </c>
      <c r="AM24" s="182">
        <f t="shared" si="11"/>
        <v>16</v>
      </c>
      <c r="AN24" s="594"/>
      <c r="AO24" s="188">
        <v>4</v>
      </c>
      <c r="AP24" s="188">
        <v>3185.5364943287577</v>
      </c>
      <c r="AQ24" s="185">
        <f t="shared" si="12"/>
        <v>796.38412358218943</v>
      </c>
      <c r="AR24" s="182">
        <f t="shared" si="13"/>
        <v>16</v>
      </c>
      <c r="AS24" s="594"/>
      <c r="AT24" s="188">
        <v>4</v>
      </c>
      <c r="AU24" s="188">
        <v>3186.9764943287573</v>
      </c>
      <c r="AV24" s="185">
        <f t="shared" si="14"/>
        <v>796.74412358218933</v>
      </c>
      <c r="AW24" s="182">
        <f t="shared" si="15"/>
        <v>14</v>
      </c>
      <c r="AX24" s="594"/>
    </row>
    <row r="25" spans="2:50" ht="14.25" customHeight="1">
      <c r="B25" s="590"/>
      <c r="C25" s="180">
        <v>19</v>
      </c>
      <c r="D25" s="183" t="s">
        <v>346</v>
      </c>
      <c r="E25" s="184">
        <v>5</v>
      </c>
      <c r="F25" s="180">
        <v>3300</v>
      </c>
      <c r="G25" s="185">
        <f t="shared" si="2"/>
        <v>660</v>
      </c>
      <c r="H25" s="595"/>
      <c r="I25" s="186">
        <f t="shared" si="3"/>
        <v>5</v>
      </c>
      <c r="J25" s="186">
        <f t="shared" si="3"/>
        <v>2950.4936493289656</v>
      </c>
      <c r="K25" s="187">
        <f t="shared" si="3"/>
        <v>590.09872986579319</v>
      </c>
      <c r="L25" s="596"/>
      <c r="M25" s="186">
        <f>RANK(K25, K$7:$K$41)</f>
        <v>28</v>
      </c>
      <c r="N25" s="592"/>
      <c r="O25" s="593"/>
      <c r="P25" s="188">
        <v>5</v>
      </c>
      <c r="Q25" s="188">
        <v>2949.8824517308876</v>
      </c>
      <c r="R25" s="185">
        <f t="shared" si="0"/>
        <v>589.97649034617757</v>
      </c>
      <c r="S25" s="182">
        <f t="shared" si="4"/>
        <v>28</v>
      </c>
      <c r="T25" s="594"/>
      <c r="U25" s="188">
        <v>5</v>
      </c>
      <c r="V25" s="188">
        <v>2950.8705155953121</v>
      </c>
      <c r="W25" s="185">
        <f t="shared" si="1"/>
        <v>590.17410311906247</v>
      </c>
      <c r="X25" s="182">
        <f t="shared" si="5"/>
        <v>28</v>
      </c>
      <c r="Y25" s="594"/>
      <c r="Z25" s="188">
        <v>5</v>
      </c>
      <c r="AA25" s="188">
        <v>2949.8805155953132</v>
      </c>
      <c r="AB25" s="185">
        <f t="shared" si="6"/>
        <v>589.9761031190626</v>
      </c>
      <c r="AC25" s="182">
        <f t="shared" si="7"/>
        <v>28</v>
      </c>
      <c r="AD25" s="594"/>
      <c r="AE25" s="188">
        <v>5</v>
      </c>
      <c r="AF25" s="188">
        <v>2949.8805155953128</v>
      </c>
      <c r="AG25" s="185">
        <f t="shared" si="8"/>
        <v>589.9761031190626</v>
      </c>
      <c r="AH25" s="182">
        <f t="shared" si="9"/>
        <v>28</v>
      </c>
      <c r="AI25" s="594"/>
      <c r="AJ25" s="188">
        <v>5</v>
      </c>
      <c r="AK25" s="188">
        <v>2951.2005155953129</v>
      </c>
      <c r="AL25" s="185">
        <f t="shared" si="10"/>
        <v>590.24010311906261</v>
      </c>
      <c r="AM25" s="182">
        <f t="shared" si="11"/>
        <v>28</v>
      </c>
      <c r="AN25" s="594"/>
      <c r="AO25" s="188">
        <v>5</v>
      </c>
      <c r="AP25" s="188">
        <v>2951.2005155953129</v>
      </c>
      <c r="AQ25" s="185">
        <f t="shared" si="12"/>
        <v>590.24010311906261</v>
      </c>
      <c r="AR25" s="182">
        <f t="shared" si="13"/>
        <v>28</v>
      </c>
      <c r="AS25" s="594"/>
      <c r="AT25" s="188">
        <v>5</v>
      </c>
      <c r="AU25" s="188">
        <v>2950.5405155953131</v>
      </c>
      <c r="AV25" s="185">
        <f t="shared" si="14"/>
        <v>590.10810311906266</v>
      </c>
      <c r="AW25" s="182">
        <f t="shared" si="15"/>
        <v>28</v>
      </c>
      <c r="AX25" s="594"/>
    </row>
    <row r="26" spans="2:50" ht="14.25" customHeight="1">
      <c r="B26" s="590"/>
      <c r="C26" s="180">
        <v>20</v>
      </c>
      <c r="D26" s="183" t="s">
        <v>401</v>
      </c>
      <c r="E26" s="184">
        <v>3</v>
      </c>
      <c r="F26" s="180">
        <v>3600</v>
      </c>
      <c r="G26" s="185">
        <f t="shared" si="2"/>
        <v>1200</v>
      </c>
      <c r="H26" s="595"/>
      <c r="I26" s="186">
        <f t="shared" si="3"/>
        <v>3</v>
      </c>
      <c r="J26" s="186">
        <f t="shared" si="3"/>
        <v>3177.3381430926124</v>
      </c>
      <c r="K26" s="187">
        <f t="shared" si="3"/>
        <v>1059.1127143642041</v>
      </c>
      <c r="L26" s="596"/>
      <c r="M26" s="186">
        <f>RANK(K26, K$7:$K$41)</f>
        <v>8</v>
      </c>
      <c r="N26" s="592"/>
      <c r="O26" s="593"/>
      <c r="P26" s="188">
        <v>3</v>
      </c>
      <c r="Q26" s="188">
        <v>3177.890718512258</v>
      </c>
      <c r="R26" s="185">
        <f t="shared" si="0"/>
        <v>1059.2969061707527</v>
      </c>
      <c r="S26" s="182">
        <f t="shared" si="4"/>
        <v>8</v>
      </c>
      <c r="T26" s="594"/>
      <c r="U26" s="188">
        <v>3</v>
      </c>
      <c r="V26" s="188">
        <v>3179.3307185122585</v>
      </c>
      <c r="W26" s="185">
        <f t="shared" si="1"/>
        <v>1059.7769061707529</v>
      </c>
      <c r="X26" s="182">
        <f t="shared" si="5"/>
        <v>7</v>
      </c>
      <c r="Y26" s="594"/>
      <c r="Z26" s="188">
        <v>3</v>
      </c>
      <c r="AA26" s="188">
        <v>3179.7826905747329</v>
      </c>
      <c r="AB26" s="185">
        <f t="shared" si="6"/>
        <v>1059.927563524911</v>
      </c>
      <c r="AC26" s="182">
        <f t="shared" si="7"/>
        <v>7</v>
      </c>
      <c r="AD26" s="594"/>
      <c r="AE26" s="188">
        <v>3</v>
      </c>
      <c r="AF26" s="188">
        <v>3177.8907185122589</v>
      </c>
      <c r="AG26" s="185">
        <f t="shared" si="8"/>
        <v>1059.2969061707529</v>
      </c>
      <c r="AH26" s="182">
        <f t="shared" si="9"/>
        <v>8</v>
      </c>
      <c r="AI26" s="594"/>
      <c r="AJ26" s="188">
        <v>3</v>
      </c>
      <c r="AK26" s="188">
        <v>3177.1707185122586</v>
      </c>
      <c r="AL26" s="185">
        <f t="shared" si="10"/>
        <v>1059.0569061707529</v>
      </c>
      <c r="AM26" s="182">
        <f t="shared" si="11"/>
        <v>8</v>
      </c>
      <c r="AN26" s="594"/>
      <c r="AO26" s="188">
        <v>3</v>
      </c>
      <c r="AP26" s="188">
        <v>3175.3707185122585</v>
      </c>
      <c r="AQ26" s="185">
        <f t="shared" si="12"/>
        <v>1058.4569061707527</v>
      </c>
      <c r="AR26" s="182">
        <f t="shared" si="13"/>
        <v>8</v>
      </c>
      <c r="AS26" s="594"/>
      <c r="AT26" s="188">
        <v>3</v>
      </c>
      <c r="AU26" s="188">
        <v>3173.9307185122584</v>
      </c>
      <c r="AV26" s="185">
        <f t="shared" si="14"/>
        <v>1057.9769061707527</v>
      </c>
      <c r="AW26" s="182">
        <f t="shared" si="15"/>
        <v>8</v>
      </c>
      <c r="AX26" s="594"/>
    </row>
    <row r="27" spans="2:50" ht="14.25" customHeight="1">
      <c r="B27" s="590"/>
      <c r="C27" s="180">
        <v>21</v>
      </c>
      <c r="D27" s="183" t="s">
        <v>577</v>
      </c>
      <c r="E27" s="184">
        <v>4</v>
      </c>
      <c r="F27" s="180">
        <v>3600</v>
      </c>
      <c r="G27" s="185">
        <f t="shared" si="2"/>
        <v>900</v>
      </c>
      <c r="H27" s="595"/>
      <c r="I27" s="186">
        <f t="shared" si="3"/>
        <v>4</v>
      </c>
      <c r="J27" s="186">
        <f t="shared" si="3"/>
        <v>3188.4685714285711</v>
      </c>
      <c r="K27" s="187">
        <f t="shared" si="3"/>
        <v>797.11714285714277</v>
      </c>
      <c r="L27" s="596"/>
      <c r="M27" s="186">
        <f>RANK(K27, K$7:$K$41)</f>
        <v>14</v>
      </c>
      <c r="N27" s="592"/>
      <c r="O27" s="593"/>
      <c r="P27" s="188">
        <v>4</v>
      </c>
      <c r="Q27" s="188">
        <v>3190.3199999999993</v>
      </c>
      <c r="R27" s="185">
        <f t="shared" si="0"/>
        <v>797.57999999999981</v>
      </c>
      <c r="S27" s="182">
        <f t="shared" si="4"/>
        <v>14</v>
      </c>
      <c r="T27" s="594"/>
      <c r="U27" s="188">
        <v>4</v>
      </c>
      <c r="V27" s="188">
        <v>3188.5199999999995</v>
      </c>
      <c r="W27" s="185">
        <f t="shared" si="1"/>
        <v>797.12999999999988</v>
      </c>
      <c r="X27" s="182">
        <f t="shared" si="5"/>
        <v>15</v>
      </c>
      <c r="Y27" s="594"/>
      <c r="Z27" s="188">
        <v>4</v>
      </c>
      <c r="AA27" s="188">
        <v>3188.8799999999992</v>
      </c>
      <c r="AB27" s="185">
        <f t="shared" si="6"/>
        <v>797.2199999999998</v>
      </c>
      <c r="AC27" s="182">
        <f t="shared" si="7"/>
        <v>14</v>
      </c>
      <c r="AD27" s="594"/>
      <c r="AE27" s="188">
        <v>4</v>
      </c>
      <c r="AF27" s="188">
        <v>3187.7999999999993</v>
      </c>
      <c r="AG27" s="185">
        <f t="shared" si="8"/>
        <v>796.94999999999982</v>
      </c>
      <c r="AH27" s="182">
        <f t="shared" si="9"/>
        <v>14</v>
      </c>
      <c r="AI27" s="594"/>
      <c r="AJ27" s="188">
        <v>4</v>
      </c>
      <c r="AK27" s="188">
        <v>3189.24</v>
      </c>
      <c r="AL27" s="185">
        <f t="shared" si="10"/>
        <v>797.31</v>
      </c>
      <c r="AM27" s="182">
        <f t="shared" si="11"/>
        <v>14</v>
      </c>
      <c r="AN27" s="594"/>
      <c r="AO27" s="188">
        <v>4</v>
      </c>
      <c r="AP27" s="188">
        <v>3187.7999999999993</v>
      </c>
      <c r="AQ27" s="185">
        <f t="shared" si="12"/>
        <v>796.94999999999982</v>
      </c>
      <c r="AR27" s="182">
        <f t="shared" si="13"/>
        <v>14</v>
      </c>
      <c r="AS27" s="594"/>
      <c r="AT27" s="188">
        <v>4</v>
      </c>
      <c r="AU27" s="188">
        <v>3186.7199999999993</v>
      </c>
      <c r="AV27" s="185">
        <f t="shared" si="14"/>
        <v>796.67999999999984</v>
      </c>
      <c r="AW27" s="182">
        <f t="shared" si="15"/>
        <v>15</v>
      </c>
      <c r="AX27" s="594"/>
    </row>
    <row r="28" spans="2:50" ht="14.25" customHeight="1">
      <c r="B28" s="590"/>
      <c r="C28" s="180">
        <v>22</v>
      </c>
      <c r="D28" s="183" t="s">
        <v>404</v>
      </c>
      <c r="E28" s="184">
        <v>3</v>
      </c>
      <c r="F28" s="180">
        <v>3600</v>
      </c>
      <c r="G28" s="185">
        <f>F28/E28</f>
        <v>1200</v>
      </c>
      <c r="H28" s="595"/>
      <c r="I28" s="186">
        <f t="shared" si="3"/>
        <v>3</v>
      </c>
      <c r="J28" s="186">
        <f t="shared" si="3"/>
        <v>3178.1460304205311</v>
      </c>
      <c r="K28" s="187">
        <f t="shared" si="3"/>
        <v>1059.3820101401768</v>
      </c>
      <c r="L28" s="596"/>
      <c r="M28" s="186">
        <f>RANK(K28, K$7:$K$41)</f>
        <v>7</v>
      </c>
      <c r="N28" s="592"/>
      <c r="O28" s="593"/>
      <c r="P28" s="188">
        <v>3</v>
      </c>
      <c r="Q28" s="188">
        <v>3180.2031732776732</v>
      </c>
      <c r="R28" s="185">
        <f t="shared" si="0"/>
        <v>1060.0677244258911</v>
      </c>
      <c r="S28" s="182">
        <f t="shared" si="4"/>
        <v>7</v>
      </c>
      <c r="T28" s="594"/>
      <c r="U28" s="188">
        <v>3</v>
      </c>
      <c r="V28" s="188">
        <v>3178.4031732776734</v>
      </c>
      <c r="W28" s="185">
        <f t="shared" si="1"/>
        <v>1059.4677244258912</v>
      </c>
      <c r="X28" s="182">
        <f t="shared" si="5"/>
        <v>8</v>
      </c>
      <c r="Y28" s="594"/>
      <c r="Z28" s="188">
        <v>3</v>
      </c>
      <c r="AA28" s="188">
        <v>3178.0431732776733</v>
      </c>
      <c r="AB28" s="185">
        <f t="shared" si="6"/>
        <v>1059.3477244258911</v>
      </c>
      <c r="AC28" s="182">
        <f t="shared" si="7"/>
        <v>8</v>
      </c>
      <c r="AD28" s="594"/>
      <c r="AE28" s="188">
        <v>3</v>
      </c>
      <c r="AF28" s="188">
        <v>3178.4031732776739</v>
      </c>
      <c r="AG28" s="185">
        <f t="shared" si="8"/>
        <v>1059.4677244258912</v>
      </c>
      <c r="AH28" s="182">
        <f t="shared" si="9"/>
        <v>7</v>
      </c>
      <c r="AI28" s="594"/>
      <c r="AJ28" s="188">
        <v>3</v>
      </c>
      <c r="AK28" s="188">
        <v>3178.7631732776731</v>
      </c>
      <c r="AL28" s="185">
        <f t="shared" si="10"/>
        <v>1059.5877244258911</v>
      </c>
      <c r="AM28" s="182">
        <f t="shared" si="11"/>
        <v>7</v>
      </c>
      <c r="AN28" s="594"/>
      <c r="AO28" s="188">
        <v>3</v>
      </c>
      <c r="AP28" s="188">
        <v>3177.323173277673</v>
      </c>
      <c r="AQ28" s="185">
        <f t="shared" si="12"/>
        <v>1059.1077244258911</v>
      </c>
      <c r="AR28" s="182">
        <f t="shared" si="13"/>
        <v>7</v>
      </c>
      <c r="AS28" s="594"/>
      <c r="AT28" s="188">
        <v>3</v>
      </c>
      <c r="AU28" s="188">
        <v>3175.8831732776734</v>
      </c>
      <c r="AV28" s="185">
        <f t="shared" si="14"/>
        <v>1058.6277244258911</v>
      </c>
      <c r="AW28" s="182">
        <f t="shared" si="15"/>
        <v>7</v>
      </c>
      <c r="AX28" s="594"/>
    </row>
    <row r="29" spans="2:50" ht="14.25" customHeight="1">
      <c r="B29" s="590"/>
      <c r="C29" s="180">
        <v>23</v>
      </c>
      <c r="D29" s="183" t="s">
        <v>403</v>
      </c>
      <c r="E29" s="184">
        <v>5</v>
      </c>
      <c r="F29" s="180">
        <v>3600</v>
      </c>
      <c r="G29" s="185">
        <f t="shared" ref="G29:G39" si="16">F29/E29</f>
        <v>720</v>
      </c>
      <c r="H29" s="595"/>
      <c r="I29" s="186">
        <f t="shared" si="3"/>
        <v>5</v>
      </c>
      <c r="J29" s="186">
        <f t="shared" si="3"/>
        <v>3188.3889204036495</v>
      </c>
      <c r="K29" s="187">
        <f t="shared" si="3"/>
        <v>637.67778408072991</v>
      </c>
      <c r="L29" s="596"/>
      <c r="M29" s="186">
        <f>RANK(K29, K$7:$K$41)</f>
        <v>20</v>
      </c>
      <c r="N29" s="592"/>
      <c r="O29" s="593"/>
      <c r="P29" s="188">
        <v>5</v>
      </c>
      <c r="Q29" s="188">
        <v>3187.2574918322207</v>
      </c>
      <c r="R29" s="185">
        <f t="shared" si="0"/>
        <v>637.45149836644418</v>
      </c>
      <c r="S29" s="182">
        <f t="shared" si="4"/>
        <v>22</v>
      </c>
      <c r="T29" s="594"/>
      <c r="U29" s="188">
        <v>5</v>
      </c>
      <c r="V29" s="188">
        <v>3187.6174918322204</v>
      </c>
      <c r="W29" s="185">
        <f t="shared" si="1"/>
        <v>637.52349836644407</v>
      </c>
      <c r="X29" s="182">
        <f t="shared" si="5"/>
        <v>21</v>
      </c>
      <c r="Y29" s="594"/>
      <c r="Z29" s="188">
        <v>5</v>
      </c>
      <c r="AA29" s="188">
        <v>3189.0574918322204</v>
      </c>
      <c r="AB29" s="185">
        <f t="shared" si="6"/>
        <v>637.81149836644408</v>
      </c>
      <c r="AC29" s="182">
        <f t="shared" si="7"/>
        <v>20</v>
      </c>
      <c r="AD29" s="594"/>
      <c r="AE29" s="188">
        <v>5</v>
      </c>
      <c r="AF29" s="188">
        <v>3189.0574918322209</v>
      </c>
      <c r="AG29" s="185">
        <f t="shared" si="8"/>
        <v>637.8114983664442</v>
      </c>
      <c r="AH29" s="182">
        <f t="shared" si="9"/>
        <v>20</v>
      </c>
      <c r="AI29" s="594"/>
      <c r="AJ29" s="188">
        <v>5</v>
      </c>
      <c r="AK29" s="188">
        <v>3188.6974918322212</v>
      </c>
      <c r="AL29" s="185">
        <f t="shared" si="10"/>
        <v>637.7394983664442</v>
      </c>
      <c r="AM29" s="182">
        <f t="shared" si="11"/>
        <v>20</v>
      </c>
      <c r="AN29" s="594"/>
      <c r="AO29" s="188">
        <v>5</v>
      </c>
      <c r="AP29" s="188">
        <v>3188.6974918322212</v>
      </c>
      <c r="AQ29" s="185">
        <f t="shared" si="12"/>
        <v>637.7394983664442</v>
      </c>
      <c r="AR29" s="182">
        <f t="shared" si="13"/>
        <v>21</v>
      </c>
      <c r="AS29" s="594"/>
      <c r="AT29" s="188">
        <v>5</v>
      </c>
      <c r="AU29" s="188">
        <v>3188.3374918322211</v>
      </c>
      <c r="AV29" s="185">
        <f t="shared" si="14"/>
        <v>637.66749836644419</v>
      </c>
      <c r="AW29" s="182">
        <f t="shared" si="15"/>
        <v>20</v>
      </c>
      <c r="AX29" s="594"/>
    </row>
    <row r="30" spans="2:50" ht="14.25" customHeight="1">
      <c r="B30" s="590"/>
      <c r="C30" s="180">
        <v>24</v>
      </c>
      <c r="D30" s="183" t="s">
        <v>400</v>
      </c>
      <c r="E30" s="184">
        <v>5</v>
      </c>
      <c r="F30" s="180">
        <v>3600</v>
      </c>
      <c r="G30" s="185">
        <f t="shared" si="16"/>
        <v>720</v>
      </c>
      <c r="H30" s="595"/>
      <c r="I30" s="186">
        <f t="shared" si="3"/>
        <v>5</v>
      </c>
      <c r="J30" s="186">
        <f t="shared" si="3"/>
        <v>3182.8603510659545</v>
      </c>
      <c r="K30" s="187">
        <f t="shared" si="3"/>
        <v>636.57207021319095</v>
      </c>
      <c r="L30" s="596"/>
      <c r="M30" s="186">
        <f>RANK(K30, K$7:$K$41)</f>
        <v>25</v>
      </c>
      <c r="N30" s="592"/>
      <c r="O30" s="593"/>
      <c r="P30" s="188">
        <v>5</v>
      </c>
      <c r="Q30" s="188">
        <v>3183.2717796373845</v>
      </c>
      <c r="R30" s="185">
        <f t="shared" si="0"/>
        <v>636.6543559274769</v>
      </c>
      <c r="S30" s="182">
        <f t="shared" si="4"/>
        <v>25</v>
      </c>
      <c r="T30" s="594"/>
      <c r="U30" s="188">
        <v>5</v>
      </c>
      <c r="V30" s="188">
        <v>3181.831779637384</v>
      </c>
      <c r="W30" s="185">
        <f t="shared" si="1"/>
        <v>636.36635592747677</v>
      </c>
      <c r="X30" s="182">
        <f t="shared" si="5"/>
        <v>25</v>
      </c>
      <c r="Y30" s="594"/>
      <c r="Z30" s="188">
        <v>5</v>
      </c>
      <c r="AA30" s="188">
        <v>3181.8317796373831</v>
      </c>
      <c r="AB30" s="185">
        <f t="shared" si="6"/>
        <v>636.36635592747666</v>
      </c>
      <c r="AC30" s="182">
        <f t="shared" si="7"/>
        <v>25</v>
      </c>
      <c r="AD30" s="594"/>
      <c r="AE30" s="188">
        <v>5</v>
      </c>
      <c r="AF30" s="188">
        <v>3181.4717796373834</v>
      </c>
      <c r="AG30" s="185">
        <f t="shared" si="8"/>
        <v>636.29435592747666</v>
      </c>
      <c r="AH30" s="182">
        <f t="shared" si="9"/>
        <v>26</v>
      </c>
      <c r="AI30" s="594"/>
      <c r="AJ30" s="188">
        <v>5</v>
      </c>
      <c r="AK30" s="188">
        <v>3182.911779637383</v>
      </c>
      <c r="AL30" s="185">
        <f t="shared" si="10"/>
        <v>636.58235592747656</v>
      </c>
      <c r="AM30" s="182">
        <f t="shared" si="11"/>
        <v>25</v>
      </c>
      <c r="AN30" s="594"/>
      <c r="AO30" s="188">
        <v>5</v>
      </c>
      <c r="AP30" s="188">
        <v>3184.3517796373826</v>
      </c>
      <c r="AQ30" s="185">
        <f t="shared" si="12"/>
        <v>636.87035592747657</v>
      </c>
      <c r="AR30" s="182">
        <f t="shared" si="13"/>
        <v>25</v>
      </c>
      <c r="AS30" s="594"/>
      <c r="AT30" s="188">
        <v>5</v>
      </c>
      <c r="AU30" s="188">
        <v>3184.3517796373826</v>
      </c>
      <c r="AV30" s="185">
        <f t="shared" si="14"/>
        <v>636.87035592747657</v>
      </c>
      <c r="AW30" s="182">
        <f t="shared" si="15"/>
        <v>25</v>
      </c>
      <c r="AX30" s="594"/>
    </row>
    <row r="31" spans="2:50" ht="14.25" customHeight="1">
      <c r="B31" s="590"/>
      <c r="C31" s="180">
        <v>25</v>
      </c>
      <c r="D31" s="183" t="s">
        <v>402</v>
      </c>
      <c r="E31" s="184">
        <v>3</v>
      </c>
      <c r="F31" s="180">
        <v>3000</v>
      </c>
      <c r="G31" s="185">
        <f t="shared" si="16"/>
        <v>1000</v>
      </c>
      <c r="H31" s="595"/>
      <c r="I31" s="186">
        <f t="shared" si="3"/>
        <v>3</v>
      </c>
      <c r="J31" s="186">
        <f t="shared" si="3"/>
        <v>2706.8387160066495</v>
      </c>
      <c r="K31" s="187">
        <f t="shared" si="3"/>
        <v>902.27957200221647</v>
      </c>
      <c r="L31" s="596"/>
      <c r="M31" s="186">
        <f>RANK(K31, K$7:$K$41)</f>
        <v>11</v>
      </c>
      <c r="N31" s="592"/>
      <c r="O31" s="593"/>
      <c r="P31" s="188">
        <v>3</v>
      </c>
      <c r="Q31" s="188">
        <v>2708.6387160066492</v>
      </c>
      <c r="R31" s="185">
        <f t="shared" si="0"/>
        <v>902.87957200221638</v>
      </c>
      <c r="S31" s="182">
        <f t="shared" si="4"/>
        <v>11</v>
      </c>
      <c r="T31" s="594"/>
      <c r="U31" s="188">
        <v>3</v>
      </c>
      <c r="V31" s="188">
        <v>2708.0387160066493</v>
      </c>
      <c r="W31" s="185">
        <f t="shared" si="1"/>
        <v>902.67957200221645</v>
      </c>
      <c r="X31" s="182">
        <f t="shared" si="5"/>
        <v>11</v>
      </c>
      <c r="Y31" s="594"/>
      <c r="Z31" s="188">
        <v>3</v>
      </c>
      <c r="AA31" s="188">
        <v>2706.83871600665</v>
      </c>
      <c r="AB31" s="185">
        <f t="shared" si="6"/>
        <v>902.2795720022167</v>
      </c>
      <c r="AC31" s="182">
        <f t="shared" si="7"/>
        <v>11</v>
      </c>
      <c r="AD31" s="594"/>
      <c r="AE31" s="188">
        <v>3</v>
      </c>
      <c r="AF31" s="188">
        <v>2705.6387160066502</v>
      </c>
      <c r="AG31" s="185">
        <f t="shared" si="8"/>
        <v>901.87957200221672</v>
      </c>
      <c r="AH31" s="182">
        <f t="shared" si="9"/>
        <v>12</v>
      </c>
      <c r="AI31" s="594"/>
      <c r="AJ31" s="188">
        <v>3</v>
      </c>
      <c r="AK31" s="188">
        <v>2706.5387160066493</v>
      </c>
      <c r="AL31" s="185">
        <f t="shared" si="10"/>
        <v>902.17957200221645</v>
      </c>
      <c r="AM31" s="182">
        <f t="shared" si="11"/>
        <v>12</v>
      </c>
      <c r="AN31" s="594"/>
      <c r="AO31" s="188">
        <v>3</v>
      </c>
      <c r="AP31" s="188">
        <v>2705.6387160066492</v>
      </c>
      <c r="AQ31" s="185">
        <f t="shared" si="12"/>
        <v>901.87957200221638</v>
      </c>
      <c r="AR31" s="182">
        <f t="shared" si="13"/>
        <v>13</v>
      </c>
      <c r="AS31" s="594"/>
      <c r="AT31" s="188">
        <v>3</v>
      </c>
      <c r="AU31" s="188">
        <v>2706.5387160066484</v>
      </c>
      <c r="AV31" s="185">
        <f t="shared" si="14"/>
        <v>902.1795720022161</v>
      </c>
      <c r="AW31" s="182">
        <f t="shared" si="15"/>
        <v>11</v>
      </c>
      <c r="AX31" s="594"/>
    </row>
    <row r="32" spans="2:50" ht="14.25" customHeight="1">
      <c r="B32" s="590"/>
      <c r="C32" s="180">
        <v>26</v>
      </c>
      <c r="D32" s="183" t="s">
        <v>442</v>
      </c>
      <c r="E32" s="184">
        <v>3</v>
      </c>
      <c r="F32" s="180">
        <v>3600</v>
      </c>
      <c r="G32" s="185">
        <f t="shared" si="16"/>
        <v>1200</v>
      </c>
      <c r="H32" s="595"/>
      <c r="I32" s="186">
        <f t="shared" si="3"/>
        <v>3</v>
      </c>
      <c r="J32" s="186">
        <f t="shared" si="3"/>
        <v>3197.8218985103836</v>
      </c>
      <c r="K32" s="187">
        <f t="shared" si="3"/>
        <v>1065.9406328367945</v>
      </c>
      <c r="L32" s="596"/>
      <c r="M32" s="186">
        <f>RANK(K32, K$7:$K$41)</f>
        <v>1</v>
      </c>
      <c r="N32" s="592"/>
      <c r="O32" s="593"/>
      <c r="P32" s="188">
        <v>3</v>
      </c>
      <c r="Q32" s="188">
        <v>3197.92475565324</v>
      </c>
      <c r="R32" s="185">
        <f t="shared" si="0"/>
        <v>1065.97491855108</v>
      </c>
      <c r="S32" s="182">
        <f t="shared" si="4"/>
        <v>1</v>
      </c>
      <c r="T32" s="594"/>
      <c r="U32" s="188">
        <v>3</v>
      </c>
      <c r="V32" s="188">
        <v>3198.6447556532403</v>
      </c>
      <c r="W32" s="185">
        <f t="shared" si="1"/>
        <v>1066.21491855108</v>
      </c>
      <c r="X32" s="182">
        <f t="shared" si="5"/>
        <v>1</v>
      </c>
      <c r="Y32" s="594"/>
      <c r="Z32" s="188">
        <v>3</v>
      </c>
      <c r="AA32" s="188">
        <v>3200.0847556532399</v>
      </c>
      <c r="AB32" s="185">
        <f t="shared" si="6"/>
        <v>1066.69491855108</v>
      </c>
      <c r="AC32" s="182">
        <f t="shared" si="7"/>
        <v>1</v>
      </c>
      <c r="AD32" s="594"/>
      <c r="AE32" s="188">
        <v>3</v>
      </c>
      <c r="AF32" s="188">
        <v>3198.2847556532406</v>
      </c>
      <c r="AG32" s="185">
        <f t="shared" si="8"/>
        <v>1066.0949185510801</v>
      </c>
      <c r="AH32" s="182">
        <f t="shared" si="9"/>
        <v>1</v>
      </c>
      <c r="AI32" s="594"/>
      <c r="AJ32" s="188">
        <v>3</v>
      </c>
      <c r="AK32" s="188">
        <v>3196.8447556532406</v>
      </c>
      <c r="AL32" s="185">
        <f t="shared" si="10"/>
        <v>1065.6149185510801</v>
      </c>
      <c r="AM32" s="182">
        <f t="shared" si="11"/>
        <v>1</v>
      </c>
      <c r="AN32" s="594"/>
      <c r="AO32" s="188">
        <v>3</v>
      </c>
      <c r="AP32" s="188">
        <v>3196.1247556532408</v>
      </c>
      <c r="AQ32" s="185">
        <f t="shared" si="12"/>
        <v>1065.3749185510803</v>
      </c>
      <c r="AR32" s="182">
        <f t="shared" si="13"/>
        <v>1</v>
      </c>
      <c r="AS32" s="594"/>
      <c r="AT32" s="188">
        <v>3</v>
      </c>
      <c r="AU32" s="188">
        <v>3196.8447556532401</v>
      </c>
      <c r="AV32" s="185">
        <f t="shared" si="14"/>
        <v>1065.6149185510801</v>
      </c>
      <c r="AW32" s="182">
        <f t="shared" si="15"/>
        <v>1</v>
      </c>
      <c r="AX32" s="594"/>
    </row>
    <row r="33" spans="1:50" ht="14.25" customHeight="1">
      <c r="B33" s="590"/>
      <c r="C33" s="180">
        <v>27</v>
      </c>
      <c r="D33" s="183" t="s">
        <v>450</v>
      </c>
      <c r="E33" s="184">
        <v>4</v>
      </c>
      <c r="F33" s="180">
        <v>3000</v>
      </c>
      <c r="G33" s="185">
        <f t="shared" si="16"/>
        <v>750</v>
      </c>
      <c r="H33" s="595"/>
      <c r="I33" s="186">
        <f t="shared" si="3"/>
        <v>4</v>
      </c>
      <c r="J33" s="186">
        <f t="shared" si="3"/>
        <v>2687.1991257927575</v>
      </c>
      <c r="K33" s="187">
        <f t="shared" si="3"/>
        <v>671.79978144818938</v>
      </c>
      <c r="L33" s="596"/>
      <c r="M33" s="186">
        <f>RANK(K33, K$7:$K$41)</f>
        <v>18</v>
      </c>
      <c r="N33" s="592"/>
      <c r="O33" s="593"/>
      <c r="P33" s="188">
        <v>4</v>
      </c>
      <c r="Q33" s="188">
        <v>2686.8248078299384</v>
      </c>
      <c r="R33" s="185">
        <f t="shared" si="0"/>
        <v>671.70620195748461</v>
      </c>
      <c r="S33" s="182">
        <f t="shared" si="4"/>
        <v>18</v>
      </c>
      <c r="T33" s="594"/>
      <c r="U33" s="188">
        <v>4</v>
      </c>
      <c r="V33" s="188">
        <v>2686.8248078299384</v>
      </c>
      <c r="W33" s="185">
        <f t="shared" si="1"/>
        <v>671.70620195748461</v>
      </c>
      <c r="X33" s="182">
        <f t="shared" si="5"/>
        <v>18</v>
      </c>
      <c r="Y33" s="594"/>
      <c r="Z33" s="188">
        <v>4</v>
      </c>
      <c r="AA33" s="188">
        <v>2686.8248078299384</v>
      </c>
      <c r="AB33" s="185">
        <f t="shared" si="6"/>
        <v>671.70620195748461</v>
      </c>
      <c r="AC33" s="182">
        <f t="shared" si="7"/>
        <v>18</v>
      </c>
      <c r="AD33" s="594"/>
      <c r="AE33" s="188">
        <v>4</v>
      </c>
      <c r="AF33" s="188">
        <v>2686.6476913985784</v>
      </c>
      <c r="AG33" s="185">
        <f t="shared" si="8"/>
        <v>671.66192284964461</v>
      </c>
      <c r="AH33" s="182">
        <f t="shared" si="9"/>
        <v>18</v>
      </c>
      <c r="AI33" s="594"/>
      <c r="AJ33" s="188">
        <v>4</v>
      </c>
      <c r="AK33" s="188">
        <v>2688.2572552203023</v>
      </c>
      <c r="AL33" s="185">
        <f t="shared" si="10"/>
        <v>672.06431380507559</v>
      </c>
      <c r="AM33" s="182">
        <f t="shared" si="11"/>
        <v>18</v>
      </c>
      <c r="AN33" s="594"/>
      <c r="AO33" s="188">
        <v>4</v>
      </c>
      <c r="AP33" s="188">
        <v>2687.0572552203025</v>
      </c>
      <c r="AQ33" s="185">
        <f t="shared" si="12"/>
        <v>671.76431380507563</v>
      </c>
      <c r="AR33" s="182">
        <f t="shared" si="13"/>
        <v>18</v>
      </c>
      <c r="AS33" s="594"/>
      <c r="AT33" s="188">
        <v>4</v>
      </c>
      <c r="AU33" s="188">
        <v>2687.9572552203022</v>
      </c>
      <c r="AV33" s="185">
        <f t="shared" si="14"/>
        <v>671.98931380507554</v>
      </c>
      <c r="AW33" s="182">
        <f t="shared" si="15"/>
        <v>18</v>
      </c>
      <c r="AX33" s="594"/>
    </row>
    <row r="34" spans="1:50" ht="14.25" customHeight="1">
      <c r="B34" s="590"/>
      <c r="C34" s="180">
        <v>28</v>
      </c>
      <c r="D34" s="183" t="s">
        <v>552</v>
      </c>
      <c r="E34" s="184">
        <v>5</v>
      </c>
      <c r="F34" s="180">
        <v>3000</v>
      </c>
      <c r="G34" s="185">
        <f t="shared" si="16"/>
        <v>600</v>
      </c>
      <c r="H34" s="595"/>
      <c r="I34" s="186">
        <f t="shared" si="3"/>
        <v>5</v>
      </c>
      <c r="J34" s="186">
        <f t="shared" si="3"/>
        <v>2688.3235860555101</v>
      </c>
      <c r="K34" s="187">
        <f t="shared" si="3"/>
        <v>537.6647172111019</v>
      </c>
      <c r="L34" s="596"/>
      <c r="M34" s="186">
        <f>RANK(K34, K$7:$K$41)</f>
        <v>29</v>
      </c>
      <c r="N34" s="592"/>
      <c r="O34" s="593"/>
      <c r="P34" s="188">
        <v>5</v>
      </c>
      <c r="Q34" s="188">
        <v>2687.2950146269395</v>
      </c>
      <c r="R34" s="185">
        <f t="shared" si="0"/>
        <v>537.45900292538795</v>
      </c>
      <c r="S34" s="182">
        <f t="shared" si="4"/>
        <v>29</v>
      </c>
      <c r="T34" s="594"/>
      <c r="U34" s="188">
        <v>5</v>
      </c>
      <c r="V34" s="188">
        <v>2688.7950146269391</v>
      </c>
      <c r="W34" s="185">
        <f t="shared" si="1"/>
        <v>537.75900292538779</v>
      </c>
      <c r="X34" s="182">
        <f t="shared" si="5"/>
        <v>29</v>
      </c>
      <c r="Y34" s="594"/>
      <c r="Z34" s="188">
        <v>5</v>
      </c>
      <c r="AA34" s="188">
        <v>2689.6950146269382</v>
      </c>
      <c r="AB34" s="185">
        <f t="shared" si="6"/>
        <v>537.93900292538763</v>
      </c>
      <c r="AC34" s="182">
        <f t="shared" si="7"/>
        <v>29</v>
      </c>
      <c r="AD34" s="594"/>
      <c r="AE34" s="188">
        <v>5</v>
      </c>
      <c r="AF34" s="188">
        <v>2688.7950146269382</v>
      </c>
      <c r="AG34" s="185">
        <f t="shared" si="8"/>
        <v>537.75900292538768</v>
      </c>
      <c r="AH34" s="182">
        <f t="shared" si="9"/>
        <v>29</v>
      </c>
      <c r="AI34" s="594"/>
      <c r="AJ34" s="188">
        <v>5</v>
      </c>
      <c r="AK34" s="188">
        <v>2688.4950146269384</v>
      </c>
      <c r="AL34" s="185">
        <f t="shared" si="10"/>
        <v>537.69900292538773</v>
      </c>
      <c r="AM34" s="182">
        <f t="shared" si="11"/>
        <v>29</v>
      </c>
      <c r="AN34" s="594"/>
      <c r="AO34" s="188">
        <v>5</v>
      </c>
      <c r="AP34" s="188">
        <v>2687.8950146269385</v>
      </c>
      <c r="AQ34" s="185">
        <f t="shared" si="12"/>
        <v>537.57900292538773</v>
      </c>
      <c r="AR34" s="182">
        <f t="shared" si="13"/>
        <v>29</v>
      </c>
      <c r="AS34" s="594"/>
      <c r="AT34" s="188">
        <v>5</v>
      </c>
      <c r="AU34" s="188">
        <v>2687.2950146269391</v>
      </c>
      <c r="AV34" s="185">
        <f t="shared" si="14"/>
        <v>537.45900292538784</v>
      </c>
      <c r="AW34" s="182">
        <f t="shared" si="15"/>
        <v>29</v>
      </c>
      <c r="AX34" s="594"/>
    </row>
    <row r="35" spans="1:50" ht="14.25" customHeight="1">
      <c r="B35" s="590"/>
      <c r="C35" s="180">
        <v>29</v>
      </c>
      <c r="D35" s="183" t="s">
        <v>578</v>
      </c>
      <c r="E35" s="184">
        <v>3</v>
      </c>
      <c r="F35" s="180">
        <v>3300</v>
      </c>
      <c r="G35" s="185">
        <f t="shared" si="16"/>
        <v>1100</v>
      </c>
      <c r="H35" s="595"/>
      <c r="I35" s="186">
        <f t="shared" si="3"/>
        <v>3</v>
      </c>
      <c r="J35" s="186">
        <f t="shared" si="3"/>
        <v>2979.098487021558</v>
      </c>
      <c r="K35" s="187">
        <f t="shared" si="3"/>
        <v>993.03282900718602</v>
      </c>
      <c r="L35" s="596"/>
      <c r="M35" s="186">
        <f>RANK(K35, K$7:$K$41)</f>
        <v>10</v>
      </c>
      <c r="N35" s="592"/>
      <c r="O35" s="593"/>
      <c r="P35" s="188">
        <v>3</v>
      </c>
      <c r="Q35" s="188">
        <v>2978.5455790602532</v>
      </c>
      <c r="R35" s="185">
        <f t="shared" si="0"/>
        <v>992.8485263534177</v>
      </c>
      <c r="S35" s="182">
        <f t="shared" si="4"/>
        <v>10</v>
      </c>
      <c r="T35" s="594"/>
      <c r="U35" s="188">
        <v>3</v>
      </c>
      <c r="V35" s="188">
        <v>2979.535579060253</v>
      </c>
      <c r="W35" s="185">
        <f t="shared" si="1"/>
        <v>993.17852635341762</v>
      </c>
      <c r="X35" s="182">
        <f t="shared" si="5"/>
        <v>10</v>
      </c>
      <c r="Y35" s="594"/>
      <c r="Z35" s="188">
        <v>3</v>
      </c>
      <c r="AA35" s="188">
        <v>2980.1955790602533</v>
      </c>
      <c r="AB35" s="185">
        <f t="shared" si="6"/>
        <v>993.39852635341776</v>
      </c>
      <c r="AC35" s="182">
        <f t="shared" si="7"/>
        <v>10</v>
      </c>
      <c r="AD35" s="594"/>
      <c r="AE35" s="188">
        <v>3</v>
      </c>
      <c r="AF35" s="188">
        <v>2979.8655790602538</v>
      </c>
      <c r="AG35" s="185">
        <f t="shared" si="8"/>
        <v>993.28852635341798</v>
      </c>
      <c r="AH35" s="182">
        <f t="shared" si="9"/>
        <v>10</v>
      </c>
      <c r="AI35" s="594"/>
      <c r="AJ35" s="188">
        <v>3</v>
      </c>
      <c r="AK35" s="188">
        <v>2979.2055790602544</v>
      </c>
      <c r="AL35" s="185">
        <f t="shared" si="10"/>
        <v>993.06852635341818</v>
      </c>
      <c r="AM35" s="182">
        <f t="shared" si="11"/>
        <v>10</v>
      </c>
      <c r="AN35" s="594"/>
      <c r="AO35" s="188">
        <v>3</v>
      </c>
      <c r="AP35" s="188">
        <v>2978.5007569248205</v>
      </c>
      <c r="AQ35" s="185">
        <f t="shared" si="12"/>
        <v>992.83358564160687</v>
      </c>
      <c r="AR35" s="182">
        <f t="shared" si="13"/>
        <v>10</v>
      </c>
      <c r="AS35" s="594"/>
      <c r="AT35" s="188">
        <v>3</v>
      </c>
      <c r="AU35" s="188">
        <v>2977.8407569248207</v>
      </c>
      <c r="AV35" s="185">
        <f t="shared" si="14"/>
        <v>992.61358564160685</v>
      </c>
      <c r="AW35" s="182">
        <f t="shared" si="15"/>
        <v>10</v>
      </c>
      <c r="AX35" s="594"/>
    </row>
    <row r="36" spans="1:50" ht="14.25" customHeight="1">
      <c r="B36" s="590"/>
      <c r="C36" s="180">
        <v>30</v>
      </c>
      <c r="D36" s="183" t="s">
        <v>508</v>
      </c>
      <c r="E36" s="184">
        <v>12</v>
      </c>
      <c r="F36" s="180">
        <v>3600</v>
      </c>
      <c r="G36" s="185">
        <f t="shared" si="16"/>
        <v>300</v>
      </c>
      <c r="H36" s="595"/>
      <c r="I36" s="186">
        <f t="shared" si="3"/>
        <v>12</v>
      </c>
      <c r="J36" s="186">
        <f t="shared" si="3"/>
        <v>3262.7936581121253</v>
      </c>
      <c r="K36" s="187">
        <f t="shared" si="3"/>
        <v>271.89947150934375</v>
      </c>
      <c r="L36" s="596"/>
      <c r="M36" s="186">
        <f>RANK(K36, K$7:$K$41)</f>
        <v>30</v>
      </c>
      <c r="N36" s="592"/>
      <c r="O36" s="593"/>
      <c r="P36" s="188">
        <v>12</v>
      </c>
      <c r="Q36" s="188">
        <v>3261.7413902918724</v>
      </c>
      <c r="R36" s="185">
        <f t="shared" si="0"/>
        <v>271.81178252432272</v>
      </c>
      <c r="S36" s="182">
        <f t="shared" si="4"/>
        <v>30</v>
      </c>
      <c r="T36" s="594"/>
      <c r="U36" s="188">
        <v>12</v>
      </c>
      <c r="V36" s="188">
        <v>3261.741390291872</v>
      </c>
      <c r="W36" s="185">
        <f t="shared" si="1"/>
        <v>271.81178252432267</v>
      </c>
      <c r="X36" s="182">
        <f t="shared" si="5"/>
        <v>30</v>
      </c>
      <c r="Y36" s="594"/>
      <c r="Z36" s="188">
        <v>12</v>
      </c>
      <c r="AA36" s="188">
        <v>3260.6613902918721</v>
      </c>
      <c r="AB36" s="185">
        <f t="shared" si="6"/>
        <v>271.72178252432269</v>
      </c>
      <c r="AC36" s="182">
        <f t="shared" si="7"/>
        <v>30</v>
      </c>
      <c r="AD36" s="594"/>
      <c r="AE36" s="188">
        <v>12</v>
      </c>
      <c r="AF36" s="188">
        <v>3262.9528589773149</v>
      </c>
      <c r="AG36" s="185">
        <f t="shared" si="8"/>
        <v>271.91273824810958</v>
      </c>
      <c r="AH36" s="182">
        <f t="shared" si="9"/>
        <v>30</v>
      </c>
      <c r="AI36" s="594"/>
      <c r="AJ36" s="188">
        <v>12</v>
      </c>
      <c r="AK36" s="188">
        <v>3264.0328589773153</v>
      </c>
      <c r="AL36" s="185">
        <f t="shared" si="10"/>
        <v>272.00273824810961</v>
      </c>
      <c r="AM36" s="182">
        <f t="shared" si="11"/>
        <v>30</v>
      </c>
      <c r="AN36" s="594"/>
      <c r="AO36" s="188">
        <v>12</v>
      </c>
      <c r="AP36" s="188">
        <v>3264.7528589773146</v>
      </c>
      <c r="AQ36" s="185">
        <f t="shared" si="12"/>
        <v>272.06273824810955</v>
      </c>
      <c r="AR36" s="182">
        <f t="shared" si="13"/>
        <v>30</v>
      </c>
      <c r="AS36" s="594"/>
      <c r="AT36" s="188">
        <v>12</v>
      </c>
      <c r="AU36" s="188">
        <v>3263.6728589773152</v>
      </c>
      <c r="AV36" s="185">
        <f t="shared" si="14"/>
        <v>271.97273824810958</v>
      </c>
      <c r="AW36" s="182">
        <f t="shared" si="15"/>
        <v>30</v>
      </c>
      <c r="AX36" s="594"/>
    </row>
    <row r="37" spans="1:50" ht="14.25" customHeight="1">
      <c r="B37" s="590"/>
      <c r="C37" s="180">
        <v>31</v>
      </c>
      <c r="D37" s="183" t="s">
        <v>525</v>
      </c>
      <c r="E37" s="180">
        <v>13</v>
      </c>
      <c r="F37" s="180">
        <v>3600</v>
      </c>
      <c r="G37" s="185">
        <f t="shared" si="16"/>
        <v>276.92307692307691</v>
      </c>
      <c r="H37" s="595"/>
      <c r="I37" s="186">
        <f t="shared" si="3"/>
        <v>13</v>
      </c>
      <c r="J37" s="186">
        <f t="shared" si="3"/>
        <v>3262.7767640778516</v>
      </c>
      <c r="K37" s="187">
        <f t="shared" si="3"/>
        <v>250.98282800598855</v>
      </c>
      <c r="L37" s="596"/>
      <c r="M37" s="186">
        <f>RANK(K37, K$7:$K$41)</f>
        <v>33</v>
      </c>
      <c r="N37" s="592"/>
      <c r="O37" s="593"/>
      <c r="P37" s="188">
        <v>13</v>
      </c>
      <c r="Q37" s="188">
        <v>3261.1340256417689</v>
      </c>
      <c r="R37" s="185">
        <f t="shared" si="0"/>
        <v>250.85646351090529</v>
      </c>
      <c r="S37" s="182">
        <f t="shared" si="4"/>
        <v>33</v>
      </c>
      <c r="T37" s="594"/>
      <c r="U37" s="188">
        <v>13</v>
      </c>
      <c r="V37" s="188">
        <v>3260.0540256417689</v>
      </c>
      <c r="W37" s="185">
        <f t="shared" si="1"/>
        <v>250.77338658782838</v>
      </c>
      <c r="X37" s="182">
        <f t="shared" si="5"/>
        <v>33</v>
      </c>
      <c r="Y37" s="594"/>
      <c r="Z37" s="188">
        <v>13</v>
      </c>
      <c r="AA37" s="188">
        <v>3261.8540256417682</v>
      </c>
      <c r="AB37" s="185">
        <f t="shared" si="6"/>
        <v>250.91184812628987</v>
      </c>
      <c r="AC37" s="182">
        <f t="shared" si="7"/>
        <v>33</v>
      </c>
      <c r="AD37" s="594"/>
      <c r="AE37" s="188">
        <v>13</v>
      </c>
      <c r="AF37" s="188">
        <v>3263.3788179049134</v>
      </c>
      <c r="AG37" s="185">
        <f t="shared" si="8"/>
        <v>251.02913983883948</v>
      </c>
      <c r="AH37" s="182">
        <f t="shared" si="9"/>
        <v>33</v>
      </c>
      <c r="AI37" s="594"/>
      <c r="AJ37" s="188">
        <v>13</v>
      </c>
      <c r="AK37" s="188">
        <v>3264.0988179049136</v>
      </c>
      <c r="AL37" s="185">
        <f t="shared" si="10"/>
        <v>251.08452445422412</v>
      </c>
      <c r="AM37" s="182">
        <f t="shared" si="11"/>
        <v>33</v>
      </c>
      <c r="AN37" s="594"/>
      <c r="AO37" s="188">
        <v>13</v>
      </c>
      <c r="AP37" s="188">
        <v>3264.4588179049142</v>
      </c>
      <c r="AQ37" s="185">
        <f t="shared" si="12"/>
        <v>251.11221676191647</v>
      </c>
      <c r="AR37" s="182">
        <f t="shared" si="13"/>
        <v>33</v>
      </c>
      <c r="AS37" s="594"/>
      <c r="AT37" s="188">
        <v>13</v>
      </c>
      <c r="AU37" s="188">
        <v>3264.4588179049142</v>
      </c>
      <c r="AV37" s="185">
        <f t="shared" si="14"/>
        <v>251.11221676191647</v>
      </c>
      <c r="AW37" s="182">
        <f t="shared" si="15"/>
        <v>33</v>
      </c>
      <c r="AX37" s="594"/>
    </row>
    <row r="38" spans="1:50" ht="14.25" customHeight="1">
      <c r="B38" s="590"/>
      <c r="C38" s="180">
        <v>32</v>
      </c>
      <c r="D38" s="183" t="s">
        <v>347</v>
      </c>
      <c r="E38" s="180">
        <v>3</v>
      </c>
      <c r="F38" s="180">
        <v>3000</v>
      </c>
      <c r="G38" s="185">
        <f t="shared" si="16"/>
        <v>1000</v>
      </c>
      <c r="H38" s="595"/>
      <c r="I38" s="186">
        <f t="shared" ref="I38:K39" si="17">AVERAGE(P38,U38,Z38,AE38,AJ38,AO38,AT38)</f>
        <v>3</v>
      </c>
      <c r="J38" s="186">
        <f t="shared" si="17"/>
        <v>2705.158031442244</v>
      </c>
      <c r="K38" s="187">
        <f t="shared" si="17"/>
        <v>901.7193438140813</v>
      </c>
      <c r="L38" s="596"/>
      <c r="M38" s="186">
        <f>RANK(K38, K$7:$K$41)</f>
        <v>13</v>
      </c>
      <c r="N38" s="592"/>
      <c r="O38" s="593"/>
      <c r="P38" s="188">
        <v>3</v>
      </c>
      <c r="Q38" s="188">
        <v>2703.9151742993877</v>
      </c>
      <c r="R38" s="185">
        <f t="shared" si="0"/>
        <v>901.30505809979593</v>
      </c>
      <c r="S38" s="182">
        <f t="shared" si="4"/>
        <v>13</v>
      </c>
      <c r="T38" s="594"/>
      <c r="U38" s="188">
        <v>3</v>
      </c>
      <c r="V38" s="188">
        <v>2705.115174299387</v>
      </c>
      <c r="W38" s="185">
        <f t="shared" si="1"/>
        <v>901.70505809979568</v>
      </c>
      <c r="X38" s="182">
        <f t="shared" si="5"/>
        <v>12</v>
      </c>
      <c r="Y38" s="594"/>
      <c r="Z38" s="188">
        <v>3</v>
      </c>
      <c r="AA38" s="188">
        <v>2705.7151742993869</v>
      </c>
      <c r="AB38" s="185">
        <f t="shared" si="6"/>
        <v>901.90505809979561</v>
      </c>
      <c r="AC38" s="182">
        <f t="shared" si="7"/>
        <v>13</v>
      </c>
      <c r="AD38" s="594"/>
      <c r="AE38" s="188">
        <v>3</v>
      </c>
      <c r="AF38" s="188">
        <v>2705.4151742993863</v>
      </c>
      <c r="AG38" s="185">
        <f t="shared" si="8"/>
        <v>901.80505809979547</v>
      </c>
      <c r="AH38" s="182">
        <f t="shared" si="9"/>
        <v>13</v>
      </c>
      <c r="AI38" s="594"/>
      <c r="AJ38" s="188">
        <v>3</v>
      </c>
      <c r="AK38" s="188">
        <v>2704.5151742993867</v>
      </c>
      <c r="AL38" s="185">
        <f t="shared" si="10"/>
        <v>901.50505809979552</v>
      </c>
      <c r="AM38" s="182">
        <f t="shared" si="11"/>
        <v>13</v>
      </c>
      <c r="AN38" s="594"/>
      <c r="AO38" s="188">
        <v>3</v>
      </c>
      <c r="AP38" s="188">
        <v>2705.7151742993865</v>
      </c>
      <c r="AQ38" s="185">
        <f t="shared" si="12"/>
        <v>901.9050580997955</v>
      </c>
      <c r="AR38" s="182">
        <f t="shared" si="13"/>
        <v>12</v>
      </c>
      <c r="AS38" s="594"/>
      <c r="AT38" s="188">
        <v>3</v>
      </c>
      <c r="AU38" s="188">
        <v>2705.7151742993865</v>
      </c>
      <c r="AV38" s="185">
        <f t="shared" si="14"/>
        <v>901.9050580997955</v>
      </c>
      <c r="AW38" s="182">
        <f t="shared" si="15"/>
        <v>13</v>
      </c>
      <c r="AX38" s="594"/>
    </row>
    <row r="39" spans="1:50" ht="14.25" customHeight="1">
      <c r="B39" s="590"/>
      <c r="C39" s="180">
        <v>33</v>
      </c>
      <c r="D39" s="183" t="s">
        <v>446</v>
      </c>
      <c r="E39" s="180">
        <v>12</v>
      </c>
      <c r="F39" s="180">
        <v>3600</v>
      </c>
      <c r="G39" s="185">
        <f t="shared" si="16"/>
        <v>300</v>
      </c>
      <c r="H39" s="595"/>
      <c r="I39" s="186">
        <f t="shared" si="17"/>
        <v>12</v>
      </c>
      <c r="J39" s="186">
        <f t="shared" si="17"/>
        <v>3126.0726869816181</v>
      </c>
      <c r="K39" s="187">
        <f t="shared" si="17"/>
        <v>260.50605724846821</v>
      </c>
      <c r="L39" s="596"/>
      <c r="M39" s="186">
        <f>RANK(K39, K$7:$K$41)</f>
        <v>31</v>
      </c>
      <c r="N39" s="592"/>
      <c r="O39" s="593"/>
      <c r="P39" s="188">
        <v>12</v>
      </c>
      <c r="Q39" s="188">
        <v>3126.4137592842353</v>
      </c>
      <c r="R39" s="185">
        <f t="shared" si="0"/>
        <v>260.53447994035292</v>
      </c>
      <c r="S39" s="182">
        <f t="shared" si="4"/>
        <v>31</v>
      </c>
      <c r="T39" s="594"/>
      <c r="U39" s="188">
        <v>12</v>
      </c>
      <c r="V39" s="188">
        <v>3126.4137592842349</v>
      </c>
      <c r="W39" s="185">
        <f t="shared" si="1"/>
        <v>260.53447994035292</v>
      </c>
      <c r="X39" s="182">
        <f t="shared" si="5"/>
        <v>31</v>
      </c>
      <c r="Y39" s="594"/>
      <c r="Z39" s="188">
        <v>12</v>
      </c>
      <c r="AA39" s="188">
        <v>3125.3337592842354</v>
      </c>
      <c r="AB39" s="185">
        <f t="shared" si="6"/>
        <v>260.44447994035295</v>
      </c>
      <c r="AC39" s="182">
        <f t="shared" si="7"/>
        <v>31</v>
      </c>
      <c r="AD39" s="594"/>
      <c r="AE39" s="188">
        <v>12</v>
      </c>
      <c r="AF39" s="188">
        <v>3126.4137592842349</v>
      </c>
      <c r="AG39" s="185">
        <f t="shared" si="8"/>
        <v>260.53447994035292</v>
      </c>
      <c r="AH39" s="182">
        <f t="shared" si="9"/>
        <v>31</v>
      </c>
      <c r="AI39" s="594"/>
      <c r="AJ39" s="188">
        <v>12</v>
      </c>
      <c r="AK39" s="188">
        <v>3126.5779239114627</v>
      </c>
      <c r="AL39" s="185">
        <f t="shared" si="10"/>
        <v>260.54816032595522</v>
      </c>
      <c r="AM39" s="182">
        <f t="shared" si="11"/>
        <v>31</v>
      </c>
      <c r="AN39" s="594"/>
      <c r="AO39" s="188">
        <v>12</v>
      </c>
      <c r="AP39" s="188">
        <v>3125.4979239114627</v>
      </c>
      <c r="AQ39" s="185">
        <f t="shared" si="12"/>
        <v>260.45816032595525</v>
      </c>
      <c r="AR39" s="182">
        <f t="shared" si="13"/>
        <v>32</v>
      </c>
      <c r="AS39" s="594"/>
      <c r="AT39" s="188">
        <v>12</v>
      </c>
      <c r="AU39" s="188">
        <v>3125.8579239114629</v>
      </c>
      <c r="AV39" s="185">
        <f t="shared" si="14"/>
        <v>260.48816032595522</v>
      </c>
      <c r="AW39" s="182">
        <f t="shared" si="15"/>
        <v>32</v>
      </c>
      <c r="AX39" s="594"/>
    </row>
    <row r="40" spans="1:50" ht="14.25" customHeight="1">
      <c r="B40" s="590"/>
      <c r="C40" s="180">
        <v>34</v>
      </c>
      <c r="D40" s="183"/>
      <c r="E40" s="180"/>
      <c r="F40" s="180"/>
      <c r="G40" s="185"/>
      <c r="H40" s="595"/>
      <c r="I40" s="186"/>
      <c r="J40" s="186"/>
      <c r="K40" s="187"/>
      <c r="L40" s="596"/>
      <c r="M40" s="186"/>
      <c r="N40" s="592"/>
      <c r="O40" s="593"/>
      <c r="P40" s="188"/>
      <c r="Q40" s="188"/>
      <c r="R40" s="185"/>
      <c r="S40" s="182"/>
      <c r="T40" s="594"/>
      <c r="U40" s="188"/>
      <c r="V40" s="188"/>
      <c r="W40" s="185"/>
      <c r="X40" s="182"/>
      <c r="Y40" s="594"/>
      <c r="Z40" s="188"/>
      <c r="AA40" s="188"/>
      <c r="AB40" s="185"/>
      <c r="AC40" s="182"/>
      <c r="AD40" s="594"/>
      <c r="AE40" s="188"/>
      <c r="AF40" s="188"/>
      <c r="AG40" s="185"/>
      <c r="AH40" s="182"/>
      <c r="AI40" s="594"/>
      <c r="AJ40" s="188"/>
      <c r="AK40" s="188"/>
      <c r="AL40" s="185"/>
      <c r="AM40" s="182"/>
      <c r="AN40" s="594"/>
      <c r="AO40" s="188"/>
      <c r="AP40" s="188"/>
      <c r="AQ40" s="185"/>
      <c r="AR40" s="182"/>
      <c r="AS40" s="594"/>
      <c r="AT40" s="188"/>
      <c r="AU40" s="188"/>
      <c r="AV40" s="185"/>
      <c r="AW40" s="182"/>
      <c r="AX40" s="594"/>
    </row>
    <row r="41" spans="1:50" ht="14.25" customHeight="1">
      <c r="B41" s="590"/>
      <c r="C41" s="180">
        <v>35</v>
      </c>
      <c r="D41" s="183"/>
      <c r="E41" s="180"/>
      <c r="F41" s="180"/>
      <c r="G41" s="185"/>
      <c r="H41" s="595"/>
      <c r="I41" s="186"/>
      <c r="J41" s="186"/>
      <c r="K41" s="187"/>
      <c r="L41" s="596"/>
      <c r="M41" s="186"/>
      <c r="N41" s="592"/>
      <c r="O41" s="593"/>
      <c r="P41" s="188"/>
      <c r="Q41" s="188"/>
      <c r="R41" s="185"/>
      <c r="S41" s="182"/>
      <c r="T41" s="594"/>
      <c r="U41" s="188"/>
      <c r="V41" s="188"/>
      <c r="W41" s="185"/>
      <c r="X41" s="182"/>
      <c r="Y41" s="594"/>
      <c r="Z41" s="188"/>
      <c r="AA41" s="188"/>
      <c r="AB41" s="185"/>
      <c r="AC41" s="182"/>
      <c r="AD41" s="594"/>
      <c r="AE41" s="188"/>
      <c r="AF41" s="188"/>
      <c r="AG41" s="185"/>
      <c r="AH41" s="182"/>
      <c r="AI41" s="594"/>
      <c r="AJ41" s="188"/>
      <c r="AK41" s="188"/>
      <c r="AL41" s="185"/>
      <c r="AM41" s="182"/>
      <c r="AN41" s="594"/>
      <c r="AO41" s="188"/>
      <c r="AP41" s="188"/>
      <c r="AQ41" s="185"/>
      <c r="AR41" s="182"/>
      <c r="AS41" s="594"/>
      <c r="AT41" s="188"/>
      <c r="AU41" s="188"/>
      <c r="AV41" s="185"/>
      <c r="AW41" s="182"/>
      <c r="AX41" s="594"/>
    </row>
    <row r="42" spans="1:50" ht="14.25" customHeight="1">
      <c r="B42" s="572" t="s">
        <v>737</v>
      </c>
      <c r="C42" s="572"/>
      <c r="D42" s="572"/>
      <c r="E42" s="572"/>
      <c r="F42" s="572"/>
      <c r="G42" s="572"/>
      <c r="H42" s="572"/>
      <c r="I42" s="572"/>
      <c r="J42" s="572"/>
      <c r="K42" s="572"/>
      <c r="L42" s="572"/>
      <c r="M42" s="573"/>
      <c r="N42" s="576" t="s">
        <v>369</v>
      </c>
      <c r="O42" s="576" t="s">
        <v>105</v>
      </c>
      <c r="P42" s="578">
        <v>46147</v>
      </c>
      <c r="Q42" s="579"/>
      <c r="R42" s="579"/>
      <c r="S42" s="579"/>
      <c r="T42" s="579"/>
      <c r="U42" s="580">
        <v>46148</v>
      </c>
      <c r="V42" s="581"/>
      <c r="W42" s="581"/>
      <c r="X42" s="581"/>
      <c r="Y42" s="581"/>
      <c r="Z42" s="578">
        <v>46149</v>
      </c>
      <c r="AA42" s="579"/>
      <c r="AB42" s="579"/>
      <c r="AC42" s="579"/>
      <c r="AD42" s="579"/>
      <c r="AE42" s="580">
        <v>46150</v>
      </c>
      <c r="AF42" s="581"/>
      <c r="AG42" s="581"/>
      <c r="AH42" s="581"/>
      <c r="AI42" s="581"/>
      <c r="AJ42" s="582">
        <v>46151</v>
      </c>
      <c r="AK42" s="583"/>
      <c r="AL42" s="583"/>
      <c r="AM42" s="583"/>
      <c r="AN42" s="584"/>
      <c r="AO42" s="580">
        <v>46152</v>
      </c>
      <c r="AP42" s="581"/>
      <c r="AQ42" s="581"/>
      <c r="AR42" s="581"/>
      <c r="AS42" s="581"/>
      <c r="AT42" s="582">
        <v>46153</v>
      </c>
      <c r="AU42" s="583"/>
      <c r="AV42" s="583"/>
      <c r="AW42" s="583"/>
      <c r="AX42" s="584"/>
    </row>
    <row r="43" spans="1:50" ht="14.25" customHeight="1">
      <c r="B43" s="574"/>
      <c r="C43" s="574"/>
      <c r="D43" s="574"/>
      <c r="E43" s="574"/>
      <c r="F43" s="574"/>
      <c r="G43" s="574"/>
      <c r="H43" s="574"/>
      <c r="I43" s="574"/>
      <c r="J43" s="574"/>
      <c r="K43" s="574"/>
      <c r="L43" s="574"/>
      <c r="M43" s="575"/>
      <c r="N43" s="577"/>
      <c r="O43" s="577"/>
      <c r="P43" s="585">
        <v>46147</v>
      </c>
      <c r="Q43" s="585"/>
      <c r="R43" s="585"/>
      <c r="S43" s="585"/>
      <c r="T43" s="585"/>
      <c r="U43" s="586">
        <v>46148</v>
      </c>
      <c r="V43" s="586"/>
      <c r="W43" s="586"/>
      <c r="X43" s="586"/>
      <c r="Y43" s="586"/>
      <c r="Z43" s="585">
        <v>46149</v>
      </c>
      <c r="AA43" s="585"/>
      <c r="AB43" s="585"/>
      <c r="AC43" s="585"/>
      <c r="AD43" s="585"/>
      <c r="AE43" s="586">
        <v>46150</v>
      </c>
      <c r="AF43" s="586"/>
      <c r="AG43" s="586"/>
      <c r="AH43" s="586"/>
      <c r="AI43" s="586"/>
      <c r="AJ43" s="587">
        <v>46151</v>
      </c>
      <c r="AK43" s="588"/>
      <c r="AL43" s="588"/>
      <c r="AM43" s="588"/>
      <c r="AN43" s="589"/>
      <c r="AO43" s="586">
        <v>46152</v>
      </c>
      <c r="AP43" s="586"/>
      <c r="AQ43" s="586"/>
      <c r="AR43" s="586"/>
      <c r="AS43" s="586"/>
      <c r="AT43" s="587">
        <v>46153</v>
      </c>
      <c r="AU43" s="588"/>
      <c r="AV43" s="588"/>
      <c r="AW43" s="588"/>
      <c r="AX43" s="589"/>
    </row>
    <row r="44" spans="1:50" ht="14.25" customHeight="1">
      <c r="B44" s="590" t="s">
        <v>162</v>
      </c>
      <c r="C44" s="590" t="s">
        <v>157</v>
      </c>
      <c r="D44" s="590"/>
      <c r="E44" s="590" t="s">
        <v>158</v>
      </c>
      <c r="F44" s="590"/>
      <c r="G44" s="590"/>
      <c r="H44" s="590" t="s">
        <v>163</v>
      </c>
      <c r="I44" s="591" t="s">
        <v>370</v>
      </c>
      <c r="J44" s="591"/>
      <c r="K44" s="591"/>
      <c r="L44" s="591" t="s">
        <v>163</v>
      </c>
      <c r="M44" s="591" t="s">
        <v>165</v>
      </c>
      <c r="N44" s="592"/>
      <c r="O44" s="593" t="s">
        <v>164</v>
      </c>
      <c r="P44" s="593" t="s">
        <v>160</v>
      </c>
      <c r="Q44" s="593"/>
      <c r="R44" s="593"/>
      <c r="S44" s="593"/>
      <c r="T44" s="593" t="s">
        <v>163</v>
      </c>
      <c r="U44" s="593" t="s">
        <v>160</v>
      </c>
      <c r="V44" s="593"/>
      <c r="W44" s="593"/>
      <c r="X44" s="593"/>
      <c r="Y44" s="593" t="s">
        <v>163</v>
      </c>
      <c r="Z44" s="593" t="s">
        <v>160</v>
      </c>
      <c r="AA44" s="593"/>
      <c r="AB44" s="593"/>
      <c r="AC44" s="593"/>
      <c r="AD44" s="593" t="s">
        <v>163</v>
      </c>
      <c r="AE44" s="593" t="s">
        <v>160</v>
      </c>
      <c r="AF44" s="593"/>
      <c r="AG44" s="593"/>
      <c r="AH44" s="593"/>
      <c r="AI44" s="593" t="s">
        <v>163</v>
      </c>
      <c r="AJ44" s="593" t="s">
        <v>160</v>
      </c>
      <c r="AK44" s="593"/>
      <c r="AL44" s="593"/>
      <c r="AM44" s="593"/>
      <c r="AN44" s="593" t="s">
        <v>163</v>
      </c>
      <c r="AO44" s="593" t="s">
        <v>160</v>
      </c>
      <c r="AP44" s="593"/>
      <c r="AQ44" s="593"/>
      <c r="AR44" s="593"/>
      <c r="AS44" s="593" t="s">
        <v>163</v>
      </c>
      <c r="AT44" s="593" t="s">
        <v>160</v>
      </c>
      <c r="AU44" s="593"/>
      <c r="AV44" s="593"/>
      <c r="AW44" s="593"/>
      <c r="AX44" s="593" t="s">
        <v>163</v>
      </c>
    </row>
    <row r="45" spans="1:50" ht="14.25" customHeight="1">
      <c r="B45" s="590"/>
      <c r="C45" s="590"/>
      <c r="D45" s="590"/>
      <c r="E45" s="590" t="s">
        <v>371</v>
      </c>
      <c r="F45" s="590"/>
      <c r="G45" s="590"/>
      <c r="H45" s="590"/>
      <c r="I45" s="591" t="s">
        <v>371</v>
      </c>
      <c r="J45" s="591"/>
      <c r="K45" s="591"/>
      <c r="L45" s="591"/>
      <c r="M45" s="591"/>
      <c r="N45" s="592"/>
      <c r="O45" s="593"/>
      <c r="P45" s="593" t="s">
        <v>372</v>
      </c>
      <c r="Q45" s="593"/>
      <c r="R45" s="593"/>
      <c r="S45" s="593"/>
      <c r="T45" s="593"/>
      <c r="U45" s="593" t="s">
        <v>372</v>
      </c>
      <c r="V45" s="593"/>
      <c r="W45" s="593"/>
      <c r="X45" s="593"/>
      <c r="Y45" s="593"/>
      <c r="Z45" s="593" t="s">
        <v>372</v>
      </c>
      <c r="AA45" s="593"/>
      <c r="AB45" s="593"/>
      <c r="AC45" s="593"/>
      <c r="AD45" s="593"/>
      <c r="AE45" s="593" t="s">
        <v>372</v>
      </c>
      <c r="AF45" s="593"/>
      <c r="AG45" s="593"/>
      <c r="AH45" s="593"/>
      <c r="AI45" s="593"/>
      <c r="AJ45" s="593" t="s">
        <v>372</v>
      </c>
      <c r="AK45" s="593"/>
      <c r="AL45" s="593"/>
      <c r="AM45" s="593"/>
      <c r="AN45" s="593"/>
      <c r="AO45" s="593" t="s">
        <v>372</v>
      </c>
      <c r="AP45" s="593"/>
      <c r="AQ45" s="593"/>
      <c r="AR45" s="593"/>
      <c r="AS45" s="593"/>
      <c r="AT45" s="593" t="s">
        <v>372</v>
      </c>
      <c r="AU45" s="593"/>
      <c r="AV45" s="593"/>
      <c r="AW45" s="593"/>
      <c r="AX45" s="593"/>
    </row>
    <row r="46" spans="1:50" ht="14.25" customHeight="1">
      <c r="A46" s="177"/>
      <c r="B46" s="590"/>
      <c r="C46" s="590"/>
      <c r="D46" s="590"/>
      <c r="E46" s="180" t="s">
        <v>159</v>
      </c>
      <c r="F46" s="180" t="s">
        <v>373</v>
      </c>
      <c r="G46" s="180" t="s">
        <v>161</v>
      </c>
      <c r="H46" s="590"/>
      <c r="I46" s="181" t="s">
        <v>159</v>
      </c>
      <c r="J46" s="181" t="s">
        <v>373</v>
      </c>
      <c r="K46" s="181" t="s">
        <v>161</v>
      </c>
      <c r="L46" s="591"/>
      <c r="M46" s="591"/>
      <c r="N46" s="592"/>
      <c r="O46" s="593"/>
      <c r="P46" s="182" t="s">
        <v>159</v>
      </c>
      <c r="Q46" s="182" t="s">
        <v>373</v>
      </c>
      <c r="R46" s="182" t="s">
        <v>161</v>
      </c>
      <c r="S46" s="182" t="s">
        <v>165</v>
      </c>
      <c r="T46" s="593"/>
      <c r="U46" s="182" t="s">
        <v>159</v>
      </c>
      <c r="V46" s="182" t="s">
        <v>373</v>
      </c>
      <c r="W46" s="182" t="s">
        <v>161</v>
      </c>
      <c r="X46" s="182" t="s">
        <v>165</v>
      </c>
      <c r="Y46" s="593"/>
      <c r="Z46" s="182" t="s">
        <v>159</v>
      </c>
      <c r="AA46" s="182" t="s">
        <v>373</v>
      </c>
      <c r="AB46" s="182" t="s">
        <v>161</v>
      </c>
      <c r="AC46" s="182" t="s">
        <v>165</v>
      </c>
      <c r="AD46" s="593"/>
      <c r="AE46" s="182" t="s">
        <v>159</v>
      </c>
      <c r="AF46" s="182" t="s">
        <v>373</v>
      </c>
      <c r="AG46" s="182" t="s">
        <v>161</v>
      </c>
      <c r="AH46" s="182" t="s">
        <v>165</v>
      </c>
      <c r="AI46" s="593"/>
      <c r="AJ46" s="182" t="s">
        <v>159</v>
      </c>
      <c r="AK46" s="182" t="s">
        <v>373</v>
      </c>
      <c r="AL46" s="182" t="s">
        <v>161</v>
      </c>
      <c r="AM46" s="182" t="s">
        <v>165</v>
      </c>
      <c r="AN46" s="593"/>
      <c r="AO46" s="182" t="s">
        <v>159</v>
      </c>
      <c r="AP46" s="182" t="s">
        <v>373</v>
      </c>
      <c r="AQ46" s="182" t="s">
        <v>161</v>
      </c>
      <c r="AR46" s="182" t="s">
        <v>165</v>
      </c>
      <c r="AS46" s="593"/>
      <c r="AT46" s="182" t="s">
        <v>159</v>
      </c>
      <c r="AU46" s="182" t="s">
        <v>373</v>
      </c>
      <c r="AV46" s="182" t="s">
        <v>161</v>
      </c>
      <c r="AW46" s="182" t="s">
        <v>165</v>
      </c>
      <c r="AX46" s="593"/>
    </row>
    <row r="47" spans="1:50" ht="14.25" customHeight="1">
      <c r="B47" s="590" t="s">
        <v>374</v>
      </c>
      <c r="C47" s="180">
        <v>1</v>
      </c>
      <c r="D47" s="183" t="s">
        <v>399</v>
      </c>
      <c r="E47" s="184">
        <v>4</v>
      </c>
      <c r="F47" s="180">
        <v>3600</v>
      </c>
      <c r="G47" s="185">
        <f>F47/E47</f>
        <v>900</v>
      </c>
      <c r="H47" s="595">
        <f>AVERAGE(G47:G81)</f>
        <v>848.69463869463868</v>
      </c>
      <c r="I47" s="186">
        <f>AVERAGE(P47,U47,Z47,AE47,AJ47,AO47,AT47)</f>
        <v>4</v>
      </c>
      <c r="J47" s="186">
        <f>AVERAGE(Q47,V47,AA47,AF47,AK47,AP47,AU47)</f>
        <v>3185.3855894432168</v>
      </c>
      <c r="K47" s="187">
        <f>AVERAGE(R47,W47,AB47,AG47,AL47,AQ47,AV47)</f>
        <v>796.34639736080419</v>
      </c>
      <c r="L47" s="596">
        <f>IFERROR(AVERAGE(K47:K81),"-")</f>
        <v>754.59198984643274</v>
      </c>
      <c r="M47" s="186">
        <f>RANK(K47, K$47:$K$82)</f>
        <v>15</v>
      </c>
      <c r="N47" s="592"/>
      <c r="O47" s="593"/>
      <c r="P47" s="188">
        <v>4</v>
      </c>
      <c r="Q47" s="188">
        <v>3185.3341608717874</v>
      </c>
      <c r="R47" s="185">
        <f t="shared" ref="R47:R79" si="18">IFERROR(Q47/P47,"")</f>
        <v>796.33354021794685</v>
      </c>
      <c r="S47" s="182">
        <f>RANK(R47, R$47:R$82)</f>
        <v>16</v>
      </c>
      <c r="T47" s="594">
        <f>AVERAGE(R47:R81)</f>
        <v>754.48646984527977</v>
      </c>
      <c r="U47" s="188">
        <v>4</v>
      </c>
      <c r="V47" s="188">
        <v>3186.4141608717873</v>
      </c>
      <c r="W47" s="185">
        <f t="shared" ref="W47:W79" si="19">IFERROR(V47/U47,"")</f>
        <v>796.60354021794683</v>
      </c>
      <c r="X47" s="182">
        <f>RANK(W47, W$47:W$82)</f>
        <v>16</v>
      </c>
      <c r="Y47" s="594">
        <f>AVERAGE(W47:W81)</f>
        <v>754.53664432229641</v>
      </c>
      <c r="Z47" s="188">
        <v>4</v>
      </c>
      <c r="AA47" s="188">
        <v>3186.0541608717876</v>
      </c>
      <c r="AB47" s="185">
        <f>IFERROR(AA47/Z47,"")</f>
        <v>796.51354021794691</v>
      </c>
      <c r="AC47" s="182">
        <f>RANK(AB47, AB$47:AB$82)</f>
        <v>16</v>
      </c>
      <c r="AD47" s="594">
        <f>AVERAGE(AB47:AB81)</f>
        <v>754.60169389620251</v>
      </c>
      <c r="AE47" s="188">
        <v>4</v>
      </c>
      <c r="AF47" s="188">
        <v>3186.0541608717881</v>
      </c>
      <c r="AG47" s="185">
        <f>IFERROR(AF47/AE47,"")</f>
        <v>796.51354021794702</v>
      </c>
      <c r="AH47" s="182">
        <f>RANK(AG47, AG$47:AG$82)</f>
        <v>15</v>
      </c>
      <c r="AI47" s="594">
        <f>AVERAGE(AG47:AG81)</f>
        <v>754.66740231612744</v>
      </c>
      <c r="AJ47" s="188">
        <v>4</v>
      </c>
      <c r="AK47" s="188">
        <v>3185.6941608717884</v>
      </c>
      <c r="AL47" s="185">
        <f>IFERROR(AK47/AJ47,"")</f>
        <v>796.42354021794711</v>
      </c>
      <c r="AM47" s="182">
        <f>RANK(AL47, AL$47:AL$82)</f>
        <v>15</v>
      </c>
      <c r="AN47" s="594">
        <f>AVERAGE(AL47:AL81)</f>
        <v>754.58073424160727</v>
      </c>
      <c r="AO47" s="188">
        <v>4</v>
      </c>
      <c r="AP47" s="188">
        <v>3184.2541608717884</v>
      </c>
      <c r="AQ47" s="185">
        <f>IFERROR(AP47/AO47,"")</f>
        <v>796.06354021794709</v>
      </c>
      <c r="AR47" s="182">
        <f>RANK(AQ47, AQ$47:AQ$82)</f>
        <v>15</v>
      </c>
      <c r="AS47" s="594">
        <f>AVERAGE(AQ47:AQ81)</f>
        <v>754.5376167009382</v>
      </c>
      <c r="AT47" s="188">
        <v>4</v>
      </c>
      <c r="AU47" s="188">
        <v>3183.8941608717892</v>
      </c>
      <c r="AV47" s="185">
        <f>IFERROR(AU47/AT47,"")</f>
        <v>795.97354021794729</v>
      </c>
      <c r="AW47" s="182">
        <f>RANK(AV47, AV$47:AV$82)</f>
        <v>15</v>
      </c>
      <c r="AX47" s="594">
        <f>AVERAGE(AV47:AV81)</f>
        <v>754.73336760257723</v>
      </c>
    </row>
    <row r="48" spans="1:50" ht="14.25" customHeight="1">
      <c r="B48" s="590"/>
      <c r="C48" s="180">
        <v>2</v>
      </c>
      <c r="D48" s="183" t="s">
        <v>397</v>
      </c>
      <c r="E48" s="184">
        <v>3</v>
      </c>
      <c r="F48" s="180">
        <v>3600</v>
      </c>
      <c r="G48" s="185">
        <f t="shared" ref="G48:G67" si="20">F48/E48</f>
        <v>1200</v>
      </c>
      <c r="H48" s="595"/>
      <c r="I48" s="186">
        <f t="shared" ref="I48:K77" si="21">AVERAGE(P48,U48,Z48,AE48,AJ48,AO48,AT48)</f>
        <v>3</v>
      </c>
      <c r="J48" s="186">
        <f t="shared" si="21"/>
        <v>3181.7196190746367</v>
      </c>
      <c r="K48" s="187">
        <f t="shared" si="21"/>
        <v>1060.5732063582122</v>
      </c>
      <c r="L48" s="596"/>
      <c r="M48" s="186">
        <f>RANK(K48, K$47:$K$82)</f>
        <v>5</v>
      </c>
      <c r="N48" s="592"/>
      <c r="O48" s="593"/>
      <c r="P48" s="188">
        <v>3</v>
      </c>
      <c r="Q48" s="188">
        <v>3181.2053333603508</v>
      </c>
      <c r="R48" s="185">
        <f t="shared" si="18"/>
        <v>1060.4017777867837</v>
      </c>
      <c r="S48" s="182">
        <f t="shared" ref="S48:S79" si="22">RANK(R48, R$47:R$82)</f>
        <v>5</v>
      </c>
      <c r="T48" s="594"/>
      <c r="U48" s="188">
        <v>3</v>
      </c>
      <c r="V48" s="188">
        <v>3182.2853333603516</v>
      </c>
      <c r="W48" s="185">
        <f t="shared" si="19"/>
        <v>1060.7617777867838</v>
      </c>
      <c r="X48" s="182">
        <f t="shared" ref="X48:X79" si="23">RANK(W48, W$47:W$82)</f>
        <v>5</v>
      </c>
      <c r="Y48" s="594"/>
      <c r="Z48" s="188">
        <v>3</v>
      </c>
      <c r="AA48" s="188">
        <v>3182.2853333603516</v>
      </c>
      <c r="AB48" s="185">
        <f t="shared" ref="AB48:AB79" si="24">IFERROR(AA48/Z48,"")</f>
        <v>1060.7617777867838</v>
      </c>
      <c r="AC48" s="182">
        <f t="shared" ref="AC48:AC79" si="25">RANK(AB48, AB$47:AB$82)</f>
        <v>4</v>
      </c>
      <c r="AD48" s="594"/>
      <c r="AE48" s="188">
        <v>3</v>
      </c>
      <c r="AF48" s="188">
        <v>3181.9253333603524</v>
      </c>
      <c r="AG48" s="185">
        <f t="shared" ref="AG48:AG79" si="26">IFERROR(AF48/AE48,"")</f>
        <v>1060.6417777867841</v>
      </c>
      <c r="AH48" s="182">
        <f t="shared" ref="AH48:AH79" si="27">RANK(AG48, AG$47:AG$82)</f>
        <v>5</v>
      </c>
      <c r="AI48" s="594"/>
      <c r="AJ48" s="188">
        <v>3</v>
      </c>
      <c r="AK48" s="188">
        <v>3180.1253333603518</v>
      </c>
      <c r="AL48" s="185">
        <f t="shared" ref="AL48:AL79" si="28">IFERROR(AK48/AJ48,"")</f>
        <v>1060.041777786784</v>
      </c>
      <c r="AM48" s="182">
        <f t="shared" ref="AM48:AM79" si="29">RANK(AL48, AL$47:AL$82)</f>
        <v>6</v>
      </c>
      <c r="AN48" s="594"/>
      <c r="AO48" s="188">
        <v>3</v>
      </c>
      <c r="AP48" s="188">
        <v>3181.5653333603514</v>
      </c>
      <c r="AQ48" s="185">
        <f t="shared" ref="AQ48:AQ79" si="30">IFERROR(AP48/AO48,"")</f>
        <v>1060.5217777867838</v>
      </c>
      <c r="AR48" s="182">
        <f t="shared" ref="AR48:AR79" si="31">RANK(AQ48, AQ$47:AQ$82)</f>
        <v>7</v>
      </c>
      <c r="AS48" s="594"/>
      <c r="AT48" s="188">
        <v>3</v>
      </c>
      <c r="AU48" s="188">
        <v>3182.6453333603513</v>
      </c>
      <c r="AV48" s="185">
        <f t="shared" ref="AV48:AV79" si="32">IFERROR(AU48/AT48,"")</f>
        <v>1060.8817777867837</v>
      </c>
      <c r="AW48" s="182">
        <f t="shared" ref="AW48:AW79" si="33">RANK(AV48, AV$47:AV$82)</f>
        <v>5</v>
      </c>
      <c r="AX48" s="594"/>
    </row>
    <row r="49" spans="2:50" ht="14.25" customHeight="1">
      <c r="B49" s="590"/>
      <c r="C49" s="180">
        <v>3</v>
      </c>
      <c r="D49" s="183" t="s">
        <v>398</v>
      </c>
      <c r="E49" s="184">
        <v>5</v>
      </c>
      <c r="F49" s="180">
        <v>3600</v>
      </c>
      <c r="G49" s="185">
        <f t="shared" si="20"/>
        <v>720</v>
      </c>
      <c r="H49" s="595"/>
      <c r="I49" s="186">
        <f t="shared" si="21"/>
        <v>5</v>
      </c>
      <c r="J49" s="186">
        <f t="shared" si="21"/>
        <v>3187.3186848121954</v>
      </c>
      <c r="K49" s="187">
        <f t="shared" si="21"/>
        <v>637.46373696243916</v>
      </c>
      <c r="L49" s="596"/>
      <c r="M49" s="186">
        <f>RANK(K49, K$47:$K$82)</f>
        <v>20</v>
      </c>
      <c r="N49" s="592"/>
      <c r="O49" s="593"/>
      <c r="P49" s="188">
        <v>5</v>
      </c>
      <c r="Q49" s="188">
        <v>3187.2158276693381</v>
      </c>
      <c r="R49" s="185">
        <f t="shared" si="18"/>
        <v>637.44316553386761</v>
      </c>
      <c r="S49" s="182">
        <f t="shared" si="22"/>
        <v>22</v>
      </c>
      <c r="T49" s="594"/>
      <c r="U49" s="188">
        <v>5</v>
      </c>
      <c r="V49" s="188">
        <v>3186.8558276693384</v>
      </c>
      <c r="W49" s="185">
        <f t="shared" si="19"/>
        <v>637.37116553386772</v>
      </c>
      <c r="X49" s="182">
        <f t="shared" si="23"/>
        <v>23</v>
      </c>
      <c r="Y49" s="594"/>
      <c r="Z49" s="188">
        <v>5</v>
      </c>
      <c r="AA49" s="188">
        <v>3186.1358276693386</v>
      </c>
      <c r="AB49" s="185">
        <f t="shared" si="24"/>
        <v>637.22716553386772</v>
      </c>
      <c r="AC49" s="182">
        <f t="shared" si="25"/>
        <v>23</v>
      </c>
      <c r="AD49" s="594"/>
      <c r="AE49" s="188">
        <v>5</v>
      </c>
      <c r="AF49" s="188">
        <v>3187.5758276693387</v>
      </c>
      <c r="AG49" s="185">
        <f t="shared" si="26"/>
        <v>637.51516553386773</v>
      </c>
      <c r="AH49" s="182">
        <f t="shared" si="27"/>
        <v>20</v>
      </c>
      <c r="AI49" s="594"/>
      <c r="AJ49" s="188">
        <v>5</v>
      </c>
      <c r="AK49" s="188">
        <v>3189.0158276693383</v>
      </c>
      <c r="AL49" s="185">
        <f t="shared" si="28"/>
        <v>637.80316553386763</v>
      </c>
      <c r="AM49" s="182">
        <f t="shared" si="29"/>
        <v>19</v>
      </c>
      <c r="AN49" s="594"/>
      <c r="AO49" s="188">
        <v>5</v>
      </c>
      <c r="AP49" s="188">
        <v>3187.2158276693381</v>
      </c>
      <c r="AQ49" s="185">
        <f t="shared" si="30"/>
        <v>637.44316553386761</v>
      </c>
      <c r="AR49" s="182">
        <f t="shared" si="31"/>
        <v>20</v>
      </c>
      <c r="AS49" s="594"/>
      <c r="AT49" s="188">
        <v>5</v>
      </c>
      <c r="AU49" s="188">
        <v>3187.2158276693381</v>
      </c>
      <c r="AV49" s="185">
        <f t="shared" si="32"/>
        <v>637.44316553386761</v>
      </c>
      <c r="AW49" s="182">
        <f t="shared" si="33"/>
        <v>20</v>
      </c>
      <c r="AX49" s="594"/>
    </row>
    <row r="50" spans="2:50" ht="14.25" customHeight="1">
      <c r="B50" s="590"/>
      <c r="C50" s="180">
        <v>4</v>
      </c>
      <c r="D50" s="183" t="s">
        <v>229</v>
      </c>
      <c r="E50" s="184">
        <v>5</v>
      </c>
      <c r="F50" s="180">
        <v>3300</v>
      </c>
      <c r="G50" s="185">
        <f t="shared" si="20"/>
        <v>660</v>
      </c>
      <c r="H50" s="595"/>
      <c r="I50" s="186">
        <f t="shared" si="21"/>
        <v>5</v>
      </c>
      <c r="J50" s="186">
        <f t="shared" si="21"/>
        <v>2960.0337873981962</v>
      </c>
      <c r="K50" s="187">
        <f t="shared" si="21"/>
        <v>592.00675747963919</v>
      </c>
      <c r="L50" s="596"/>
      <c r="M50" s="186">
        <f>RANK(K50, K$47:$K$82)</f>
        <v>27</v>
      </c>
      <c r="N50" s="592"/>
      <c r="O50" s="593"/>
      <c r="P50" s="188">
        <v>5</v>
      </c>
      <c r="Q50" s="188">
        <v>2949.5702599682204</v>
      </c>
      <c r="R50" s="185">
        <f t="shared" si="18"/>
        <v>589.91405199364408</v>
      </c>
      <c r="S50" s="182">
        <f t="shared" si="22"/>
        <v>27</v>
      </c>
      <c r="T50" s="594"/>
      <c r="U50" s="188">
        <v>5</v>
      </c>
      <c r="V50" s="188">
        <v>2956.4267217299584</v>
      </c>
      <c r="W50" s="185">
        <f t="shared" si="19"/>
        <v>591.28534434599169</v>
      </c>
      <c r="X50" s="182">
        <f t="shared" si="23"/>
        <v>27</v>
      </c>
      <c r="Y50" s="594"/>
      <c r="Z50" s="188">
        <v>5</v>
      </c>
      <c r="AA50" s="188">
        <v>2957.7467217299582</v>
      </c>
      <c r="AB50" s="185">
        <f t="shared" si="24"/>
        <v>591.54934434599159</v>
      </c>
      <c r="AC50" s="182">
        <f t="shared" si="25"/>
        <v>27</v>
      </c>
      <c r="AD50" s="594"/>
      <c r="AE50" s="188">
        <v>5</v>
      </c>
      <c r="AF50" s="188">
        <v>2964.5393663371519</v>
      </c>
      <c r="AG50" s="185">
        <f t="shared" si="26"/>
        <v>592.90787326743043</v>
      </c>
      <c r="AH50" s="182">
        <f t="shared" si="27"/>
        <v>27</v>
      </c>
      <c r="AI50" s="594"/>
      <c r="AJ50" s="188">
        <v>5</v>
      </c>
      <c r="AK50" s="188">
        <v>2963.7644806740277</v>
      </c>
      <c r="AL50" s="185">
        <f t="shared" si="28"/>
        <v>592.7528961348055</v>
      </c>
      <c r="AM50" s="182">
        <f t="shared" si="29"/>
        <v>28</v>
      </c>
      <c r="AN50" s="594"/>
      <c r="AO50" s="188">
        <v>5</v>
      </c>
      <c r="AP50" s="188">
        <v>2963.7644806740273</v>
      </c>
      <c r="AQ50" s="185">
        <f t="shared" si="30"/>
        <v>592.7528961348055</v>
      </c>
      <c r="AR50" s="182">
        <f t="shared" si="31"/>
        <v>27</v>
      </c>
      <c r="AS50" s="594"/>
      <c r="AT50" s="188">
        <v>5</v>
      </c>
      <c r="AU50" s="188">
        <v>2964.4244806740276</v>
      </c>
      <c r="AV50" s="185">
        <f t="shared" si="32"/>
        <v>592.88489613480556</v>
      </c>
      <c r="AW50" s="182">
        <f t="shared" si="33"/>
        <v>27</v>
      </c>
      <c r="AX50" s="594"/>
    </row>
    <row r="51" spans="2:50" ht="14.25" customHeight="1">
      <c r="B51" s="590"/>
      <c r="C51" s="180">
        <v>5</v>
      </c>
      <c r="D51" s="183" t="s">
        <v>394</v>
      </c>
      <c r="E51" s="184">
        <v>3</v>
      </c>
      <c r="F51" s="180">
        <v>3600</v>
      </c>
      <c r="G51" s="185">
        <f t="shared" si="20"/>
        <v>1200</v>
      </c>
      <c r="H51" s="595"/>
      <c r="I51" s="186">
        <f t="shared" si="21"/>
        <v>3</v>
      </c>
      <c r="J51" s="186">
        <f t="shared" si="21"/>
        <v>3182.2268578745707</v>
      </c>
      <c r="K51" s="187">
        <f t="shared" si="21"/>
        <v>1060.7422859581902</v>
      </c>
      <c r="L51" s="596"/>
      <c r="M51" s="186">
        <f>RANK(K51, K$47:$K$82)</f>
        <v>4</v>
      </c>
      <c r="N51" s="592"/>
      <c r="O51" s="593"/>
      <c r="P51" s="188">
        <v>3</v>
      </c>
      <c r="Q51" s="188">
        <v>3183.7182864459987</v>
      </c>
      <c r="R51" s="185">
        <f t="shared" si="18"/>
        <v>1061.239428815333</v>
      </c>
      <c r="S51" s="182">
        <f t="shared" si="22"/>
        <v>4</v>
      </c>
      <c r="T51" s="594"/>
      <c r="U51" s="188">
        <v>3</v>
      </c>
      <c r="V51" s="188">
        <v>3182.9982864459994</v>
      </c>
      <c r="W51" s="185">
        <f t="shared" si="19"/>
        <v>1060.9994288153332</v>
      </c>
      <c r="X51" s="182">
        <f t="shared" si="23"/>
        <v>4</v>
      </c>
      <c r="Y51" s="594"/>
      <c r="Z51" s="188">
        <v>3</v>
      </c>
      <c r="AA51" s="188">
        <v>3181.9182864459995</v>
      </c>
      <c r="AB51" s="185">
        <f t="shared" si="24"/>
        <v>1060.6394288153331</v>
      </c>
      <c r="AC51" s="182">
        <f t="shared" si="25"/>
        <v>5</v>
      </c>
      <c r="AD51" s="594"/>
      <c r="AE51" s="188">
        <v>3</v>
      </c>
      <c r="AF51" s="188">
        <v>3180.8382864459991</v>
      </c>
      <c r="AG51" s="185">
        <f t="shared" si="26"/>
        <v>1060.2794288153329</v>
      </c>
      <c r="AH51" s="182">
        <f t="shared" si="27"/>
        <v>6</v>
      </c>
      <c r="AI51" s="594"/>
      <c r="AJ51" s="188">
        <v>3</v>
      </c>
      <c r="AK51" s="188">
        <v>3181.1982864459992</v>
      </c>
      <c r="AL51" s="185">
        <f t="shared" si="28"/>
        <v>1060.3994288153331</v>
      </c>
      <c r="AM51" s="182">
        <f t="shared" si="29"/>
        <v>4</v>
      </c>
      <c r="AN51" s="594"/>
      <c r="AO51" s="188">
        <v>3</v>
      </c>
      <c r="AP51" s="188">
        <v>3182.2782864459991</v>
      </c>
      <c r="AQ51" s="185">
        <f t="shared" si="30"/>
        <v>1060.759428815333</v>
      </c>
      <c r="AR51" s="182">
        <f t="shared" si="31"/>
        <v>5</v>
      </c>
      <c r="AS51" s="594"/>
      <c r="AT51" s="188">
        <v>3</v>
      </c>
      <c r="AU51" s="188">
        <v>3182.6382864459988</v>
      </c>
      <c r="AV51" s="185">
        <f t="shared" si="32"/>
        <v>1060.8794288153329</v>
      </c>
      <c r="AW51" s="182">
        <f t="shared" si="33"/>
        <v>6</v>
      </c>
      <c r="AX51" s="594"/>
    </row>
    <row r="52" spans="2:50" ht="14.25" customHeight="1">
      <c r="B52" s="590"/>
      <c r="C52" s="180">
        <v>6</v>
      </c>
      <c r="D52" s="183" t="s">
        <v>341</v>
      </c>
      <c r="E52" s="184">
        <v>4</v>
      </c>
      <c r="F52" s="180">
        <v>3600</v>
      </c>
      <c r="G52" s="185">
        <f t="shared" si="20"/>
        <v>900</v>
      </c>
      <c r="H52" s="595"/>
      <c r="I52" s="186">
        <f t="shared" si="21"/>
        <v>4</v>
      </c>
      <c r="J52" s="186">
        <f t="shared" si="21"/>
        <v>3181.9885714285747</v>
      </c>
      <c r="K52" s="187">
        <f t="shared" si="21"/>
        <v>795.49714285714367</v>
      </c>
      <c r="L52" s="596"/>
      <c r="M52" s="186">
        <f>RANK(K52, K$47:$K$82)</f>
        <v>17</v>
      </c>
      <c r="N52" s="592"/>
      <c r="O52" s="593"/>
      <c r="P52" s="188">
        <v>4</v>
      </c>
      <c r="Q52" s="188">
        <v>3184.9200000000028</v>
      </c>
      <c r="R52" s="185">
        <f t="shared" si="18"/>
        <v>796.2300000000007</v>
      </c>
      <c r="S52" s="182">
        <f t="shared" si="22"/>
        <v>17</v>
      </c>
      <c r="T52" s="594"/>
      <c r="U52" s="188">
        <v>4</v>
      </c>
      <c r="V52" s="188">
        <v>3183.4800000000032</v>
      </c>
      <c r="W52" s="185">
        <f t="shared" si="19"/>
        <v>795.8700000000008</v>
      </c>
      <c r="X52" s="182">
        <f t="shared" si="23"/>
        <v>17</v>
      </c>
      <c r="Y52" s="594"/>
      <c r="Z52" s="188">
        <v>4</v>
      </c>
      <c r="AA52" s="188">
        <v>3182.7600000000034</v>
      </c>
      <c r="AB52" s="185">
        <f t="shared" si="24"/>
        <v>795.69000000000085</v>
      </c>
      <c r="AC52" s="182">
        <f t="shared" si="25"/>
        <v>17</v>
      </c>
      <c r="AD52" s="594"/>
      <c r="AE52" s="188">
        <v>4</v>
      </c>
      <c r="AF52" s="188">
        <v>3181.3200000000038</v>
      </c>
      <c r="AG52" s="185">
        <f t="shared" si="26"/>
        <v>795.33000000000095</v>
      </c>
      <c r="AH52" s="182">
        <f t="shared" si="27"/>
        <v>17</v>
      </c>
      <c r="AI52" s="594"/>
      <c r="AJ52" s="188">
        <v>4</v>
      </c>
      <c r="AK52" s="188">
        <v>3179.5200000000041</v>
      </c>
      <c r="AL52" s="185">
        <f t="shared" si="28"/>
        <v>794.88000000000102</v>
      </c>
      <c r="AM52" s="182">
        <f t="shared" si="29"/>
        <v>17</v>
      </c>
      <c r="AN52" s="594"/>
      <c r="AO52" s="188">
        <v>4</v>
      </c>
      <c r="AP52" s="188">
        <v>3180.9600000000037</v>
      </c>
      <c r="AQ52" s="185">
        <f t="shared" si="30"/>
        <v>795.24000000000092</v>
      </c>
      <c r="AR52" s="182">
        <f t="shared" si="31"/>
        <v>17</v>
      </c>
      <c r="AS52" s="594"/>
      <c r="AT52" s="188">
        <v>4</v>
      </c>
      <c r="AU52" s="188">
        <v>3180.9600000000037</v>
      </c>
      <c r="AV52" s="185">
        <f t="shared" si="32"/>
        <v>795.24000000000092</v>
      </c>
      <c r="AW52" s="182">
        <f t="shared" si="33"/>
        <v>17</v>
      </c>
      <c r="AX52" s="594"/>
    </row>
    <row r="53" spans="2:50" ht="14.25" customHeight="1">
      <c r="B53" s="590"/>
      <c r="C53" s="180">
        <v>7</v>
      </c>
      <c r="D53" s="183" t="s">
        <v>396</v>
      </c>
      <c r="E53" s="184">
        <v>3</v>
      </c>
      <c r="F53" s="180">
        <v>3600</v>
      </c>
      <c r="G53" s="185">
        <f t="shared" si="20"/>
        <v>1200</v>
      </c>
      <c r="H53" s="595"/>
      <c r="I53" s="186">
        <f t="shared" si="21"/>
        <v>3</v>
      </c>
      <c r="J53" s="186">
        <f t="shared" si="21"/>
        <v>3185.0316216428901</v>
      </c>
      <c r="K53" s="187">
        <f t="shared" si="21"/>
        <v>1061.6772072142969</v>
      </c>
      <c r="L53" s="596"/>
      <c r="M53" s="186">
        <f>RANK(K53, K$47:$K$82)</f>
        <v>2</v>
      </c>
      <c r="N53" s="592"/>
      <c r="O53" s="593"/>
      <c r="P53" s="188">
        <v>3</v>
      </c>
      <c r="Q53" s="188">
        <v>3185.1859073571763</v>
      </c>
      <c r="R53" s="185">
        <f t="shared" si="18"/>
        <v>1061.7286357857254</v>
      </c>
      <c r="S53" s="182">
        <f t="shared" si="22"/>
        <v>2</v>
      </c>
      <c r="T53" s="594"/>
      <c r="U53" s="188">
        <v>3</v>
      </c>
      <c r="V53" s="188">
        <v>3184.8259073571762</v>
      </c>
      <c r="W53" s="185">
        <f t="shared" si="19"/>
        <v>1061.6086357857255</v>
      </c>
      <c r="X53" s="182">
        <f t="shared" si="23"/>
        <v>3</v>
      </c>
      <c r="Y53" s="594"/>
      <c r="Z53" s="188">
        <v>3</v>
      </c>
      <c r="AA53" s="188">
        <v>3185.1859073571759</v>
      </c>
      <c r="AB53" s="185">
        <f t="shared" si="24"/>
        <v>1061.7286357857254</v>
      </c>
      <c r="AC53" s="182">
        <f t="shared" si="25"/>
        <v>2</v>
      </c>
      <c r="AD53" s="594"/>
      <c r="AE53" s="188">
        <v>3</v>
      </c>
      <c r="AF53" s="188">
        <v>3185.1859073571759</v>
      </c>
      <c r="AG53" s="185">
        <f t="shared" si="26"/>
        <v>1061.7286357857254</v>
      </c>
      <c r="AH53" s="182">
        <f t="shared" si="27"/>
        <v>2</v>
      </c>
      <c r="AI53" s="594"/>
      <c r="AJ53" s="188">
        <v>3</v>
      </c>
      <c r="AK53" s="188">
        <v>3185.9059073571761</v>
      </c>
      <c r="AL53" s="185">
        <f t="shared" si="28"/>
        <v>1061.9686357857254</v>
      </c>
      <c r="AM53" s="182">
        <f t="shared" si="29"/>
        <v>2</v>
      </c>
      <c r="AN53" s="594"/>
      <c r="AO53" s="188">
        <v>3</v>
      </c>
      <c r="AP53" s="188">
        <v>3184.4659073571761</v>
      </c>
      <c r="AQ53" s="185">
        <f t="shared" si="30"/>
        <v>1061.4886357857254</v>
      </c>
      <c r="AR53" s="182">
        <f t="shared" si="31"/>
        <v>3</v>
      </c>
      <c r="AS53" s="594"/>
      <c r="AT53" s="188">
        <v>3</v>
      </c>
      <c r="AU53" s="188">
        <v>3184.4659073571761</v>
      </c>
      <c r="AV53" s="185">
        <f t="shared" si="32"/>
        <v>1061.4886357857254</v>
      </c>
      <c r="AW53" s="182">
        <f t="shared" si="33"/>
        <v>3</v>
      </c>
      <c r="AX53" s="594"/>
    </row>
    <row r="54" spans="2:50" ht="14.25" customHeight="1">
      <c r="B54" s="590"/>
      <c r="C54" s="180">
        <v>8</v>
      </c>
      <c r="D54" s="183" t="s">
        <v>395</v>
      </c>
      <c r="E54" s="184">
        <v>5</v>
      </c>
      <c r="F54" s="180">
        <v>3600</v>
      </c>
      <c r="G54" s="185">
        <f t="shared" si="20"/>
        <v>720</v>
      </c>
      <c r="H54" s="595"/>
      <c r="I54" s="186">
        <f t="shared" si="21"/>
        <v>5</v>
      </c>
      <c r="J54" s="186">
        <f t="shared" si="21"/>
        <v>3185.6734427141441</v>
      </c>
      <c r="K54" s="187">
        <f t="shared" si="21"/>
        <v>637.1346885428286</v>
      </c>
      <c r="L54" s="596"/>
      <c r="M54" s="186">
        <f>RANK(K54, K$47:$K$82)</f>
        <v>24</v>
      </c>
      <c r="N54" s="592"/>
      <c r="O54" s="593"/>
      <c r="P54" s="188">
        <v>5</v>
      </c>
      <c r="Q54" s="188">
        <v>3187.0620141427162</v>
      </c>
      <c r="R54" s="185">
        <f t="shared" si="18"/>
        <v>637.41240282854324</v>
      </c>
      <c r="S54" s="182">
        <f t="shared" si="22"/>
        <v>23</v>
      </c>
      <c r="T54" s="594"/>
      <c r="U54" s="188">
        <v>5</v>
      </c>
      <c r="V54" s="188">
        <v>3185.2620141427155</v>
      </c>
      <c r="W54" s="185">
        <f t="shared" si="19"/>
        <v>637.05240282854311</v>
      </c>
      <c r="X54" s="182">
        <f t="shared" si="23"/>
        <v>25</v>
      </c>
      <c r="Y54" s="594"/>
      <c r="Z54" s="188">
        <v>5</v>
      </c>
      <c r="AA54" s="188">
        <v>3185.6220141427152</v>
      </c>
      <c r="AB54" s="185">
        <f t="shared" si="24"/>
        <v>637.124402828543</v>
      </c>
      <c r="AC54" s="182">
        <f t="shared" si="25"/>
        <v>25</v>
      </c>
      <c r="AD54" s="594"/>
      <c r="AE54" s="188">
        <v>5</v>
      </c>
      <c r="AF54" s="188">
        <v>3184.902014142715</v>
      </c>
      <c r="AG54" s="185">
        <f t="shared" si="26"/>
        <v>636.98040282854299</v>
      </c>
      <c r="AH54" s="182">
        <f t="shared" si="27"/>
        <v>25</v>
      </c>
      <c r="AI54" s="594"/>
      <c r="AJ54" s="188">
        <v>5</v>
      </c>
      <c r="AK54" s="188">
        <v>3185.9820141427149</v>
      </c>
      <c r="AL54" s="185">
        <f t="shared" si="28"/>
        <v>637.196402828543</v>
      </c>
      <c r="AM54" s="182">
        <f t="shared" si="29"/>
        <v>22</v>
      </c>
      <c r="AN54" s="594"/>
      <c r="AO54" s="188">
        <v>5</v>
      </c>
      <c r="AP54" s="188">
        <v>3184.9020141427145</v>
      </c>
      <c r="AQ54" s="185">
        <f t="shared" si="30"/>
        <v>636.98040282854288</v>
      </c>
      <c r="AR54" s="182">
        <f t="shared" si="31"/>
        <v>24</v>
      </c>
      <c r="AS54" s="594"/>
      <c r="AT54" s="188">
        <v>5</v>
      </c>
      <c r="AU54" s="188">
        <v>3185.982014142714</v>
      </c>
      <c r="AV54" s="185">
        <f t="shared" si="32"/>
        <v>637.19640282854277</v>
      </c>
      <c r="AW54" s="182">
        <f t="shared" si="33"/>
        <v>23</v>
      </c>
      <c r="AX54" s="594"/>
    </row>
    <row r="55" spans="2:50" ht="14.25" customHeight="1">
      <c r="B55" s="590"/>
      <c r="C55" s="180">
        <v>9</v>
      </c>
      <c r="D55" s="183" t="s">
        <v>393</v>
      </c>
      <c r="E55" s="184">
        <v>5</v>
      </c>
      <c r="F55" s="180">
        <v>3600</v>
      </c>
      <c r="G55" s="185">
        <f t="shared" si="20"/>
        <v>720</v>
      </c>
      <c r="H55" s="595"/>
      <c r="I55" s="186">
        <f t="shared" si="21"/>
        <v>5</v>
      </c>
      <c r="J55" s="186">
        <f t="shared" si="21"/>
        <v>3187.0204088215182</v>
      </c>
      <c r="K55" s="187">
        <f t="shared" si="21"/>
        <v>637.40408176430367</v>
      </c>
      <c r="L55" s="596"/>
      <c r="M55" s="186">
        <f>RANK(K55, K$47:$K$82)</f>
        <v>21</v>
      </c>
      <c r="N55" s="592"/>
      <c r="O55" s="593"/>
      <c r="P55" s="188">
        <v>5</v>
      </c>
      <c r="Q55" s="188">
        <v>3186.7118373929461</v>
      </c>
      <c r="R55" s="185">
        <f t="shared" si="18"/>
        <v>637.34236747858927</v>
      </c>
      <c r="S55" s="182">
        <f t="shared" si="22"/>
        <v>24</v>
      </c>
      <c r="T55" s="594"/>
      <c r="U55" s="188">
        <v>5</v>
      </c>
      <c r="V55" s="188">
        <v>3188.5118373929467</v>
      </c>
      <c r="W55" s="185">
        <f t="shared" si="19"/>
        <v>637.70236747858939</v>
      </c>
      <c r="X55" s="182">
        <f t="shared" si="23"/>
        <v>20</v>
      </c>
      <c r="Y55" s="594"/>
      <c r="Z55" s="188">
        <v>5</v>
      </c>
      <c r="AA55" s="188">
        <v>3187.0718373929471</v>
      </c>
      <c r="AB55" s="185">
        <f t="shared" si="24"/>
        <v>637.41436747858938</v>
      </c>
      <c r="AC55" s="182">
        <f t="shared" si="25"/>
        <v>20</v>
      </c>
      <c r="AD55" s="594"/>
      <c r="AE55" s="188">
        <v>5</v>
      </c>
      <c r="AF55" s="188">
        <v>3187.0718373929467</v>
      </c>
      <c r="AG55" s="185">
        <f t="shared" si="26"/>
        <v>637.41436747858938</v>
      </c>
      <c r="AH55" s="182">
        <f t="shared" si="27"/>
        <v>21</v>
      </c>
      <c r="AI55" s="594"/>
      <c r="AJ55" s="188">
        <v>5</v>
      </c>
      <c r="AK55" s="188">
        <v>3186.711837392947</v>
      </c>
      <c r="AL55" s="185">
        <f t="shared" si="28"/>
        <v>637.34236747858938</v>
      </c>
      <c r="AM55" s="182">
        <f t="shared" si="29"/>
        <v>21</v>
      </c>
      <c r="AN55" s="594"/>
      <c r="AO55" s="188">
        <v>5</v>
      </c>
      <c r="AP55" s="188">
        <v>3186.711837392947</v>
      </c>
      <c r="AQ55" s="185">
        <f t="shared" si="30"/>
        <v>637.34236747858938</v>
      </c>
      <c r="AR55" s="182">
        <f t="shared" si="31"/>
        <v>21</v>
      </c>
      <c r="AS55" s="594"/>
      <c r="AT55" s="188">
        <v>5</v>
      </c>
      <c r="AU55" s="188">
        <v>3186.3518373929473</v>
      </c>
      <c r="AV55" s="185">
        <f t="shared" si="32"/>
        <v>637.27036747858949</v>
      </c>
      <c r="AW55" s="182">
        <f t="shared" si="33"/>
        <v>21</v>
      </c>
      <c r="AX55" s="594"/>
    </row>
    <row r="56" spans="2:50" ht="14.25" customHeight="1">
      <c r="B56" s="590"/>
      <c r="C56" s="180">
        <v>10</v>
      </c>
      <c r="D56" s="183" t="s">
        <v>228</v>
      </c>
      <c r="E56" s="184">
        <v>3</v>
      </c>
      <c r="F56" s="180">
        <v>3000</v>
      </c>
      <c r="G56" s="185">
        <f t="shared" si="20"/>
        <v>1000</v>
      </c>
      <c r="H56" s="595"/>
      <c r="I56" s="186">
        <f t="shared" si="21"/>
        <v>3</v>
      </c>
      <c r="J56" s="186">
        <f t="shared" si="21"/>
        <v>2705.5247631046536</v>
      </c>
      <c r="K56" s="187">
        <f t="shared" si="21"/>
        <v>901.84158770155113</v>
      </c>
      <c r="L56" s="596"/>
      <c r="M56" s="186">
        <f>RANK(K56, K$47:$K$82)</f>
        <v>13</v>
      </c>
      <c r="N56" s="592"/>
      <c r="O56" s="593"/>
      <c r="P56" s="188">
        <v>3</v>
      </c>
      <c r="Q56" s="188">
        <v>2705.1987012986983</v>
      </c>
      <c r="R56" s="185">
        <f t="shared" si="18"/>
        <v>901.73290043289944</v>
      </c>
      <c r="S56" s="182">
        <f t="shared" si="22"/>
        <v>13</v>
      </c>
      <c r="T56" s="594"/>
      <c r="U56" s="188">
        <v>3</v>
      </c>
      <c r="V56" s="188">
        <v>2706.098701298698</v>
      </c>
      <c r="W56" s="185">
        <f t="shared" si="19"/>
        <v>902.03290043289928</v>
      </c>
      <c r="X56" s="182">
        <f t="shared" si="23"/>
        <v>11</v>
      </c>
      <c r="Y56" s="594"/>
      <c r="Z56" s="188">
        <v>3</v>
      </c>
      <c r="AA56" s="188">
        <v>2706.3987012986981</v>
      </c>
      <c r="AB56" s="185">
        <f t="shared" si="24"/>
        <v>902.13290043289942</v>
      </c>
      <c r="AC56" s="182">
        <f t="shared" si="25"/>
        <v>12</v>
      </c>
      <c r="AD56" s="594"/>
      <c r="AE56" s="188">
        <v>3</v>
      </c>
      <c r="AF56" s="188">
        <v>2705.7987012986987</v>
      </c>
      <c r="AG56" s="185">
        <f t="shared" si="26"/>
        <v>901.9329004328996</v>
      </c>
      <c r="AH56" s="182">
        <f t="shared" si="27"/>
        <v>12</v>
      </c>
      <c r="AI56" s="594"/>
      <c r="AJ56" s="188">
        <v>3</v>
      </c>
      <c r="AK56" s="188">
        <v>2705.1987012986992</v>
      </c>
      <c r="AL56" s="185">
        <f t="shared" si="28"/>
        <v>901.73290043289978</v>
      </c>
      <c r="AM56" s="182">
        <f t="shared" si="29"/>
        <v>12</v>
      </c>
      <c r="AN56" s="594"/>
      <c r="AO56" s="188">
        <v>3</v>
      </c>
      <c r="AP56" s="188">
        <v>2705.3920703794302</v>
      </c>
      <c r="AQ56" s="185">
        <f t="shared" si="30"/>
        <v>901.79735679314342</v>
      </c>
      <c r="AR56" s="182">
        <f t="shared" si="31"/>
        <v>12</v>
      </c>
      <c r="AS56" s="594"/>
      <c r="AT56" s="188">
        <v>3</v>
      </c>
      <c r="AU56" s="188">
        <v>2704.5877648596515</v>
      </c>
      <c r="AV56" s="185">
        <f t="shared" si="32"/>
        <v>901.52925495321722</v>
      </c>
      <c r="AW56" s="182">
        <f t="shared" si="33"/>
        <v>13</v>
      </c>
      <c r="AX56" s="594"/>
    </row>
    <row r="57" spans="2:50" ht="14.25" customHeight="1">
      <c r="B57" s="590"/>
      <c r="C57" s="180">
        <v>11</v>
      </c>
      <c r="D57" s="183" t="s">
        <v>449</v>
      </c>
      <c r="E57" s="184">
        <v>12</v>
      </c>
      <c r="F57" s="180">
        <v>3600</v>
      </c>
      <c r="G57" s="185">
        <f t="shared" si="20"/>
        <v>300</v>
      </c>
      <c r="H57" s="595"/>
      <c r="I57" s="186">
        <f t="shared" si="21"/>
        <v>12</v>
      </c>
      <c r="J57" s="186">
        <f t="shared" si="21"/>
        <v>3119.7434433320341</v>
      </c>
      <c r="K57" s="187">
        <f t="shared" si="21"/>
        <v>259.97862027766951</v>
      </c>
      <c r="L57" s="596"/>
      <c r="M57" s="186">
        <f>RANK(K57, K$47:$K$82)</f>
        <v>32</v>
      </c>
      <c r="N57" s="592"/>
      <c r="O57" s="593"/>
      <c r="P57" s="188">
        <v>12</v>
      </c>
      <c r="Q57" s="188">
        <v>3122.0500905834065</v>
      </c>
      <c r="R57" s="185">
        <f t="shared" si="18"/>
        <v>260.17084088195054</v>
      </c>
      <c r="S57" s="182">
        <f t="shared" si="22"/>
        <v>32</v>
      </c>
      <c r="T57" s="594"/>
      <c r="U57" s="188">
        <v>12</v>
      </c>
      <c r="V57" s="188">
        <v>3120.9700905834065</v>
      </c>
      <c r="W57" s="185">
        <f t="shared" si="19"/>
        <v>260.08084088195056</v>
      </c>
      <c r="X57" s="182">
        <f t="shared" si="23"/>
        <v>32</v>
      </c>
      <c r="Y57" s="594"/>
      <c r="Z57" s="188">
        <v>12</v>
      </c>
      <c r="AA57" s="188">
        <v>3120.970090583407</v>
      </c>
      <c r="AB57" s="185">
        <f t="shared" si="24"/>
        <v>260.08084088195056</v>
      </c>
      <c r="AC57" s="182">
        <f t="shared" si="25"/>
        <v>32</v>
      </c>
      <c r="AD57" s="594"/>
      <c r="AE57" s="188">
        <v>12</v>
      </c>
      <c r="AF57" s="188">
        <v>3119.5300905834065</v>
      </c>
      <c r="AG57" s="185">
        <f t="shared" si="26"/>
        <v>259.96084088195056</v>
      </c>
      <c r="AH57" s="182">
        <f t="shared" si="27"/>
        <v>32</v>
      </c>
      <c r="AI57" s="594"/>
      <c r="AJ57" s="188">
        <v>12</v>
      </c>
      <c r="AK57" s="188">
        <v>3120.1966670650145</v>
      </c>
      <c r="AL57" s="185">
        <f t="shared" si="28"/>
        <v>260.01638892208456</v>
      </c>
      <c r="AM57" s="182">
        <f t="shared" si="29"/>
        <v>32</v>
      </c>
      <c r="AN57" s="594"/>
      <c r="AO57" s="188">
        <v>12</v>
      </c>
      <c r="AP57" s="188">
        <v>3117.603536962798</v>
      </c>
      <c r="AQ57" s="185">
        <f t="shared" si="30"/>
        <v>259.80029474689985</v>
      </c>
      <c r="AR57" s="182">
        <f t="shared" si="31"/>
        <v>32</v>
      </c>
      <c r="AS57" s="594"/>
      <c r="AT57" s="188">
        <v>12</v>
      </c>
      <c r="AU57" s="188">
        <v>3116.8835369627982</v>
      </c>
      <c r="AV57" s="185">
        <f t="shared" si="32"/>
        <v>259.74029474689985</v>
      </c>
      <c r="AW57" s="182">
        <f t="shared" si="33"/>
        <v>32</v>
      </c>
      <c r="AX57" s="594"/>
    </row>
    <row r="58" spans="2:50" ht="14.25" customHeight="1">
      <c r="B58" s="590"/>
      <c r="C58" s="180">
        <v>12</v>
      </c>
      <c r="D58" s="183" t="s">
        <v>473</v>
      </c>
      <c r="E58" s="184">
        <v>3</v>
      </c>
      <c r="F58" s="180">
        <v>3300</v>
      </c>
      <c r="G58" s="185">
        <f t="shared" si="20"/>
        <v>1100</v>
      </c>
      <c r="H58" s="595"/>
      <c r="I58" s="186">
        <f t="shared" si="21"/>
        <v>3</v>
      </c>
      <c r="J58" s="186">
        <f t="shared" si="21"/>
        <v>2979.6528243491834</v>
      </c>
      <c r="K58" s="187">
        <f t="shared" si="21"/>
        <v>993.21760811639433</v>
      </c>
      <c r="L58" s="596"/>
      <c r="M58" s="186">
        <f>RANK(K58, K$47:$K$82)</f>
        <v>10</v>
      </c>
      <c r="N58" s="592"/>
      <c r="O58" s="593"/>
      <c r="P58" s="188">
        <v>3</v>
      </c>
      <c r="Q58" s="188">
        <v>2980.2185386348983</v>
      </c>
      <c r="R58" s="185">
        <f t="shared" si="18"/>
        <v>993.40617954496611</v>
      </c>
      <c r="S58" s="182">
        <f t="shared" si="22"/>
        <v>9</v>
      </c>
      <c r="T58" s="594"/>
      <c r="U58" s="188">
        <v>3</v>
      </c>
      <c r="V58" s="188">
        <v>2978.8985386348977</v>
      </c>
      <c r="W58" s="185">
        <f t="shared" si="19"/>
        <v>992.96617954496594</v>
      </c>
      <c r="X58" s="182">
        <f t="shared" si="23"/>
        <v>10</v>
      </c>
      <c r="Y58" s="594"/>
      <c r="Z58" s="188">
        <v>3</v>
      </c>
      <c r="AA58" s="188">
        <v>2978.5685386348978</v>
      </c>
      <c r="AB58" s="185">
        <f t="shared" si="24"/>
        <v>992.85617954496593</v>
      </c>
      <c r="AC58" s="182">
        <f t="shared" si="25"/>
        <v>10</v>
      </c>
      <c r="AD58" s="594"/>
      <c r="AE58" s="188">
        <v>3</v>
      </c>
      <c r="AF58" s="188">
        <v>2979.2285386348972</v>
      </c>
      <c r="AG58" s="185">
        <f t="shared" si="26"/>
        <v>993.07617954496573</v>
      </c>
      <c r="AH58" s="182">
        <f t="shared" si="27"/>
        <v>10</v>
      </c>
      <c r="AI58" s="594"/>
      <c r="AJ58" s="188">
        <v>3</v>
      </c>
      <c r="AK58" s="188">
        <v>2979.888538634897</v>
      </c>
      <c r="AL58" s="185">
        <f t="shared" si="28"/>
        <v>993.29617954496564</v>
      </c>
      <c r="AM58" s="182">
        <f t="shared" si="29"/>
        <v>10</v>
      </c>
      <c r="AN58" s="594"/>
      <c r="AO58" s="188">
        <v>3</v>
      </c>
      <c r="AP58" s="188">
        <v>2979.8885386348966</v>
      </c>
      <c r="AQ58" s="185">
        <f t="shared" si="30"/>
        <v>993.29617954496553</v>
      </c>
      <c r="AR58" s="182">
        <f t="shared" si="31"/>
        <v>9</v>
      </c>
      <c r="AS58" s="594"/>
      <c r="AT58" s="188">
        <v>3</v>
      </c>
      <c r="AU58" s="188">
        <v>2980.8785386348973</v>
      </c>
      <c r="AV58" s="185">
        <f t="shared" si="32"/>
        <v>993.62617954496579</v>
      </c>
      <c r="AW58" s="182">
        <f t="shared" si="33"/>
        <v>9</v>
      </c>
      <c r="AX58" s="594"/>
    </row>
    <row r="59" spans="2:50" ht="14.25" customHeight="1">
      <c r="B59" s="590"/>
      <c r="C59" s="180">
        <v>13</v>
      </c>
      <c r="D59" s="183" t="s">
        <v>612</v>
      </c>
      <c r="E59" s="184">
        <v>5</v>
      </c>
      <c r="F59" s="180">
        <v>3600</v>
      </c>
      <c r="G59" s="185">
        <f t="shared" si="20"/>
        <v>720</v>
      </c>
      <c r="H59" s="595"/>
      <c r="I59" s="186">
        <f t="shared" si="21"/>
        <v>5</v>
      </c>
      <c r="J59" s="186">
        <f t="shared" si="21"/>
        <v>3185.5817676749116</v>
      </c>
      <c r="K59" s="187">
        <f t="shared" si="21"/>
        <v>637.11635353498241</v>
      </c>
      <c r="L59" s="596"/>
      <c r="M59" s="186">
        <f>RANK(K59, K$47:$K$82)</f>
        <v>25</v>
      </c>
      <c r="N59" s="592"/>
      <c r="O59" s="593"/>
      <c r="P59" s="188">
        <v>5</v>
      </c>
      <c r="Q59" s="188">
        <v>3187.8960533891977</v>
      </c>
      <c r="R59" s="185">
        <f t="shared" si="18"/>
        <v>637.57921067783957</v>
      </c>
      <c r="S59" s="182">
        <f t="shared" si="22"/>
        <v>20</v>
      </c>
      <c r="T59" s="594"/>
      <c r="U59" s="188">
        <v>5</v>
      </c>
      <c r="V59" s="188">
        <v>3187.8960533891973</v>
      </c>
      <c r="W59" s="185">
        <f t="shared" si="19"/>
        <v>637.57921067783946</v>
      </c>
      <c r="X59" s="182">
        <f t="shared" si="23"/>
        <v>21</v>
      </c>
      <c r="Y59" s="594"/>
      <c r="Z59" s="188">
        <v>5</v>
      </c>
      <c r="AA59" s="188">
        <v>3186.4560533891972</v>
      </c>
      <c r="AB59" s="185">
        <f t="shared" si="24"/>
        <v>637.29121067783944</v>
      </c>
      <c r="AC59" s="182">
        <f t="shared" si="25"/>
        <v>22</v>
      </c>
      <c r="AD59" s="594"/>
      <c r="AE59" s="188">
        <v>5</v>
      </c>
      <c r="AF59" s="188">
        <v>3185.7360533891974</v>
      </c>
      <c r="AG59" s="185">
        <f t="shared" si="26"/>
        <v>637.14721067783944</v>
      </c>
      <c r="AH59" s="182">
        <f t="shared" si="27"/>
        <v>22</v>
      </c>
      <c r="AI59" s="594"/>
      <c r="AJ59" s="188">
        <v>5</v>
      </c>
      <c r="AK59" s="188">
        <v>3184.6560533891975</v>
      </c>
      <c r="AL59" s="185">
        <f t="shared" si="28"/>
        <v>636.93121067783954</v>
      </c>
      <c r="AM59" s="182">
        <f t="shared" si="29"/>
        <v>25</v>
      </c>
      <c r="AN59" s="594"/>
      <c r="AO59" s="188">
        <v>5</v>
      </c>
      <c r="AP59" s="188">
        <v>3183.576053389198</v>
      </c>
      <c r="AQ59" s="185">
        <f t="shared" si="30"/>
        <v>636.71521067783965</v>
      </c>
      <c r="AR59" s="182">
        <f t="shared" si="31"/>
        <v>25</v>
      </c>
      <c r="AS59" s="594"/>
      <c r="AT59" s="188">
        <v>5</v>
      </c>
      <c r="AU59" s="188">
        <v>3182.8560533891987</v>
      </c>
      <c r="AV59" s="185">
        <f t="shared" si="32"/>
        <v>636.57121067783976</v>
      </c>
      <c r="AW59" s="182">
        <f t="shared" si="33"/>
        <v>25</v>
      </c>
      <c r="AX59" s="594"/>
    </row>
    <row r="60" spans="2:50" ht="14.25" customHeight="1">
      <c r="B60" s="590"/>
      <c r="C60" s="180">
        <v>14</v>
      </c>
      <c r="D60" s="183" t="s">
        <v>640</v>
      </c>
      <c r="E60" s="184">
        <v>3</v>
      </c>
      <c r="F60" s="180">
        <v>3600</v>
      </c>
      <c r="G60" s="185">
        <f t="shared" si="20"/>
        <v>1200</v>
      </c>
      <c r="H60" s="595"/>
      <c r="I60" s="186">
        <f t="shared" si="21"/>
        <v>3</v>
      </c>
      <c r="J60" s="186">
        <f t="shared" si="21"/>
        <v>3177.3440686679014</v>
      </c>
      <c r="K60" s="187">
        <f t="shared" si="21"/>
        <v>1059.1146895559671</v>
      </c>
      <c r="L60" s="596"/>
      <c r="M60" s="186">
        <f>RANK(K60, K$47:$K$82)</f>
        <v>8</v>
      </c>
      <c r="N60" s="592"/>
      <c r="O60" s="593"/>
      <c r="P60" s="188">
        <v>3</v>
      </c>
      <c r="Q60" s="188">
        <v>3179.3101617028851</v>
      </c>
      <c r="R60" s="185">
        <f t="shared" si="18"/>
        <v>1059.7700539009618</v>
      </c>
      <c r="S60" s="182">
        <f t="shared" si="22"/>
        <v>6</v>
      </c>
      <c r="T60" s="594"/>
      <c r="U60" s="188">
        <v>3</v>
      </c>
      <c r="V60" s="188">
        <v>3178.9501617028859</v>
      </c>
      <c r="W60" s="185">
        <f t="shared" si="19"/>
        <v>1059.6500539009619</v>
      </c>
      <c r="X60" s="182">
        <f t="shared" si="23"/>
        <v>6</v>
      </c>
      <c r="Y60" s="594"/>
      <c r="Z60" s="188">
        <v>3</v>
      </c>
      <c r="AA60" s="188">
        <v>3178.2301617028852</v>
      </c>
      <c r="AB60" s="185">
        <f t="shared" si="24"/>
        <v>1059.4100539009617</v>
      </c>
      <c r="AC60" s="182">
        <f t="shared" si="25"/>
        <v>7</v>
      </c>
      <c r="AD60" s="594"/>
      <c r="AE60" s="188">
        <v>3</v>
      </c>
      <c r="AF60" s="188">
        <v>3176.7901617028851</v>
      </c>
      <c r="AG60" s="185">
        <f t="shared" si="26"/>
        <v>1058.9300539009616</v>
      </c>
      <c r="AH60" s="182">
        <f t="shared" si="27"/>
        <v>7</v>
      </c>
      <c r="AI60" s="594"/>
      <c r="AJ60" s="188">
        <v>3</v>
      </c>
      <c r="AK60" s="188">
        <v>3174.990161702885</v>
      </c>
      <c r="AL60" s="185">
        <f t="shared" si="28"/>
        <v>1058.3300539009617</v>
      </c>
      <c r="AM60" s="182">
        <f t="shared" si="29"/>
        <v>7</v>
      </c>
      <c r="AN60" s="594"/>
      <c r="AO60" s="188">
        <v>3</v>
      </c>
      <c r="AP60" s="188">
        <v>3175.3501617028851</v>
      </c>
      <c r="AQ60" s="185">
        <f t="shared" si="30"/>
        <v>1058.4500539009616</v>
      </c>
      <c r="AR60" s="182">
        <f t="shared" si="31"/>
        <v>8</v>
      </c>
      <c r="AS60" s="594"/>
      <c r="AT60" s="188">
        <v>3</v>
      </c>
      <c r="AU60" s="188">
        <v>3177.7875104579944</v>
      </c>
      <c r="AV60" s="185">
        <f t="shared" si="32"/>
        <v>1059.2625034859982</v>
      </c>
      <c r="AW60" s="182">
        <f t="shared" si="33"/>
        <v>8</v>
      </c>
      <c r="AX60" s="594"/>
    </row>
    <row r="61" spans="2:50" ht="14.25" customHeight="1">
      <c r="B61" s="590"/>
      <c r="C61" s="180">
        <v>15</v>
      </c>
      <c r="D61" s="183" t="s">
        <v>613</v>
      </c>
      <c r="E61" s="184">
        <v>5</v>
      </c>
      <c r="F61" s="180">
        <v>3600</v>
      </c>
      <c r="G61" s="185">
        <f t="shared" si="20"/>
        <v>720</v>
      </c>
      <c r="H61" s="595"/>
      <c r="I61" s="186">
        <f t="shared" si="21"/>
        <v>5</v>
      </c>
      <c r="J61" s="186">
        <f t="shared" si="21"/>
        <v>3181.7089709552429</v>
      </c>
      <c r="K61" s="187">
        <f t="shared" si="21"/>
        <v>636.34179419104851</v>
      </c>
      <c r="L61" s="596"/>
      <c r="M61" s="186">
        <f>RANK(K61, K$47:$K$82)</f>
        <v>26</v>
      </c>
      <c r="N61" s="592"/>
      <c r="O61" s="593"/>
      <c r="P61" s="188">
        <v>5</v>
      </c>
      <c r="Q61" s="188">
        <v>3182.0175423838132</v>
      </c>
      <c r="R61" s="185">
        <f t="shared" si="18"/>
        <v>636.40350847676268</v>
      </c>
      <c r="S61" s="182">
        <f t="shared" si="22"/>
        <v>26</v>
      </c>
      <c r="T61" s="594"/>
      <c r="U61" s="188">
        <v>5</v>
      </c>
      <c r="V61" s="188">
        <v>3182.0175423838136</v>
      </c>
      <c r="W61" s="185">
        <f t="shared" si="19"/>
        <v>636.40350847676268</v>
      </c>
      <c r="X61" s="182">
        <f t="shared" si="23"/>
        <v>26</v>
      </c>
      <c r="Y61" s="594"/>
      <c r="Z61" s="188">
        <v>5</v>
      </c>
      <c r="AA61" s="188">
        <v>3180.9375423838137</v>
      </c>
      <c r="AB61" s="185">
        <f t="shared" si="24"/>
        <v>636.18750847676279</v>
      </c>
      <c r="AC61" s="182">
        <f t="shared" si="25"/>
        <v>26</v>
      </c>
      <c r="AD61" s="594"/>
      <c r="AE61" s="188">
        <v>5</v>
      </c>
      <c r="AF61" s="188">
        <v>3182.3775423838138</v>
      </c>
      <c r="AG61" s="185">
        <f t="shared" si="26"/>
        <v>636.4755084767628</v>
      </c>
      <c r="AH61" s="182">
        <f t="shared" si="27"/>
        <v>26</v>
      </c>
      <c r="AI61" s="594"/>
      <c r="AJ61" s="188">
        <v>5</v>
      </c>
      <c r="AK61" s="188">
        <v>3182.3775423838138</v>
      </c>
      <c r="AL61" s="185">
        <f t="shared" si="28"/>
        <v>636.4755084767628</v>
      </c>
      <c r="AM61" s="182">
        <f t="shared" si="29"/>
        <v>26</v>
      </c>
      <c r="AN61" s="594"/>
      <c r="AO61" s="188">
        <v>5</v>
      </c>
      <c r="AP61" s="188">
        <v>3181.6575423838144</v>
      </c>
      <c r="AQ61" s="185">
        <f t="shared" si="30"/>
        <v>636.33150847676291</v>
      </c>
      <c r="AR61" s="182">
        <f t="shared" si="31"/>
        <v>26</v>
      </c>
      <c r="AS61" s="594"/>
      <c r="AT61" s="188">
        <v>5</v>
      </c>
      <c r="AU61" s="188">
        <v>3180.5775423838154</v>
      </c>
      <c r="AV61" s="185">
        <f t="shared" si="32"/>
        <v>636.11550847676313</v>
      </c>
      <c r="AW61" s="182">
        <f t="shared" si="33"/>
        <v>26</v>
      </c>
      <c r="AX61" s="594"/>
    </row>
    <row r="62" spans="2:50" ht="14.25" customHeight="1">
      <c r="B62" s="590"/>
      <c r="C62" s="180">
        <v>16</v>
      </c>
      <c r="D62" s="183" t="s">
        <v>406</v>
      </c>
      <c r="E62" s="184">
        <v>5</v>
      </c>
      <c r="F62" s="180">
        <v>3600</v>
      </c>
      <c r="G62" s="185">
        <f t="shared" si="20"/>
        <v>720</v>
      </c>
      <c r="H62" s="595"/>
      <c r="I62" s="186">
        <f t="shared" si="21"/>
        <v>5</v>
      </c>
      <c r="J62" s="186">
        <f t="shared" si="21"/>
        <v>3190.2164688000275</v>
      </c>
      <c r="K62" s="187">
        <f t="shared" si="21"/>
        <v>638.04329376000555</v>
      </c>
      <c r="L62" s="596"/>
      <c r="M62" s="186">
        <f>RANK(K62, K$47:$K$82)</f>
        <v>19</v>
      </c>
      <c r="N62" s="592"/>
      <c r="O62" s="593"/>
      <c r="P62" s="188">
        <v>5</v>
      </c>
      <c r="Q62" s="188">
        <v>3191.7078973714551</v>
      </c>
      <c r="R62" s="185">
        <f t="shared" si="18"/>
        <v>638.34157947429105</v>
      </c>
      <c r="S62" s="182">
        <f t="shared" si="22"/>
        <v>19</v>
      </c>
      <c r="T62" s="594"/>
      <c r="U62" s="188">
        <v>5</v>
      </c>
      <c r="V62" s="188">
        <v>3190.6278973714561</v>
      </c>
      <c r="W62" s="185">
        <f t="shared" si="19"/>
        <v>638.12557947429127</v>
      </c>
      <c r="X62" s="182">
        <f t="shared" si="23"/>
        <v>19</v>
      </c>
      <c r="Y62" s="594"/>
      <c r="Z62" s="188">
        <v>5</v>
      </c>
      <c r="AA62" s="188">
        <v>3192.0678973714566</v>
      </c>
      <c r="AB62" s="185">
        <f t="shared" si="24"/>
        <v>638.41357947429128</v>
      </c>
      <c r="AC62" s="182">
        <f t="shared" si="25"/>
        <v>19</v>
      </c>
      <c r="AD62" s="594"/>
      <c r="AE62" s="188">
        <v>5</v>
      </c>
      <c r="AF62" s="188">
        <v>3190.2678973714565</v>
      </c>
      <c r="AG62" s="185">
        <f t="shared" si="26"/>
        <v>638.05357947429127</v>
      </c>
      <c r="AH62" s="182">
        <f t="shared" si="27"/>
        <v>19</v>
      </c>
      <c r="AI62" s="594"/>
      <c r="AJ62" s="188">
        <v>5</v>
      </c>
      <c r="AK62" s="188">
        <v>3188.4678973714567</v>
      </c>
      <c r="AL62" s="185">
        <f t="shared" si="28"/>
        <v>637.69357947429137</v>
      </c>
      <c r="AM62" s="182">
        <f t="shared" si="29"/>
        <v>20</v>
      </c>
      <c r="AN62" s="594"/>
      <c r="AO62" s="188">
        <v>5</v>
      </c>
      <c r="AP62" s="188">
        <v>3189.187897371457</v>
      </c>
      <c r="AQ62" s="185">
        <f t="shared" si="30"/>
        <v>637.83757947429137</v>
      </c>
      <c r="AR62" s="182">
        <f t="shared" si="31"/>
        <v>19</v>
      </c>
      <c r="AS62" s="594"/>
      <c r="AT62" s="188">
        <v>5</v>
      </c>
      <c r="AU62" s="188">
        <v>3189.187897371457</v>
      </c>
      <c r="AV62" s="185">
        <f t="shared" si="32"/>
        <v>637.83757947429137</v>
      </c>
      <c r="AW62" s="182">
        <f t="shared" si="33"/>
        <v>19</v>
      </c>
      <c r="AX62" s="594"/>
    </row>
    <row r="63" spans="2:50" ht="14.25" customHeight="1">
      <c r="B63" s="590"/>
      <c r="C63" s="180">
        <v>17</v>
      </c>
      <c r="D63" s="183" t="s">
        <v>405</v>
      </c>
      <c r="E63" s="184">
        <v>3</v>
      </c>
      <c r="F63" s="180">
        <v>3600</v>
      </c>
      <c r="G63" s="185">
        <f t="shared" si="20"/>
        <v>1200</v>
      </c>
      <c r="H63" s="595"/>
      <c r="I63" s="186">
        <f t="shared" si="21"/>
        <v>3</v>
      </c>
      <c r="J63" s="186">
        <f t="shared" si="21"/>
        <v>3184.0959132165954</v>
      </c>
      <c r="K63" s="187">
        <f t="shared" si="21"/>
        <v>1061.365304405532</v>
      </c>
      <c r="L63" s="596"/>
      <c r="M63" s="186">
        <f>RANK(K63, K$47:$K$82)</f>
        <v>3</v>
      </c>
      <c r="N63" s="592"/>
      <c r="O63" s="593"/>
      <c r="P63" s="188">
        <v>3</v>
      </c>
      <c r="Q63" s="188">
        <v>3184.0444846451674</v>
      </c>
      <c r="R63" s="185">
        <f t="shared" si="18"/>
        <v>1061.348161548389</v>
      </c>
      <c r="S63" s="182">
        <f t="shared" si="22"/>
        <v>3</v>
      </c>
      <c r="T63" s="594"/>
      <c r="U63" s="188">
        <v>3</v>
      </c>
      <c r="V63" s="188">
        <v>3185.484484645167</v>
      </c>
      <c r="W63" s="185">
        <f t="shared" si="19"/>
        <v>1061.8281615483891</v>
      </c>
      <c r="X63" s="182">
        <f t="shared" si="23"/>
        <v>2</v>
      </c>
      <c r="Y63" s="594"/>
      <c r="Z63" s="188">
        <v>3</v>
      </c>
      <c r="AA63" s="188">
        <v>3184.4044846451666</v>
      </c>
      <c r="AB63" s="185">
        <f t="shared" si="24"/>
        <v>1061.4681615483889</v>
      </c>
      <c r="AC63" s="182">
        <f t="shared" si="25"/>
        <v>3</v>
      </c>
      <c r="AD63" s="594"/>
      <c r="AE63" s="188">
        <v>3</v>
      </c>
      <c r="AF63" s="188">
        <v>3184.4044846451666</v>
      </c>
      <c r="AG63" s="185">
        <f t="shared" si="26"/>
        <v>1061.4681615483889</v>
      </c>
      <c r="AH63" s="182">
        <f t="shared" si="27"/>
        <v>3</v>
      </c>
      <c r="AI63" s="594"/>
      <c r="AJ63" s="188">
        <v>3</v>
      </c>
      <c r="AK63" s="188">
        <v>3183.3244846451676</v>
      </c>
      <c r="AL63" s="185">
        <f t="shared" si="28"/>
        <v>1061.1081615483893</v>
      </c>
      <c r="AM63" s="182">
        <f t="shared" si="29"/>
        <v>3</v>
      </c>
      <c r="AN63" s="594"/>
      <c r="AO63" s="188">
        <v>3</v>
      </c>
      <c r="AP63" s="188">
        <v>3184.0444846451678</v>
      </c>
      <c r="AQ63" s="185">
        <f t="shared" si="30"/>
        <v>1061.3481615483893</v>
      </c>
      <c r="AR63" s="182">
        <f t="shared" si="31"/>
        <v>4</v>
      </c>
      <c r="AS63" s="594"/>
      <c r="AT63" s="188">
        <v>3</v>
      </c>
      <c r="AU63" s="188">
        <v>3182.9644846451683</v>
      </c>
      <c r="AV63" s="185">
        <f t="shared" si="32"/>
        <v>1060.9881615483894</v>
      </c>
      <c r="AW63" s="182">
        <f t="shared" si="33"/>
        <v>4</v>
      </c>
      <c r="AX63" s="594"/>
    </row>
    <row r="64" spans="2:50" ht="14.25" customHeight="1">
      <c r="B64" s="590"/>
      <c r="C64" s="180">
        <v>18</v>
      </c>
      <c r="D64" s="183" t="s">
        <v>407</v>
      </c>
      <c r="E64" s="184">
        <v>4</v>
      </c>
      <c r="F64" s="180">
        <v>3600</v>
      </c>
      <c r="G64" s="185">
        <f t="shared" si="20"/>
        <v>900</v>
      </c>
      <c r="H64" s="595"/>
      <c r="I64" s="186">
        <f t="shared" si="21"/>
        <v>4</v>
      </c>
      <c r="J64" s="186">
        <f t="shared" si="21"/>
        <v>3185.2793514716154</v>
      </c>
      <c r="K64" s="187">
        <f t="shared" si="21"/>
        <v>796.31983786790386</v>
      </c>
      <c r="L64" s="596"/>
      <c r="M64" s="186">
        <f>RANK(K64, K$47:$K$82)</f>
        <v>16</v>
      </c>
      <c r="N64" s="592"/>
      <c r="O64" s="593"/>
      <c r="P64" s="188">
        <v>4</v>
      </c>
      <c r="Q64" s="188">
        <v>3186.9764943287578</v>
      </c>
      <c r="R64" s="185">
        <f t="shared" si="18"/>
        <v>796.74412358218945</v>
      </c>
      <c r="S64" s="182">
        <f t="shared" si="22"/>
        <v>15</v>
      </c>
      <c r="T64" s="594"/>
      <c r="U64" s="188">
        <v>4</v>
      </c>
      <c r="V64" s="188">
        <v>3186.9764943287582</v>
      </c>
      <c r="W64" s="185">
        <f t="shared" si="19"/>
        <v>796.74412358218956</v>
      </c>
      <c r="X64" s="182">
        <f t="shared" si="23"/>
        <v>15</v>
      </c>
      <c r="Y64" s="594"/>
      <c r="Z64" s="188">
        <v>4</v>
      </c>
      <c r="AA64" s="188">
        <v>3186.256494328758</v>
      </c>
      <c r="AB64" s="185">
        <f t="shared" si="24"/>
        <v>796.5641235821895</v>
      </c>
      <c r="AC64" s="182">
        <f t="shared" si="25"/>
        <v>15</v>
      </c>
      <c r="AD64" s="594"/>
      <c r="AE64" s="188">
        <v>4</v>
      </c>
      <c r="AF64" s="188">
        <v>3185.176494328759</v>
      </c>
      <c r="AG64" s="185">
        <f t="shared" si="26"/>
        <v>796.29412358218974</v>
      </c>
      <c r="AH64" s="182">
        <f t="shared" si="27"/>
        <v>16</v>
      </c>
      <c r="AI64" s="594"/>
      <c r="AJ64" s="188">
        <v>4</v>
      </c>
      <c r="AK64" s="188">
        <v>3185.1764943287581</v>
      </c>
      <c r="AL64" s="185">
        <f t="shared" si="28"/>
        <v>796.29412358218951</v>
      </c>
      <c r="AM64" s="182">
        <f t="shared" si="29"/>
        <v>16</v>
      </c>
      <c r="AN64" s="594"/>
      <c r="AO64" s="188">
        <v>4</v>
      </c>
      <c r="AP64" s="188">
        <v>3183.7364943287589</v>
      </c>
      <c r="AQ64" s="185">
        <f t="shared" si="30"/>
        <v>795.93412358218973</v>
      </c>
      <c r="AR64" s="182">
        <f t="shared" si="31"/>
        <v>16</v>
      </c>
      <c r="AS64" s="594"/>
      <c r="AT64" s="188">
        <v>4</v>
      </c>
      <c r="AU64" s="188">
        <v>3182.6564943287585</v>
      </c>
      <c r="AV64" s="185">
        <f t="shared" si="32"/>
        <v>795.66412358218963</v>
      </c>
      <c r="AW64" s="182">
        <f t="shared" si="33"/>
        <v>16</v>
      </c>
      <c r="AX64" s="594"/>
    </row>
    <row r="65" spans="2:50" ht="14.25" customHeight="1">
      <c r="B65" s="590"/>
      <c r="C65" s="180">
        <v>19</v>
      </c>
      <c r="D65" s="183" t="s">
        <v>346</v>
      </c>
      <c r="E65" s="184">
        <v>5</v>
      </c>
      <c r="F65" s="180">
        <v>3300</v>
      </c>
      <c r="G65" s="185">
        <f t="shared" si="20"/>
        <v>660</v>
      </c>
      <c r="H65" s="595"/>
      <c r="I65" s="186">
        <f t="shared" si="21"/>
        <v>5</v>
      </c>
      <c r="J65" s="186">
        <f t="shared" si="21"/>
        <v>2959.7150515859435</v>
      </c>
      <c r="K65" s="187">
        <f t="shared" si="21"/>
        <v>591.94301031718874</v>
      </c>
      <c r="L65" s="596"/>
      <c r="M65" s="186">
        <f>RANK(K65, K$47:$K$82)</f>
        <v>28</v>
      </c>
      <c r="N65" s="592"/>
      <c r="O65" s="593"/>
      <c r="P65" s="188">
        <v>5</v>
      </c>
      <c r="Q65" s="188">
        <v>2949.5505155953133</v>
      </c>
      <c r="R65" s="185">
        <f t="shared" si="18"/>
        <v>589.91010311906268</v>
      </c>
      <c r="S65" s="182">
        <f t="shared" si="22"/>
        <v>28</v>
      </c>
      <c r="T65" s="594"/>
      <c r="U65" s="188">
        <v>5</v>
      </c>
      <c r="V65" s="188">
        <v>2956.2393890508674</v>
      </c>
      <c r="W65" s="185">
        <f t="shared" si="19"/>
        <v>591.24787781017346</v>
      </c>
      <c r="X65" s="182">
        <f t="shared" si="23"/>
        <v>28</v>
      </c>
      <c r="Y65" s="594"/>
      <c r="Z65" s="188">
        <v>5</v>
      </c>
      <c r="AA65" s="188">
        <v>2956.8095460290037</v>
      </c>
      <c r="AB65" s="185">
        <f t="shared" si="24"/>
        <v>591.36190920580077</v>
      </c>
      <c r="AC65" s="182">
        <f t="shared" si="25"/>
        <v>28</v>
      </c>
      <c r="AD65" s="594"/>
      <c r="AE65" s="188">
        <v>5</v>
      </c>
      <c r="AF65" s="188">
        <v>2963.8633770291053</v>
      </c>
      <c r="AG65" s="185">
        <f t="shared" si="26"/>
        <v>592.77267540582102</v>
      </c>
      <c r="AH65" s="182">
        <f t="shared" si="27"/>
        <v>28</v>
      </c>
      <c r="AI65" s="594"/>
      <c r="AJ65" s="188">
        <v>5</v>
      </c>
      <c r="AK65" s="188">
        <v>2964.6175111324383</v>
      </c>
      <c r="AL65" s="185">
        <f t="shared" si="28"/>
        <v>592.9235022264877</v>
      </c>
      <c r="AM65" s="182">
        <f t="shared" si="29"/>
        <v>27</v>
      </c>
      <c r="AN65" s="594"/>
      <c r="AO65" s="188">
        <v>5</v>
      </c>
      <c r="AP65" s="188">
        <v>2963.627511132438</v>
      </c>
      <c r="AQ65" s="185">
        <f t="shared" si="30"/>
        <v>592.72550222648761</v>
      </c>
      <c r="AR65" s="182">
        <f t="shared" si="31"/>
        <v>28</v>
      </c>
      <c r="AS65" s="594"/>
      <c r="AT65" s="188">
        <v>5</v>
      </c>
      <c r="AU65" s="188">
        <v>2963.2975111324386</v>
      </c>
      <c r="AV65" s="185">
        <f t="shared" si="32"/>
        <v>592.65950222648769</v>
      </c>
      <c r="AW65" s="182">
        <f t="shared" si="33"/>
        <v>28</v>
      </c>
      <c r="AX65" s="594"/>
    </row>
    <row r="66" spans="2:50" ht="14.25" customHeight="1">
      <c r="B66" s="590"/>
      <c r="C66" s="180">
        <v>20</v>
      </c>
      <c r="D66" s="183" t="s">
        <v>401</v>
      </c>
      <c r="E66" s="184">
        <v>3</v>
      </c>
      <c r="F66" s="180">
        <v>3600</v>
      </c>
      <c r="G66" s="185">
        <f t="shared" si="20"/>
        <v>1200</v>
      </c>
      <c r="H66" s="595"/>
      <c r="I66" s="186">
        <f t="shared" si="21"/>
        <v>3</v>
      </c>
      <c r="J66" s="186">
        <f t="shared" si="21"/>
        <v>3179.2564621266074</v>
      </c>
      <c r="K66" s="187">
        <f t="shared" si="21"/>
        <v>1059.7521540422026</v>
      </c>
      <c r="L66" s="596"/>
      <c r="M66" s="186">
        <f>RANK(K66, K$47:$K$82)</f>
        <v>6</v>
      </c>
      <c r="N66" s="592"/>
      <c r="O66" s="593"/>
      <c r="P66" s="188">
        <v>3</v>
      </c>
      <c r="Q66" s="188">
        <v>3174.2907185122576</v>
      </c>
      <c r="R66" s="185">
        <f t="shared" si="18"/>
        <v>1058.0969061707526</v>
      </c>
      <c r="S66" s="182">
        <f t="shared" si="22"/>
        <v>8</v>
      </c>
      <c r="T66" s="594"/>
      <c r="U66" s="188">
        <v>3</v>
      </c>
      <c r="V66" s="188">
        <v>3173.5707185122578</v>
      </c>
      <c r="W66" s="185">
        <f t="shared" si="19"/>
        <v>1057.8569061707526</v>
      </c>
      <c r="X66" s="182">
        <f t="shared" si="23"/>
        <v>8</v>
      </c>
      <c r="Y66" s="594"/>
      <c r="Z66" s="188">
        <v>3</v>
      </c>
      <c r="AA66" s="188">
        <v>3181.2470289230387</v>
      </c>
      <c r="AB66" s="185">
        <f t="shared" si="24"/>
        <v>1060.4156763076796</v>
      </c>
      <c r="AC66" s="182">
        <f t="shared" si="25"/>
        <v>6</v>
      </c>
      <c r="AD66" s="594"/>
      <c r="AE66" s="188">
        <v>3</v>
      </c>
      <c r="AF66" s="188">
        <v>3182.3216922346746</v>
      </c>
      <c r="AG66" s="185">
        <f t="shared" si="26"/>
        <v>1060.7738974115582</v>
      </c>
      <c r="AH66" s="182">
        <f t="shared" si="27"/>
        <v>4</v>
      </c>
      <c r="AI66" s="594"/>
      <c r="AJ66" s="188">
        <v>3</v>
      </c>
      <c r="AK66" s="188">
        <v>3180.8816922346746</v>
      </c>
      <c r="AL66" s="185">
        <f t="shared" si="28"/>
        <v>1060.2938974115582</v>
      </c>
      <c r="AM66" s="182">
        <f t="shared" si="29"/>
        <v>5</v>
      </c>
      <c r="AN66" s="594"/>
      <c r="AO66" s="188">
        <v>3</v>
      </c>
      <c r="AP66" s="188">
        <v>3181.6016922346744</v>
      </c>
      <c r="AQ66" s="185">
        <f t="shared" si="30"/>
        <v>1060.5338974115582</v>
      </c>
      <c r="AR66" s="182">
        <f t="shared" si="31"/>
        <v>6</v>
      </c>
      <c r="AS66" s="594"/>
      <c r="AT66" s="188">
        <v>3</v>
      </c>
      <c r="AU66" s="188">
        <v>3180.881692234675</v>
      </c>
      <c r="AV66" s="185">
        <f t="shared" si="32"/>
        <v>1060.2938974115584</v>
      </c>
      <c r="AW66" s="182">
        <f t="shared" si="33"/>
        <v>7</v>
      </c>
      <c r="AX66" s="594"/>
    </row>
    <row r="67" spans="2:50" ht="14.25" customHeight="1">
      <c r="B67" s="590"/>
      <c r="C67" s="180">
        <v>21</v>
      </c>
      <c r="D67" s="183" t="s">
        <v>577</v>
      </c>
      <c r="E67" s="184">
        <v>4</v>
      </c>
      <c r="F67" s="180">
        <v>3600</v>
      </c>
      <c r="G67" s="185">
        <f t="shared" si="20"/>
        <v>900</v>
      </c>
      <c r="H67" s="595"/>
      <c r="I67" s="186">
        <f t="shared" si="21"/>
        <v>4</v>
      </c>
      <c r="J67" s="186">
        <f t="shared" si="21"/>
        <v>3189.2914285714278</v>
      </c>
      <c r="K67" s="187">
        <f t="shared" si="21"/>
        <v>797.32285714285695</v>
      </c>
      <c r="L67" s="596"/>
      <c r="M67" s="186">
        <f>RANK(K67, K$47:$K$82)</f>
        <v>14</v>
      </c>
      <c r="N67" s="592"/>
      <c r="O67" s="593"/>
      <c r="P67" s="188">
        <v>4</v>
      </c>
      <c r="Q67" s="188">
        <v>3187.4399999999991</v>
      </c>
      <c r="R67" s="185">
        <f t="shared" si="18"/>
        <v>796.85999999999979</v>
      </c>
      <c r="S67" s="182">
        <f t="shared" si="22"/>
        <v>14</v>
      </c>
      <c r="T67" s="594"/>
      <c r="U67" s="188">
        <v>4</v>
      </c>
      <c r="V67" s="188">
        <v>3188.8799999999983</v>
      </c>
      <c r="W67" s="185">
        <f t="shared" si="19"/>
        <v>797.21999999999957</v>
      </c>
      <c r="X67" s="182">
        <f t="shared" si="23"/>
        <v>14</v>
      </c>
      <c r="Y67" s="594"/>
      <c r="Z67" s="188">
        <v>4</v>
      </c>
      <c r="AA67" s="188">
        <v>3188.5199999999995</v>
      </c>
      <c r="AB67" s="185">
        <f t="shared" si="24"/>
        <v>797.12999999999988</v>
      </c>
      <c r="AC67" s="182">
        <f t="shared" si="25"/>
        <v>14</v>
      </c>
      <c r="AD67" s="594"/>
      <c r="AE67" s="188">
        <v>4</v>
      </c>
      <c r="AF67" s="188">
        <v>3189.9599999999991</v>
      </c>
      <c r="AG67" s="185">
        <f t="shared" si="26"/>
        <v>797.48999999999978</v>
      </c>
      <c r="AH67" s="182">
        <f t="shared" si="27"/>
        <v>14</v>
      </c>
      <c r="AI67" s="594"/>
      <c r="AJ67" s="188">
        <v>4</v>
      </c>
      <c r="AK67" s="188">
        <v>3190.3199999999997</v>
      </c>
      <c r="AL67" s="185">
        <f t="shared" si="28"/>
        <v>797.57999999999993</v>
      </c>
      <c r="AM67" s="182">
        <f t="shared" si="29"/>
        <v>14</v>
      </c>
      <c r="AN67" s="594"/>
      <c r="AO67" s="188">
        <v>4</v>
      </c>
      <c r="AP67" s="188">
        <v>3190.6799999999994</v>
      </c>
      <c r="AQ67" s="185">
        <f t="shared" si="30"/>
        <v>797.66999999999985</v>
      </c>
      <c r="AR67" s="182">
        <f t="shared" si="31"/>
        <v>14</v>
      </c>
      <c r="AS67" s="594"/>
      <c r="AT67" s="188">
        <v>4</v>
      </c>
      <c r="AU67" s="188">
        <v>3189.24</v>
      </c>
      <c r="AV67" s="185">
        <f t="shared" si="32"/>
        <v>797.31</v>
      </c>
      <c r="AW67" s="182">
        <f t="shared" si="33"/>
        <v>14</v>
      </c>
      <c r="AX67" s="594"/>
    </row>
    <row r="68" spans="2:50" ht="14.25" customHeight="1">
      <c r="B68" s="590"/>
      <c r="C68" s="180">
        <v>22</v>
      </c>
      <c r="D68" s="183" t="s">
        <v>404</v>
      </c>
      <c r="E68" s="184">
        <v>3</v>
      </c>
      <c r="F68" s="180">
        <v>3600</v>
      </c>
      <c r="G68" s="185">
        <f>F68/E68</f>
        <v>1200</v>
      </c>
      <c r="H68" s="595"/>
      <c r="I68" s="186">
        <f t="shared" si="21"/>
        <v>3</v>
      </c>
      <c r="J68" s="186">
        <f t="shared" si="21"/>
        <v>3178.4224805796716</v>
      </c>
      <c r="K68" s="187">
        <f t="shared" si="21"/>
        <v>1059.474160193224</v>
      </c>
      <c r="L68" s="596"/>
      <c r="M68" s="186">
        <f>RANK(K68, K$47:$K$82)</f>
        <v>7</v>
      </c>
      <c r="N68" s="592"/>
      <c r="O68" s="593"/>
      <c r="P68" s="188">
        <v>3</v>
      </c>
      <c r="Q68" s="188">
        <v>3177.323173277673</v>
      </c>
      <c r="R68" s="185">
        <f t="shared" si="18"/>
        <v>1059.1077244258911</v>
      </c>
      <c r="S68" s="182">
        <f t="shared" si="22"/>
        <v>7</v>
      </c>
      <c r="T68" s="594"/>
      <c r="U68" s="188">
        <v>3</v>
      </c>
      <c r="V68" s="188">
        <v>3175.883173277673</v>
      </c>
      <c r="W68" s="185">
        <f t="shared" si="19"/>
        <v>1058.6277244258911</v>
      </c>
      <c r="X68" s="182">
        <f t="shared" si="23"/>
        <v>7</v>
      </c>
      <c r="Y68" s="594"/>
      <c r="Z68" s="188">
        <v>3</v>
      </c>
      <c r="AA68" s="188">
        <v>3175.5231732776733</v>
      </c>
      <c r="AB68" s="185">
        <f t="shared" si="24"/>
        <v>1058.5077244258912</v>
      </c>
      <c r="AC68" s="182">
        <f t="shared" si="25"/>
        <v>8</v>
      </c>
      <c r="AD68" s="594"/>
      <c r="AE68" s="188">
        <v>3</v>
      </c>
      <c r="AF68" s="188">
        <v>3174.8031732776731</v>
      </c>
      <c r="AG68" s="185">
        <f t="shared" si="26"/>
        <v>1058.2677244258909</v>
      </c>
      <c r="AH68" s="182">
        <f t="shared" si="27"/>
        <v>8</v>
      </c>
      <c r="AI68" s="594"/>
      <c r="AJ68" s="188">
        <v>3</v>
      </c>
      <c r="AK68" s="188">
        <v>3173.7231732776731</v>
      </c>
      <c r="AL68" s="185">
        <f t="shared" si="28"/>
        <v>1057.907724425891</v>
      </c>
      <c r="AM68" s="182">
        <f t="shared" si="29"/>
        <v>8</v>
      </c>
      <c r="AN68" s="594"/>
      <c r="AO68" s="188">
        <v>3</v>
      </c>
      <c r="AP68" s="188">
        <v>3184.7454378678117</v>
      </c>
      <c r="AQ68" s="185">
        <f t="shared" si="30"/>
        <v>1061.5818126226038</v>
      </c>
      <c r="AR68" s="182">
        <f t="shared" si="31"/>
        <v>2</v>
      </c>
      <c r="AS68" s="594"/>
      <c r="AT68" s="188">
        <v>3</v>
      </c>
      <c r="AU68" s="188">
        <v>3186.9560598015241</v>
      </c>
      <c r="AV68" s="185">
        <f t="shared" si="32"/>
        <v>1062.318686600508</v>
      </c>
      <c r="AW68" s="182">
        <f t="shared" si="33"/>
        <v>2</v>
      </c>
      <c r="AX68" s="594"/>
    </row>
    <row r="69" spans="2:50" ht="14.25" customHeight="1">
      <c r="B69" s="590"/>
      <c r="C69" s="180">
        <v>23</v>
      </c>
      <c r="D69" s="183" t="s">
        <v>403</v>
      </c>
      <c r="E69" s="184">
        <v>5</v>
      </c>
      <c r="F69" s="180">
        <v>3600</v>
      </c>
      <c r="G69" s="185">
        <f t="shared" ref="G69:G79" si="34">F69/E69</f>
        <v>720</v>
      </c>
      <c r="H69" s="595"/>
      <c r="I69" s="186">
        <f t="shared" si="21"/>
        <v>5</v>
      </c>
      <c r="J69" s="186">
        <f t="shared" si="21"/>
        <v>3186.0746346893638</v>
      </c>
      <c r="K69" s="187">
        <f t="shared" si="21"/>
        <v>637.21492693787275</v>
      </c>
      <c r="L69" s="596"/>
      <c r="M69" s="186">
        <f>RANK(K69, K$47:$K$82)</f>
        <v>22</v>
      </c>
      <c r="N69" s="592"/>
      <c r="O69" s="593"/>
      <c r="P69" s="188">
        <v>5</v>
      </c>
      <c r="Q69" s="188">
        <v>3187.6174918322213</v>
      </c>
      <c r="R69" s="185">
        <f t="shared" si="18"/>
        <v>637.5234983664443</v>
      </c>
      <c r="S69" s="182">
        <f t="shared" si="22"/>
        <v>21</v>
      </c>
      <c r="T69" s="594"/>
      <c r="U69" s="188">
        <v>5</v>
      </c>
      <c r="V69" s="188">
        <v>3186.1774918322217</v>
      </c>
      <c r="W69" s="185">
        <f t="shared" si="19"/>
        <v>637.23549836644429</v>
      </c>
      <c r="X69" s="182">
        <f t="shared" si="23"/>
        <v>24</v>
      </c>
      <c r="Y69" s="594"/>
      <c r="Z69" s="188">
        <v>5</v>
      </c>
      <c r="AA69" s="188">
        <v>3186.5374918322213</v>
      </c>
      <c r="AB69" s="185">
        <f t="shared" si="24"/>
        <v>637.30749836644429</v>
      </c>
      <c r="AC69" s="182">
        <f t="shared" si="25"/>
        <v>21</v>
      </c>
      <c r="AD69" s="594"/>
      <c r="AE69" s="188">
        <v>5</v>
      </c>
      <c r="AF69" s="188">
        <v>3185.0974918322213</v>
      </c>
      <c r="AG69" s="185">
        <f t="shared" si="26"/>
        <v>637.01949836644428</v>
      </c>
      <c r="AH69" s="182">
        <f t="shared" si="27"/>
        <v>24</v>
      </c>
      <c r="AI69" s="594"/>
      <c r="AJ69" s="188">
        <v>5</v>
      </c>
      <c r="AK69" s="188">
        <v>3185.457491832221</v>
      </c>
      <c r="AL69" s="185">
        <f t="shared" si="28"/>
        <v>637.09149836644417</v>
      </c>
      <c r="AM69" s="182">
        <f t="shared" si="29"/>
        <v>24</v>
      </c>
      <c r="AN69" s="594"/>
      <c r="AO69" s="188">
        <v>5</v>
      </c>
      <c r="AP69" s="188">
        <v>3185.4574918322205</v>
      </c>
      <c r="AQ69" s="185">
        <f t="shared" si="30"/>
        <v>637.09149836644406</v>
      </c>
      <c r="AR69" s="182">
        <f t="shared" si="31"/>
        <v>23</v>
      </c>
      <c r="AS69" s="594"/>
      <c r="AT69" s="188">
        <v>5</v>
      </c>
      <c r="AU69" s="188">
        <v>3186.1774918322208</v>
      </c>
      <c r="AV69" s="185">
        <f t="shared" si="32"/>
        <v>637.23549836644418</v>
      </c>
      <c r="AW69" s="182">
        <f t="shared" si="33"/>
        <v>22</v>
      </c>
      <c r="AX69" s="594"/>
    </row>
    <row r="70" spans="2:50" ht="14.25" customHeight="1">
      <c r="B70" s="590"/>
      <c r="C70" s="180">
        <v>24</v>
      </c>
      <c r="D70" s="183" t="s">
        <v>400</v>
      </c>
      <c r="E70" s="184">
        <v>5</v>
      </c>
      <c r="F70" s="180">
        <v>3600</v>
      </c>
      <c r="G70" s="185">
        <f t="shared" si="34"/>
        <v>720</v>
      </c>
      <c r="H70" s="595"/>
      <c r="I70" s="186">
        <f t="shared" si="21"/>
        <v>5</v>
      </c>
      <c r="J70" s="186">
        <f t="shared" si="21"/>
        <v>3185.7917796373831</v>
      </c>
      <c r="K70" s="187">
        <f t="shared" si="21"/>
        <v>637.15835592747669</v>
      </c>
      <c r="L70" s="596"/>
      <c r="M70" s="186">
        <f>RANK(K70, K$47:$K$82)</f>
        <v>23</v>
      </c>
      <c r="N70" s="592"/>
      <c r="O70" s="593"/>
      <c r="P70" s="188">
        <v>5</v>
      </c>
      <c r="Q70" s="188">
        <v>3185.0717796373829</v>
      </c>
      <c r="R70" s="185">
        <f t="shared" si="18"/>
        <v>637.01435592747657</v>
      </c>
      <c r="S70" s="182">
        <f t="shared" si="22"/>
        <v>25</v>
      </c>
      <c r="T70" s="594"/>
      <c r="U70" s="188">
        <v>5</v>
      </c>
      <c r="V70" s="188">
        <v>3186.8717796373821</v>
      </c>
      <c r="W70" s="185">
        <f t="shared" si="19"/>
        <v>637.37435592747647</v>
      </c>
      <c r="X70" s="182">
        <f t="shared" si="23"/>
        <v>22</v>
      </c>
      <c r="Y70" s="594"/>
      <c r="Z70" s="188">
        <v>5</v>
      </c>
      <c r="AA70" s="188">
        <v>3185.7917796373827</v>
      </c>
      <c r="AB70" s="185">
        <f t="shared" si="24"/>
        <v>637.15835592747658</v>
      </c>
      <c r="AC70" s="182">
        <f t="shared" si="25"/>
        <v>24</v>
      </c>
      <c r="AD70" s="594"/>
      <c r="AE70" s="188">
        <v>5</v>
      </c>
      <c r="AF70" s="188">
        <v>3185.431779637383</v>
      </c>
      <c r="AG70" s="185">
        <f t="shared" si="26"/>
        <v>637.08635592747657</v>
      </c>
      <c r="AH70" s="182">
        <f t="shared" si="27"/>
        <v>23</v>
      </c>
      <c r="AI70" s="594"/>
      <c r="AJ70" s="188">
        <v>5</v>
      </c>
      <c r="AK70" s="188">
        <v>3185.7917796373831</v>
      </c>
      <c r="AL70" s="185">
        <f t="shared" si="28"/>
        <v>637.15835592747658</v>
      </c>
      <c r="AM70" s="182">
        <f t="shared" si="29"/>
        <v>23</v>
      </c>
      <c r="AN70" s="594"/>
      <c r="AO70" s="188">
        <v>5</v>
      </c>
      <c r="AP70" s="188">
        <v>3185.7917796373831</v>
      </c>
      <c r="AQ70" s="185">
        <f t="shared" si="30"/>
        <v>637.15835592747658</v>
      </c>
      <c r="AR70" s="182">
        <f t="shared" si="31"/>
        <v>22</v>
      </c>
      <c r="AS70" s="594"/>
      <c r="AT70" s="188">
        <v>5</v>
      </c>
      <c r="AU70" s="188">
        <v>3185.7917796373831</v>
      </c>
      <c r="AV70" s="185">
        <f t="shared" si="32"/>
        <v>637.15835592747658</v>
      </c>
      <c r="AW70" s="182">
        <f t="shared" si="33"/>
        <v>24</v>
      </c>
      <c r="AX70" s="594"/>
    </row>
    <row r="71" spans="2:50" ht="14.25" customHeight="1">
      <c r="B71" s="590"/>
      <c r="C71" s="180">
        <v>25</v>
      </c>
      <c r="D71" s="183" t="s">
        <v>402</v>
      </c>
      <c r="E71" s="184">
        <v>3</v>
      </c>
      <c r="F71" s="180">
        <v>3000</v>
      </c>
      <c r="G71" s="185">
        <f t="shared" si="34"/>
        <v>1000</v>
      </c>
      <c r="H71" s="595"/>
      <c r="I71" s="186">
        <f t="shared" si="21"/>
        <v>3</v>
      </c>
      <c r="J71" s="186">
        <f t="shared" si="21"/>
        <v>2705.5958588637918</v>
      </c>
      <c r="K71" s="187">
        <f t="shared" si="21"/>
        <v>901.86528628793053</v>
      </c>
      <c r="L71" s="596"/>
      <c r="M71" s="186">
        <f>RANK(K71, K$47:$K$82)</f>
        <v>12</v>
      </c>
      <c r="N71" s="592"/>
      <c r="O71" s="593"/>
      <c r="P71" s="188">
        <v>3</v>
      </c>
      <c r="Q71" s="188">
        <v>2706.8387160066486</v>
      </c>
      <c r="R71" s="185">
        <f t="shared" si="18"/>
        <v>902.27957200221624</v>
      </c>
      <c r="S71" s="182">
        <f t="shared" si="22"/>
        <v>12</v>
      </c>
      <c r="T71" s="594"/>
      <c r="U71" s="188">
        <v>3</v>
      </c>
      <c r="V71" s="188">
        <v>2705.6387160066488</v>
      </c>
      <c r="W71" s="185">
        <f t="shared" si="19"/>
        <v>901.87957200221626</v>
      </c>
      <c r="X71" s="182">
        <f t="shared" si="23"/>
        <v>13</v>
      </c>
      <c r="Y71" s="594"/>
      <c r="Z71" s="188">
        <v>3</v>
      </c>
      <c r="AA71" s="188">
        <v>2706.2387160066482</v>
      </c>
      <c r="AB71" s="185">
        <f t="shared" si="24"/>
        <v>902.07957200221608</v>
      </c>
      <c r="AC71" s="182">
        <f t="shared" si="25"/>
        <v>13</v>
      </c>
      <c r="AD71" s="594"/>
      <c r="AE71" s="188">
        <v>3</v>
      </c>
      <c r="AF71" s="188">
        <v>2705.3387160066486</v>
      </c>
      <c r="AG71" s="185">
        <f t="shared" si="26"/>
        <v>901.77957200221624</v>
      </c>
      <c r="AH71" s="182">
        <f t="shared" si="27"/>
        <v>13</v>
      </c>
      <c r="AI71" s="594"/>
      <c r="AJ71" s="188">
        <v>3</v>
      </c>
      <c r="AK71" s="188">
        <v>2704.7387160066492</v>
      </c>
      <c r="AL71" s="185">
        <f t="shared" si="28"/>
        <v>901.57957200221642</v>
      </c>
      <c r="AM71" s="182">
        <f t="shared" si="29"/>
        <v>13</v>
      </c>
      <c r="AN71" s="594"/>
      <c r="AO71" s="188">
        <v>3</v>
      </c>
      <c r="AP71" s="188">
        <v>2704.7387160066492</v>
      </c>
      <c r="AQ71" s="185">
        <f t="shared" si="30"/>
        <v>901.57957200221642</v>
      </c>
      <c r="AR71" s="182">
        <f t="shared" si="31"/>
        <v>13</v>
      </c>
      <c r="AS71" s="594"/>
      <c r="AT71" s="188">
        <v>3</v>
      </c>
      <c r="AU71" s="188">
        <v>2705.6387160066492</v>
      </c>
      <c r="AV71" s="185">
        <f t="shared" si="32"/>
        <v>901.87957200221638</v>
      </c>
      <c r="AW71" s="182">
        <f t="shared" si="33"/>
        <v>12</v>
      </c>
      <c r="AX71" s="594"/>
    </row>
    <row r="72" spans="2:50" ht="14.25" customHeight="1">
      <c r="B72" s="590"/>
      <c r="C72" s="180">
        <v>26</v>
      </c>
      <c r="D72" s="183" t="s">
        <v>442</v>
      </c>
      <c r="E72" s="184">
        <v>3</v>
      </c>
      <c r="F72" s="180">
        <v>3600</v>
      </c>
      <c r="G72" s="185">
        <f t="shared" si="34"/>
        <v>1200</v>
      </c>
      <c r="H72" s="595"/>
      <c r="I72" s="186">
        <f t="shared" si="21"/>
        <v>3</v>
      </c>
      <c r="J72" s="186">
        <f t="shared" si="21"/>
        <v>3195.1266541956898</v>
      </c>
      <c r="K72" s="187">
        <f t="shared" si="21"/>
        <v>1065.0422180652299</v>
      </c>
      <c r="L72" s="596"/>
      <c r="M72" s="186">
        <f>RANK(K72, K$47:$K$82)</f>
        <v>1</v>
      </c>
      <c r="N72" s="592"/>
      <c r="O72" s="593"/>
      <c r="P72" s="188">
        <v>3</v>
      </c>
      <c r="Q72" s="188">
        <v>3196.1247556532403</v>
      </c>
      <c r="R72" s="185">
        <f t="shared" si="18"/>
        <v>1065.3749185510801</v>
      </c>
      <c r="S72" s="182">
        <f t="shared" si="22"/>
        <v>1</v>
      </c>
      <c r="T72" s="594"/>
      <c r="U72" s="188">
        <v>3</v>
      </c>
      <c r="V72" s="188">
        <v>3196.4847556532404</v>
      </c>
      <c r="W72" s="185">
        <f t="shared" si="19"/>
        <v>1065.4949185510802</v>
      </c>
      <c r="X72" s="182">
        <f t="shared" si="23"/>
        <v>1</v>
      </c>
      <c r="Y72" s="594"/>
      <c r="Z72" s="188">
        <v>3</v>
      </c>
      <c r="AA72" s="188">
        <v>3197.5647556532408</v>
      </c>
      <c r="AB72" s="185">
        <f t="shared" si="24"/>
        <v>1065.8549185510803</v>
      </c>
      <c r="AC72" s="182">
        <f t="shared" si="25"/>
        <v>1</v>
      </c>
      <c r="AD72" s="594"/>
      <c r="AE72" s="188">
        <v>3</v>
      </c>
      <c r="AF72" s="188">
        <v>3199.3647556532414</v>
      </c>
      <c r="AG72" s="185">
        <f t="shared" si="26"/>
        <v>1066.4549185510805</v>
      </c>
      <c r="AH72" s="182">
        <f t="shared" si="27"/>
        <v>1</v>
      </c>
      <c r="AI72" s="594"/>
      <c r="AJ72" s="188">
        <v>3</v>
      </c>
      <c r="AK72" s="188">
        <v>3200.0847556532417</v>
      </c>
      <c r="AL72" s="185">
        <f t="shared" si="28"/>
        <v>1066.6949185510805</v>
      </c>
      <c r="AM72" s="182">
        <f t="shared" si="29"/>
        <v>1</v>
      </c>
      <c r="AN72" s="594"/>
      <c r="AO72" s="188">
        <v>3</v>
      </c>
      <c r="AP72" s="188">
        <v>3189.1004503814238</v>
      </c>
      <c r="AQ72" s="185">
        <f t="shared" si="30"/>
        <v>1063.0334834604746</v>
      </c>
      <c r="AR72" s="182">
        <f t="shared" si="31"/>
        <v>1</v>
      </c>
      <c r="AS72" s="594"/>
      <c r="AT72" s="188">
        <v>3</v>
      </c>
      <c r="AU72" s="188">
        <v>3187.1623507222021</v>
      </c>
      <c r="AV72" s="185">
        <f t="shared" si="32"/>
        <v>1062.3874502407341</v>
      </c>
      <c r="AW72" s="182">
        <f t="shared" si="33"/>
        <v>1</v>
      </c>
      <c r="AX72" s="594"/>
    </row>
    <row r="73" spans="2:50" ht="14.25" customHeight="1">
      <c r="B73" s="590"/>
      <c r="C73" s="180">
        <v>27</v>
      </c>
      <c r="D73" s="183" t="s">
        <v>450</v>
      </c>
      <c r="E73" s="184">
        <v>4</v>
      </c>
      <c r="F73" s="180">
        <v>3000</v>
      </c>
      <c r="G73" s="185">
        <f t="shared" si="34"/>
        <v>750</v>
      </c>
      <c r="H73" s="595"/>
      <c r="I73" s="186">
        <f t="shared" si="21"/>
        <v>4</v>
      </c>
      <c r="J73" s="186">
        <f t="shared" si="21"/>
        <v>2690.4453150377076</v>
      </c>
      <c r="K73" s="187">
        <f t="shared" si="21"/>
        <v>672.6113287594269</v>
      </c>
      <c r="L73" s="596"/>
      <c r="M73" s="186">
        <f>RANK(K73, K$47:$K$82)</f>
        <v>18</v>
      </c>
      <c r="N73" s="592"/>
      <c r="O73" s="593"/>
      <c r="P73" s="188">
        <v>4</v>
      </c>
      <c r="Q73" s="188">
        <v>2688.8572552203022</v>
      </c>
      <c r="R73" s="185">
        <f t="shared" si="18"/>
        <v>672.21431380507556</v>
      </c>
      <c r="S73" s="182">
        <f t="shared" si="22"/>
        <v>18</v>
      </c>
      <c r="T73" s="594"/>
      <c r="U73" s="188">
        <v>4</v>
      </c>
      <c r="V73" s="188">
        <v>2688.5572552203021</v>
      </c>
      <c r="W73" s="185">
        <f t="shared" si="19"/>
        <v>672.13931380507552</v>
      </c>
      <c r="X73" s="182">
        <f t="shared" si="23"/>
        <v>18</v>
      </c>
      <c r="Y73" s="594"/>
      <c r="Z73" s="188">
        <v>4</v>
      </c>
      <c r="AA73" s="188">
        <v>2689.4572552203017</v>
      </c>
      <c r="AB73" s="185">
        <f t="shared" si="24"/>
        <v>672.36431380507543</v>
      </c>
      <c r="AC73" s="182">
        <f t="shared" si="25"/>
        <v>18</v>
      </c>
      <c r="AD73" s="594"/>
      <c r="AE73" s="188">
        <v>4</v>
      </c>
      <c r="AF73" s="188">
        <v>2688.1098724378417</v>
      </c>
      <c r="AG73" s="185">
        <f t="shared" si="26"/>
        <v>672.02746810946041</v>
      </c>
      <c r="AH73" s="182">
        <f t="shared" si="27"/>
        <v>18</v>
      </c>
      <c r="AI73" s="594"/>
      <c r="AJ73" s="188">
        <v>4</v>
      </c>
      <c r="AK73" s="188">
        <v>2688.7098724378416</v>
      </c>
      <c r="AL73" s="185">
        <f t="shared" si="28"/>
        <v>672.17746810946039</v>
      </c>
      <c r="AM73" s="182">
        <f t="shared" si="29"/>
        <v>18</v>
      </c>
      <c r="AN73" s="594"/>
      <c r="AO73" s="188">
        <v>4</v>
      </c>
      <c r="AP73" s="188">
        <v>2688.3668506014806</v>
      </c>
      <c r="AQ73" s="185">
        <f t="shared" si="30"/>
        <v>672.09171265037014</v>
      </c>
      <c r="AR73" s="182">
        <f t="shared" si="31"/>
        <v>18</v>
      </c>
      <c r="AS73" s="594"/>
      <c r="AT73" s="188">
        <v>4</v>
      </c>
      <c r="AU73" s="188">
        <v>2701.0588441258838</v>
      </c>
      <c r="AV73" s="185">
        <f t="shared" si="32"/>
        <v>675.26471103147094</v>
      </c>
      <c r="AW73" s="182">
        <f t="shared" si="33"/>
        <v>18</v>
      </c>
      <c r="AX73" s="594"/>
    </row>
    <row r="74" spans="2:50" ht="14.25" customHeight="1">
      <c r="B74" s="590"/>
      <c r="C74" s="180">
        <v>28</v>
      </c>
      <c r="D74" s="183" t="s">
        <v>552</v>
      </c>
      <c r="E74" s="184">
        <v>5</v>
      </c>
      <c r="F74" s="180">
        <v>3000</v>
      </c>
      <c r="G74" s="185">
        <f t="shared" si="34"/>
        <v>600</v>
      </c>
      <c r="H74" s="595"/>
      <c r="I74" s="186">
        <f t="shared" si="21"/>
        <v>5</v>
      </c>
      <c r="J74" s="186">
        <f t="shared" si="21"/>
        <v>2689.2965354013172</v>
      </c>
      <c r="K74" s="187">
        <f t="shared" si="21"/>
        <v>537.85930708026342</v>
      </c>
      <c r="L74" s="596"/>
      <c r="M74" s="186">
        <f>RANK(K74, K$47:$K$82)</f>
        <v>29</v>
      </c>
      <c r="N74" s="592"/>
      <c r="O74" s="593"/>
      <c r="P74" s="188">
        <v>5</v>
      </c>
      <c r="Q74" s="188">
        <v>2687.5950146269397</v>
      </c>
      <c r="R74" s="185">
        <f t="shared" si="18"/>
        <v>537.51900292538789</v>
      </c>
      <c r="S74" s="182">
        <f t="shared" si="22"/>
        <v>29</v>
      </c>
      <c r="T74" s="594"/>
      <c r="U74" s="188">
        <v>5</v>
      </c>
      <c r="V74" s="188">
        <v>2686.6950146269396</v>
      </c>
      <c r="W74" s="185">
        <f t="shared" si="19"/>
        <v>537.33900292538794</v>
      </c>
      <c r="X74" s="182">
        <f t="shared" si="23"/>
        <v>29</v>
      </c>
      <c r="Y74" s="594"/>
      <c r="Z74" s="188">
        <v>5</v>
      </c>
      <c r="AA74" s="188">
        <v>2687.6345751628978</v>
      </c>
      <c r="AB74" s="185">
        <f t="shared" si="24"/>
        <v>537.52691503257961</v>
      </c>
      <c r="AC74" s="182">
        <f t="shared" si="25"/>
        <v>29</v>
      </c>
      <c r="AD74" s="594"/>
      <c r="AE74" s="188">
        <v>5</v>
      </c>
      <c r="AF74" s="188">
        <v>2687.8290666531975</v>
      </c>
      <c r="AG74" s="185">
        <f t="shared" si="26"/>
        <v>537.56581333063946</v>
      </c>
      <c r="AH74" s="182">
        <f t="shared" si="27"/>
        <v>29</v>
      </c>
      <c r="AI74" s="594"/>
      <c r="AJ74" s="188">
        <v>5</v>
      </c>
      <c r="AK74" s="188">
        <v>2686.6290666531972</v>
      </c>
      <c r="AL74" s="185">
        <f t="shared" si="28"/>
        <v>537.32581333063945</v>
      </c>
      <c r="AM74" s="182">
        <f t="shared" si="29"/>
        <v>29</v>
      </c>
      <c r="AN74" s="594"/>
      <c r="AO74" s="188">
        <v>5</v>
      </c>
      <c r="AP74" s="188">
        <v>2687.8290666531975</v>
      </c>
      <c r="AQ74" s="185">
        <f t="shared" si="30"/>
        <v>537.56581333063946</v>
      </c>
      <c r="AR74" s="182">
        <f t="shared" si="31"/>
        <v>29</v>
      </c>
      <c r="AS74" s="594"/>
      <c r="AT74" s="188">
        <v>5</v>
      </c>
      <c r="AU74" s="188">
        <v>2700.8639434328516</v>
      </c>
      <c r="AV74" s="185">
        <f t="shared" si="32"/>
        <v>540.17278868657036</v>
      </c>
      <c r="AW74" s="182">
        <f t="shared" si="33"/>
        <v>29</v>
      </c>
      <c r="AX74" s="594"/>
    </row>
    <row r="75" spans="2:50" ht="14.25" customHeight="1">
      <c r="B75" s="590"/>
      <c r="C75" s="180">
        <v>29</v>
      </c>
      <c r="D75" s="183" t="s">
        <v>578</v>
      </c>
      <c r="E75" s="184">
        <v>3</v>
      </c>
      <c r="F75" s="180">
        <v>3300</v>
      </c>
      <c r="G75" s="185">
        <f t="shared" si="34"/>
        <v>1100</v>
      </c>
      <c r="H75" s="595"/>
      <c r="I75" s="186">
        <f t="shared" si="21"/>
        <v>3</v>
      </c>
      <c r="J75" s="186">
        <f t="shared" si="21"/>
        <v>2979.9814293884947</v>
      </c>
      <c r="K75" s="187">
        <f t="shared" si="21"/>
        <v>993.32714312949827</v>
      </c>
      <c r="L75" s="596"/>
      <c r="M75" s="186">
        <f>RANK(K75, K$47:$K$82)</f>
        <v>9</v>
      </c>
      <c r="N75" s="592"/>
      <c r="O75" s="593"/>
      <c r="P75" s="188">
        <v>3</v>
      </c>
      <c r="Q75" s="188">
        <v>2978.8091204815846</v>
      </c>
      <c r="R75" s="185">
        <f t="shared" si="18"/>
        <v>992.93637349386154</v>
      </c>
      <c r="S75" s="182">
        <f t="shared" si="22"/>
        <v>10</v>
      </c>
      <c r="T75" s="594"/>
      <c r="U75" s="188">
        <v>3</v>
      </c>
      <c r="V75" s="188">
        <v>2979.1529618065729</v>
      </c>
      <c r="W75" s="185">
        <f t="shared" si="19"/>
        <v>993.05098726885763</v>
      </c>
      <c r="X75" s="182">
        <f t="shared" si="23"/>
        <v>9</v>
      </c>
      <c r="Y75" s="594"/>
      <c r="Z75" s="188">
        <v>3</v>
      </c>
      <c r="AA75" s="188">
        <v>2979.8129618065732</v>
      </c>
      <c r="AB75" s="185">
        <f t="shared" si="24"/>
        <v>993.27098726885777</v>
      </c>
      <c r="AC75" s="182">
        <f t="shared" si="25"/>
        <v>9</v>
      </c>
      <c r="AD75" s="594"/>
      <c r="AE75" s="188">
        <v>3</v>
      </c>
      <c r="AF75" s="188">
        <v>2981.1329618065729</v>
      </c>
      <c r="AG75" s="185">
        <f t="shared" si="26"/>
        <v>993.71098726885759</v>
      </c>
      <c r="AH75" s="182">
        <f t="shared" si="27"/>
        <v>9</v>
      </c>
      <c r="AI75" s="594"/>
      <c r="AJ75" s="188">
        <v>3</v>
      </c>
      <c r="AK75" s="188">
        <v>2981.3503902514831</v>
      </c>
      <c r="AL75" s="185">
        <f t="shared" si="28"/>
        <v>993.78346341716099</v>
      </c>
      <c r="AM75" s="182">
        <f t="shared" si="29"/>
        <v>9</v>
      </c>
      <c r="AN75" s="594"/>
      <c r="AO75" s="188">
        <v>3</v>
      </c>
      <c r="AP75" s="188">
        <v>2979.3108047833389</v>
      </c>
      <c r="AQ75" s="185">
        <f t="shared" si="30"/>
        <v>993.10360159444633</v>
      </c>
      <c r="AR75" s="182">
        <f t="shared" si="31"/>
        <v>10</v>
      </c>
      <c r="AS75" s="594"/>
      <c r="AT75" s="188">
        <v>3</v>
      </c>
      <c r="AU75" s="188">
        <v>2980.3008047833391</v>
      </c>
      <c r="AV75" s="185">
        <f t="shared" si="32"/>
        <v>993.43360159444637</v>
      </c>
      <c r="AW75" s="182">
        <f t="shared" si="33"/>
        <v>10</v>
      </c>
      <c r="AX75" s="594"/>
    </row>
    <row r="76" spans="2:50" ht="14.25" customHeight="1">
      <c r="B76" s="590"/>
      <c r="C76" s="180">
        <v>30</v>
      </c>
      <c r="D76" s="183" t="s">
        <v>508</v>
      </c>
      <c r="E76" s="184">
        <v>12</v>
      </c>
      <c r="F76" s="180">
        <v>3600</v>
      </c>
      <c r="G76" s="185">
        <f t="shared" si="34"/>
        <v>300</v>
      </c>
      <c r="H76" s="595"/>
      <c r="I76" s="186">
        <f t="shared" si="21"/>
        <v>12</v>
      </c>
      <c r="J76" s="186">
        <f t="shared" si="21"/>
        <v>3265.3700018344566</v>
      </c>
      <c r="K76" s="187">
        <f t="shared" si="21"/>
        <v>272.11416681953807</v>
      </c>
      <c r="L76" s="596"/>
      <c r="M76" s="186">
        <f>RANK(K76, K$47:$K$82)</f>
        <v>30</v>
      </c>
      <c r="N76" s="592"/>
      <c r="O76" s="593"/>
      <c r="P76" s="188">
        <v>12</v>
      </c>
      <c r="Q76" s="188">
        <v>3265.1128589773148</v>
      </c>
      <c r="R76" s="185">
        <f t="shared" si="18"/>
        <v>272.09273824810958</v>
      </c>
      <c r="S76" s="182">
        <f t="shared" si="22"/>
        <v>30</v>
      </c>
      <c r="T76" s="594"/>
      <c r="U76" s="188">
        <v>12</v>
      </c>
      <c r="V76" s="188">
        <v>3266.5528589773144</v>
      </c>
      <c r="W76" s="185">
        <f t="shared" si="19"/>
        <v>272.21273824810953</v>
      </c>
      <c r="X76" s="182">
        <f t="shared" si="23"/>
        <v>30</v>
      </c>
      <c r="Y76" s="594"/>
      <c r="Z76" s="188">
        <v>12</v>
      </c>
      <c r="AA76" s="188">
        <v>3265.1128589773139</v>
      </c>
      <c r="AB76" s="185">
        <f t="shared" si="24"/>
        <v>272.09273824810947</v>
      </c>
      <c r="AC76" s="182">
        <f t="shared" si="25"/>
        <v>30</v>
      </c>
      <c r="AD76" s="594"/>
      <c r="AE76" s="188">
        <v>12</v>
      </c>
      <c r="AF76" s="188">
        <v>3265.4728589773131</v>
      </c>
      <c r="AG76" s="185">
        <f t="shared" si="26"/>
        <v>272.12273824810944</v>
      </c>
      <c r="AH76" s="182">
        <f t="shared" si="27"/>
        <v>30</v>
      </c>
      <c r="AI76" s="594"/>
      <c r="AJ76" s="188">
        <v>12</v>
      </c>
      <c r="AK76" s="188">
        <v>3265.112858977313</v>
      </c>
      <c r="AL76" s="185">
        <f t="shared" si="28"/>
        <v>272.09273824810941</v>
      </c>
      <c r="AM76" s="182">
        <f t="shared" si="29"/>
        <v>30</v>
      </c>
      <c r="AN76" s="594"/>
      <c r="AO76" s="188">
        <v>12</v>
      </c>
      <c r="AP76" s="188">
        <v>3265.1128589773125</v>
      </c>
      <c r="AQ76" s="185">
        <f t="shared" si="30"/>
        <v>272.09273824810936</v>
      </c>
      <c r="AR76" s="182">
        <f t="shared" si="31"/>
        <v>30</v>
      </c>
      <c r="AS76" s="594"/>
      <c r="AT76" s="188">
        <v>12</v>
      </c>
      <c r="AU76" s="188">
        <v>3265.1128589773125</v>
      </c>
      <c r="AV76" s="185">
        <f t="shared" si="32"/>
        <v>272.09273824810936</v>
      </c>
      <c r="AW76" s="182">
        <f t="shared" si="33"/>
        <v>30</v>
      </c>
      <c r="AX76" s="594"/>
    </row>
    <row r="77" spans="2:50" ht="14.25" customHeight="1">
      <c r="B77" s="590"/>
      <c r="C77" s="180">
        <v>31</v>
      </c>
      <c r="D77" s="183" t="s">
        <v>525</v>
      </c>
      <c r="E77" s="180">
        <v>13</v>
      </c>
      <c r="F77" s="180">
        <v>3600</v>
      </c>
      <c r="G77" s="185">
        <f t="shared" si="34"/>
        <v>276.92307692307691</v>
      </c>
      <c r="H77" s="595"/>
      <c r="I77" s="186">
        <f t="shared" si="21"/>
        <v>13</v>
      </c>
      <c r="J77" s="186">
        <f t="shared" si="21"/>
        <v>3265.2302464763443</v>
      </c>
      <c r="K77" s="187">
        <f t="shared" si="21"/>
        <v>251.17155742125721</v>
      </c>
      <c r="L77" s="596"/>
      <c r="M77" s="186">
        <f>RANK(K77, K$47:$K$82)</f>
        <v>33</v>
      </c>
      <c r="N77" s="592"/>
      <c r="O77" s="593"/>
      <c r="P77" s="188">
        <v>13</v>
      </c>
      <c r="Q77" s="188">
        <v>3263.7388179049144</v>
      </c>
      <c r="R77" s="185">
        <f t="shared" si="18"/>
        <v>251.05683214653189</v>
      </c>
      <c r="S77" s="182">
        <f t="shared" si="22"/>
        <v>33</v>
      </c>
      <c r="T77" s="594"/>
      <c r="U77" s="188">
        <v>13</v>
      </c>
      <c r="V77" s="188">
        <v>3264.8188179049148</v>
      </c>
      <c r="W77" s="185">
        <f t="shared" si="19"/>
        <v>251.13990906960882</v>
      </c>
      <c r="X77" s="182">
        <f t="shared" si="23"/>
        <v>33</v>
      </c>
      <c r="Y77" s="594"/>
      <c r="Z77" s="188">
        <v>13</v>
      </c>
      <c r="AA77" s="188">
        <v>3266.2588179049148</v>
      </c>
      <c r="AB77" s="185">
        <f t="shared" si="24"/>
        <v>251.25067830037807</v>
      </c>
      <c r="AC77" s="182">
        <f t="shared" si="25"/>
        <v>33</v>
      </c>
      <c r="AD77" s="594"/>
      <c r="AE77" s="188">
        <v>13</v>
      </c>
      <c r="AF77" s="188">
        <v>3266.618817904915</v>
      </c>
      <c r="AG77" s="185">
        <f t="shared" si="26"/>
        <v>251.27837060807039</v>
      </c>
      <c r="AH77" s="182">
        <f t="shared" si="27"/>
        <v>33</v>
      </c>
      <c r="AI77" s="594"/>
      <c r="AJ77" s="188">
        <v>13</v>
      </c>
      <c r="AK77" s="188">
        <v>3265.8988179049156</v>
      </c>
      <c r="AL77" s="185">
        <f t="shared" si="28"/>
        <v>251.22298599268581</v>
      </c>
      <c r="AM77" s="182">
        <f t="shared" si="29"/>
        <v>33</v>
      </c>
      <c r="AN77" s="594"/>
      <c r="AO77" s="188">
        <v>13</v>
      </c>
      <c r="AP77" s="188">
        <v>3264.458817904916</v>
      </c>
      <c r="AQ77" s="185">
        <f t="shared" si="30"/>
        <v>251.11221676191661</v>
      </c>
      <c r="AR77" s="182">
        <f t="shared" si="31"/>
        <v>33</v>
      </c>
      <c r="AS77" s="594"/>
      <c r="AT77" s="188">
        <v>13</v>
      </c>
      <c r="AU77" s="188">
        <v>3264.8188179049162</v>
      </c>
      <c r="AV77" s="185">
        <f t="shared" si="32"/>
        <v>251.13990906960893</v>
      </c>
      <c r="AW77" s="182">
        <f t="shared" si="33"/>
        <v>33</v>
      </c>
      <c r="AX77" s="594"/>
    </row>
    <row r="78" spans="2:50" ht="14.25" customHeight="1">
      <c r="B78" s="590"/>
      <c r="C78" s="180">
        <v>32</v>
      </c>
      <c r="D78" s="183" t="s">
        <v>347</v>
      </c>
      <c r="E78" s="180">
        <v>3</v>
      </c>
      <c r="F78" s="180">
        <v>3000</v>
      </c>
      <c r="G78" s="185">
        <f t="shared" si="34"/>
        <v>1000</v>
      </c>
      <c r="H78" s="595"/>
      <c r="I78" s="186">
        <f t="shared" ref="I78:K79" si="35">AVERAGE(P78,U78,Z78,AE78,AJ78,AO78,AT78)</f>
        <v>3</v>
      </c>
      <c r="J78" s="186">
        <f t="shared" si="35"/>
        <v>2707.1357470838957</v>
      </c>
      <c r="K78" s="187">
        <f t="shared" si="35"/>
        <v>902.37858236129864</v>
      </c>
      <c r="L78" s="596"/>
      <c r="M78" s="186">
        <f>RANK(K78, K$47:$K$82)</f>
        <v>11</v>
      </c>
      <c r="N78" s="592"/>
      <c r="O78" s="593"/>
      <c r="P78" s="188">
        <v>3</v>
      </c>
      <c r="Q78" s="188">
        <v>2706.9151742993863</v>
      </c>
      <c r="R78" s="185">
        <f t="shared" si="18"/>
        <v>902.30505809979547</v>
      </c>
      <c r="S78" s="182">
        <f t="shared" si="22"/>
        <v>11</v>
      </c>
      <c r="T78" s="594"/>
      <c r="U78" s="188">
        <v>3</v>
      </c>
      <c r="V78" s="188">
        <v>2706.0151742993858</v>
      </c>
      <c r="W78" s="185">
        <f t="shared" si="19"/>
        <v>902.00505809979529</v>
      </c>
      <c r="X78" s="182">
        <f t="shared" si="23"/>
        <v>12</v>
      </c>
      <c r="Y78" s="594"/>
      <c r="Z78" s="188">
        <v>3</v>
      </c>
      <c r="AA78" s="188">
        <v>2706.9151742993859</v>
      </c>
      <c r="AB78" s="185">
        <f t="shared" si="24"/>
        <v>902.30505809979525</v>
      </c>
      <c r="AC78" s="182">
        <f t="shared" si="25"/>
        <v>11</v>
      </c>
      <c r="AD78" s="594"/>
      <c r="AE78" s="188">
        <v>3</v>
      </c>
      <c r="AF78" s="188">
        <v>2708.4151742993854</v>
      </c>
      <c r="AG78" s="185">
        <f t="shared" si="26"/>
        <v>902.80505809979513</v>
      </c>
      <c r="AH78" s="182">
        <f t="shared" si="27"/>
        <v>11</v>
      </c>
      <c r="AI78" s="594"/>
      <c r="AJ78" s="188">
        <v>3</v>
      </c>
      <c r="AK78" s="188">
        <v>2707.5151742993858</v>
      </c>
      <c r="AL78" s="185">
        <f t="shared" si="28"/>
        <v>902.50505809979529</v>
      </c>
      <c r="AM78" s="182">
        <f t="shared" si="29"/>
        <v>11</v>
      </c>
      <c r="AN78" s="594"/>
      <c r="AO78" s="188">
        <v>3</v>
      </c>
      <c r="AP78" s="188">
        <v>2707.0942316668934</v>
      </c>
      <c r="AQ78" s="185">
        <f t="shared" si="30"/>
        <v>902.36474388896443</v>
      </c>
      <c r="AR78" s="182">
        <f t="shared" si="31"/>
        <v>11</v>
      </c>
      <c r="AS78" s="594"/>
      <c r="AT78" s="188">
        <v>3</v>
      </c>
      <c r="AU78" s="188">
        <v>2707.0801264234478</v>
      </c>
      <c r="AV78" s="185">
        <f t="shared" si="32"/>
        <v>902.36004214114928</v>
      </c>
      <c r="AW78" s="182">
        <f t="shared" si="33"/>
        <v>11</v>
      </c>
      <c r="AX78" s="594"/>
    </row>
    <row r="79" spans="2:50" ht="14.25" customHeight="1">
      <c r="B79" s="590"/>
      <c r="C79" s="180">
        <v>33</v>
      </c>
      <c r="D79" s="183" t="s">
        <v>446</v>
      </c>
      <c r="E79" s="180">
        <v>12</v>
      </c>
      <c r="F79" s="180">
        <v>3600</v>
      </c>
      <c r="G79" s="185">
        <f t="shared" si="34"/>
        <v>300</v>
      </c>
      <c r="H79" s="595"/>
      <c r="I79" s="186">
        <f t="shared" si="35"/>
        <v>12</v>
      </c>
      <c r="J79" s="186">
        <f t="shared" si="35"/>
        <v>3121.3921984572107</v>
      </c>
      <c r="K79" s="187">
        <f t="shared" si="35"/>
        <v>260.11601653810089</v>
      </c>
      <c r="L79" s="596"/>
      <c r="M79" s="186">
        <f>RANK(K79, K$47:$K$82)</f>
        <v>31</v>
      </c>
      <c r="N79" s="592"/>
      <c r="O79" s="593"/>
      <c r="P79" s="188">
        <v>12</v>
      </c>
      <c r="Q79" s="188">
        <v>3122.6421438224497</v>
      </c>
      <c r="R79" s="185">
        <f t="shared" si="18"/>
        <v>260.22017865187081</v>
      </c>
      <c r="S79" s="182">
        <f t="shared" si="22"/>
        <v>31</v>
      </c>
      <c r="T79" s="594"/>
      <c r="U79" s="188">
        <v>12</v>
      </c>
      <c r="V79" s="188">
        <v>3122.6421438224497</v>
      </c>
      <c r="W79" s="185">
        <f t="shared" si="19"/>
        <v>260.22017865187081</v>
      </c>
      <c r="X79" s="182">
        <f t="shared" si="23"/>
        <v>31</v>
      </c>
      <c r="Y79" s="594"/>
      <c r="Z79" s="188">
        <v>12</v>
      </c>
      <c r="AA79" s="188">
        <v>3122.1159806432142</v>
      </c>
      <c r="AB79" s="185">
        <f t="shared" si="24"/>
        <v>260.17633172026785</v>
      </c>
      <c r="AC79" s="182">
        <f t="shared" si="25"/>
        <v>31</v>
      </c>
      <c r="AD79" s="594"/>
      <c r="AE79" s="188">
        <v>12</v>
      </c>
      <c r="AF79" s="188">
        <v>3122.6333813078418</v>
      </c>
      <c r="AG79" s="185">
        <f t="shared" si="26"/>
        <v>260.21944844232013</v>
      </c>
      <c r="AH79" s="182">
        <f t="shared" si="27"/>
        <v>31</v>
      </c>
      <c r="AI79" s="594"/>
      <c r="AJ79" s="188">
        <v>12</v>
      </c>
      <c r="AK79" s="188">
        <v>3121.6909526646314</v>
      </c>
      <c r="AL79" s="185">
        <f t="shared" si="28"/>
        <v>260.14091272205263</v>
      </c>
      <c r="AM79" s="182">
        <f t="shared" si="29"/>
        <v>31</v>
      </c>
      <c r="AN79" s="594"/>
      <c r="AO79" s="188">
        <v>12</v>
      </c>
      <c r="AP79" s="188">
        <v>3119.2046317465611</v>
      </c>
      <c r="AQ79" s="185">
        <f t="shared" si="30"/>
        <v>259.93371931221344</v>
      </c>
      <c r="AR79" s="182">
        <f t="shared" si="31"/>
        <v>31</v>
      </c>
      <c r="AS79" s="594"/>
      <c r="AT79" s="188">
        <v>12</v>
      </c>
      <c r="AU79" s="188">
        <v>3118.8161551933272</v>
      </c>
      <c r="AV79" s="185">
        <f t="shared" si="32"/>
        <v>259.90134626611058</v>
      </c>
      <c r="AW79" s="182">
        <f t="shared" si="33"/>
        <v>31</v>
      </c>
      <c r="AX79" s="594"/>
    </row>
    <row r="80" spans="2:50" ht="14.25" customHeight="1">
      <c r="B80" s="590"/>
      <c r="C80" s="180">
        <v>34</v>
      </c>
      <c r="D80" s="183"/>
      <c r="E80" s="180"/>
      <c r="F80" s="180"/>
      <c r="G80" s="185"/>
      <c r="H80" s="595"/>
      <c r="I80" s="186"/>
      <c r="J80" s="186"/>
      <c r="K80" s="187"/>
      <c r="L80" s="596"/>
      <c r="M80" s="186"/>
      <c r="N80" s="592"/>
      <c r="O80" s="593"/>
      <c r="P80" s="188"/>
      <c r="Q80" s="188"/>
      <c r="R80" s="185"/>
      <c r="S80" s="182"/>
      <c r="T80" s="594"/>
      <c r="U80" s="188"/>
      <c r="V80" s="188"/>
      <c r="W80" s="185"/>
      <c r="X80" s="182"/>
      <c r="Y80" s="594"/>
      <c r="Z80" s="188"/>
      <c r="AA80" s="188"/>
      <c r="AB80" s="185"/>
      <c r="AC80" s="182"/>
      <c r="AD80" s="594"/>
      <c r="AE80" s="188"/>
      <c r="AF80" s="188"/>
      <c r="AG80" s="185"/>
      <c r="AH80" s="182"/>
      <c r="AI80" s="594"/>
      <c r="AJ80" s="188"/>
      <c r="AK80" s="188"/>
      <c r="AL80" s="185"/>
      <c r="AM80" s="182"/>
      <c r="AN80" s="594"/>
      <c r="AO80" s="188"/>
      <c r="AP80" s="188"/>
      <c r="AQ80" s="185"/>
      <c r="AR80" s="182"/>
      <c r="AS80" s="594"/>
      <c r="AT80" s="188"/>
      <c r="AU80" s="188"/>
      <c r="AV80" s="185"/>
      <c r="AW80" s="182"/>
      <c r="AX80" s="594"/>
    </row>
    <row r="81" spans="2:50" ht="14.25" customHeight="1">
      <c r="B81" s="590"/>
      <c r="C81" s="180">
        <v>35</v>
      </c>
      <c r="D81" s="183"/>
      <c r="E81" s="180"/>
      <c r="F81" s="180"/>
      <c r="G81" s="185"/>
      <c r="H81" s="595"/>
      <c r="I81" s="186"/>
      <c r="J81" s="186"/>
      <c r="K81" s="187"/>
      <c r="L81" s="596"/>
      <c r="M81" s="186"/>
      <c r="N81" s="592"/>
      <c r="O81" s="593"/>
      <c r="P81" s="188"/>
      <c r="Q81" s="188"/>
      <c r="R81" s="185"/>
      <c r="S81" s="182"/>
      <c r="T81" s="594"/>
      <c r="U81" s="188"/>
      <c r="V81" s="188"/>
      <c r="W81" s="185"/>
      <c r="X81" s="182"/>
      <c r="Y81" s="594"/>
      <c r="Z81" s="188"/>
      <c r="AA81" s="188"/>
      <c r="AB81" s="185"/>
      <c r="AC81" s="182"/>
      <c r="AD81" s="594"/>
      <c r="AE81" s="188"/>
      <c r="AF81" s="188"/>
      <c r="AG81" s="185"/>
      <c r="AH81" s="182"/>
      <c r="AI81" s="594"/>
      <c r="AJ81" s="188"/>
      <c r="AK81" s="188"/>
      <c r="AL81" s="185"/>
      <c r="AM81" s="182"/>
      <c r="AN81" s="594"/>
      <c r="AO81" s="188"/>
      <c r="AP81" s="188"/>
      <c r="AQ81" s="185"/>
      <c r="AR81" s="182"/>
      <c r="AS81" s="594"/>
      <c r="AT81" s="188"/>
      <c r="AU81" s="188"/>
      <c r="AV81" s="185"/>
      <c r="AW81" s="182"/>
      <c r="AX81" s="594"/>
    </row>
  </sheetData>
  <mergeCells count="118">
    <mergeCell ref="AX47:AX81"/>
    <mergeCell ref="B47:B81"/>
    <mergeCell ref="H47:H81"/>
    <mergeCell ref="L47:L81"/>
    <mergeCell ref="T47:T81"/>
    <mergeCell ref="Y47:Y81"/>
    <mergeCell ref="AD47:AD81"/>
    <mergeCell ref="AI47:AI81"/>
    <mergeCell ref="AN47:AN81"/>
    <mergeCell ref="AS47:AS8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81"/>
    <mergeCell ref="O44:O8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41"/>
    <mergeCell ref="B7:B41"/>
    <mergeCell ref="H7:H41"/>
    <mergeCell ref="L7:L41"/>
    <mergeCell ref="T7:T41"/>
    <mergeCell ref="Y7:Y41"/>
    <mergeCell ref="AD7:AD41"/>
    <mergeCell ref="AI7:AI41"/>
    <mergeCell ref="AN7:AN41"/>
    <mergeCell ref="AS7:AS4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41"/>
    <mergeCell ref="O4:O4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FFCC"/>
  </sheetPr>
  <dimension ref="A1:AX41"/>
  <sheetViews>
    <sheetView zoomScaleNormal="100" workbookViewId="0">
      <pane xSplit="13" ySplit="1" topLeftCell="N5" activePane="bottomRight" state="frozen"/>
      <selection activeCell="E31" sqref="E31"/>
      <selection pane="topRight" activeCell="E31" sqref="E31"/>
      <selection pane="bottomLeft" activeCell="E31" sqref="E31"/>
      <selection pane="bottomRight" activeCell="L27" sqref="L27:L4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498" t="s">
        <v>738</v>
      </c>
      <c r="C1" s="175">
        <f>AVERAGE(L7,L27)</f>
        <v>323.81926610497885</v>
      </c>
    </row>
    <row r="2" spans="1:50" ht="14.25" customHeight="1">
      <c r="B2" s="572" t="s">
        <v>660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  <c r="N2" s="608" t="s">
        <v>369</v>
      </c>
      <c r="O2" s="608" t="s">
        <v>105</v>
      </c>
      <c r="P2" s="610">
        <v>46140</v>
      </c>
      <c r="Q2" s="611"/>
      <c r="R2" s="611"/>
      <c r="S2" s="611"/>
      <c r="T2" s="611"/>
      <c r="U2" s="612">
        <v>46141</v>
      </c>
      <c r="V2" s="613"/>
      <c r="W2" s="613"/>
      <c r="X2" s="613"/>
      <c r="Y2" s="613"/>
      <c r="Z2" s="610">
        <v>46142</v>
      </c>
      <c r="AA2" s="611"/>
      <c r="AB2" s="611"/>
      <c r="AC2" s="611"/>
      <c r="AD2" s="611"/>
      <c r="AE2" s="612">
        <v>46143</v>
      </c>
      <c r="AF2" s="613"/>
      <c r="AG2" s="613"/>
      <c r="AH2" s="613"/>
      <c r="AI2" s="613"/>
      <c r="AJ2" s="600">
        <v>46144</v>
      </c>
      <c r="AK2" s="601"/>
      <c r="AL2" s="601"/>
      <c r="AM2" s="601"/>
      <c r="AN2" s="602"/>
      <c r="AO2" s="612">
        <v>46145</v>
      </c>
      <c r="AP2" s="613"/>
      <c r="AQ2" s="613"/>
      <c r="AR2" s="613"/>
      <c r="AS2" s="613"/>
      <c r="AT2" s="600">
        <v>46146</v>
      </c>
      <c r="AU2" s="601"/>
      <c r="AV2" s="601"/>
      <c r="AW2" s="601"/>
      <c r="AX2" s="602"/>
    </row>
    <row r="3" spans="1:50" ht="14.25" customHeight="1"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5"/>
      <c r="N3" s="609"/>
      <c r="O3" s="609"/>
      <c r="P3" s="603">
        <v>46140</v>
      </c>
      <c r="Q3" s="603"/>
      <c r="R3" s="603"/>
      <c r="S3" s="603"/>
      <c r="T3" s="603"/>
      <c r="U3" s="604">
        <v>46141</v>
      </c>
      <c r="V3" s="604"/>
      <c r="W3" s="604"/>
      <c r="X3" s="604"/>
      <c r="Y3" s="604"/>
      <c r="Z3" s="603">
        <v>46142</v>
      </c>
      <c r="AA3" s="603"/>
      <c r="AB3" s="603"/>
      <c r="AC3" s="603"/>
      <c r="AD3" s="603"/>
      <c r="AE3" s="604">
        <v>46143</v>
      </c>
      <c r="AF3" s="604"/>
      <c r="AG3" s="604"/>
      <c r="AH3" s="604"/>
      <c r="AI3" s="604"/>
      <c r="AJ3" s="605">
        <v>46144</v>
      </c>
      <c r="AK3" s="606"/>
      <c r="AL3" s="606"/>
      <c r="AM3" s="606"/>
      <c r="AN3" s="607"/>
      <c r="AO3" s="604">
        <v>46145</v>
      </c>
      <c r="AP3" s="604"/>
      <c r="AQ3" s="604"/>
      <c r="AR3" s="604"/>
      <c r="AS3" s="604"/>
      <c r="AT3" s="605">
        <v>46146</v>
      </c>
      <c r="AU3" s="606"/>
      <c r="AV3" s="606"/>
      <c r="AW3" s="606"/>
      <c r="AX3" s="607"/>
    </row>
    <row r="4" spans="1:50" ht="14.25" customHeight="1">
      <c r="B4" s="590" t="s">
        <v>162</v>
      </c>
      <c r="C4" s="590" t="s">
        <v>157</v>
      </c>
      <c r="D4" s="590"/>
      <c r="E4" s="590" t="s">
        <v>158</v>
      </c>
      <c r="F4" s="590"/>
      <c r="G4" s="590"/>
      <c r="H4" s="590" t="s">
        <v>163</v>
      </c>
      <c r="I4" s="591" t="s">
        <v>370</v>
      </c>
      <c r="J4" s="591"/>
      <c r="K4" s="591"/>
      <c r="L4" s="591" t="s">
        <v>163</v>
      </c>
      <c r="M4" s="591" t="s">
        <v>165</v>
      </c>
      <c r="N4" s="590"/>
      <c r="O4" s="590" t="s">
        <v>164</v>
      </c>
      <c r="P4" s="590" t="s">
        <v>160</v>
      </c>
      <c r="Q4" s="590"/>
      <c r="R4" s="590"/>
      <c r="S4" s="590"/>
      <c r="T4" s="590" t="s">
        <v>163</v>
      </c>
      <c r="U4" s="590" t="s">
        <v>160</v>
      </c>
      <c r="V4" s="590"/>
      <c r="W4" s="590"/>
      <c r="X4" s="590"/>
      <c r="Y4" s="590" t="s">
        <v>163</v>
      </c>
      <c r="Z4" s="590" t="s">
        <v>160</v>
      </c>
      <c r="AA4" s="590"/>
      <c r="AB4" s="590"/>
      <c r="AC4" s="590"/>
      <c r="AD4" s="590" t="s">
        <v>163</v>
      </c>
      <c r="AE4" s="590" t="s">
        <v>160</v>
      </c>
      <c r="AF4" s="590"/>
      <c r="AG4" s="590"/>
      <c r="AH4" s="590"/>
      <c r="AI4" s="590" t="s">
        <v>163</v>
      </c>
      <c r="AJ4" s="590" t="s">
        <v>160</v>
      </c>
      <c r="AK4" s="590"/>
      <c r="AL4" s="590"/>
      <c r="AM4" s="590"/>
      <c r="AN4" s="590" t="s">
        <v>163</v>
      </c>
      <c r="AO4" s="590" t="s">
        <v>160</v>
      </c>
      <c r="AP4" s="590"/>
      <c r="AQ4" s="590"/>
      <c r="AR4" s="590"/>
      <c r="AS4" s="590" t="s">
        <v>163</v>
      </c>
      <c r="AT4" s="590" t="s">
        <v>160</v>
      </c>
      <c r="AU4" s="590"/>
      <c r="AV4" s="590"/>
      <c r="AW4" s="590"/>
      <c r="AX4" s="590" t="s">
        <v>163</v>
      </c>
    </row>
    <row r="5" spans="1:50" ht="14.25" customHeight="1">
      <c r="B5" s="590"/>
      <c r="C5" s="590"/>
      <c r="D5" s="590"/>
      <c r="E5" s="590" t="s">
        <v>371</v>
      </c>
      <c r="F5" s="590"/>
      <c r="G5" s="590"/>
      <c r="H5" s="590"/>
      <c r="I5" s="591" t="s">
        <v>371</v>
      </c>
      <c r="J5" s="591"/>
      <c r="K5" s="591"/>
      <c r="L5" s="591"/>
      <c r="M5" s="591"/>
      <c r="N5" s="590"/>
      <c r="O5" s="590"/>
      <c r="P5" s="590" t="s">
        <v>372</v>
      </c>
      <c r="Q5" s="590"/>
      <c r="R5" s="590"/>
      <c r="S5" s="590"/>
      <c r="T5" s="590"/>
      <c r="U5" s="590" t="s">
        <v>372</v>
      </c>
      <c r="V5" s="590"/>
      <c r="W5" s="590"/>
      <c r="X5" s="590"/>
      <c r="Y5" s="590"/>
      <c r="Z5" s="590" t="s">
        <v>372</v>
      </c>
      <c r="AA5" s="590"/>
      <c r="AB5" s="590"/>
      <c r="AC5" s="590"/>
      <c r="AD5" s="590"/>
      <c r="AE5" s="590" t="s">
        <v>372</v>
      </c>
      <c r="AF5" s="590"/>
      <c r="AG5" s="590"/>
      <c r="AH5" s="590"/>
      <c r="AI5" s="590"/>
      <c r="AJ5" s="590" t="s">
        <v>372</v>
      </c>
      <c r="AK5" s="590"/>
      <c r="AL5" s="590"/>
      <c r="AM5" s="590"/>
      <c r="AN5" s="590"/>
      <c r="AO5" s="590" t="s">
        <v>372</v>
      </c>
      <c r="AP5" s="590"/>
      <c r="AQ5" s="590"/>
      <c r="AR5" s="590"/>
      <c r="AS5" s="590"/>
      <c r="AT5" s="590" t="s">
        <v>372</v>
      </c>
      <c r="AU5" s="590"/>
      <c r="AV5" s="590"/>
      <c r="AW5" s="590"/>
      <c r="AX5" s="590"/>
    </row>
    <row r="6" spans="1:50" ht="14.25" customHeight="1">
      <c r="B6" s="590"/>
      <c r="C6" s="590"/>
      <c r="D6" s="590"/>
      <c r="E6" s="180" t="s">
        <v>159</v>
      </c>
      <c r="F6" s="180" t="s">
        <v>373</v>
      </c>
      <c r="G6" s="180" t="s">
        <v>161</v>
      </c>
      <c r="H6" s="590"/>
      <c r="I6" s="181" t="s">
        <v>159</v>
      </c>
      <c r="J6" s="181" t="s">
        <v>373</v>
      </c>
      <c r="K6" s="181" t="s">
        <v>161</v>
      </c>
      <c r="L6" s="591"/>
      <c r="M6" s="591"/>
      <c r="N6" s="590"/>
      <c r="O6" s="590"/>
      <c r="P6" s="180" t="s">
        <v>159</v>
      </c>
      <c r="Q6" s="180" t="s">
        <v>373</v>
      </c>
      <c r="R6" s="180" t="s">
        <v>161</v>
      </c>
      <c r="S6" s="182" t="s">
        <v>165</v>
      </c>
      <c r="T6" s="590"/>
      <c r="U6" s="180" t="s">
        <v>159</v>
      </c>
      <c r="V6" s="180" t="s">
        <v>373</v>
      </c>
      <c r="W6" s="180" t="s">
        <v>161</v>
      </c>
      <c r="X6" s="182" t="s">
        <v>165</v>
      </c>
      <c r="Y6" s="590"/>
      <c r="Z6" s="180" t="s">
        <v>159</v>
      </c>
      <c r="AA6" s="180" t="s">
        <v>373</v>
      </c>
      <c r="AB6" s="180" t="s">
        <v>161</v>
      </c>
      <c r="AC6" s="182" t="s">
        <v>165</v>
      </c>
      <c r="AD6" s="590"/>
      <c r="AE6" s="180" t="s">
        <v>159</v>
      </c>
      <c r="AF6" s="180" t="s">
        <v>373</v>
      </c>
      <c r="AG6" s="180" t="s">
        <v>161</v>
      </c>
      <c r="AH6" s="182" t="s">
        <v>165</v>
      </c>
      <c r="AI6" s="590"/>
      <c r="AJ6" s="180" t="s">
        <v>159</v>
      </c>
      <c r="AK6" s="180" t="s">
        <v>373</v>
      </c>
      <c r="AL6" s="180" t="s">
        <v>161</v>
      </c>
      <c r="AM6" s="182" t="s">
        <v>165</v>
      </c>
      <c r="AN6" s="590"/>
      <c r="AO6" s="180" t="s">
        <v>159</v>
      </c>
      <c r="AP6" s="180" t="s">
        <v>373</v>
      </c>
      <c r="AQ6" s="180" t="s">
        <v>161</v>
      </c>
      <c r="AR6" s="182" t="s">
        <v>165</v>
      </c>
      <c r="AS6" s="590"/>
      <c r="AT6" s="180" t="s">
        <v>159</v>
      </c>
      <c r="AU6" s="180" t="s">
        <v>373</v>
      </c>
      <c r="AV6" s="180" t="s">
        <v>161</v>
      </c>
      <c r="AW6" s="182" t="s">
        <v>165</v>
      </c>
      <c r="AX6" s="590"/>
    </row>
    <row r="7" spans="1:50" ht="14.25" customHeight="1">
      <c r="B7" s="590" t="s">
        <v>375</v>
      </c>
      <c r="C7" s="180">
        <v>1</v>
      </c>
      <c r="D7" s="183" t="s">
        <v>348</v>
      </c>
      <c r="E7" s="180">
        <v>11</v>
      </c>
      <c r="F7" s="180">
        <v>3600</v>
      </c>
      <c r="G7" s="185">
        <f t="shared" ref="G7:G11" si="0">F7/E7</f>
        <v>327.27272727272725</v>
      </c>
      <c r="H7" s="595">
        <f>AVERAGE(G7:G21)</f>
        <v>358.78787878787875</v>
      </c>
      <c r="I7" s="186">
        <f>AVERAGE(P7,U7,Z7,AE7,AJ7,AO7,AT7)</f>
        <v>11</v>
      </c>
      <c r="J7" s="186">
        <f>AVERAGE(Q7,V7,AA7,AF7,AK7,AP7,AU7)</f>
        <v>3182.9214592888088</v>
      </c>
      <c r="K7" s="187">
        <f>AVERAGE(R7,W7,AB7,AG7,AL7,AQ7,AV7)</f>
        <v>289.35649629898256</v>
      </c>
      <c r="L7" s="596">
        <f>IFERROR(AVERAGE(K7:K21),"-")</f>
        <v>319.3525945658962</v>
      </c>
      <c r="M7" s="186">
        <f>RANK(K7, K$7:$K$21)</f>
        <v>3</v>
      </c>
      <c r="N7" s="590"/>
      <c r="O7" s="590"/>
      <c r="P7" s="188">
        <v>11</v>
      </c>
      <c r="Q7" s="188">
        <v>3182.7157450030936</v>
      </c>
      <c r="R7" s="185">
        <f>IFERROR(Q7/P7,"")</f>
        <v>289.33779500028123</v>
      </c>
      <c r="S7" s="182">
        <f>RANK(R7, R$7:R$21)</f>
        <v>3</v>
      </c>
      <c r="T7" s="595">
        <f>AVERAGE(R7:R21)</f>
        <v>319.09547804171746</v>
      </c>
      <c r="U7" s="188">
        <v>11</v>
      </c>
      <c r="V7" s="188">
        <v>3181.6357450030937</v>
      </c>
      <c r="W7" s="185">
        <f t="shared" ref="W7:W11" si="1">IFERROR(V7/U7,"")</f>
        <v>289.23961318209945</v>
      </c>
      <c r="X7" s="182">
        <f>RANK(W7, W$7:W$21)</f>
        <v>3</v>
      </c>
      <c r="Y7" s="595">
        <f>AVERAGE(W7:W21)</f>
        <v>319.08184167808116</v>
      </c>
      <c r="Z7" s="188">
        <v>11</v>
      </c>
      <c r="AA7" s="188">
        <v>3181.9957450030943</v>
      </c>
      <c r="AB7" s="185">
        <f t="shared" ref="AB7:AB11" si="2">IFERROR(AA7/Z7,"")</f>
        <v>289.27234045482675</v>
      </c>
      <c r="AC7" s="182">
        <f>RANK(AB7, AB$7:AB$21)</f>
        <v>3</v>
      </c>
      <c r="AD7" s="595">
        <f>AVERAGE(AB7:AB21)</f>
        <v>319.46271137799562</v>
      </c>
      <c r="AE7" s="188">
        <v>11</v>
      </c>
      <c r="AF7" s="188">
        <v>3183.0757450030951</v>
      </c>
      <c r="AG7" s="185">
        <f>IFERROR(AF7/AE7,"")</f>
        <v>289.37052227300865</v>
      </c>
      <c r="AH7" s="182">
        <f>RANK(AG7, AG$7:AG$21)</f>
        <v>3</v>
      </c>
      <c r="AI7" s="595">
        <f>AVERAGE(AG7:AG21)</f>
        <v>319.49926903501438</v>
      </c>
      <c r="AJ7" s="188">
        <v>11</v>
      </c>
      <c r="AK7" s="188">
        <v>3183.0757450030951</v>
      </c>
      <c r="AL7" s="185">
        <f t="shared" ref="AL7:AL11" si="3">IFERROR(AK7/AJ7,"")</f>
        <v>289.37052227300865</v>
      </c>
      <c r="AM7" s="182">
        <f>RANK(AL7, AL$7:AL$21)</f>
        <v>3</v>
      </c>
      <c r="AN7" s="595">
        <f>AVERAGE(AL7:AL21)</f>
        <v>319.39993570168104</v>
      </c>
      <c r="AO7" s="188">
        <v>11</v>
      </c>
      <c r="AP7" s="188">
        <v>3183.7957450030954</v>
      </c>
      <c r="AQ7" s="185">
        <f t="shared" ref="AQ7:AQ11" si="4">IFERROR(AP7/AO7,"")</f>
        <v>289.43597681846319</v>
      </c>
      <c r="AR7" s="182">
        <f>RANK(AQ7, AQ$7:AQ$21)</f>
        <v>3</v>
      </c>
      <c r="AS7" s="595">
        <f>AVERAGE(AQ7:AQ21)</f>
        <v>319.48785165352024</v>
      </c>
      <c r="AT7" s="188">
        <v>11</v>
      </c>
      <c r="AU7" s="188">
        <v>3184.155745003095</v>
      </c>
      <c r="AV7" s="185">
        <f t="shared" ref="AV7:AV11" si="5">IFERROR(AU7/AT7,"")</f>
        <v>289.46870409119043</v>
      </c>
      <c r="AW7" s="182">
        <f>RANK(AV7, AV$7:AV$21)</f>
        <v>3</v>
      </c>
      <c r="AX7" s="595">
        <f>AVERAGE(AV7:AV21)</f>
        <v>319.44107447326331</v>
      </c>
    </row>
    <row r="8" spans="1:50" ht="14.25" customHeight="1">
      <c r="B8" s="590"/>
      <c r="C8" s="180">
        <v>2</v>
      </c>
      <c r="D8" s="183" t="s">
        <v>443</v>
      </c>
      <c r="E8" s="180">
        <v>6</v>
      </c>
      <c r="F8" s="180">
        <v>2600</v>
      </c>
      <c r="G8" s="185">
        <f t="shared" si="0"/>
        <v>433.33333333333331</v>
      </c>
      <c r="H8" s="595"/>
      <c r="I8" s="186">
        <f t="shared" ref="I8:K11" si="6">AVERAGE(P8,U8,Z8,AE8,AJ8,AO8,AT8)</f>
        <v>6</v>
      </c>
      <c r="J8" s="186">
        <f t="shared" si="6"/>
        <v>2343.4885080000886</v>
      </c>
      <c r="K8" s="187">
        <f t="shared" si="6"/>
        <v>390.58141800001471</v>
      </c>
      <c r="L8" s="596"/>
      <c r="M8" s="186">
        <f>RANK(K8, K$7:$K$21)</f>
        <v>2</v>
      </c>
      <c r="N8" s="590"/>
      <c r="O8" s="590"/>
      <c r="P8" s="188">
        <v>6</v>
      </c>
      <c r="Q8" s="188">
        <v>2339.0927844120024</v>
      </c>
      <c r="R8" s="185">
        <f t="shared" ref="R8:R11" si="7">IFERROR(Q8/P8,"")</f>
        <v>389.8487974020004</v>
      </c>
      <c r="S8" s="182">
        <f t="shared" ref="S8:S11" si="8">RANK(R8, R$7:R$21)</f>
        <v>2</v>
      </c>
      <c r="T8" s="595"/>
      <c r="U8" s="188">
        <v>6</v>
      </c>
      <c r="V8" s="188">
        <v>2339.8727844120021</v>
      </c>
      <c r="W8" s="185">
        <f t="shared" si="1"/>
        <v>389.97879740200034</v>
      </c>
      <c r="X8" s="182">
        <f t="shared" ref="X8:X11" si="9">RANK(W8, W$7:W$21)</f>
        <v>1</v>
      </c>
      <c r="Y8" s="595"/>
      <c r="Z8" s="188">
        <v>6</v>
      </c>
      <c r="AA8" s="188">
        <v>2344.1246863941474</v>
      </c>
      <c r="AB8" s="185">
        <f t="shared" si="2"/>
        <v>390.6874477323579</v>
      </c>
      <c r="AC8" s="182">
        <f t="shared" ref="AC8:AC11" si="10">RANK(AB8, AB$7:AB$21)</f>
        <v>2</v>
      </c>
      <c r="AD8" s="595"/>
      <c r="AE8" s="188">
        <v>6</v>
      </c>
      <c r="AF8" s="188">
        <v>2345.8523251956167</v>
      </c>
      <c r="AG8" s="185">
        <f t="shared" ref="AG8:AG11" si="11">IFERROR(AF8/AE8,"")</f>
        <v>390.97538753260278</v>
      </c>
      <c r="AH8" s="182">
        <f t="shared" ref="AH8:AH11" si="12">RANK(AG8, AG$7:AG$21)</f>
        <v>1</v>
      </c>
      <c r="AI8" s="595"/>
      <c r="AJ8" s="188">
        <v>6</v>
      </c>
      <c r="AK8" s="188">
        <v>2344.8123251956167</v>
      </c>
      <c r="AL8" s="185">
        <f t="shared" si="3"/>
        <v>390.80205419926943</v>
      </c>
      <c r="AM8" s="182">
        <f t="shared" ref="AM8:AM11" si="13">RANK(AL8, AL$7:AL$21)</f>
        <v>1</v>
      </c>
      <c r="AN8" s="595"/>
      <c r="AO8" s="188">
        <v>6</v>
      </c>
      <c r="AP8" s="188">
        <v>2345.5923251956165</v>
      </c>
      <c r="AQ8" s="185">
        <f t="shared" si="4"/>
        <v>390.93205419926943</v>
      </c>
      <c r="AR8" s="182">
        <f t="shared" ref="AR8:AR11" si="14">RANK(AQ8, AQ$7:AQ$21)</f>
        <v>1</v>
      </c>
      <c r="AS8" s="595"/>
      <c r="AT8" s="188">
        <v>6</v>
      </c>
      <c r="AU8" s="188">
        <v>2345.0723251956169</v>
      </c>
      <c r="AV8" s="185">
        <f t="shared" si="5"/>
        <v>390.84538753260284</v>
      </c>
      <c r="AW8" s="182">
        <f t="shared" ref="AW8:AW11" si="15">RANK(AV8, AV$7:AV$21)</f>
        <v>1</v>
      </c>
      <c r="AX8" s="595"/>
    </row>
    <row r="9" spans="1:50" ht="14.25" customHeight="1">
      <c r="B9" s="590"/>
      <c r="C9" s="180">
        <v>3</v>
      </c>
      <c r="D9" s="183" t="s">
        <v>445</v>
      </c>
      <c r="E9" s="180">
        <v>6</v>
      </c>
      <c r="F9" s="180">
        <v>2600</v>
      </c>
      <c r="G9" s="185">
        <f t="shared" si="0"/>
        <v>433.33333333333331</v>
      </c>
      <c r="H9" s="595"/>
      <c r="I9" s="186">
        <f t="shared" si="6"/>
        <v>6</v>
      </c>
      <c r="J9" s="186">
        <f t="shared" si="6"/>
        <v>2343.5017458695552</v>
      </c>
      <c r="K9" s="187">
        <f t="shared" si="6"/>
        <v>390.58362431159247</v>
      </c>
      <c r="L9" s="596"/>
      <c r="M9" s="186">
        <f>RANK(K9, K$7:$K$21)</f>
        <v>1</v>
      </c>
      <c r="N9" s="590"/>
      <c r="O9" s="590"/>
      <c r="P9" s="188">
        <v>6</v>
      </c>
      <c r="Q9" s="188">
        <v>2339.949013456036</v>
      </c>
      <c r="R9" s="185">
        <f t="shared" si="7"/>
        <v>389.99150224267265</v>
      </c>
      <c r="S9" s="182">
        <f t="shared" si="8"/>
        <v>1</v>
      </c>
      <c r="T9" s="595"/>
      <c r="U9" s="188">
        <v>6</v>
      </c>
      <c r="V9" s="188">
        <v>2339.1690134560367</v>
      </c>
      <c r="W9" s="185">
        <f t="shared" si="1"/>
        <v>389.86150224267277</v>
      </c>
      <c r="X9" s="182">
        <f t="shared" si="9"/>
        <v>2</v>
      </c>
      <c r="Y9" s="595"/>
      <c r="Z9" s="188">
        <v>6</v>
      </c>
      <c r="AA9" s="188">
        <v>2346.3268388349625</v>
      </c>
      <c r="AB9" s="185">
        <f t="shared" si="2"/>
        <v>391.05447313916039</v>
      </c>
      <c r="AC9" s="182">
        <f t="shared" si="10"/>
        <v>1</v>
      </c>
      <c r="AD9" s="595"/>
      <c r="AE9" s="188">
        <v>6</v>
      </c>
      <c r="AF9" s="188">
        <v>2345.2868388349625</v>
      </c>
      <c r="AG9" s="185">
        <f t="shared" si="11"/>
        <v>390.8811398058271</v>
      </c>
      <c r="AH9" s="182">
        <f t="shared" si="12"/>
        <v>2</v>
      </c>
      <c r="AI9" s="595"/>
      <c r="AJ9" s="188">
        <v>6</v>
      </c>
      <c r="AK9" s="188">
        <v>2344.246838834963</v>
      </c>
      <c r="AL9" s="185">
        <f t="shared" si="3"/>
        <v>390.70780647249381</v>
      </c>
      <c r="AM9" s="182">
        <f t="shared" si="13"/>
        <v>2</v>
      </c>
      <c r="AN9" s="595"/>
      <c r="AO9" s="188">
        <v>6</v>
      </c>
      <c r="AP9" s="188">
        <v>2345.2868388349625</v>
      </c>
      <c r="AQ9" s="185">
        <f t="shared" si="4"/>
        <v>390.8811398058271</v>
      </c>
      <c r="AR9" s="182">
        <f t="shared" si="14"/>
        <v>2</v>
      </c>
      <c r="AS9" s="595"/>
      <c r="AT9" s="188">
        <v>6</v>
      </c>
      <c r="AU9" s="188">
        <v>2344.2468388349625</v>
      </c>
      <c r="AV9" s="185">
        <f t="shared" si="5"/>
        <v>390.70780647249376</v>
      </c>
      <c r="AW9" s="182">
        <f t="shared" si="15"/>
        <v>2</v>
      </c>
      <c r="AX9" s="595"/>
    </row>
    <row r="10" spans="1:50" ht="14.25" customHeight="1">
      <c r="B10" s="590"/>
      <c r="C10" s="180">
        <v>4</v>
      </c>
      <c r="D10" s="183" t="s">
        <v>579</v>
      </c>
      <c r="E10" s="180">
        <v>12</v>
      </c>
      <c r="F10" s="180">
        <v>3600</v>
      </c>
      <c r="G10" s="185">
        <f t="shared" si="0"/>
        <v>300</v>
      </c>
      <c r="H10" s="595"/>
      <c r="I10" s="186">
        <f t="shared" si="6"/>
        <v>12</v>
      </c>
      <c r="J10" s="186">
        <f t="shared" si="6"/>
        <v>3158.0217309505797</v>
      </c>
      <c r="K10" s="187">
        <f t="shared" si="6"/>
        <v>263.16847757921494</v>
      </c>
      <c r="L10" s="596"/>
      <c r="M10" s="186">
        <f>RANK(K10, K$7:$K$21)</f>
        <v>4</v>
      </c>
      <c r="N10" s="590"/>
      <c r="O10" s="590"/>
      <c r="P10" s="188">
        <v>12</v>
      </c>
      <c r="Q10" s="188">
        <v>3156.9417309505793</v>
      </c>
      <c r="R10" s="185">
        <f t="shared" si="7"/>
        <v>263.07847757921496</v>
      </c>
      <c r="S10" s="182">
        <f t="shared" si="8"/>
        <v>5</v>
      </c>
      <c r="T10" s="595"/>
      <c r="U10" s="188">
        <v>12</v>
      </c>
      <c r="V10" s="188">
        <v>3158.3817309505798</v>
      </c>
      <c r="W10" s="185">
        <f t="shared" si="1"/>
        <v>263.19847757921497</v>
      </c>
      <c r="X10" s="182">
        <f t="shared" si="9"/>
        <v>4</v>
      </c>
      <c r="Y10" s="595"/>
      <c r="Z10" s="188">
        <v>12</v>
      </c>
      <c r="AA10" s="188">
        <v>3158.0217309505792</v>
      </c>
      <c r="AB10" s="185">
        <f t="shared" si="2"/>
        <v>263.16847757921494</v>
      </c>
      <c r="AC10" s="182">
        <f t="shared" si="10"/>
        <v>4</v>
      </c>
      <c r="AD10" s="595"/>
      <c r="AE10" s="188">
        <v>12</v>
      </c>
      <c r="AF10" s="188">
        <v>3158.741730950579</v>
      </c>
      <c r="AG10" s="185">
        <f t="shared" si="11"/>
        <v>263.22847757921494</v>
      </c>
      <c r="AH10" s="182">
        <f t="shared" si="12"/>
        <v>4</v>
      </c>
      <c r="AI10" s="595"/>
      <c r="AJ10" s="188">
        <v>12</v>
      </c>
      <c r="AK10" s="188">
        <v>3157.6617309505796</v>
      </c>
      <c r="AL10" s="185">
        <f t="shared" si="3"/>
        <v>263.13847757921496</v>
      </c>
      <c r="AM10" s="182">
        <f t="shared" si="13"/>
        <v>4</v>
      </c>
      <c r="AN10" s="595"/>
      <c r="AO10" s="188">
        <v>12</v>
      </c>
      <c r="AP10" s="188">
        <v>3158.3817309505794</v>
      </c>
      <c r="AQ10" s="185">
        <f t="shared" si="4"/>
        <v>263.19847757921497</v>
      </c>
      <c r="AR10" s="182">
        <f t="shared" si="14"/>
        <v>4</v>
      </c>
      <c r="AS10" s="595"/>
      <c r="AT10" s="188">
        <v>12</v>
      </c>
      <c r="AU10" s="188">
        <v>3158.0217309505792</v>
      </c>
      <c r="AV10" s="185">
        <f t="shared" si="5"/>
        <v>263.16847757921494</v>
      </c>
      <c r="AW10" s="182">
        <f t="shared" si="15"/>
        <v>4</v>
      </c>
      <c r="AX10" s="595"/>
    </row>
    <row r="11" spans="1:50" ht="14.25" customHeight="1">
      <c r="B11" s="590"/>
      <c r="C11" s="180">
        <v>5</v>
      </c>
      <c r="D11" s="183" t="s">
        <v>580</v>
      </c>
      <c r="E11" s="180">
        <v>12</v>
      </c>
      <c r="F11" s="180">
        <v>3600</v>
      </c>
      <c r="G11" s="185">
        <f t="shared" si="0"/>
        <v>300</v>
      </c>
      <c r="H11" s="595"/>
      <c r="I11" s="186">
        <f t="shared" si="6"/>
        <v>12</v>
      </c>
      <c r="J11" s="186">
        <f t="shared" si="6"/>
        <v>3156.8754796761132</v>
      </c>
      <c r="K11" s="187">
        <f t="shared" si="6"/>
        <v>263.07295663967614</v>
      </c>
      <c r="L11" s="596"/>
      <c r="M11" s="186">
        <f>RANK(K11, K$7:$K$21)</f>
        <v>5</v>
      </c>
      <c r="N11" s="590"/>
      <c r="O11" s="590"/>
      <c r="P11" s="188">
        <v>12</v>
      </c>
      <c r="Q11" s="188">
        <v>3158.6498158130198</v>
      </c>
      <c r="R11" s="185">
        <f t="shared" si="7"/>
        <v>263.22081798441832</v>
      </c>
      <c r="S11" s="182">
        <f t="shared" si="8"/>
        <v>4</v>
      </c>
      <c r="T11" s="595"/>
      <c r="U11" s="188">
        <v>12</v>
      </c>
      <c r="V11" s="188">
        <v>3157.5698158130199</v>
      </c>
      <c r="W11" s="185">
        <f t="shared" si="1"/>
        <v>263.13081798441834</v>
      </c>
      <c r="X11" s="182">
        <f t="shared" si="9"/>
        <v>5</v>
      </c>
      <c r="Y11" s="595"/>
      <c r="Z11" s="188">
        <v>12</v>
      </c>
      <c r="AA11" s="188">
        <v>3157.5698158130203</v>
      </c>
      <c r="AB11" s="185">
        <f t="shared" si="2"/>
        <v>263.13081798441834</v>
      </c>
      <c r="AC11" s="182">
        <f t="shared" si="10"/>
        <v>5</v>
      </c>
      <c r="AD11" s="595"/>
      <c r="AE11" s="188">
        <v>12</v>
      </c>
      <c r="AF11" s="188">
        <v>3156.48981581302</v>
      </c>
      <c r="AG11" s="185">
        <f t="shared" si="11"/>
        <v>263.04081798441831</v>
      </c>
      <c r="AH11" s="182">
        <f t="shared" si="12"/>
        <v>5</v>
      </c>
      <c r="AI11" s="595"/>
      <c r="AJ11" s="188">
        <v>12</v>
      </c>
      <c r="AK11" s="188">
        <v>3155.7698158130197</v>
      </c>
      <c r="AL11" s="185">
        <f t="shared" si="3"/>
        <v>262.98081798441831</v>
      </c>
      <c r="AM11" s="182">
        <f t="shared" si="13"/>
        <v>5</v>
      </c>
      <c r="AN11" s="595"/>
      <c r="AO11" s="188">
        <v>12</v>
      </c>
      <c r="AP11" s="188">
        <v>3155.8993183779157</v>
      </c>
      <c r="AQ11" s="185">
        <f t="shared" si="4"/>
        <v>262.99160986482633</v>
      </c>
      <c r="AR11" s="182">
        <f t="shared" si="14"/>
        <v>5</v>
      </c>
      <c r="AS11" s="595"/>
      <c r="AT11" s="188">
        <v>12</v>
      </c>
      <c r="AU11" s="188">
        <v>3156.1799602897763</v>
      </c>
      <c r="AV11" s="185">
        <f t="shared" si="5"/>
        <v>263.01499669081471</v>
      </c>
      <c r="AW11" s="182">
        <f t="shared" si="15"/>
        <v>5</v>
      </c>
      <c r="AX11" s="595"/>
    </row>
    <row r="12" spans="1:50" ht="14.25" customHeight="1">
      <c r="B12" s="590"/>
      <c r="C12" s="180">
        <v>6</v>
      </c>
      <c r="D12" s="183"/>
      <c r="E12" s="180"/>
      <c r="F12" s="180"/>
      <c r="G12" s="185"/>
      <c r="H12" s="595"/>
      <c r="I12" s="186"/>
      <c r="J12" s="186"/>
      <c r="K12" s="187"/>
      <c r="L12" s="596"/>
      <c r="M12" s="186"/>
      <c r="N12" s="590"/>
      <c r="O12" s="590"/>
      <c r="P12" s="188"/>
      <c r="Q12" s="188"/>
      <c r="R12" s="185"/>
      <c r="S12" s="182"/>
      <c r="T12" s="595"/>
      <c r="U12" s="188"/>
      <c r="V12" s="188"/>
      <c r="W12" s="185"/>
      <c r="X12" s="182"/>
      <c r="Y12" s="595"/>
      <c r="Z12" s="188"/>
      <c r="AA12" s="188"/>
      <c r="AB12" s="185"/>
      <c r="AC12" s="182"/>
      <c r="AD12" s="595"/>
      <c r="AE12" s="188"/>
      <c r="AF12" s="188"/>
      <c r="AG12" s="185"/>
      <c r="AH12" s="182"/>
      <c r="AI12" s="595"/>
      <c r="AJ12" s="188"/>
      <c r="AK12" s="188"/>
      <c r="AL12" s="185"/>
      <c r="AM12" s="182"/>
      <c r="AN12" s="595"/>
      <c r="AO12" s="188"/>
      <c r="AP12" s="188"/>
      <c r="AQ12" s="185"/>
      <c r="AR12" s="182"/>
      <c r="AS12" s="595"/>
      <c r="AT12" s="188"/>
      <c r="AU12" s="188"/>
      <c r="AV12" s="185"/>
      <c r="AW12" s="182"/>
      <c r="AX12" s="595"/>
    </row>
    <row r="13" spans="1:50" ht="14.25" customHeight="1">
      <c r="B13" s="590"/>
      <c r="C13" s="180">
        <v>7</v>
      </c>
      <c r="D13" s="183"/>
      <c r="E13" s="180"/>
      <c r="F13" s="180"/>
      <c r="G13" s="185"/>
      <c r="H13" s="595"/>
      <c r="I13" s="186"/>
      <c r="J13" s="186"/>
      <c r="K13" s="187"/>
      <c r="L13" s="596"/>
      <c r="M13" s="186"/>
      <c r="N13" s="590"/>
      <c r="O13" s="590"/>
      <c r="P13" s="188"/>
      <c r="Q13" s="188"/>
      <c r="R13" s="185"/>
      <c r="S13" s="182"/>
      <c r="T13" s="595"/>
      <c r="U13" s="188"/>
      <c r="V13" s="188"/>
      <c r="W13" s="185"/>
      <c r="X13" s="182"/>
      <c r="Y13" s="595"/>
      <c r="Z13" s="188"/>
      <c r="AA13" s="188"/>
      <c r="AB13" s="185"/>
      <c r="AC13" s="182"/>
      <c r="AD13" s="595"/>
      <c r="AE13" s="188"/>
      <c r="AF13" s="188"/>
      <c r="AG13" s="185"/>
      <c r="AH13" s="182"/>
      <c r="AI13" s="595"/>
      <c r="AJ13" s="188"/>
      <c r="AK13" s="188"/>
      <c r="AL13" s="185"/>
      <c r="AM13" s="182"/>
      <c r="AN13" s="595"/>
      <c r="AO13" s="188"/>
      <c r="AP13" s="188"/>
      <c r="AQ13" s="185"/>
      <c r="AR13" s="182"/>
      <c r="AS13" s="595"/>
      <c r="AT13" s="188"/>
      <c r="AU13" s="188"/>
      <c r="AV13" s="185"/>
      <c r="AW13" s="182"/>
      <c r="AX13" s="595"/>
    </row>
    <row r="14" spans="1:50" ht="14.25" customHeight="1">
      <c r="B14" s="590"/>
      <c r="C14" s="180">
        <v>8</v>
      </c>
      <c r="D14" s="183"/>
      <c r="E14" s="180"/>
      <c r="F14" s="180"/>
      <c r="G14" s="185"/>
      <c r="H14" s="595"/>
      <c r="I14" s="186"/>
      <c r="J14" s="186"/>
      <c r="K14" s="187"/>
      <c r="L14" s="596"/>
      <c r="M14" s="186"/>
      <c r="N14" s="590"/>
      <c r="O14" s="590"/>
      <c r="P14" s="188"/>
      <c r="Q14" s="188"/>
      <c r="R14" s="185"/>
      <c r="S14" s="182"/>
      <c r="T14" s="595"/>
      <c r="U14" s="188"/>
      <c r="V14" s="188"/>
      <c r="W14" s="185"/>
      <c r="X14" s="182"/>
      <c r="Y14" s="595"/>
      <c r="Z14" s="188"/>
      <c r="AA14" s="188"/>
      <c r="AB14" s="185"/>
      <c r="AC14" s="182"/>
      <c r="AD14" s="595"/>
      <c r="AE14" s="188"/>
      <c r="AF14" s="188"/>
      <c r="AG14" s="185"/>
      <c r="AH14" s="182"/>
      <c r="AI14" s="595"/>
      <c r="AJ14" s="188"/>
      <c r="AK14" s="188"/>
      <c r="AL14" s="185"/>
      <c r="AM14" s="182"/>
      <c r="AN14" s="595"/>
      <c r="AO14" s="188"/>
      <c r="AP14" s="188"/>
      <c r="AQ14" s="185"/>
      <c r="AR14" s="182"/>
      <c r="AS14" s="595"/>
      <c r="AT14" s="188"/>
      <c r="AU14" s="188"/>
      <c r="AV14" s="185"/>
      <c r="AW14" s="182"/>
      <c r="AX14" s="595"/>
    </row>
    <row r="15" spans="1:50" ht="14.25" customHeight="1">
      <c r="B15" s="590"/>
      <c r="C15" s="180">
        <v>9</v>
      </c>
      <c r="D15" s="183"/>
      <c r="E15" s="180"/>
      <c r="F15" s="180"/>
      <c r="G15" s="185"/>
      <c r="H15" s="595"/>
      <c r="I15" s="186"/>
      <c r="J15" s="186"/>
      <c r="K15" s="187"/>
      <c r="L15" s="596"/>
      <c r="M15" s="186"/>
      <c r="N15" s="590"/>
      <c r="O15" s="590"/>
      <c r="P15" s="188"/>
      <c r="Q15" s="188"/>
      <c r="R15" s="185"/>
      <c r="S15" s="182"/>
      <c r="T15" s="595"/>
      <c r="U15" s="188"/>
      <c r="V15" s="188"/>
      <c r="W15" s="185"/>
      <c r="X15" s="182"/>
      <c r="Y15" s="595"/>
      <c r="Z15" s="188"/>
      <c r="AA15" s="188"/>
      <c r="AB15" s="185"/>
      <c r="AC15" s="182"/>
      <c r="AD15" s="595"/>
      <c r="AE15" s="188"/>
      <c r="AF15" s="188"/>
      <c r="AG15" s="185"/>
      <c r="AH15" s="182"/>
      <c r="AI15" s="595"/>
      <c r="AJ15" s="188"/>
      <c r="AK15" s="188"/>
      <c r="AL15" s="185"/>
      <c r="AM15" s="182"/>
      <c r="AN15" s="595"/>
      <c r="AO15" s="188"/>
      <c r="AP15" s="188"/>
      <c r="AQ15" s="185"/>
      <c r="AR15" s="182"/>
      <c r="AS15" s="595"/>
      <c r="AT15" s="188"/>
      <c r="AU15" s="188"/>
      <c r="AV15" s="185"/>
      <c r="AW15" s="182"/>
      <c r="AX15" s="595"/>
    </row>
    <row r="16" spans="1:50" ht="14.25" customHeight="1">
      <c r="B16" s="590"/>
      <c r="C16" s="180">
        <v>10</v>
      </c>
      <c r="D16" s="183"/>
      <c r="E16" s="180"/>
      <c r="F16" s="180"/>
      <c r="G16" s="185"/>
      <c r="H16" s="595"/>
      <c r="I16" s="186"/>
      <c r="J16" s="186"/>
      <c r="K16" s="187"/>
      <c r="L16" s="596"/>
      <c r="M16" s="186"/>
      <c r="N16" s="590"/>
      <c r="O16" s="590"/>
      <c r="P16" s="188"/>
      <c r="Q16" s="188"/>
      <c r="R16" s="185"/>
      <c r="S16" s="182"/>
      <c r="T16" s="595"/>
      <c r="U16" s="188"/>
      <c r="V16" s="188"/>
      <c r="W16" s="185"/>
      <c r="X16" s="182"/>
      <c r="Y16" s="595"/>
      <c r="Z16" s="188"/>
      <c r="AA16" s="188"/>
      <c r="AB16" s="185"/>
      <c r="AC16" s="182"/>
      <c r="AD16" s="595"/>
      <c r="AE16" s="188"/>
      <c r="AF16" s="188"/>
      <c r="AG16" s="185"/>
      <c r="AH16" s="182"/>
      <c r="AI16" s="595"/>
      <c r="AJ16" s="188"/>
      <c r="AK16" s="188"/>
      <c r="AL16" s="185"/>
      <c r="AM16" s="182"/>
      <c r="AN16" s="595"/>
      <c r="AO16" s="188"/>
      <c r="AP16" s="188"/>
      <c r="AQ16" s="185"/>
      <c r="AR16" s="182"/>
      <c r="AS16" s="595"/>
      <c r="AT16" s="188"/>
      <c r="AU16" s="188"/>
      <c r="AV16" s="185"/>
      <c r="AW16" s="182"/>
      <c r="AX16" s="595"/>
    </row>
    <row r="17" spans="2:50" ht="14.25" customHeight="1">
      <c r="B17" s="590"/>
      <c r="C17" s="180">
        <v>11</v>
      </c>
      <c r="D17" s="183"/>
      <c r="E17" s="180"/>
      <c r="F17" s="180"/>
      <c r="G17" s="185"/>
      <c r="H17" s="595"/>
      <c r="I17" s="186"/>
      <c r="J17" s="186"/>
      <c r="K17" s="187"/>
      <c r="L17" s="596"/>
      <c r="M17" s="186"/>
      <c r="N17" s="590"/>
      <c r="O17" s="590"/>
      <c r="P17" s="188"/>
      <c r="Q17" s="188"/>
      <c r="R17" s="185"/>
      <c r="S17" s="182"/>
      <c r="T17" s="595"/>
      <c r="U17" s="188"/>
      <c r="V17" s="188"/>
      <c r="W17" s="185"/>
      <c r="X17" s="182"/>
      <c r="Y17" s="595"/>
      <c r="Z17" s="188"/>
      <c r="AA17" s="188"/>
      <c r="AB17" s="185"/>
      <c r="AC17" s="182"/>
      <c r="AD17" s="595"/>
      <c r="AE17" s="188"/>
      <c r="AF17" s="188"/>
      <c r="AG17" s="185"/>
      <c r="AH17" s="182"/>
      <c r="AI17" s="595"/>
      <c r="AJ17" s="188"/>
      <c r="AK17" s="188"/>
      <c r="AL17" s="185"/>
      <c r="AM17" s="182"/>
      <c r="AN17" s="595"/>
      <c r="AO17" s="188"/>
      <c r="AP17" s="188"/>
      <c r="AQ17" s="185"/>
      <c r="AR17" s="182"/>
      <c r="AS17" s="595"/>
      <c r="AT17" s="188"/>
      <c r="AU17" s="188"/>
      <c r="AV17" s="185"/>
      <c r="AW17" s="182"/>
      <c r="AX17" s="595"/>
    </row>
    <row r="18" spans="2:50" ht="14.25" customHeight="1">
      <c r="B18" s="590"/>
      <c r="C18" s="180">
        <v>12</v>
      </c>
      <c r="D18" s="183"/>
      <c r="E18" s="180"/>
      <c r="F18" s="180"/>
      <c r="G18" s="185"/>
      <c r="H18" s="595"/>
      <c r="I18" s="186"/>
      <c r="J18" s="186"/>
      <c r="K18" s="187"/>
      <c r="L18" s="596"/>
      <c r="M18" s="186"/>
      <c r="N18" s="590"/>
      <c r="O18" s="590"/>
      <c r="P18" s="188"/>
      <c r="Q18" s="188"/>
      <c r="R18" s="185"/>
      <c r="S18" s="182"/>
      <c r="T18" s="595"/>
      <c r="U18" s="188"/>
      <c r="V18" s="188"/>
      <c r="W18" s="185"/>
      <c r="X18" s="182"/>
      <c r="Y18" s="595"/>
      <c r="Z18" s="188"/>
      <c r="AA18" s="188"/>
      <c r="AB18" s="185"/>
      <c r="AC18" s="182"/>
      <c r="AD18" s="595"/>
      <c r="AE18" s="188"/>
      <c r="AF18" s="188"/>
      <c r="AG18" s="185"/>
      <c r="AH18" s="182"/>
      <c r="AI18" s="595"/>
      <c r="AJ18" s="188"/>
      <c r="AK18" s="188"/>
      <c r="AL18" s="185"/>
      <c r="AM18" s="182"/>
      <c r="AN18" s="595"/>
      <c r="AO18" s="188"/>
      <c r="AP18" s="188"/>
      <c r="AQ18" s="185"/>
      <c r="AR18" s="182"/>
      <c r="AS18" s="595"/>
      <c r="AT18" s="188"/>
      <c r="AU18" s="188"/>
      <c r="AV18" s="185"/>
      <c r="AW18" s="182"/>
      <c r="AX18" s="595"/>
    </row>
    <row r="19" spans="2:50" ht="14.25" customHeight="1">
      <c r="B19" s="590"/>
      <c r="C19" s="180">
        <v>13</v>
      </c>
      <c r="D19" s="183"/>
      <c r="E19" s="180"/>
      <c r="F19" s="180"/>
      <c r="G19" s="185"/>
      <c r="H19" s="595"/>
      <c r="I19" s="186"/>
      <c r="J19" s="186"/>
      <c r="K19" s="187"/>
      <c r="L19" s="596"/>
      <c r="M19" s="186"/>
      <c r="N19" s="590"/>
      <c r="O19" s="590"/>
      <c r="P19" s="188"/>
      <c r="Q19" s="188"/>
      <c r="R19" s="185"/>
      <c r="S19" s="182"/>
      <c r="T19" s="595"/>
      <c r="U19" s="188"/>
      <c r="V19" s="188"/>
      <c r="W19" s="185"/>
      <c r="X19" s="182"/>
      <c r="Y19" s="595"/>
      <c r="Z19" s="188"/>
      <c r="AA19" s="188"/>
      <c r="AB19" s="185"/>
      <c r="AC19" s="182"/>
      <c r="AD19" s="595"/>
      <c r="AE19" s="188"/>
      <c r="AF19" s="188"/>
      <c r="AG19" s="185"/>
      <c r="AH19" s="182"/>
      <c r="AI19" s="595"/>
      <c r="AJ19" s="188"/>
      <c r="AK19" s="188"/>
      <c r="AL19" s="185"/>
      <c r="AM19" s="182"/>
      <c r="AN19" s="595"/>
      <c r="AO19" s="188"/>
      <c r="AP19" s="188"/>
      <c r="AQ19" s="185"/>
      <c r="AR19" s="182"/>
      <c r="AS19" s="595"/>
      <c r="AT19" s="188"/>
      <c r="AU19" s="188"/>
      <c r="AV19" s="185"/>
      <c r="AW19" s="182"/>
      <c r="AX19" s="595"/>
    </row>
    <row r="20" spans="2:50" ht="14.25" customHeight="1">
      <c r="B20" s="590"/>
      <c r="C20" s="180">
        <v>14</v>
      </c>
      <c r="D20" s="183"/>
      <c r="E20" s="180"/>
      <c r="F20" s="180"/>
      <c r="G20" s="185"/>
      <c r="H20" s="595"/>
      <c r="I20" s="186"/>
      <c r="J20" s="186"/>
      <c r="K20" s="187"/>
      <c r="L20" s="596"/>
      <c r="M20" s="186"/>
      <c r="N20" s="590"/>
      <c r="O20" s="590"/>
      <c r="P20" s="188"/>
      <c r="Q20" s="188"/>
      <c r="R20" s="185"/>
      <c r="S20" s="182"/>
      <c r="T20" s="595"/>
      <c r="U20" s="188"/>
      <c r="V20" s="188"/>
      <c r="W20" s="185"/>
      <c r="X20" s="182"/>
      <c r="Y20" s="595"/>
      <c r="Z20" s="188"/>
      <c r="AA20" s="188"/>
      <c r="AB20" s="185"/>
      <c r="AC20" s="182"/>
      <c r="AD20" s="595"/>
      <c r="AE20" s="188"/>
      <c r="AF20" s="188"/>
      <c r="AG20" s="185"/>
      <c r="AH20" s="182"/>
      <c r="AI20" s="595"/>
      <c r="AJ20" s="188"/>
      <c r="AK20" s="188"/>
      <c r="AL20" s="185"/>
      <c r="AM20" s="182"/>
      <c r="AN20" s="595"/>
      <c r="AO20" s="188"/>
      <c r="AP20" s="188"/>
      <c r="AQ20" s="185"/>
      <c r="AR20" s="182"/>
      <c r="AS20" s="595"/>
      <c r="AT20" s="188"/>
      <c r="AU20" s="188"/>
      <c r="AV20" s="185"/>
      <c r="AW20" s="182"/>
      <c r="AX20" s="595"/>
    </row>
    <row r="21" spans="2:50" ht="14.25" customHeight="1">
      <c r="B21" s="590"/>
      <c r="C21" s="180">
        <v>15</v>
      </c>
      <c r="D21" s="183"/>
      <c r="E21" s="180"/>
      <c r="F21" s="180"/>
      <c r="G21" s="185"/>
      <c r="H21" s="595"/>
      <c r="I21" s="186"/>
      <c r="J21" s="186"/>
      <c r="K21" s="187"/>
      <c r="L21" s="596"/>
      <c r="M21" s="186"/>
      <c r="N21" s="590"/>
      <c r="O21" s="590"/>
      <c r="P21" s="188"/>
      <c r="Q21" s="188"/>
      <c r="R21" s="185"/>
      <c r="S21" s="182"/>
      <c r="T21" s="595"/>
      <c r="U21" s="188"/>
      <c r="V21" s="188"/>
      <c r="W21" s="185"/>
      <c r="X21" s="182"/>
      <c r="Y21" s="595"/>
      <c r="Z21" s="188"/>
      <c r="AA21" s="188"/>
      <c r="AB21" s="185"/>
      <c r="AC21" s="182"/>
      <c r="AD21" s="595"/>
      <c r="AE21" s="188"/>
      <c r="AF21" s="188"/>
      <c r="AG21" s="185"/>
      <c r="AH21" s="182"/>
      <c r="AI21" s="595"/>
      <c r="AJ21" s="188"/>
      <c r="AK21" s="188"/>
      <c r="AL21" s="185"/>
      <c r="AM21" s="182"/>
      <c r="AN21" s="595"/>
      <c r="AO21" s="188"/>
      <c r="AP21" s="188"/>
      <c r="AQ21" s="185"/>
      <c r="AR21" s="182"/>
      <c r="AS21" s="595"/>
      <c r="AT21" s="188"/>
      <c r="AU21" s="188"/>
      <c r="AV21" s="185"/>
      <c r="AW21" s="182"/>
      <c r="AX21" s="595"/>
    </row>
    <row r="22" spans="2:50" ht="14.25" customHeight="1">
      <c r="B22" s="572" t="s">
        <v>737</v>
      </c>
      <c r="C22" s="572"/>
      <c r="D22" s="572"/>
      <c r="E22" s="572"/>
      <c r="F22" s="572"/>
      <c r="G22" s="572"/>
      <c r="H22" s="572"/>
      <c r="I22" s="572"/>
      <c r="J22" s="572"/>
      <c r="K22" s="572"/>
      <c r="L22" s="572"/>
      <c r="M22" s="573"/>
      <c r="N22" s="608" t="s">
        <v>369</v>
      </c>
      <c r="O22" s="608" t="s">
        <v>105</v>
      </c>
      <c r="P22" s="610">
        <v>46147</v>
      </c>
      <c r="Q22" s="611"/>
      <c r="R22" s="611"/>
      <c r="S22" s="611"/>
      <c r="T22" s="611"/>
      <c r="U22" s="612">
        <v>46148</v>
      </c>
      <c r="V22" s="613"/>
      <c r="W22" s="613"/>
      <c r="X22" s="613"/>
      <c r="Y22" s="613"/>
      <c r="Z22" s="610">
        <v>46149</v>
      </c>
      <c r="AA22" s="611"/>
      <c r="AB22" s="611"/>
      <c r="AC22" s="611"/>
      <c r="AD22" s="611"/>
      <c r="AE22" s="612">
        <v>46150</v>
      </c>
      <c r="AF22" s="613"/>
      <c r="AG22" s="613"/>
      <c r="AH22" s="613"/>
      <c r="AI22" s="613"/>
      <c r="AJ22" s="600">
        <v>46151</v>
      </c>
      <c r="AK22" s="601"/>
      <c r="AL22" s="601"/>
      <c r="AM22" s="601"/>
      <c r="AN22" s="602"/>
      <c r="AO22" s="612">
        <v>46152</v>
      </c>
      <c r="AP22" s="613"/>
      <c r="AQ22" s="613"/>
      <c r="AR22" s="613"/>
      <c r="AS22" s="613"/>
      <c r="AT22" s="600">
        <v>46153</v>
      </c>
      <c r="AU22" s="601"/>
      <c r="AV22" s="601"/>
      <c r="AW22" s="601"/>
      <c r="AX22" s="602"/>
    </row>
    <row r="23" spans="2:50" ht="14.25" customHeight="1">
      <c r="B23" s="574"/>
      <c r="C23" s="574"/>
      <c r="D23" s="574"/>
      <c r="E23" s="574"/>
      <c r="F23" s="574"/>
      <c r="G23" s="574"/>
      <c r="H23" s="574"/>
      <c r="I23" s="574"/>
      <c r="J23" s="574"/>
      <c r="K23" s="574"/>
      <c r="L23" s="574"/>
      <c r="M23" s="575"/>
      <c r="N23" s="609"/>
      <c r="O23" s="609"/>
      <c r="P23" s="603">
        <v>46147</v>
      </c>
      <c r="Q23" s="603"/>
      <c r="R23" s="603"/>
      <c r="S23" s="603"/>
      <c r="T23" s="603"/>
      <c r="U23" s="604">
        <v>46148</v>
      </c>
      <c r="V23" s="604"/>
      <c r="W23" s="604"/>
      <c r="X23" s="604"/>
      <c r="Y23" s="604"/>
      <c r="Z23" s="603">
        <v>46149</v>
      </c>
      <c r="AA23" s="603"/>
      <c r="AB23" s="603"/>
      <c r="AC23" s="603"/>
      <c r="AD23" s="603"/>
      <c r="AE23" s="604">
        <v>46150</v>
      </c>
      <c r="AF23" s="604"/>
      <c r="AG23" s="604"/>
      <c r="AH23" s="604"/>
      <c r="AI23" s="604"/>
      <c r="AJ23" s="605">
        <v>46151</v>
      </c>
      <c r="AK23" s="606"/>
      <c r="AL23" s="606"/>
      <c r="AM23" s="606"/>
      <c r="AN23" s="607"/>
      <c r="AO23" s="604">
        <v>46152</v>
      </c>
      <c r="AP23" s="604"/>
      <c r="AQ23" s="604"/>
      <c r="AR23" s="604"/>
      <c r="AS23" s="604"/>
      <c r="AT23" s="605">
        <v>46153</v>
      </c>
      <c r="AU23" s="606"/>
      <c r="AV23" s="606"/>
      <c r="AW23" s="606"/>
      <c r="AX23" s="607"/>
    </row>
    <row r="24" spans="2:50" ht="14.25" customHeight="1">
      <c r="B24" s="590" t="s">
        <v>162</v>
      </c>
      <c r="C24" s="590" t="s">
        <v>157</v>
      </c>
      <c r="D24" s="590"/>
      <c r="E24" s="590" t="s">
        <v>158</v>
      </c>
      <c r="F24" s="590"/>
      <c r="G24" s="590"/>
      <c r="H24" s="590" t="s">
        <v>163</v>
      </c>
      <c r="I24" s="591" t="s">
        <v>370</v>
      </c>
      <c r="J24" s="591"/>
      <c r="K24" s="591"/>
      <c r="L24" s="591" t="s">
        <v>163</v>
      </c>
      <c r="M24" s="591" t="s">
        <v>165</v>
      </c>
      <c r="N24" s="590"/>
      <c r="O24" s="590" t="s">
        <v>164</v>
      </c>
      <c r="P24" s="590" t="s">
        <v>160</v>
      </c>
      <c r="Q24" s="590"/>
      <c r="R24" s="590"/>
      <c r="S24" s="590"/>
      <c r="T24" s="590" t="s">
        <v>163</v>
      </c>
      <c r="U24" s="590" t="s">
        <v>160</v>
      </c>
      <c r="V24" s="590"/>
      <c r="W24" s="590"/>
      <c r="X24" s="590"/>
      <c r="Y24" s="590" t="s">
        <v>163</v>
      </c>
      <c r="Z24" s="590" t="s">
        <v>160</v>
      </c>
      <c r="AA24" s="590"/>
      <c r="AB24" s="590"/>
      <c r="AC24" s="590"/>
      <c r="AD24" s="590" t="s">
        <v>163</v>
      </c>
      <c r="AE24" s="590" t="s">
        <v>160</v>
      </c>
      <c r="AF24" s="590"/>
      <c r="AG24" s="590"/>
      <c r="AH24" s="590"/>
      <c r="AI24" s="590" t="s">
        <v>163</v>
      </c>
      <c r="AJ24" s="590" t="s">
        <v>160</v>
      </c>
      <c r="AK24" s="590"/>
      <c r="AL24" s="590"/>
      <c r="AM24" s="590"/>
      <c r="AN24" s="590" t="s">
        <v>163</v>
      </c>
      <c r="AO24" s="590" t="s">
        <v>160</v>
      </c>
      <c r="AP24" s="590"/>
      <c r="AQ24" s="590"/>
      <c r="AR24" s="590"/>
      <c r="AS24" s="590" t="s">
        <v>163</v>
      </c>
      <c r="AT24" s="590" t="s">
        <v>160</v>
      </c>
      <c r="AU24" s="590"/>
      <c r="AV24" s="590"/>
      <c r="AW24" s="590"/>
      <c r="AX24" s="590" t="s">
        <v>163</v>
      </c>
    </row>
    <row r="25" spans="2:50" ht="14.25" customHeight="1">
      <c r="B25" s="590"/>
      <c r="C25" s="590"/>
      <c r="D25" s="590"/>
      <c r="E25" s="590" t="s">
        <v>371</v>
      </c>
      <c r="F25" s="590"/>
      <c r="G25" s="590"/>
      <c r="H25" s="590"/>
      <c r="I25" s="591" t="s">
        <v>371</v>
      </c>
      <c r="J25" s="591"/>
      <c r="K25" s="591"/>
      <c r="L25" s="591"/>
      <c r="M25" s="591"/>
      <c r="N25" s="590"/>
      <c r="O25" s="590"/>
      <c r="P25" s="590" t="s">
        <v>372</v>
      </c>
      <c r="Q25" s="590"/>
      <c r="R25" s="590"/>
      <c r="S25" s="590"/>
      <c r="T25" s="590"/>
      <c r="U25" s="590" t="s">
        <v>372</v>
      </c>
      <c r="V25" s="590"/>
      <c r="W25" s="590"/>
      <c r="X25" s="590"/>
      <c r="Y25" s="590"/>
      <c r="Z25" s="590" t="s">
        <v>372</v>
      </c>
      <c r="AA25" s="590"/>
      <c r="AB25" s="590"/>
      <c r="AC25" s="590"/>
      <c r="AD25" s="590"/>
      <c r="AE25" s="590" t="s">
        <v>372</v>
      </c>
      <c r="AF25" s="590"/>
      <c r="AG25" s="590"/>
      <c r="AH25" s="590"/>
      <c r="AI25" s="590"/>
      <c r="AJ25" s="590" t="s">
        <v>372</v>
      </c>
      <c r="AK25" s="590"/>
      <c r="AL25" s="590"/>
      <c r="AM25" s="590"/>
      <c r="AN25" s="590"/>
      <c r="AO25" s="590" t="s">
        <v>372</v>
      </c>
      <c r="AP25" s="590"/>
      <c r="AQ25" s="590"/>
      <c r="AR25" s="590"/>
      <c r="AS25" s="590"/>
      <c r="AT25" s="590" t="s">
        <v>372</v>
      </c>
      <c r="AU25" s="590"/>
      <c r="AV25" s="590"/>
      <c r="AW25" s="590"/>
      <c r="AX25" s="590"/>
    </row>
    <row r="26" spans="2:50" ht="14.25" customHeight="1">
      <c r="B26" s="590"/>
      <c r="C26" s="590"/>
      <c r="D26" s="590"/>
      <c r="E26" s="180" t="s">
        <v>159</v>
      </c>
      <c r="F26" s="180" t="s">
        <v>373</v>
      </c>
      <c r="G26" s="180" t="s">
        <v>161</v>
      </c>
      <c r="H26" s="590"/>
      <c r="I26" s="181" t="s">
        <v>159</v>
      </c>
      <c r="J26" s="181" t="s">
        <v>373</v>
      </c>
      <c r="K26" s="181" t="s">
        <v>161</v>
      </c>
      <c r="L26" s="591"/>
      <c r="M26" s="591"/>
      <c r="N26" s="590"/>
      <c r="O26" s="590"/>
      <c r="P26" s="180" t="s">
        <v>159</v>
      </c>
      <c r="Q26" s="180" t="s">
        <v>373</v>
      </c>
      <c r="R26" s="180" t="s">
        <v>161</v>
      </c>
      <c r="S26" s="182" t="s">
        <v>165</v>
      </c>
      <c r="T26" s="590"/>
      <c r="U26" s="180" t="s">
        <v>159</v>
      </c>
      <c r="V26" s="180" t="s">
        <v>373</v>
      </c>
      <c r="W26" s="180" t="s">
        <v>161</v>
      </c>
      <c r="X26" s="182" t="s">
        <v>165</v>
      </c>
      <c r="Y26" s="590"/>
      <c r="Z26" s="180" t="s">
        <v>159</v>
      </c>
      <c r="AA26" s="180" t="s">
        <v>373</v>
      </c>
      <c r="AB26" s="180" t="s">
        <v>161</v>
      </c>
      <c r="AC26" s="182" t="s">
        <v>165</v>
      </c>
      <c r="AD26" s="590"/>
      <c r="AE26" s="180" t="s">
        <v>159</v>
      </c>
      <c r="AF26" s="180" t="s">
        <v>373</v>
      </c>
      <c r="AG26" s="180" t="s">
        <v>161</v>
      </c>
      <c r="AH26" s="182" t="s">
        <v>165</v>
      </c>
      <c r="AI26" s="590"/>
      <c r="AJ26" s="180" t="s">
        <v>159</v>
      </c>
      <c r="AK26" s="180" t="s">
        <v>373</v>
      </c>
      <c r="AL26" s="180" t="s">
        <v>161</v>
      </c>
      <c r="AM26" s="182" t="s">
        <v>165</v>
      </c>
      <c r="AN26" s="590"/>
      <c r="AO26" s="180" t="s">
        <v>159</v>
      </c>
      <c r="AP26" s="180" t="s">
        <v>373</v>
      </c>
      <c r="AQ26" s="180" t="s">
        <v>161</v>
      </c>
      <c r="AR26" s="182" t="s">
        <v>165</v>
      </c>
      <c r="AS26" s="590"/>
      <c r="AT26" s="180" t="s">
        <v>159</v>
      </c>
      <c r="AU26" s="180" t="s">
        <v>373</v>
      </c>
      <c r="AV26" s="180" t="s">
        <v>161</v>
      </c>
      <c r="AW26" s="182" t="s">
        <v>165</v>
      </c>
      <c r="AX26" s="590"/>
    </row>
    <row r="27" spans="2:50" ht="14.25" customHeight="1">
      <c r="B27" s="590" t="s">
        <v>375</v>
      </c>
      <c r="C27" s="180">
        <v>1</v>
      </c>
      <c r="D27" s="183" t="s">
        <v>348</v>
      </c>
      <c r="E27" s="180">
        <v>11</v>
      </c>
      <c r="F27" s="180">
        <v>3600</v>
      </c>
      <c r="G27" s="185">
        <f t="shared" ref="G27:G31" si="16">F27/E27</f>
        <v>327.27272727272725</v>
      </c>
      <c r="H27" s="595">
        <f>AVERAGE(G27:G41)</f>
        <v>358.78787878787875</v>
      </c>
      <c r="I27" s="186">
        <f>AVERAGE(P27,U27,Z27,AE27,AJ27,AO27,AT27)</f>
        <v>10.428571428571429</v>
      </c>
      <c r="J27" s="186">
        <f>AVERAGE(Q27,V27,AA27,AF27,AK27,AP27,AU27)</f>
        <v>3185.544316431668</v>
      </c>
      <c r="K27" s="187">
        <f>AVERAGE(R27,W27,AB27,AG27,AL27,AQ27,AV27)</f>
        <v>306.14909757172609</v>
      </c>
      <c r="L27" s="596">
        <f>IFERROR(AVERAGE(K27:K41),"-")</f>
        <v>328.28593764406145</v>
      </c>
      <c r="M27" s="186">
        <f>RANK(K27, K$27:$K$41)</f>
        <v>3</v>
      </c>
      <c r="N27" s="590"/>
      <c r="O27" s="590"/>
      <c r="P27" s="188">
        <v>11</v>
      </c>
      <c r="Q27" s="188">
        <v>3183.7957450030954</v>
      </c>
      <c r="R27" s="185">
        <f>IFERROR(Q27/P27,"")</f>
        <v>289.43597681846319</v>
      </c>
      <c r="S27" s="182">
        <f>RANK(R27, R$27:R$41)</f>
        <v>3</v>
      </c>
      <c r="T27" s="595">
        <f>AVERAGE(R27:R41)</f>
        <v>319.48213317850934</v>
      </c>
      <c r="U27" s="188">
        <v>11</v>
      </c>
      <c r="V27" s="188">
        <v>3184.1557450030955</v>
      </c>
      <c r="W27" s="185">
        <f t="shared" ref="W27:W31" si="17">IFERROR(V27/U27,"")</f>
        <v>289.46870409119049</v>
      </c>
      <c r="X27" s="182">
        <f>RANK(W27, W$27:W$41)</f>
        <v>3</v>
      </c>
      <c r="Y27" s="595">
        <f>AVERAGE(W27:W41)</f>
        <v>319.50209764139015</v>
      </c>
      <c r="Z27" s="188">
        <v>11</v>
      </c>
      <c r="AA27" s="188">
        <v>3184.1557450030955</v>
      </c>
      <c r="AB27" s="185">
        <f t="shared" ref="AB27:AB31" si="18">IFERROR(AA27/Z27,"")</f>
        <v>289.46870409119049</v>
      </c>
      <c r="AC27" s="182">
        <f>RANK(AB27, AB$27:AB$41)</f>
        <v>3</v>
      </c>
      <c r="AD27" s="595">
        <f>AVERAGE(AB27:AB41)</f>
        <v>319.46677139544516</v>
      </c>
      <c r="AE27" s="188">
        <v>10</v>
      </c>
      <c r="AF27" s="188">
        <v>3185.2357450030959</v>
      </c>
      <c r="AG27" s="185">
        <f>IFERROR(AF27/AE27,"")</f>
        <v>318.52357450030956</v>
      </c>
      <c r="AH27" s="182">
        <f>RANK(AG27, AG$27:AG$41)</f>
        <v>3</v>
      </c>
      <c r="AI27" s="597">
        <f>AVERAGE(AG27:AG41)</f>
        <v>334.8039125224077</v>
      </c>
      <c r="AJ27" s="188">
        <v>10</v>
      </c>
      <c r="AK27" s="188">
        <v>3185.9557450030961</v>
      </c>
      <c r="AL27" s="185">
        <f t="shared" ref="AL27:AL31" si="19">IFERROR(AK27/AJ27,"")</f>
        <v>318.59557450030962</v>
      </c>
      <c r="AM27" s="182">
        <f>RANK(AL27, AL$27:AL$41)</f>
        <v>3</v>
      </c>
      <c r="AN27" s="595">
        <f>AVERAGE(AL27:AL41)</f>
        <v>334.88315487121298</v>
      </c>
      <c r="AO27" s="188">
        <v>10</v>
      </c>
      <c r="AP27" s="188">
        <v>3187.7557450030963</v>
      </c>
      <c r="AQ27" s="185">
        <f t="shared" ref="AQ27:AQ31" si="20">IFERROR(AP27/AO27,"")</f>
        <v>318.77557450030963</v>
      </c>
      <c r="AR27" s="182">
        <f>RANK(AQ27, AQ$27:AQ$41)</f>
        <v>3</v>
      </c>
      <c r="AS27" s="595">
        <f>AVERAGE(AQ27:AQ41)</f>
        <v>334.92428100313225</v>
      </c>
      <c r="AT27" s="188">
        <v>10</v>
      </c>
      <c r="AU27" s="188">
        <v>3187.7557450030968</v>
      </c>
      <c r="AV27" s="185">
        <f t="shared" ref="AV27:AV31" si="21">IFERROR(AU27/AT27,"")</f>
        <v>318.77557450030969</v>
      </c>
      <c r="AW27" s="182">
        <f>RANK(AV27, AV$27:AV$41)</f>
        <v>3</v>
      </c>
      <c r="AX27" s="595">
        <f>AVERAGE(AV27:AV41)</f>
        <v>334.93921289633238</v>
      </c>
    </row>
    <row r="28" spans="2:50" ht="14.25" customHeight="1">
      <c r="B28" s="590"/>
      <c r="C28" s="180">
        <v>2</v>
      </c>
      <c r="D28" s="183" t="s">
        <v>443</v>
      </c>
      <c r="E28" s="180">
        <v>6</v>
      </c>
      <c r="F28" s="180">
        <v>2600</v>
      </c>
      <c r="G28" s="185">
        <f t="shared" si="16"/>
        <v>433.33333333333331</v>
      </c>
      <c r="H28" s="595"/>
      <c r="I28" s="186">
        <f t="shared" ref="I28:K31" si="22">AVERAGE(P28,U28,Z28,AE28,AJ28,AO28,AT28)</f>
        <v>6</v>
      </c>
      <c r="J28" s="186">
        <f t="shared" si="22"/>
        <v>2345.2773065179695</v>
      </c>
      <c r="K28" s="187">
        <f t="shared" si="22"/>
        <v>390.87955108632832</v>
      </c>
      <c r="L28" s="596"/>
      <c r="M28" s="186">
        <f>RANK(K28, K$27:$K$41)</f>
        <v>1</v>
      </c>
      <c r="N28" s="590"/>
      <c r="O28" s="590"/>
      <c r="P28" s="188">
        <v>6</v>
      </c>
      <c r="Q28" s="188">
        <v>2344.8123251956172</v>
      </c>
      <c r="R28" s="185">
        <f t="shared" ref="R28:R31" si="23">IFERROR(Q28/P28,"")</f>
        <v>390.80205419926955</v>
      </c>
      <c r="S28" s="182">
        <f t="shared" ref="S28:S31" si="24">RANK(R28, R$27:R$41)</f>
        <v>2</v>
      </c>
      <c r="T28" s="595"/>
      <c r="U28" s="188">
        <v>6</v>
      </c>
      <c r="V28" s="188">
        <v>2345.5548954456767</v>
      </c>
      <c r="W28" s="185">
        <f t="shared" si="17"/>
        <v>390.92581590761279</v>
      </c>
      <c r="X28" s="182">
        <f t="shared" ref="X28:X31" si="25">RANK(W28, W$27:W$41)</f>
        <v>1</v>
      </c>
      <c r="Y28" s="595"/>
      <c r="Z28" s="188">
        <v>6</v>
      </c>
      <c r="AA28" s="188">
        <v>2345.0348954456767</v>
      </c>
      <c r="AB28" s="185">
        <f t="shared" si="18"/>
        <v>390.83914924094614</v>
      </c>
      <c r="AC28" s="182">
        <f t="shared" ref="AC28:AC31" si="26">RANK(AB28, AB$27:AB$41)</f>
        <v>2</v>
      </c>
      <c r="AD28" s="595"/>
      <c r="AE28" s="188">
        <v>6</v>
      </c>
      <c r="AF28" s="188">
        <v>2344.5148954456772</v>
      </c>
      <c r="AG28" s="185">
        <f t="shared" ref="AG28:AG31" si="27">IFERROR(AF28/AE28,"")</f>
        <v>390.75248257427955</v>
      </c>
      <c r="AH28" s="182">
        <f t="shared" ref="AH28:AH31" si="28">RANK(AG28, AG$27:AG$41)</f>
        <v>2</v>
      </c>
      <c r="AI28" s="598"/>
      <c r="AJ28" s="188">
        <v>6</v>
      </c>
      <c r="AK28" s="188">
        <v>2346.4547113643794</v>
      </c>
      <c r="AL28" s="185">
        <f t="shared" si="19"/>
        <v>391.07578522739658</v>
      </c>
      <c r="AM28" s="182">
        <f t="shared" ref="AM28:AM31" si="29">RANK(AL28, AL$27:AL$41)</f>
        <v>1</v>
      </c>
      <c r="AN28" s="595"/>
      <c r="AO28" s="188">
        <v>6</v>
      </c>
      <c r="AP28" s="188">
        <v>2345.9347113643798</v>
      </c>
      <c r="AQ28" s="185">
        <f t="shared" si="20"/>
        <v>390.98911856072999</v>
      </c>
      <c r="AR28" s="182">
        <f t="shared" ref="AR28:AR31" si="30">RANK(AQ28, AQ$27:AQ$41)</f>
        <v>1</v>
      </c>
      <c r="AS28" s="595"/>
      <c r="AT28" s="188">
        <v>6</v>
      </c>
      <c r="AU28" s="188">
        <v>2344.6347113643801</v>
      </c>
      <c r="AV28" s="185">
        <f t="shared" si="21"/>
        <v>390.77245189406335</v>
      </c>
      <c r="AW28" s="182">
        <f t="shared" ref="AW28:AW31" si="31">RANK(AV28, AV$27:AV$41)</f>
        <v>2</v>
      </c>
      <c r="AX28" s="595"/>
    </row>
    <row r="29" spans="2:50" ht="14.25" customHeight="1">
      <c r="B29" s="590"/>
      <c r="C29" s="180">
        <v>3</v>
      </c>
      <c r="D29" s="183" t="s">
        <v>445</v>
      </c>
      <c r="E29" s="180">
        <v>6</v>
      </c>
      <c r="F29" s="180">
        <v>2600</v>
      </c>
      <c r="G29" s="185">
        <f t="shared" si="16"/>
        <v>433.33333333333331</v>
      </c>
      <c r="H29" s="595"/>
      <c r="I29" s="186">
        <f t="shared" si="22"/>
        <v>6</v>
      </c>
      <c r="J29" s="186">
        <f t="shared" si="22"/>
        <v>2345.1680905354974</v>
      </c>
      <c r="K29" s="187">
        <f t="shared" si="22"/>
        <v>390.86134842258281</v>
      </c>
      <c r="L29" s="596"/>
      <c r="M29" s="186">
        <f>RANK(K29, K$27:$K$41)</f>
        <v>2</v>
      </c>
      <c r="N29" s="590"/>
      <c r="O29" s="590"/>
      <c r="P29" s="188">
        <v>6</v>
      </c>
      <c r="Q29" s="188">
        <v>2345.9349636287075</v>
      </c>
      <c r="R29" s="185">
        <f t="shared" si="23"/>
        <v>390.98916060478456</v>
      </c>
      <c r="S29" s="182">
        <f t="shared" si="24"/>
        <v>1</v>
      </c>
      <c r="T29" s="595"/>
      <c r="U29" s="188">
        <v>6</v>
      </c>
      <c r="V29" s="188">
        <v>2345.4149636287075</v>
      </c>
      <c r="W29" s="185">
        <f t="shared" si="17"/>
        <v>390.90249393811791</v>
      </c>
      <c r="X29" s="182">
        <f t="shared" si="25"/>
        <v>2</v>
      </c>
      <c r="Y29" s="595"/>
      <c r="Z29" s="188">
        <v>6</v>
      </c>
      <c r="AA29" s="188">
        <v>2345.4149636287075</v>
      </c>
      <c r="AB29" s="185">
        <f t="shared" si="18"/>
        <v>390.90249393811791</v>
      </c>
      <c r="AC29" s="182">
        <f t="shared" si="26"/>
        <v>1</v>
      </c>
      <c r="AD29" s="595"/>
      <c r="AE29" s="188">
        <v>6</v>
      </c>
      <c r="AF29" s="188">
        <v>2345.1549636287082</v>
      </c>
      <c r="AG29" s="185">
        <f t="shared" si="27"/>
        <v>390.85916060478468</v>
      </c>
      <c r="AH29" s="182">
        <f t="shared" si="28"/>
        <v>1</v>
      </c>
      <c r="AI29" s="598"/>
      <c r="AJ29" s="188">
        <v>6</v>
      </c>
      <c r="AK29" s="188">
        <v>2344.374963628708</v>
      </c>
      <c r="AL29" s="185">
        <f t="shared" si="19"/>
        <v>390.72916060478468</v>
      </c>
      <c r="AM29" s="182">
        <f t="shared" si="29"/>
        <v>2</v>
      </c>
      <c r="AN29" s="595"/>
      <c r="AO29" s="188">
        <v>6</v>
      </c>
      <c r="AP29" s="188">
        <v>2344.0669294044683</v>
      </c>
      <c r="AQ29" s="185">
        <f t="shared" si="20"/>
        <v>390.6778215674114</v>
      </c>
      <c r="AR29" s="182">
        <f t="shared" si="30"/>
        <v>2</v>
      </c>
      <c r="AS29" s="595"/>
      <c r="AT29" s="188">
        <v>6</v>
      </c>
      <c r="AU29" s="188">
        <v>2345.8148862004696</v>
      </c>
      <c r="AV29" s="185">
        <f t="shared" si="21"/>
        <v>390.96914770007828</v>
      </c>
      <c r="AW29" s="182">
        <f t="shared" si="31"/>
        <v>1</v>
      </c>
      <c r="AX29" s="595"/>
    </row>
    <row r="30" spans="2:50" ht="14.25" customHeight="1">
      <c r="B30" s="590"/>
      <c r="C30" s="180">
        <v>4</v>
      </c>
      <c r="D30" s="183" t="s">
        <v>579</v>
      </c>
      <c r="E30" s="180">
        <v>12</v>
      </c>
      <c r="F30" s="180">
        <v>3600</v>
      </c>
      <c r="G30" s="185">
        <f t="shared" si="16"/>
        <v>300</v>
      </c>
      <c r="H30" s="595"/>
      <c r="I30" s="186">
        <f t="shared" si="22"/>
        <v>11.428571428571429</v>
      </c>
      <c r="J30" s="186">
        <f t="shared" si="22"/>
        <v>3157.6103023791502</v>
      </c>
      <c r="K30" s="187">
        <f t="shared" si="22"/>
        <v>276.80099589501827</v>
      </c>
      <c r="L30" s="596"/>
      <c r="M30" s="186">
        <f>RANK(K30, K$27:$K$41)</f>
        <v>4</v>
      </c>
      <c r="N30" s="590"/>
      <c r="O30" s="590"/>
      <c r="P30" s="188">
        <v>12</v>
      </c>
      <c r="Q30" s="188">
        <v>3158.741730950579</v>
      </c>
      <c r="R30" s="185">
        <f t="shared" si="23"/>
        <v>263.22847757921494</v>
      </c>
      <c r="S30" s="182">
        <f t="shared" si="24"/>
        <v>4</v>
      </c>
      <c r="T30" s="595"/>
      <c r="U30" s="188">
        <v>12</v>
      </c>
      <c r="V30" s="188">
        <v>3158.3817309505794</v>
      </c>
      <c r="W30" s="185">
        <f t="shared" si="17"/>
        <v>263.19847757921497</v>
      </c>
      <c r="X30" s="182">
        <f t="shared" si="25"/>
        <v>4</v>
      </c>
      <c r="Y30" s="595"/>
      <c r="Z30" s="188">
        <v>12</v>
      </c>
      <c r="AA30" s="188">
        <v>3158.0217309505788</v>
      </c>
      <c r="AB30" s="185">
        <f t="shared" si="18"/>
        <v>263.16847757921488</v>
      </c>
      <c r="AC30" s="182">
        <f t="shared" si="26"/>
        <v>4</v>
      </c>
      <c r="AD30" s="595"/>
      <c r="AE30" s="188">
        <v>11</v>
      </c>
      <c r="AF30" s="188">
        <v>3156.5817309505787</v>
      </c>
      <c r="AG30" s="185">
        <f t="shared" si="27"/>
        <v>286.9619755409617</v>
      </c>
      <c r="AH30" s="182">
        <f t="shared" si="28"/>
        <v>4</v>
      </c>
      <c r="AI30" s="598"/>
      <c r="AJ30" s="188">
        <v>11</v>
      </c>
      <c r="AK30" s="188">
        <v>3156.5817309505787</v>
      </c>
      <c r="AL30" s="185">
        <f t="shared" si="19"/>
        <v>286.9619755409617</v>
      </c>
      <c r="AM30" s="182">
        <f t="shared" si="29"/>
        <v>5</v>
      </c>
      <c r="AN30" s="595"/>
      <c r="AO30" s="188">
        <v>11</v>
      </c>
      <c r="AP30" s="188">
        <v>3157.6617309505787</v>
      </c>
      <c r="AQ30" s="185">
        <f t="shared" si="20"/>
        <v>287.06015735914349</v>
      </c>
      <c r="AR30" s="182">
        <f t="shared" si="30"/>
        <v>5</v>
      </c>
      <c r="AS30" s="595"/>
      <c r="AT30" s="188">
        <v>11</v>
      </c>
      <c r="AU30" s="188">
        <v>3157.3017309505785</v>
      </c>
      <c r="AV30" s="185">
        <f t="shared" si="21"/>
        <v>287.02743008641625</v>
      </c>
      <c r="AW30" s="182">
        <f t="shared" si="31"/>
        <v>5</v>
      </c>
      <c r="AX30" s="595"/>
    </row>
    <row r="31" spans="2:50" ht="14.25" customHeight="1">
      <c r="B31" s="590"/>
      <c r="C31" s="180">
        <v>5</v>
      </c>
      <c r="D31" s="183" t="s">
        <v>580</v>
      </c>
      <c r="E31" s="180">
        <v>12</v>
      </c>
      <c r="F31" s="180">
        <v>3600</v>
      </c>
      <c r="G31" s="185">
        <f t="shared" si="16"/>
        <v>300</v>
      </c>
      <c r="H31" s="595"/>
      <c r="I31" s="186">
        <f t="shared" si="22"/>
        <v>11.428571428571429</v>
      </c>
      <c r="J31" s="186">
        <f t="shared" si="22"/>
        <v>3156.8292227639386</v>
      </c>
      <c r="K31" s="187">
        <f t="shared" si="22"/>
        <v>276.73869524465175</v>
      </c>
      <c r="L31" s="596"/>
      <c r="M31" s="186">
        <f>RANK(K31, K$27:$K$41)</f>
        <v>5</v>
      </c>
      <c r="N31" s="590"/>
      <c r="O31" s="590"/>
      <c r="P31" s="188">
        <v>12</v>
      </c>
      <c r="Q31" s="188">
        <v>3155.4599602897761</v>
      </c>
      <c r="R31" s="185">
        <f t="shared" si="23"/>
        <v>262.95499669081465</v>
      </c>
      <c r="S31" s="182">
        <f t="shared" si="24"/>
        <v>5</v>
      </c>
      <c r="T31" s="595"/>
      <c r="U31" s="188">
        <v>12</v>
      </c>
      <c r="V31" s="188">
        <v>3156.1799602897759</v>
      </c>
      <c r="W31" s="185">
        <f t="shared" si="17"/>
        <v>263.01499669081466</v>
      </c>
      <c r="X31" s="182">
        <f t="shared" si="25"/>
        <v>5</v>
      </c>
      <c r="Y31" s="595"/>
      <c r="Z31" s="188">
        <v>12</v>
      </c>
      <c r="AA31" s="188">
        <v>3155.4603855330774</v>
      </c>
      <c r="AB31" s="185">
        <f t="shared" si="18"/>
        <v>262.95503212775645</v>
      </c>
      <c r="AC31" s="182">
        <f t="shared" si="26"/>
        <v>5</v>
      </c>
      <c r="AD31" s="595"/>
      <c r="AE31" s="188">
        <v>11</v>
      </c>
      <c r="AF31" s="188">
        <v>3156.1460633087354</v>
      </c>
      <c r="AG31" s="185">
        <f t="shared" si="27"/>
        <v>286.92236939170323</v>
      </c>
      <c r="AH31" s="182">
        <f t="shared" si="28"/>
        <v>5</v>
      </c>
      <c r="AI31" s="598"/>
      <c r="AJ31" s="188">
        <v>11</v>
      </c>
      <c r="AK31" s="188">
        <v>3157.5860633087354</v>
      </c>
      <c r="AL31" s="185">
        <f t="shared" si="19"/>
        <v>287.05327848261231</v>
      </c>
      <c r="AM31" s="182">
        <f t="shared" si="29"/>
        <v>4</v>
      </c>
      <c r="AN31" s="595"/>
      <c r="AO31" s="188">
        <v>11</v>
      </c>
      <c r="AP31" s="188">
        <v>3158.3060633087357</v>
      </c>
      <c r="AQ31" s="185">
        <f t="shared" si="20"/>
        <v>287.11873302806686</v>
      </c>
      <c r="AR31" s="182">
        <f t="shared" si="30"/>
        <v>4</v>
      </c>
      <c r="AS31" s="595"/>
      <c r="AT31" s="188">
        <v>11</v>
      </c>
      <c r="AU31" s="188">
        <v>3158.6660633087358</v>
      </c>
      <c r="AV31" s="185">
        <f t="shared" si="21"/>
        <v>287.15146030079416</v>
      </c>
      <c r="AW31" s="182">
        <f t="shared" si="31"/>
        <v>4</v>
      </c>
      <c r="AX31" s="595"/>
    </row>
    <row r="32" spans="2:50" ht="14.25" customHeight="1">
      <c r="B32" s="590"/>
      <c r="C32" s="180">
        <v>6</v>
      </c>
      <c r="D32" s="183"/>
      <c r="E32" s="180"/>
      <c r="F32" s="180"/>
      <c r="G32" s="185"/>
      <c r="H32" s="595"/>
      <c r="I32" s="186"/>
      <c r="J32" s="186"/>
      <c r="K32" s="187"/>
      <c r="L32" s="596"/>
      <c r="M32" s="186"/>
      <c r="N32" s="590"/>
      <c r="O32" s="590"/>
      <c r="P32" s="188"/>
      <c r="Q32" s="188"/>
      <c r="R32" s="185"/>
      <c r="S32" s="182"/>
      <c r="T32" s="595"/>
      <c r="U32" s="188"/>
      <c r="V32" s="188"/>
      <c r="W32" s="185"/>
      <c r="X32" s="182"/>
      <c r="Y32" s="595"/>
      <c r="Z32" s="188"/>
      <c r="AA32" s="188"/>
      <c r="AB32" s="185"/>
      <c r="AC32" s="182"/>
      <c r="AD32" s="595"/>
      <c r="AE32" s="188"/>
      <c r="AF32" s="188"/>
      <c r="AG32" s="185"/>
      <c r="AH32" s="182"/>
      <c r="AI32" s="598"/>
      <c r="AJ32" s="188"/>
      <c r="AK32" s="188"/>
      <c r="AL32" s="185"/>
      <c r="AM32" s="182"/>
      <c r="AN32" s="595"/>
      <c r="AO32" s="188"/>
      <c r="AP32" s="188"/>
      <c r="AQ32" s="185"/>
      <c r="AR32" s="182"/>
      <c r="AS32" s="595"/>
      <c r="AT32" s="188"/>
      <c r="AU32" s="188"/>
      <c r="AV32" s="185"/>
      <c r="AW32" s="182"/>
      <c r="AX32" s="595"/>
    </row>
    <row r="33" spans="2:50" ht="14.25" customHeight="1">
      <c r="B33" s="590"/>
      <c r="C33" s="180">
        <v>7</v>
      </c>
      <c r="D33" s="183"/>
      <c r="E33" s="180"/>
      <c r="F33" s="180"/>
      <c r="G33" s="185"/>
      <c r="H33" s="595"/>
      <c r="I33" s="186"/>
      <c r="J33" s="186"/>
      <c r="K33" s="187"/>
      <c r="L33" s="596"/>
      <c r="M33" s="186"/>
      <c r="N33" s="590"/>
      <c r="O33" s="590"/>
      <c r="P33" s="188"/>
      <c r="Q33" s="188"/>
      <c r="R33" s="185"/>
      <c r="S33" s="182"/>
      <c r="T33" s="595"/>
      <c r="U33" s="188"/>
      <c r="V33" s="188"/>
      <c r="W33" s="185"/>
      <c r="X33" s="182"/>
      <c r="Y33" s="595"/>
      <c r="Z33" s="188"/>
      <c r="AA33" s="188"/>
      <c r="AB33" s="185"/>
      <c r="AC33" s="182"/>
      <c r="AD33" s="595"/>
      <c r="AE33" s="188"/>
      <c r="AF33" s="188"/>
      <c r="AG33" s="185"/>
      <c r="AH33" s="182"/>
      <c r="AI33" s="598"/>
      <c r="AJ33" s="188"/>
      <c r="AK33" s="188"/>
      <c r="AL33" s="185"/>
      <c r="AM33" s="182"/>
      <c r="AN33" s="595"/>
      <c r="AO33" s="188"/>
      <c r="AP33" s="188"/>
      <c r="AQ33" s="185"/>
      <c r="AR33" s="182"/>
      <c r="AS33" s="595"/>
      <c r="AT33" s="188"/>
      <c r="AU33" s="188"/>
      <c r="AV33" s="185"/>
      <c r="AW33" s="182"/>
      <c r="AX33" s="595"/>
    </row>
    <row r="34" spans="2:50" ht="14.25" customHeight="1">
      <c r="B34" s="590"/>
      <c r="C34" s="180">
        <v>8</v>
      </c>
      <c r="D34" s="183"/>
      <c r="E34" s="180"/>
      <c r="F34" s="180"/>
      <c r="G34" s="185"/>
      <c r="H34" s="595"/>
      <c r="I34" s="186"/>
      <c r="J34" s="186"/>
      <c r="K34" s="187"/>
      <c r="L34" s="596"/>
      <c r="M34" s="186"/>
      <c r="N34" s="590"/>
      <c r="O34" s="590"/>
      <c r="P34" s="188"/>
      <c r="Q34" s="188"/>
      <c r="R34" s="185"/>
      <c r="S34" s="182"/>
      <c r="T34" s="595"/>
      <c r="U34" s="188"/>
      <c r="V34" s="188"/>
      <c r="W34" s="185"/>
      <c r="X34" s="182"/>
      <c r="Y34" s="595"/>
      <c r="Z34" s="188"/>
      <c r="AA34" s="188"/>
      <c r="AB34" s="185"/>
      <c r="AC34" s="182"/>
      <c r="AD34" s="595"/>
      <c r="AE34" s="188"/>
      <c r="AF34" s="188"/>
      <c r="AG34" s="185"/>
      <c r="AH34" s="182"/>
      <c r="AI34" s="598"/>
      <c r="AJ34" s="188"/>
      <c r="AK34" s="188"/>
      <c r="AL34" s="185"/>
      <c r="AM34" s="182"/>
      <c r="AN34" s="595"/>
      <c r="AO34" s="188"/>
      <c r="AP34" s="188"/>
      <c r="AQ34" s="185"/>
      <c r="AR34" s="182"/>
      <c r="AS34" s="595"/>
      <c r="AT34" s="188"/>
      <c r="AU34" s="188"/>
      <c r="AV34" s="185"/>
      <c r="AW34" s="182"/>
      <c r="AX34" s="595"/>
    </row>
    <row r="35" spans="2:50" ht="14.25" customHeight="1">
      <c r="B35" s="590"/>
      <c r="C35" s="180">
        <v>9</v>
      </c>
      <c r="D35" s="183"/>
      <c r="E35" s="180"/>
      <c r="F35" s="180"/>
      <c r="G35" s="185"/>
      <c r="H35" s="595"/>
      <c r="I35" s="186"/>
      <c r="J35" s="186"/>
      <c r="K35" s="187"/>
      <c r="L35" s="596"/>
      <c r="M35" s="186"/>
      <c r="N35" s="590"/>
      <c r="O35" s="590"/>
      <c r="P35" s="188"/>
      <c r="Q35" s="188"/>
      <c r="R35" s="185"/>
      <c r="S35" s="182"/>
      <c r="T35" s="595"/>
      <c r="U35" s="188"/>
      <c r="V35" s="188"/>
      <c r="W35" s="185"/>
      <c r="X35" s="182"/>
      <c r="Y35" s="595"/>
      <c r="Z35" s="188"/>
      <c r="AA35" s="188"/>
      <c r="AB35" s="185"/>
      <c r="AC35" s="182"/>
      <c r="AD35" s="595"/>
      <c r="AE35" s="188"/>
      <c r="AF35" s="188"/>
      <c r="AG35" s="185"/>
      <c r="AH35" s="182"/>
      <c r="AI35" s="598"/>
      <c r="AJ35" s="188"/>
      <c r="AK35" s="188"/>
      <c r="AL35" s="185"/>
      <c r="AM35" s="182"/>
      <c r="AN35" s="595"/>
      <c r="AO35" s="188"/>
      <c r="AP35" s="188"/>
      <c r="AQ35" s="185"/>
      <c r="AR35" s="182"/>
      <c r="AS35" s="595"/>
      <c r="AT35" s="188"/>
      <c r="AU35" s="188"/>
      <c r="AV35" s="185"/>
      <c r="AW35" s="182"/>
      <c r="AX35" s="595"/>
    </row>
    <row r="36" spans="2:50" ht="14.25" customHeight="1">
      <c r="B36" s="590"/>
      <c r="C36" s="180">
        <v>10</v>
      </c>
      <c r="D36" s="183"/>
      <c r="E36" s="180"/>
      <c r="F36" s="180"/>
      <c r="G36" s="185"/>
      <c r="H36" s="595"/>
      <c r="I36" s="186"/>
      <c r="J36" s="186"/>
      <c r="K36" s="187"/>
      <c r="L36" s="596"/>
      <c r="M36" s="186"/>
      <c r="N36" s="590"/>
      <c r="O36" s="590"/>
      <c r="P36" s="188"/>
      <c r="Q36" s="188"/>
      <c r="R36" s="185"/>
      <c r="S36" s="182"/>
      <c r="T36" s="595"/>
      <c r="U36" s="188"/>
      <c r="V36" s="188"/>
      <c r="W36" s="185"/>
      <c r="X36" s="182"/>
      <c r="Y36" s="595"/>
      <c r="Z36" s="188"/>
      <c r="AA36" s="188"/>
      <c r="AB36" s="185"/>
      <c r="AC36" s="182"/>
      <c r="AD36" s="595"/>
      <c r="AE36" s="188"/>
      <c r="AF36" s="188"/>
      <c r="AG36" s="185"/>
      <c r="AH36" s="182"/>
      <c r="AI36" s="598"/>
      <c r="AJ36" s="188"/>
      <c r="AK36" s="188"/>
      <c r="AL36" s="185"/>
      <c r="AM36" s="182"/>
      <c r="AN36" s="595"/>
      <c r="AO36" s="188"/>
      <c r="AP36" s="188"/>
      <c r="AQ36" s="185"/>
      <c r="AR36" s="182"/>
      <c r="AS36" s="595"/>
      <c r="AT36" s="188"/>
      <c r="AU36" s="188"/>
      <c r="AV36" s="185"/>
      <c r="AW36" s="182"/>
      <c r="AX36" s="595"/>
    </row>
    <row r="37" spans="2:50" ht="14.25" customHeight="1">
      <c r="B37" s="590"/>
      <c r="C37" s="180">
        <v>11</v>
      </c>
      <c r="D37" s="183"/>
      <c r="E37" s="180"/>
      <c r="F37" s="180"/>
      <c r="G37" s="185"/>
      <c r="H37" s="595"/>
      <c r="I37" s="186"/>
      <c r="J37" s="186"/>
      <c r="K37" s="187"/>
      <c r="L37" s="596"/>
      <c r="M37" s="186"/>
      <c r="N37" s="590"/>
      <c r="O37" s="590"/>
      <c r="P37" s="188"/>
      <c r="Q37" s="188"/>
      <c r="R37" s="185"/>
      <c r="S37" s="182"/>
      <c r="T37" s="595"/>
      <c r="U37" s="188"/>
      <c r="V37" s="188"/>
      <c r="W37" s="185"/>
      <c r="X37" s="182"/>
      <c r="Y37" s="595"/>
      <c r="Z37" s="188"/>
      <c r="AA37" s="188"/>
      <c r="AB37" s="185"/>
      <c r="AC37" s="182"/>
      <c r="AD37" s="595"/>
      <c r="AE37" s="188"/>
      <c r="AF37" s="188"/>
      <c r="AG37" s="185"/>
      <c r="AH37" s="182"/>
      <c r="AI37" s="598"/>
      <c r="AJ37" s="188"/>
      <c r="AK37" s="188"/>
      <c r="AL37" s="185"/>
      <c r="AM37" s="182"/>
      <c r="AN37" s="595"/>
      <c r="AO37" s="188"/>
      <c r="AP37" s="188"/>
      <c r="AQ37" s="185"/>
      <c r="AR37" s="182"/>
      <c r="AS37" s="595"/>
      <c r="AT37" s="188"/>
      <c r="AU37" s="188"/>
      <c r="AV37" s="185"/>
      <c r="AW37" s="182"/>
      <c r="AX37" s="595"/>
    </row>
    <row r="38" spans="2:50" ht="14.25" customHeight="1">
      <c r="B38" s="590"/>
      <c r="C38" s="180">
        <v>12</v>
      </c>
      <c r="D38" s="183"/>
      <c r="E38" s="180"/>
      <c r="F38" s="180"/>
      <c r="G38" s="185"/>
      <c r="H38" s="595"/>
      <c r="I38" s="186"/>
      <c r="J38" s="186"/>
      <c r="K38" s="187"/>
      <c r="L38" s="596"/>
      <c r="M38" s="186"/>
      <c r="N38" s="590"/>
      <c r="O38" s="590"/>
      <c r="P38" s="188"/>
      <c r="Q38" s="188"/>
      <c r="R38" s="185"/>
      <c r="S38" s="182"/>
      <c r="T38" s="595"/>
      <c r="U38" s="188"/>
      <c r="V38" s="188"/>
      <c r="W38" s="185"/>
      <c r="X38" s="182"/>
      <c r="Y38" s="595"/>
      <c r="Z38" s="188"/>
      <c r="AA38" s="188"/>
      <c r="AB38" s="185"/>
      <c r="AC38" s="182"/>
      <c r="AD38" s="595"/>
      <c r="AE38" s="188"/>
      <c r="AF38" s="188"/>
      <c r="AG38" s="185"/>
      <c r="AH38" s="182"/>
      <c r="AI38" s="598"/>
      <c r="AJ38" s="188"/>
      <c r="AK38" s="188"/>
      <c r="AL38" s="185"/>
      <c r="AM38" s="182"/>
      <c r="AN38" s="595"/>
      <c r="AO38" s="188"/>
      <c r="AP38" s="188"/>
      <c r="AQ38" s="185"/>
      <c r="AR38" s="182"/>
      <c r="AS38" s="595"/>
      <c r="AT38" s="188"/>
      <c r="AU38" s="188"/>
      <c r="AV38" s="185"/>
      <c r="AW38" s="182"/>
      <c r="AX38" s="595"/>
    </row>
    <row r="39" spans="2:50" ht="14.25" customHeight="1">
      <c r="B39" s="590"/>
      <c r="C39" s="180">
        <v>13</v>
      </c>
      <c r="D39" s="183"/>
      <c r="E39" s="180"/>
      <c r="F39" s="180"/>
      <c r="G39" s="185"/>
      <c r="H39" s="595"/>
      <c r="I39" s="186"/>
      <c r="J39" s="186"/>
      <c r="K39" s="187"/>
      <c r="L39" s="596"/>
      <c r="M39" s="186"/>
      <c r="N39" s="590"/>
      <c r="O39" s="590"/>
      <c r="P39" s="188"/>
      <c r="Q39" s="188"/>
      <c r="R39" s="185"/>
      <c r="S39" s="182"/>
      <c r="T39" s="595"/>
      <c r="U39" s="188"/>
      <c r="V39" s="188"/>
      <c r="W39" s="185"/>
      <c r="X39" s="182"/>
      <c r="Y39" s="595"/>
      <c r="Z39" s="188"/>
      <c r="AA39" s="188"/>
      <c r="AB39" s="185"/>
      <c r="AC39" s="182"/>
      <c r="AD39" s="595"/>
      <c r="AE39" s="188"/>
      <c r="AF39" s="188"/>
      <c r="AG39" s="185"/>
      <c r="AH39" s="182"/>
      <c r="AI39" s="598"/>
      <c r="AJ39" s="188"/>
      <c r="AK39" s="188"/>
      <c r="AL39" s="185"/>
      <c r="AM39" s="182"/>
      <c r="AN39" s="595"/>
      <c r="AO39" s="188"/>
      <c r="AP39" s="188"/>
      <c r="AQ39" s="185"/>
      <c r="AR39" s="182"/>
      <c r="AS39" s="595"/>
      <c r="AT39" s="188"/>
      <c r="AU39" s="188"/>
      <c r="AV39" s="185"/>
      <c r="AW39" s="182"/>
      <c r="AX39" s="595"/>
    </row>
    <row r="40" spans="2:50" ht="14.25" customHeight="1">
      <c r="B40" s="590"/>
      <c r="C40" s="180">
        <v>14</v>
      </c>
      <c r="D40" s="183"/>
      <c r="E40" s="180"/>
      <c r="F40" s="180"/>
      <c r="G40" s="185"/>
      <c r="H40" s="595"/>
      <c r="I40" s="186"/>
      <c r="J40" s="186"/>
      <c r="K40" s="187"/>
      <c r="L40" s="596"/>
      <c r="M40" s="186"/>
      <c r="N40" s="590"/>
      <c r="O40" s="590"/>
      <c r="P40" s="188"/>
      <c r="Q40" s="188"/>
      <c r="R40" s="185"/>
      <c r="S40" s="182"/>
      <c r="T40" s="595"/>
      <c r="U40" s="188"/>
      <c r="V40" s="188"/>
      <c r="W40" s="185"/>
      <c r="X40" s="182"/>
      <c r="Y40" s="595"/>
      <c r="Z40" s="188"/>
      <c r="AA40" s="188"/>
      <c r="AB40" s="185"/>
      <c r="AC40" s="182"/>
      <c r="AD40" s="595"/>
      <c r="AE40" s="188"/>
      <c r="AF40" s="188"/>
      <c r="AG40" s="185"/>
      <c r="AH40" s="182"/>
      <c r="AI40" s="598"/>
      <c r="AJ40" s="188"/>
      <c r="AK40" s="188"/>
      <c r="AL40" s="185"/>
      <c r="AM40" s="182"/>
      <c r="AN40" s="595"/>
      <c r="AO40" s="188"/>
      <c r="AP40" s="188"/>
      <c r="AQ40" s="185"/>
      <c r="AR40" s="182"/>
      <c r="AS40" s="595"/>
      <c r="AT40" s="188"/>
      <c r="AU40" s="188"/>
      <c r="AV40" s="185"/>
      <c r="AW40" s="182"/>
      <c r="AX40" s="595"/>
    </row>
    <row r="41" spans="2:50" ht="14.25" customHeight="1">
      <c r="B41" s="590"/>
      <c r="C41" s="180">
        <v>15</v>
      </c>
      <c r="D41" s="183"/>
      <c r="E41" s="180"/>
      <c r="F41" s="180"/>
      <c r="G41" s="185"/>
      <c r="H41" s="595"/>
      <c r="I41" s="186"/>
      <c r="J41" s="186"/>
      <c r="K41" s="187"/>
      <c r="L41" s="596"/>
      <c r="M41" s="186"/>
      <c r="N41" s="590"/>
      <c r="O41" s="590"/>
      <c r="P41" s="188"/>
      <c r="Q41" s="188"/>
      <c r="R41" s="185"/>
      <c r="S41" s="182"/>
      <c r="T41" s="595"/>
      <c r="U41" s="188"/>
      <c r="V41" s="188"/>
      <c r="W41" s="185"/>
      <c r="X41" s="182"/>
      <c r="Y41" s="595"/>
      <c r="Z41" s="188"/>
      <c r="AA41" s="188"/>
      <c r="AB41" s="185"/>
      <c r="AC41" s="182"/>
      <c r="AD41" s="595"/>
      <c r="AE41" s="188"/>
      <c r="AF41" s="188"/>
      <c r="AG41" s="185"/>
      <c r="AH41" s="182"/>
      <c r="AI41" s="599"/>
      <c r="AJ41" s="188"/>
      <c r="AK41" s="188"/>
      <c r="AL41" s="185"/>
      <c r="AM41" s="182"/>
      <c r="AN41" s="595"/>
      <c r="AO41" s="188"/>
      <c r="AP41" s="188"/>
      <c r="AQ41" s="185"/>
      <c r="AR41" s="182"/>
      <c r="AS41" s="595"/>
      <c r="AT41" s="188"/>
      <c r="AU41" s="188"/>
      <c r="AV41" s="185"/>
      <c r="AW41" s="182"/>
      <c r="AX41" s="595"/>
    </row>
  </sheetData>
  <mergeCells count="118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U24:X24"/>
    <mergeCell ref="Y24:Y26"/>
    <mergeCell ref="Z24:AC24"/>
    <mergeCell ref="AD24:AD26"/>
    <mergeCell ref="AE24:AH24"/>
    <mergeCell ref="AI24:AI26"/>
    <mergeCell ref="AJ24:AM24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X27:AX4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S27:AS4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41"/>
  <sheetViews>
    <sheetView zoomScaleNormal="100" workbookViewId="0">
      <pane xSplit="13" ySplit="1" topLeftCell="N8" activePane="bottomRight" state="frozen"/>
      <selection activeCell="L95" sqref="L95"/>
      <selection pane="topRight" activeCell="L95" sqref="L95"/>
      <selection pane="bottomLeft" activeCell="L95" sqref="L95"/>
      <selection pane="bottomRight" activeCell="B1" sqref="B1:C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498" t="s">
        <v>738</v>
      </c>
      <c r="C1" s="175">
        <f>AVERAGE(L7,L27)</f>
        <v>346.03759444892415</v>
      </c>
    </row>
    <row r="2" spans="1:50" ht="14.25" customHeight="1">
      <c r="B2" s="572" t="s">
        <v>660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  <c r="N2" s="608" t="s">
        <v>369</v>
      </c>
      <c r="O2" s="608" t="s">
        <v>105</v>
      </c>
      <c r="P2" s="610">
        <v>46140</v>
      </c>
      <c r="Q2" s="611"/>
      <c r="R2" s="611"/>
      <c r="S2" s="611"/>
      <c r="T2" s="611"/>
      <c r="U2" s="612">
        <v>46141</v>
      </c>
      <c r="V2" s="613"/>
      <c r="W2" s="613"/>
      <c r="X2" s="613"/>
      <c r="Y2" s="613"/>
      <c r="Z2" s="610">
        <v>46142</v>
      </c>
      <c r="AA2" s="611"/>
      <c r="AB2" s="611"/>
      <c r="AC2" s="611"/>
      <c r="AD2" s="611"/>
      <c r="AE2" s="612">
        <v>46143</v>
      </c>
      <c r="AF2" s="613"/>
      <c r="AG2" s="613"/>
      <c r="AH2" s="613"/>
      <c r="AI2" s="613"/>
      <c r="AJ2" s="600">
        <v>46144</v>
      </c>
      <c r="AK2" s="601"/>
      <c r="AL2" s="601"/>
      <c r="AM2" s="601"/>
      <c r="AN2" s="602"/>
      <c r="AO2" s="612">
        <v>46145</v>
      </c>
      <c r="AP2" s="613"/>
      <c r="AQ2" s="613"/>
      <c r="AR2" s="613"/>
      <c r="AS2" s="613"/>
      <c r="AT2" s="600">
        <v>46146</v>
      </c>
      <c r="AU2" s="601"/>
      <c r="AV2" s="601"/>
      <c r="AW2" s="601"/>
      <c r="AX2" s="602"/>
    </row>
    <row r="3" spans="1:50" ht="14.25" customHeight="1"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5"/>
      <c r="N3" s="609"/>
      <c r="O3" s="609"/>
      <c r="P3" s="603">
        <v>46140</v>
      </c>
      <c r="Q3" s="603"/>
      <c r="R3" s="603"/>
      <c r="S3" s="603"/>
      <c r="T3" s="603"/>
      <c r="U3" s="604">
        <v>46141</v>
      </c>
      <c r="V3" s="604"/>
      <c r="W3" s="604"/>
      <c r="X3" s="604"/>
      <c r="Y3" s="604"/>
      <c r="Z3" s="603">
        <v>46142</v>
      </c>
      <c r="AA3" s="603"/>
      <c r="AB3" s="603"/>
      <c r="AC3" s="603"/>
      <c r="AD3" s="603"/>
      <c r="AE3" s="604">
        <v>46143</v>
      </c>
      <c r="AF3" s="604"/>
      <c r="AG3" s="604"/>
      <c r="AH3" s="604"/>
      <c r="AI3" s="604"/>
      <c r="AJ3" s="605">
        <v>46144</v>
      </c>
      <c r="AK3" s="606"/>
      <c r="AL3" s="606"/>
      <c r="AM3" s="606"/>
      <c r="AN3" s="607"/>
      <c r="AO3" s="604">
        <v>46145</v>
      </c>
      <c r="AP3" s="604"/>
      <c r="AQ3" s="604"/>
      <c r="AR3" s="604"/>
      <c r="AS3" s="604"/>
      <c r="AT3" s="605">
        <v>46146</v>
      </c>
      <c r="AU3" s="606"/>
      <c r="AV3" s="606"/>
      <c r="AW3" s="606"/>
      <c r="AX3" s="607"/>
    </row>
    <row r="4" spans="1:50" ht="14.25" customHeight="1">
      <c r="B4" s="590" t="s">
        <v>162</v>
      </c>
      <c r="C4" s="590" t="s">
        <v>157</v>
      </c>
      <c r="D4" s="590"/>
      <c r="E4" s="590" t="s">
        <v>158</v>
      </c>
      <c r="F4" s="590"/>
      <c r="G4" s="590"/>
      <c r="H4" s="590" t="s">
        <v>163</v>
      </c>
      <c r="I4" s="591" t="s">
        <v>370</v>
      </c>
      <c r="J4" s="591"/>
      <c r="K4" s="591"/>
      <c r="L4" s="591" t="s">
        <v>163</v>
      </c>
      <c r="M4" s="591" t="s">
        <v>165</v>
      </c>
      <c r="N4" s="590"/>
      <c r="O4" s="590" t="s">
        <v>164</v>
      </c>
      <c r="P4" s="590" t="s">
        <v>160</v>
      </c>
      <c r="Q4" s="590"/>
      <c r="R4" s="590"/>
      <c r="S4" s="590"/>
      <c r="T4" s="590" t="s">
        <v>163</v>
      </c>
      <c r="U4" s="590" t="s">
        <v>160</v>
      </c>
      <c r="V4" s="590"/>
      <c r="W4" s="590"/>
      <c r="X4" s="590"/>
      <c r="Y4" s="590" t="s">
        <v>163</v>
      </c>
      <c r="Z4" s="590" t="s">
        <v>160</v>
      </c>
      <c r="AA4" s="590"/>
      <c r="AB4" s="590"/>
      <c r="AC4" s="590"/>
      <c r="AD4" s="590" t="s">
        <v>163</v>
      </c>
      <c r="AE4" s="590" t="s">
        <v>160</v>
      </c>
      <c r="AF4" s="590"/>
      <c r="AG4" s="590"/>
      <c r="AH4" s="590"/>
      <c r="AI4" s="590" t="s">
        <v>163</v>
      </c>
      <c r="AJ4" s="590" t="s">
        <v>160</v>
      </c>
      <c r="AK4" s="590"/>
      <c r="AL4" s="590"/>
      <c r="AM4" s="590"/>
      <c r="AN4" s="590" t="s">
        <v>163</v>
      </c>
      <c r="AO4" s="590" t="s">
        <v>160</v>
      </c>
      <c r="AP4" s="590"/>
      <c r="AQ4" s="590"/>
      <c r="AR4" s="590"/>
      <c r="AS4" s="590" t="s">
        <v>163</v>
      </c>
      <c r="AT4" s="590" t="s">
        <v>160</v>
      </c>
      <c r="AU4" s="590"/>
      <c r="AV4" s="590"/>
      <c r="AW4" s="590"/>
      <c r="AX4" s="590" t="s">
        <v>163</v>
      </c>
    </row>
    <row r="5" spans="1:50" ht="14.25" customHeight="1">
      <c r="B5" s="590"/>
      <c r="C5" s="590"/>
      <c r="D5" s="590"/>
      <c r="E5" s="590" t="s">
        <v>371</v>
      </c>
      <c r="F5" s="590"/>
      <c r="G5" s="590"/>
      <c r="H5" s="590"/>
      <c r="I5" s="591" t="s">
        <v>371</v>
      </c>
      <c r="J5" s="591"/>
      <c r="K5" s="591"/>
      <c r="L5" s="591"/>
      <c r="M5" s="591"/>
      <c r="N5" s="590"/>
      <c r="O5" s="590"/>
      <c r="P5" s="590" t="s">
        <v>372</v>
      </c>
      <c r="Q5" s="590"/>
      <c r="R5" s="590"/>
      <c r="S5" s="590"/>
      <c r="T5" s="590"/>
      <c r="U5" s="590" t="s">
        <v>372</v>
      </c>
      <c r="V5" s="590"/>
      <c r="W5" s="590"/>
      <c r="X5" s="590"/>
      <c r="Y5" s="590"/>
      <c r="Z5" s="590" t="s">
        <v>372</v>
      </c>
      <c r="AA5" s="590"/>
      <c r="AB5" s="590"/>
      <c r="AC5" s="590"/>
      <c r="AD5" s="590"/>
      <c r="AE5" s="590" t="s">
        <v>372</v>
      </c>
      <c r="AF5" s="590"/>
      <c r="AG5" s="590"/>
      <c r="AH5" s="590"/>
      <c r="AI5" s="590"/>
      <c r="AJ5" s="590" t="s">
        <v>372</v>
      </c>
      <c r="AK5" s="590"/>
      <c r="AL5" s="590"/>
      <c r="AM5" s="590"/>
      <c r="AN5" s="590"/>
      <c r="AO5" s="590" t="s">
        <v>372</v>
      </c>
      <c r="AP5" s="590"/>
      <c r="AQ5" s="590"/>
      <c r="AR5" s="590"/>
      <c r="AS5" s="590"/>
      <c r="AT5" s="590" t="s">
        <v>372</v>
      </c>
      <c r="AU5" s="590"/>
      <c r="AV5" s="590"/>
      <c r="AW5" s="590"/>
      <c r="AX5" s="590"/>
    </row>
    <row r="6" spans="1:50" ht="14.25" customHeight="1">
      <c r="B6" s="590"/>
      <c r="C6" s="590"/>
      <c r="D6" s="590"/>
      <c r="E6" s="180" t="s">
        <v>159</v>
      </c>
      <c r="F6" s="180" t="s">
        <v>373</v>
      </c>
      <c r="G6" s="180" t="s">
        <v>161</v>
      </c>
      <c r="H6" s="590"/>
      <c r="I6" s="181" t="s">
        <v>159</v>
      </c>
      <c r="J6" s="181" t="s">
        <v>373</v>
      </c>
      <c r="K6" s="181" t="s">
        <v>161</v>
      </c>
      <c r="L6" s="591"/>
      <c r="M6" s="591"/>
      <c r="N6" s="590"/>
      <c r="O6" s="590"/>
      <c r="P6" s="180" t="s">
        <v>159</v>
      </c>
      <c r="Q6" s="180" t="s">
        <v>373</v>
      </c>
      <c r="R6" s="180" t="s">
        <v>161</v>
      </c>
      <c r="S6" s="182" t="s">
        <v>165</v>
      </c>
      <c r="T6" s="590"/>
      <c r="U6" s="180" t="s">
        <v>159</v>
      </c>
      <c r="V6" s="180" t="s">
        <v>373</v>
      </c>
      <c r="W6" s="180" t="s">
        <v>161</v>
      </c>
      <c r="X6" s="182" t="s">
        <v>165</v>
      </c>
      <c r="Y6" s="590"/>
      <c r="Z6" s="180" t="s">
        <v>159</v>
      </c>
      <c r="AA6" s="180" t="s">
        <v>373</v>
      </c>
      <c r="AB6" s="180" t="s">
        <v>161</v>
      </c>
      <c r="AC6" s="182" t="s">
        <v>165</v>
      </c>
      <c r="AD6" s="590"/>
      <c r="AE6" s="180" t="s">
        <v>159</v>
      </c>
      <c r="AF6" s="180" t="s">
        <v>373</v>
      </c>
      <c r="AG6" s="180" t="s">
        <v>161</v>
      </c>
      <c r="AH6" s="182" t="s">
        <v>165</v>
      </c>
      <c r="AI6" s="590"/>
      <c r="AJ6" s="180" t="s">
        <v>159</v>
      </c>
      <c r="AK6" s="180" t="s">
        <v>373</v>
      </c>
      <c r="AL6" s="180" t="s">
        <v>161</v>
      </c>
      <c r="AM6" s="182" t="s">
        <v>165</v>
      </c>
      <c r="AN6" s="590"/>
      <c r="AO6" s="180" t="s">
        <v>159</v>
      </c>
      <c r="AP6" s="180" t="s">
        <v>373</v>
      </c>
      <c r="AQ6" s="180" t="s">
        <v>161</v>
      </c>
      <c r="AR6" s="182" t="s">
        <v>165</v>
      </c>
      <c r="AS6" s="590"/>
      <c r="AT6" s="180" t="s">
        <v>159</v>
      </c>
      <c r="AU6" s="180" t="s">
        <v>373</v>
      </c>
      <c r="AV6" s="180" t="s">
        <v>161</v>
      </c>
      <c r="AW6" s="182" t="s">
        <v>165</v>
      </c>
      <c r="AX6" s="590"/>
    </row>
    <row r="7" spans="1:50" ht="14.25" customHeight="1">
      <c r="B7" s="614" t="s">
        <v>432</v>
      </c>
      <c r="C7" s="180">
        <v>1</v>
      </c>
      <c r="D7" s="183" t="s">
        <v>349</v>
      </c>
      <c r="E7" s="180">
        <v>21</v>
      </c>
      <c r="F7" s="180">
        <v>2790</v>
      </c>
      <c r="G7" s="185">
        <f t="shared" ref="G7:G8" si="0">F7/E7</f>
        <v>132.85714285714286</v>
      </c>
      <c r="H7" s="595">
        <f>AVERAGE(G7:G21)</f>
        <v>366.42857142857144</v>
      </c>
      <c r="I7" s="186">
        <f>AVERAGE(P7,U7,Z7,AE7,AJ7,AO7,AT7)</f>
        <v>21.714285714285715</v>
      </c>
      <c r="J7" s="186">
        <f>AVERAGE(Q7,V7,AA7,AF7,AK7,AP7,AU7)</f>
        <v>2585.9313186813188</v>
      </c>
      <c r="K7" s="187">
        <f>AVERAGE(R7,W7,AB7,AG7,AL7,AQ7,AV7)</f>
        <v>119.07861781076066</v>
      </c>
      <c r="L7" s="596">
        <f>IFERROR(AVERAGE(K7:K21),"-")</f>
        <v>330.92770848601748</v>
      </c>
      <c r="M7" s="186">
        <f>RANK(K7, K$7:$K$21)</f>
        <v>2</v>
      </c>
      <c r="N7" s="590"/>
      <c r="O7" s="590"/>
      <c r="P7" s="188">
        <v>22</v>
      </c>
      <c r="Q7" s="188">
        <v>2626.6346153846152</v>
      </c>
      <c r="R7" s="185">
        <f>IFERROR(Q7/P7,"")</f>
        <v>119.39248251748251</v>
      </c>
      <c r="S7" s="182">
        <f>RANK(R7, R$7:R$21)</f>
        <v>2</v>
      </c>
      <c r="T7" s="595">
        <f>AVERAGE(R7:R21)</f>
        <v>331.29464083937842</v>
      </c>
      <c r="U7" s="188">
        <v>22</v>
      </c>
      <c r="V7" s="188">
        <v>2626.6346153846152</v>
      </c>
      <c r="W7" s="185">
        <f t="shared" ref="W7:W8" si="1">IFERROR(V7/U7,"")</f>
        <v>119.39248251748251</v>
      </c>
      <c r="X7" s="182">
        <f>RANK(W7, W$7:W$21)</f>
        <v>2</v>
      </c>
      <c r="Y7" s="595">
        <f>AVERAGE(W7:W21)</f>
        <v>331.17464083937841</v>
      </c>
      <c r="Z7" s="188">
        <v>22</v>
      </c>
      <c r="AA7" s="188">
        <v>2626.6346153846152</v>
      </c>
      <c r="AB7" s="185">
        <f t="shared" ref="AB7:AB8" si="2">IFERROR(AA7/Z7,"")</f>
        <v>119.39248251748251</v>
      </c>
      <c r="AC7" s="182">
        <f>RANK(AB7, AB$7:AB$21)</f>
        <v>2</v>
      </c>
      <c r="AD7" s="595">
        <f>AVERAGE(AB7:AB21)</f>
        <v>331.02464083937843</v>
      </c>
      <c r="AE7" s="188">
        <v>22</v>
      </c>
      <c r="AF7" s="188">
        <v>2626.6346153846152</v>
      </c>
      <c r="AG7" s="185">
        <f>IFERROR(AF7/AE7,"")</f>
        <v>119.39248251748251</v>
      </c>
      <c r="AH7" s="182">
        <f>RANK(AG7, AG$7:AG$21)</f>
        <v>2</v>
      </c>
      <c r="AI7" s="595">
        <f>AVERAGE(AG7:AG21)</f>
        <v>331.02464083937843</v>
      </c>
      <c r="AJ7" s="188">
        <v>22</v>
      </c>
      <c r="AK7" s="188">
        <v>2626.6346153846152</v>
      </c>
      <c r="AL7" s="185">
        <f t="shared" ref="AL7:AL8" si="3">IFERROR(AK7/AJ7,"")</f>
        <v>119.39248251748251</v>
      </c>
      <c r="AM7" s="182">
        <f>RANK(AL7, AL$7:AL$21)</f>
        <v>2</v>
      </c>
      <c r="AN7" s="595">
        <f>AVERAGE(AL7:AL21)</f>
        <v>331.14464083937844</v>
      </c>
      <c r="AO7" s="188">
        <v>21</v>
      </c>
      <c r="AP7" s="188">
        <v>2484.1730769230767</v>
      </c>
      <c r="AQ7" s="185">
        <f t="shared" ref="AQ7:AQ8" si="4">IFERROR(AP7/AO7,"")</f>
        <v>118.29395604395603</v>
      </c>
      <c r="AR7" s="182">
        <f>RANK(AQ7, AQ$7:AQ$21)</f>
        <v>2</v>
      </c>
      <c r="AS7" s="595">
        <f>AVERAGE(AQ7:AQ21)</f>
        <v>330.47537760261514</v>
      </c>
      <c r="AT7" s="188">
        <v>21</v>
      </c>
      <c r="AU7" s="188">
        <v>2484.1730769230767</v>
      </c>
      <c r="AV7" s="185">
        <f t="shared" ref="AV7:AV8" si="5">IFERROR(AU7/AT7,"")</f>
        <v>118.29395604395603</v>
      </c>
      <c r="AW7" s="182">
        <f>RANK(AV7, AV$7:AV$21)</f>
        <v>2</v>
      </c>
      <c r="AX7" s="595">
        <f>AVERAGE(AV7:AV21)</f>
        <v>330.35537760261514</v>
      </c>
    </row>
    <row r="8" spans="1:50" ht="14.25" customHeight="1">
      <c r="B8" s="590"/>
      <c r="C8" s="180">
        <v>2</v>
      </c>
      <c r="D8" s="183" t="s">
        <v>496</v>
      </c>
      <c r="E8" s="180">
        <v>6</v>
      </c>
      <c r="F8" s="180">
        <v>3600</v>
      </c>
      <c r="G8" s="185">
        <f t="shared" si="0"/>
        <v>600</v>
      </c>
      <c r="H8" s="595"/>
      <c r="I8" s="186">
        <f t="shared" ref="I8:K8" si="6">AVERAGE(P8,U8,Z8,AE8,AJ8,AO8,AT8)</f>
        <v>6</v>
      </c>
      <c r="J8" s="186">
        <f t="shared" si="6"/>
        <v>3256.6607949676463</v>
      </c>
      <c r="K8" s="187">
        <f t="shared" si="6"/>
        <v>542.77679916127431</v>
      </c>
      <c r="L8" s="596"/>
      <c r="M8" s="186">
        <f>RANK(K8, K$7:$K$21)</f>
        <v>1</v>
      </c>
      <c r="N8" s="590"/>
      <c r="O8" s="590"/>
      <c r="P8" s="188">
        <v>6</v>
      </c>
      <c r="Q8" s="188">
        <v>3259.1807949676459</v>
      </c>
      <c r="R8" s="185">
        <f t="shared" ref="R8" si="7">IFERROR(Q8/P8,"")</f>
        <v>543.19679916127427</v>
      </c>
      <c r="S8" s="182">
        <f>RANK(R8, R$7:R$21)</f>
        <v>1</v>
      </c>
      <c r="T8" s="595"/>
      <c r="U8" s="188">
        <v>6</v>
      </c>
      <c r="V8" s="188">
        <v>3257.7407949676458</v>
      </c>
      <c r="W8" s="185">
        <f t="shared" si="1"/>
        <v>542.95679916127426</v>
      </c>
      <c r="X8" s="182">
        <f>RANK(W8, W$7:W$21)</f>
        <v>1</v>
      </c>
      <c r="Y8" s="595"/>
      <c r="Z8" s="188">
        <v>6</v>
      </c>
      <c r="AA8" s="188">
        <v>3255.9407949676461</v>
      </c>
      <c r="AB8" s="185">
        <f t="shared" si="2"/>
        <v>542.65679916127431</v>
      </c>
      <c r="AC8" s="182">
        <f>RANK(AB8, AB$7:AB$21)</f>
        <v>1</v>
      </c>
      <c r="AD8" s="595"/>
      <c r="AE8" s="188">
        <v>6</v>
      </c>
      <c r="AF8" s="188">
        <v>3255.9407949676461</v>
      </c>
      <c r="AG8" s="185">
        <f t="shared" ref="AG8" si="8">IFERROR(AF8/AE8,"")</f>
        <v>542.65679916127431</v>
      </c>
      <c r="AH8" s="182">
        <f>RANK(AG8, AG$7:AG$21)</f>
        <v>1</v>
      </c>
      <c r="AI8" s="595"/>
      <c r="AJ8" s="188">
        <v>6</v>
      </c>
      <c r="AK8" s="188">
        <v>3257.3807949676461</v>
      </c>
      <c r="AL8" s="185">
        <f t="shared" si="3"/>
        <v>542.89679916127432</v>
      </c>
      <c r="AM8" s="182">
        <f>RANK(AL8, AL$7:AL$21)</f>
        <v>1</v>
      </c>
      <c r="AN8" s="595"/>
      <c r="AO8" s="188">
        <v>6</v>
      </c>
      <c r="AP8" s="188">
        <v>3255.9407949676461</v>
      </c>
      <c r="AQ8" s="185">
        <f t="shared" si="4"/>
        <v>542.65679916127431</v>
      </c>
      <c r="AR8" s="182">
        <f>RANK(AQ8, AQ$7:AQ$21)</f>
        <v>1</v>
      </c>
      <c r="AS8" s="595"/>
      <c r="AT8" s="188">
        <v>6</v>
      </c>
      <c r="AU8" s="188">
        <v>3254.500794967646</v>
      </c>
      <c r="AV8" s="185">
        <f t="shared" si="5"/>
        <v>542.4167991612743</v>
      </c>
      <c r="AW8" s="182">
        <f>RANK(AV8, AV$7:AV$21)</f>
        <v>1</v>
      </c>
      <c r="AX8" s="595"/>
    </row>
    <row r="9" spans="1:50" ht="14.25" customHeight="1">
      <c r="B9" s="590"/>
      <c r="C9" s="180">
        <v>3</v>
      </c>
      <c r="D9" s="183"/>
      <c r="E9" s="180"/>
      <c r="F9" s="180"/>
      <c r="G9" s="185"/>
      <c r="H9" s="595"/>
      <c r="I9" s="186"/>
      <c r="J9" s="186"/>
      <c r="K9" s="187"/>
      <c r="L9" s="596"/>
      <c r="M9" s="186"/>
      <c r="N9" s="590"/>
      <c r="O9" s="590"/>
      <c r="P9" s="188"/>
      <c r="Q9" s="188"/>
      <c r="R9" s="185"/>
      <c r="S9" s="182"/>
      <c r="T9" s="595"/>
      <c r="U9" s="188"/>
      <c r="V9" s="188"/>
      <c r="W9" s="185"/>
      <c r="X9" s="182"/>
      <c r="Y9" s="595"/>
      <c r="Z9" s="188"/>
      <c r="AA9" s="188"/>
      <c r="AB9" s="185"/>
      <c r="AC9" s="182"/>
      <c r="AD9" s="595"/>
      <c r="AE9" s="188"/>
      <c r="AF9" s="188"/>
      <c r="AG9" s="185"/>
      <c r="AH9" s="182"/>
      <c r="AI9" s="595"/>
      <c r="AJ9" s="188"/>
      <c r="AK9" s="188"/>
      <c r="AL9" s="185"/>
      <c r="AM9" s="182"/>
      <c r="AN9" s="595"/>
      <c r="AO9" s="188"/>
      <c r="AP9" s="188"/>
      <c r="AQ9" s="185"/>
      <c r="AR9" s="182"/>
      <c r="AS9" s="595"/>
      <c r="AT9" s="188"/>
      <c r="AU9" s="188"/>
      <c r="AV9" s="185"/>
      <c r="AW9" s="182"/>
      <c r="AX9" s="595"/>
    </row>
    <row r="10" spans="1:50" ht="14.25" customHeight="1">
      <c r="B10" s="590"/>
      <c r="C10" s="180">
        <v>4</v>
      </c>
      <c r="D10" s="183"/>
      <c r="E10" s="180"/>
      <c r="F10" s="180"/>
      <c r="G10" s="185"/>
      <c r="H10" s="595"/>
      <c r="I10" s="186"/>
      <c r="J10" s="186"/>
      <c r="K10" s="187"/>
      <c r="L10" s="596"/>
      <c r="M10" s="186"/>
      <c r="N10" s="590"/>
      <c r="O10" s="590"/>
      <c r="P10" s="188"/>
      <c r="Q10" s="188"/>
      <c r="R10" s="185"/>
      <c r="S10" s="182"/>
      <c r="T10" s="595"/>
      <c r="U10" s="188"/>
      <c r="V10" s="188"/>
      <c r="W10" s="185"/>
      <c r="X10" s="182"/>
      <c r="Y10" s="595"/>
      <c r="Z10" s="188"/>
      <c r="AA10" s="188"/>
      <c r="AB10" s="185"/>
      <c r="AC10" s="182"/>
      <c r="AD10" s="595"/>
      <c r="AE10" s="188"/>
      <c r="AF10" s="188"/>
      <c r="AG10" s="185"/>
      <c r="AH10" s="182"/>
      <c r="AI10" s="595"/>
      <c r="AJ10" s="188"/>
      <c r="AK10" s="188"/>
      <c r="AL10" s="185"/>
      <c r="AM10" s="182"/>
      <c r="AN10" s="595"/>
      <c r="AO10" s="188"/>
      <c r="AP10" s="188"/>
      <c r="AQ10" s="185"/>
      <c r="AR10" s="182"/>
      <c r="AS10" s="595"/>
      <c r="AT10" s="188"/>
      <c r="AU10" s="188"/>
      <c r="AV10" s="185"/>
      <c r="AW10" s="182"/>
      <c r="AX10" s="595"/>
    </row>
    <row r="11" spans="1:50" ht="14.25" customHeight="1">
      <c r="B11" s="590"/>
      <c r="C11" s="180">
        <v>5</v>
      </c>
      <c r="D11" s="183"/>
      <c r="E11" s="180"/>
      <c r="F11" s="180"/>
      <c r="G11" s="185"/>
      <c r="H11" s="595"/>
      <c r="I11" s="186"/>
      <c r="J11" s="186"/>
      <c r="K11" s="187"/>
      <c r="L11" s="596"/>
      <c r="M11" s="186"/>
      <c r="N11" s="590"/>
      <c r="O11" s="590"/>
      <c r="P11" s="188"/>
      <c r="Q11" s="188"/>
      <c r="R11" s="185"/>
      <c r="S11" s="182"/>
      <c r="T11" s="595"/>
      <c r="U11" s="188"/>
      <c r="V11" s="188"/>
      <c r="W11" s="185"/>
      <c r="X11" s="182"/>
      <c r="Y11" s="595"/>
      <c r="Z11" s="188"/>
      <c r="AA11" s="188"/>
      <c r="AB11" s="185"/>
      <c r="AC11" s="182"/>
      <c r="AD11" s="595"/>
      <c r="AE11" s="188"/>
      <c r="AF11" s="188"/>
      <c r="AG11" s="185"/>
      <c r="AH11" s="182"/>
      <c r="AI11" s="595"/>
      <c r="AJ11" s="188"/>
      <c r="AK11" s="188"/>
      <c r="AL11" s="185"/>
      <c r="AM11" s="182"/>
      <c r="AN11" s="595"/>
      <c r="AO11" s="188"/>
      <c r="AP11" s="188"/>
      <c r="AQ11" s="185"/>
      <c r="AR11" s="182"/>
      <c r="AS11" s="595"/>
      <c r="AT11" s="188"/>
      <c r="AU11" s="188"/>
      <c r="AV11" s="185"/>
      <c r="AW11" s="182"/>
      <c r="AX11" s="595"/>
    </row>
    <row r="12" spans="1:50" ht="14.25" customHeight="1">
      <c r="B12" s="590"/>
      <c r="C12" s="180">
        <v>6</v>
      </c>
      <c r="D12" s="183"/>
      <c r="E12" s="180"/>
      <c r="F12" s="180"/>
      <c r="G12" s="185"/>
      <c r="H12" s="595"/>
      <c r="I12" s="186"/>
      <c r="J12" s="186"/>
      <c r="K12" s="187"/>
      <c r="L12" s="596"/>
      <c r="M12" s="186"/>
      <c r="N12" s="590"/>
      <c r="O12" s="590"/>
      <c r="P12" s="188"/>
      <c r="Q12" s="188"/>
      <c r="R12" s="185"/>
      <c r="S12" s="182"/>
      <c r="T12" s="595"/>
      <c r="U12" s="188"/>
      <c r="V12" s="188"/>
      <c r="W12" s="185"/>
      <c r="X12" s="182"/>
      <c r="Y12" s="595"/>
      <c r="Z12" s="188"/>
      <c r="AA12" s="188"/>
      <c r="AB12" s="185"/>
      <c r="AC12" s="182"/>
      <c r="AD12" s="595"/>
      <c r="AE12" s="188"/>
      <c r="AF12" s="188"/>
      <c r="AG12" s="185"/>
      <c r="AH12" s="182"/>
      <c r="AI12" s="595"/>
      <c r="AJ12" s="188"/>
      <c r="AK12" s="188"/>
      <c r="AL12" s="185"/>
      <c r="AM12" s="182"/>
      <c r="AN12" s="595"/>
      <c r="AO12" s="188"/>
      <c r="AP12" s="188"/>
      <c r="AQ12" s="185"/>
      <c r="AR12" s="182"/>
      <c r="AS12" s="595"/>
      <c r="AT12" s="188"/>
      <c r="AU12" s="188"/>
      <c r="AV12" s="185"/>
      <c r="AW12" s="182"/>
      <c r="AX12" s="595"/>
    </row>
    <row r="13" spans="1:50" ht="14.25" customHeight="1">
      <c r="B13" s="590"/>
      <c r="C13" s="180">
        <v>7</v>
      </c>
      <c r="D13" s="183"/>
      <c r="E13" s="180"/>
      <c r="F13" s="180"/>
      <c r="G13" s="185"/>
      <c r="H13" s="595"/>
      <c r="I13" s="186"/>
      <c r="J13" s="186"/>
      <c r="K13" s="187"/>
      <c r="L13" s="596"/>
      <c r="M13" s="186"/>
      <c r="N13" s="590"/>
      <c r="O13" s="590"/>
      <c r="P13" s="188"/>
      <c r="Q13" s="188"/>
      <c r="R13" s="185"/>
      <c r="S13" s="182"/>
      <c r="T13" s="595"/>
      <c r="U13" s="188"/>
      <c r="V13" s="188"/>
      <c r="W13" s="185"/>
      <c r="X13" s="182"/>
      <c r="Y13" s="595"/>
      <c r="Z13" s="188"/>
      <c r="AA13" s="188"/>
      <c r="AB13" s="185"/>
      <c r="AC13" s="182"/>
      <c r="AD13" s="595"/>
      <c r="AE13" s="188"/>
      <c r="AF13" s="188"/>
      <c r="AG13" s="185"/>
      <c r="AH13" s="182"/>
      <c r="AI13" s="595"/>
      <c r="AJ13" s="188"/>
      <c r="AK13" s="188"/>
      <c r="AL13" s="185"/>
      <c r="AM13" s="182"/>
      <c r="AN13" s="595"/>
      <c r="AO13" s="188"/>
      <c r="AP13" s="188"/>
      <c r="AQ13" s="185"/>
      <c r="AR13" s="182"/>
      <c r="AS13" s="595"/>
      <c r="AT13" s="188"/>
      <c r="AU13" s="188"/>
      <c r="AV13" s="185"/>
      <c r="AW13" s="182"/>
      <c r="AX13" s="595"/>
    </row>
    <row r="14" spans="1:50" ht="14.25" customHeight="1">
      <c r="B14" s="590"/>
      <c r="C14" s="180">
        <v>8</v>
      </c>
      <c r="D14" s="183"/>
      <c r="E14" s="180"/>
      <c r="F14" s="180"/>
      <c r="G14" s="185"/>
      <c r="H14" s="595"/>
      <c r="I14" s="186"/>
      <c r="J14" s="186"/>
      <c r="K14" s="187"/>
      <c r="L14" s="596"/>
      <c r="M14" s="186"/>
      <c r="N14" s="590"/>
      <c r="O14" s="590"/>
      <c r="P14" s="188"/>
      <c r="Q14" s="188"/>
      <c r="R14" s="185"/>
      <c r="S14" s="182"/>
      <c r="T14" s="595"/>
      <c r="U14" s="188"/>
      <c r="V14" s="188"/>
      <c r="W14" s="185"/>
      <c r="X14" s="182"/>
      <c r="Y14" s="595"/>
      <c r="Z14" s="188"/>
      <c r="AA14" s="188"/>
      <c r="AB14" s="185"/>
      <c r="AC14" s="182"/>
      <c r="AD14" s="595"/>
      <c r="AE14" s="188"/>
      <c r="AF14" s="188"/>
      <c r="AG14" s="185"/>
      <c r="AH14" s="182"/>
      <c r="AI14" s="595"/>
      <c r="AJ14" s="188"/>
      <c r="AK14" s="188"/>
      <c r="AL14" s="185"/>
      <c r="AM14" s="182"/>
      <c r="AN14" s="595"/>
      <c r="AO14" s="188"/>
      <c r="AP14" s="188"/>
      <c r="AQ14" s="185"/>
      <c r="AR14" s="182"/>
      <c r="AS14" s="595"/>
      <c r="AT14" s="188"/>
      <c r="AU14" s="188"/>
      <c r="AV14" s="185"/>
      <c r="AW14" s="182"/>
      <c r="AX14" s="595"/>
    </row>
    <row r="15" spans="1:50" ht="14.25" customHeight="1">
      <c r="B15" s="590"/>
      <c r="C15" s="180">
        <v>9</v>
      </c>
      <c r="D15" s="183"/>
      <c r="E15" s="180"/>
      <c r="F15" s="180"/>
      <c r="G15" s="185"/>
      <c r="H15" s="595"/>
      <c r="I15" s="186"/>
      <c r="J15" s="186"/>
      <c r="K15" s="187"/>
      <c r="L15" s="596"/>
      <c r="M15" s="186"/>
      <c r="N15" s="590"/>
      <c r="O15" s="590"/>
      <c r="P15" s="188"/>
      <c r="Q15" s="188"/>
      <c r="R15" s="185"/>
      <c r="S15" s="182"/>
      <c r="T15" s="595"/>
      <c r="U15" s="188"/>
      <c r="V15" s="188"/>
      <c r="W15" s="185"/>
      <c r="X15" s="182"/>
      <c r="Y15" s="595"/>
      <c r="Z15" s="188"/>
      <c r="AA15" s="188"/>
      <c r="AB15" s="185"/>
      <c r="AC15" s="182"/>
      <c r="AD15" s="595"/>
      <c r="AE15" s="188"/>
      <c r="AF15" s="188"/>
      <c r="AG15" s="185"/>
      <c r="AH15" s="182"/>
      <c r="AI15" s="595"/>
      <c r="AJ15" s="188"/>
      <c r="AK15" s="188"/>
      <c r="AL15" s="185"/>
      <c r="AM15" s="182"/>
      <c r="AN15" s="595"/>
      <c r="AO15" s="188"/>
      <c r="AP15" s="188"/>
      <c r="AQ15" s="185"/>
      <c r="AR15" s="182"/>
      <c r="AS15" s="595"/>
      <c r="AT15" s="188"/>
      <c r="AU15" s="188"/>
      <c r="AV15" s="185"/>
      <c r="AW15" s="182"/>
      <c r="AX15" s="595"/>
    </row>
    <row r="16" spans="1:50" ht="14.25" customHeight="1">
      <c r="B16" s="590"/>
      <c r="C16" s="180">
        <v>10</v>
      </c>
      <c r="D16" s="183"/>
      <c r="E16" s="180"/>
      <c r="F16" s="180"/>
      <c r="G16" s="185"/>
      <c r="H16" s="595"/>
      <c r="I16" s="186"/>
      <c r="J16" s="186"/>
      <c r="K16" s="187"/>
      <c r="L16" s="596"/>
      <c r="M16" s="186"/>
      <c r="N16" s="590"/>
      <c r="O16" s="590"/>
      <c r="P16" s="188"/>
      <c r="Q16" s="188"/>
      <c r="R16" s="185"/>
      <c r="S16" s="182"/>
      <c r="T16" s="595"/>
      <c r="U16" s="188"/>
      <c r="V16" s="188"/>
      <c r="W16" s="185"/>
      <c r="X16" s="182"/>
      <c r="Y16" s="595"/>
      <c r="Z16" s="188"/>
      <c r="AA16" s="188"/>
      <c r="AB16" s="185"/>
      <c r="AC16" s="182"/>
      <c r="AD16" s="595"/>
      <c r="AE16" s="188"/>
      <c r="AF16" s="188"/>
      <c r="AG16" s="185"/>
      <c r="AH16" s="182"/>
      <c r="AI16" s="595"/>
      <c r="AJ16" s="188"/>
      <c r="AK16" s="188"/>
      <c r="AL16" s="185"/>
      <c r="AM16" s="182"/>
      <c r="AN16" s="595"/>
      <c r="AO16" s="188"/>
      <c r="AP16" s="188"/>
      <c r="AQ16" s="185"/>
      <c r="AR16" s="182"/>
      <c r="AS16" s="595"/>
      <c r="AT16" s="188"/>
      <c r="AU16" s="188"/>
      <c r="AV16" s="185"/>
      <c r="AW16" s="182"/>
      <c r="AX16" s="595"/>
    </row>
    <row r="17" spans="2:50" ht="14.25" customHeight="1">
      <c r="B17" s="590"/>
      <c r="C17" s="180">
        <v>11</v>
      </c>
      <c r="D17" s="183"/>
      <c r="E17" s="180"/>
      <c r="F17" s="180"/>
      <c r="G17" s="185"/>
      <c r="H17" s="595"/>
      <c r="I17" s="186"/>
      <c r="J17" s="186"/>
      <c r="K17" s="187"/>
      <c r="L17" s="596"/>
      <c r="M17" s="186"/>
      <c r="N17" s="590"/>
      <c r="O17" s="590"/>
      <c r="P17" s="188"/>
      <c r="Q17" s="188"/>
      <c r="R17" s="185"/>
      <c r="S17" s="182"/>
      <c r="T17" s="595"/>
      <c r="U17" s="188"/>
      <c r="V17" s="188"/>
      <c r="W17" s="185"/>
      <c r="X17" s="182"/>
      <c r="Y17" s="595"/>
      <c r="Z17" s="188"/>
      <c r="AA17" s="188"/>
      <c r="AB17" s="185"/>
      <c r="AC17" s="182"/>
      <c r="AD17" s="595"/>
      <c r="AE17" s="188"/>
      <c r="AF17" s="188"/>
      <c r="AG17" s="185"/>
      <c r="AH17" s="182"/>
      <c r="AI17" s="595"/>
      <c r="AJ17" s="188"/>
      <c r="AK17" s="188"/>
      <c r="AL17" s="185"/>
      <c r="AM17" s="182"/>
      <c r="AN17" s="595"/>
      <c r="AO17" s="188"/>
      <c r="AP17" s="188"/>
      <c r="AQ17" s="185"/>
      <c r="AR17" s="182"/>
      <c r="AS17" s="595"/>
      <c r="AT17" s="188"/>
      <c r="AU17" s="188"/>
      <c r="AV17" s="185"/>
      <c r="AW17" s="182"/>
      <c r="AX17" s="595"/>
    </row>
    <row r="18" spans="2:50" ht="14.25" customHeight="1">
      <c r="B18" s="590"/>
      <c r="C18" s="180">
        <v>12</v>
      </c>
      <c r="D18" s="183"/>
      <c r="E18" s="180"/>
      <c r="F18" s="180"/>
      <c r="G18" s="185"/>
      <c r="H18" s="595"/>
      <c r="I18" s="186"/>
      <c r="J18" s="186"/>
      <c r="K18" s="187"/>
      <c r="L18" s="596"/>
      <c r="M18" s="186"/>
      <c r="N18" s="590"/>
      <c r="O18" s="590"/>
      <c r="P18" s="188"/>
      <c r="Q18" s="188"/>
      <c r="R18" s="185"/>
      <c r="S18" s="182"/>
      <c r="T18" s="595"/>
      <c r="U18" s="188"/>
      <c r="V18" s="188"/>
      <c r="W18" s="185"/>
      <c r="X18" s="182"/>
      <c r="Y18" s="595"/>
      <c r="Z18" s="188"/>
      <c r="AA18" s="188"/>
      <c r="AB18" s="185"/>
      <c r="AC18" s="182"/>
      <c r="AD18" s="595"/>
      <c r="AE18" s="188"/>
      <c r="AF18" s="188"/>
      <c r="AG18" s="185"/>
      <c r="AH18" s="182"/>
      <c r="AI18" s="595"/>
      <c r="AJ18" s="188"/>
      <c r="AK18" s="188"/>
      <c r="AL18" s="185"/>
      <c r="AM18" s="182"/>
      <c r="AN18" s="595"/>
      <c r="AO18" s="188"/>
      <c r="AP18" s="188"/>
      <c r="AQ18" s="185"/>
      <c r="AR18" s="182"/>
      <c r="AS18" s="595"/>
      <c r="AT18" s="188"/>
      <c r="AU18" s="188"/>
      <c r="AV18" s="185"/>
      <c r="AW18" s="182"/>
      <c r="AX18" s="595"/>
    </row>
    <row r="19" spans="2:50" ht="14.25" customHeight="1">
      <c r="B19" s="590"/>
      <c r="C19" s="180">
        <v>13</v>
      </c>
      <c r="D19" s="183"/>
      <c r="E19" s="180"/>
      <c r="F19" s="180"/>
      <c r="G19" s="185"/>
      <c r="H19" s="595"/>
      <c r="I19" s="186"/>
      <c r="J19" s="186"/>
      <c r="K19" s="187"/>
      <c r="L19" s="596"/>
      <c r="M19" s="186"/>
      <c r="N19" s="590"/>
      <c r="O19" s="590"/>
      <c r="P19" s="188"/>
      <c r="Q19" s="188"/>
      <c r="R19" s="185"/>
      <c r="S19" s="182"/>
      <c r="T19" s="595"/>
      <c r="U19" s="188"/>
      <c r="V19" s="188"/>
      <c r="W19" s="185"/>
      <c r="X19" s="182"/>
      <c r="Y19" s="595"/>
      <c r="Z19" s="188"/>
      <c r="AA19" s="188"/>
      <c r="AB19" s="185"/>
      <c r="AC19" s="182"/>
      <c r="AD19" s="595"/>
      <c r="AE19" s="188"/>
      <c r="AF19" s="188"/>
      <c r="AG19" s="185"/>
      <c r="AH19" s="182"/>
      <c r="AI19" s="595"/>
      <c r="AJ19" s="188"/>
      <c r="AK19" s="188"/>
      <c r="AL19" s="185"/>
      <c r="AM19" s="182"/>
      <c r="AN19" s="595"/>
      <c r="AO19" s="188"/>
      <c r="AP19" s="188"/>
      <c r="AQ19" s="185"/>
      <c r="AR19" s="182"/>
      <c r="AS19" s="595"/>
      <c r="AT19" s="188"/>
      <c r="AU19" s="188"/>
      <c r="AV19" s="185"/>
      <c r="AW19" s="182"/>
      <c r="AX19" s="595"/>
    </row>
    <row r="20" spans="2:50" ht="14.25" customHeight="1">
      <c r="B20" s="590"/>
      <c r="C20" s="180">
        <v>14</v>
      </c>
      <c r="D20" s="183"/>
      <c r="E20" s="180"/>
      <c r="F20" s="180"/>
      <c r="G20" s="185"/>
      <c r="H20" s="595"/>
      <c r="I20" s="186"/>
      <c r="J20" s="186"/>
      <c r="K20" s="187"/>
      <c r="L20" s="596"/>
      <c r="M20" s="186"/>
      <c r="N20" s="590"/>
      <c r="O20" s="590"/>
      <c r="P20" s="188"/>
      <c r="Q20" s="188"/>
      <c r="R20" s="185"/>
      <c r="S20" s="182"/>
      <c r="T20" s="595"/>
      <c r="U20" s="188"/>
      <c r="V20" s="188"/>
      <c r="W20" s="185"/>
      <c r="X20" s="182"/>
      <c r="Y20" s="595"/>
      <c r="Z20" s="188"/>
      <c r="AA20" s="188"/>
      <c r="AB20" s="185"/>
      <c r="AC20" s="182"/>
      <c r="AD20" s="595"/>
      <c r="AE20" s="188"/>
      <c r="AF20" s="188"/>
      <c r="AG20" s="185"/>
      <c r="AH20" s="182"/>
      <c r="AI20" s="595"/>
      <c r="AJ20" s="188"/>
      <c r="AK20" s="188"/>
      <c r="AL20" s="185"/>
      <c r="AM20" s="182"/>
      <c r="AN20" s="595"/>
      <c r="AO20" s="188"/>
      <c r="AP20" s="188"/>
      <c r="AQ20" s="185"/>
      <c r="AR20" s="182"/>
      <c r="AS20" s="595"/>
      <c r="AT20" s="188"/>
      <c r="AU20" s="188"/>
      <c r="AV20" s="185"/>
      <c r="AW20" s="182"/>
      <c r="AX20" s="595"/>
    </row>
    <row r="21" spans="2:50" ht="14.25" customHeight="1">
      <c r="B21" s="590"/>
      <c r="C21" s="180">
        <v>15</v>
      </c>
      <c r="D21" s="183"/>
      <c r="E21" s="180"/>
      <c r="F21" s="180"/>
      <c r="G21" s="185"/>
      <c r="H21" s="595"/>
      <c r="I21" s="186"/>
      <c r="J21" s="186"/>
      <c r="K21" s="187"/>
      <c r="L21" s="596"/>
      <c r="M21" s="186"/>
      <c r="N21" s="590"/>
      <c r="O21" s="590"/>
      <c r="P21" s="188"/>
      <c r="Q21" s="188"/>
      <c r="R21" s="185"/>
      <c r="S21" s="182"/>
      <c r="T21" s="595"/>
      <c r="U21" s="188"/>
      <c r="V21" s="188"/>
      <c r="W21" s="185"/>
      <c r="X21" s="182"/>
      <c r="Y21" s="595"/>
      <c r="Z21" s="188"/>
      <c r="AA21" s="188"/>
      <c r="AB21" s="185"/>
      <c r="AC21" s="182"/>
      <c r="AD21" s="595"/>
      <c r="AE21" s="188"/>
      <c r="AF21" s="188"/>
      <c r="AG21" s="185"/>
      <c r="AH21" s="182"/>
      <c r="AI21" s="595"/>
      <c r="AJ21" s="188"/>
      <c r="AK21" s="188"/>
      <c r="AL21" s="185"/>
      <c r="AM21" s="182"/>
      <c r="AN21" s="595"/>
      <c r="AO21" s="188"/>
      <c r="AP21" s="188"/>
      <c r="AQ21" s="185"/>
      <c r="AR21" s="182"/>
      <c r="AS21" s="595"/>
      <c r="AT21" s="188"/>
      <c r="AU21" s="188"/>
      <c r="AV21" s="185"/>
      <c r="AW21" s="182"/>
      <c r="AX21" s="595"/>
    </row>
    <row r="22" spans="2:50" ht="14.25" customHeight="1">
      <c r="B22" s="572" t="s">
        <v>737</v>
      </c>
      <c r="C22" s="572"/>
      <c r="D22" s="572"/>
      <c r="E22" s="572"/>
      <c r="F22" s="572"/>
      <c r="G22" s="572"/>
      <c r="H22" s="572"/>
      <c r="I22" s="572"/>
      <c r="J22" s="572"/>
      <c r="K22" s="572"/>
      <c r="L22" s="572"/>
      <c r="M22" s="573"/>
      <c r="N22" s="608" t="s">
        <v>369</v>
      </c>
      <c r="O22" s="608" t="s">
        <v>105</v>
      </c>
      <c r="P22" s="610">
        <v>46147</v>
      </c>
      <c r="Q22" s="611"/>
      <c r="R22" s="611"/>
      <c r="S22" s="611"/>
      <c r="T22" s="611"/>
      <c r="U22" s="612">
        <v>46148</v>
      </c>
      <c r="V22" s="613"/>
      <c r="W22" s="613"/>
      <c r="X22" s="613"/>
      <c r="Y22" s="613"/>
      <c r="Z22" s="610">
        <v>46149</v>
      </c>
      <c r="AA22" s="611"/>
      <c r="AB22" s="611"/>
      <c r="AC22" s="611"/>
      <c r="AD22" s="611"/>
      <c r="AE22" s="612">
        <v>46150</v>
      </c>
      <c r="AF22" s="613"/>
      <c r="AG22" s="613"/>
      <c r="AH22" s="613"/>
      <c r="AI22" s="613"/>
      <c r="AJ22" s="600">
        <v>46151</v>
      </c>
      <c r="AK22" s="601"/>
      <c r="AL22" s="601"/>
      <c r="AM22" s="601"/>
      <c r="AN22" s="602"/>
      <c r="AO22" s="612">
        <v>46152</v>
      </c>
      <c r="AP22" s="613"/>
      <c r="AQ22" s="613"/>
      <c r="AR22" s="613"/>
      <c r="AS22" s="613"/>
      <c r="AT22" s="600">
        <v>46153</v>
      </c>
      <c r="AU22" s="601"/>
      <c r="AV22" s="601"/>
      <c r="AW22" s="601"/>
      <c r="AX22" s="602"/>
    </row>
    <row r="23" spans="2:50" ht="14.25" customHeight="1">
      <c r="B23" s="574"/>
      <c r="C23" s="574"/>
      <c r="D23" s="574"/>
      <c r="E23" s="574"/>
      <c r="F23" s="574"/>
      <c r="G23" s="574"/>
      <c r="H23" s="574"/>
      <c r="I23" s="574"/>
      <c r="J23" s="574"/>
      <c r="K23" s="574"/>
      <c r="L23" s="574"/>
      <c r="M23" s="575"/>
      <c r="N23" s="609"/>
      <c r="O23" s="609"/>
      <c r="P23" s="603">
        <v>46147</v>
      </c>
      <c r="Q23" s="603"/>
      <c r="R23" s="603"/>
      <c r="S23" s="603"/>
      <c r="T23" s="603"/>
      <c r="U23" s="604">
        <v>46148</v>
      </c>
      <c r="V23" s="604"/>
      <c r="W23" s="604"/>
      <c r="X23" s="604"/>
      <c r="Y23" s="604"/>
      <c r="Z23" s="603">
        <v>46149</v>
      </c>
      <c r="AA23" s="603"/>
      <c r="AB23" s="603"/>
      <c r="AC23" s="603"/>
      <c r="AD23" s="603"/>
      <c r="AE23" s="604">
        <v>46150</v>
      </c>
      <c r="AF23" s="604"/>
      <c r="AG23" s="604"/>
      <c r="AH23" s="604"/>
      <c r="AI23" s="604"/>
      <c r="AJ23" s="605">
        <v>46151</v>
      </c>
      <c r="AK23" s="606"/>
      <c r="AL23" s="606"/>
      <c r="AM23" s="606"/>
      <c r="AN23" s="607"/>
      <c r="AO23" s="604">
        <v>46152</v>
      </c>
      <c r="AP23" s="604"/>
      <c r="AQ23" s="604"/>
      <c r="AR23" s="604"/>
      <c r="AS23" s="604"/>
      <c r="AT23" s="605">
        <v>46153</v>
      </c>
      <c r="AU23" s="606"/>
      <c r="AV23" s="606"/>
      <c r="AW23" s="606"/>
      <c r="AX23" s="607"/>
    </row>
    <row r="24" spans="2:50" ht="14.25" customHeight="1">
      <c r="B24" s="590" t="s">
        <v>162</v>
      </c>
      <c r="C24" s="590" t="s">
        <v>157</v>
      </c>
      <c r="D24" s="590"/>
      <c r="E24" s="590" t="s">
        <v>158</v>
      </c>
      <c r="F24" s="590"/>
      <c r="G24" s="590"/>
      <c r="H24" s="590" t="s">
        <v>163</v>
      </c>
      <c r="I24" s="591" t="s">
        <v>370</v>
      </c>
      <c r="J24" s="591"/>
      <c r="K24" s="591"/>
      <c r="L24" s="591" t="s">
        <v>163</v>
      </c>
      <c r="M24" s="591" t="s">
        <v>165</v>
      </c>
      <c r="N24" s="590"/>
      <c r="O24" s="590" t="s">
        <v>164</v>
      </c>
      <c r="P24" s="590" t="s">
        <v>160</v>
      </c>
      <c r="Q24" s="590"/>
      <c r="R24" s="590"/>
      <c r="S24" s="590"/>
      <c r="T24" s="590" t="s">
        <v>163</v>
      </c>
      <c r="U24" s="590" t="s">
        <v>160</v>
      </c>
      <c r="V24" s="590"/>
      <c r="W24" s="590"/>
      <c r="X24" s="590"/>
      <c r="Y24" s="590" t="s">
        <v>163</v>
      </c>
      <c r="Z24" s="590" t="s">
        <v>160</v>
      </c>
      <c r="AA24" s="590"/>
      <c r="AB24" s="590"/>
      <c r="AC24" s="590"/>
      <c r="AD24" s="590" t="s">
        <v>163</v>
      </c>
      <c r="AE24" s="590" t="s">
        <v>160</v>
      </c>
      <c r="AF24" s="590"/>
      <c r="AG24" s="590"/>
      <c r="AH24" s="590"/>
      <c r="AI24" s="590" t="s">
        <v>163</v>
      </c>
      <c r="AJ24" s="590" t="s">
        <v>160</v>
      </c>
      <c r="AK24" s="590"/>
      <c r="AL24" s="590"/>
      <c r="AM24" s="590"/>
      <c r="AN24" s="590" t="s">
        <v>163</v>
      </c>
      <c r="AO24" s="590" t="s">
        <v>160</v>
      </c>
      <c r="AP24" s="590"/>
      <c r="AQ24" s="590"/>
      <c r="AR24" s="590"/>
      <c r="AS24" s="590" t="s">
        <v>163</v>
      </c>
      <c r="AT24" s="590" t="s">
        <v>160</v>
      </c>
      <c r="AU24" s="590"/>
      <c r="AV24" s="590"/>
      <c r="AW24" s="590"/>
      <c r="AX24" s="590" t="s">
        <v>163</v>
      </c>
    </row>
    <row r="25" spans="2:50" ht="14.25" customHeight="1">
      <c r="B25" s="590"/>
      <c r="C25" s="590"/>
      <c r="D25" s="590"/>
      <c r="E25" s="590" t="s">
        <v>371</v>
      </c>
      <c r="F25" s="590"/>
      <c r="G25" s="590"/>
      <c r="H25" s="590"/>
      <c r="I25" s="591" t="s">
        <v>371</v>
      </c>
      <c r="J25" s="591"/>
      <c r="K25" s="591"/>
      <c r="L25" s="591"/>
      <c r="M25" s="591"/>
      <c r="N25" s="590"/>
      <c r="O25" s="590"/>
      <c r="P25" s="590" t="s">
        <v>372</v>
      </c>
      <c r="Q25" s="590"/>
      <c r="R25" s="590"/>
      <c r="S25" s="590"/>
      <c r="T25" s="590"/>
      <c r="U25" s="590" t="s">
        <v>372</v>
      </c>
      <c r="V25" s="590"/>
      <c r="W25" s="590"/>
      <c r="X25" s="590"/>
      <c r="Y25" s="590"/>
      <c r="Z25" s="590" t="s">
        <v>372</v>
      </c>
      <c r="AA25" s="590"/>
      <c r="AB25" s="590"/>
      <c r="AC25" s="590"/>
      <c r="AD25" s="590"/>
      <c r="AE25" s="590" t="s">
        <v>372</v>
      </c>
      <c r="AF25" s="590"/>
      <c r="AG25" s="590"/>
      <c r="AH25" s="590"/>
      <c r="AI25" s="590"/>
      <c r="AJ25" s="590" t="s">
        <v>372</v>
      </c>
      <c r="AK25" s="590"/>
      <c r="AL25" s="590"/>
      <c r="AM25" s="590"/>
      <c r="AN25" s="590"/>
      <c r="AO25" s="590" t="s">
        <v>372</v>
      </c>
      <c r="AP25" s="590"/>
      <c r="AQ25" s="590"/>
      <c r="AR25" s="590"/>
      <c r="AS25" s="590"/>
      <c r="AT25" s="590" t="s">
        <v>372</v>
      </c>
      <c r="AU25" s="590"/>
      <c r="AV25" s="590"/>
      <c r="AW25" s="590"/>
      <c r="AX25" s="590"/>
    </row>
    <row r="26" spans="2:50" ht="14.25" customHeight="1">
      <c r="B26" s="590"/>
      <c r="C26" s="590"/>
      <c r="D26" s="590"/>
      <c r="E26" s="180" t="s">
        <v>159</v>
      </c>
      <c r="F26" s="180" t="s">
        <v>373</v>
      </c>
      <c r="G26" s="180" t="s">
        <v>161</v>
      </c>
      <c r="H26" s="590"/>
      <c r="I26" s="181" t="s">
        <v>159</v>
      </c>
      <c r="J26" s="181" t="s">
        <v>373</v>
      </c>
      <c r="K26" s="181" t="s">
        <v>161</v>
      </c>
      <c r="L26" s="591"/>
      <c r="M26" s="591"/>
      <c r="N26" s="590"/>
      <c r="O26" s="590"/>
      <c r="P26" s="180" t="s">
        <v>159</v>
      </c>
      <c r="Q26" s="180" t="s">
        <v>373</v>
      </c>
      <c r="R26" s="180" t="s">
        <v>161</v>
      </c>
      <c r="S26" s="182" t="s">
        <v>165</v>
      </c>
      <c r="T26" s="590"/>
      <c r="U26" s="180" t="s">
        <v>159</v>
      </c>
      <c r="V26" s="180" t="s">
        <v>373</v>
      </c>
      <c r="W26" s="180" t="s">
        <v>161</v>
      </c>
      <c r="X26" s="182" t="s">
        <v>165</v>
      </c>
      <c r="Y26" s="590"/>
      <c r="Z26" s="180" t="s">
        <v>159</v>
      </c>
      <c r="AA26" s="180" t="s">
        <v>373</v>
      </c>
      <c r="AB26" s="180" t="s">
        <v>161</v>
      </c>
      <c r="AC26" s="182" t="s">
        <v>165</v>
      </c>
      <c r="AD26" s="590"/>
      <c r="AE26" s="180" t="s">
        <v>159</v>
      </c>
      <c r="AF26" s="180" t="s">
        <v>373</v>
      </c>
      <c r="AG26" s="180" t="s">
        <v>161</v>
      </c>
      <c r="AH26" s="182" t="s">
        <v>165</v>
      </c>
      <c r="AI26" s="590"/>
      <c r="AJ26" s="180" t="s">
        <v>159</v>
      </c>
      <c r="AK26" s="180" t="s">
        <v>373</v>
      </c>
      <c r="AL26" s="180" t="s">
        <v>161</v>
      </c>
      <c r="AM26" s="182" t="s">
        <v>165</v>
      </c>
      <c r="AN26" s="590"/>
      <c r="AO26" s="180" t="s">
        <v>159</v>
      </c>
      <c r="AP26" s="180" t="s">
        <v>373</v>
      </c>
      <c r="AQ26" s="180" t="s">
        <v>161</v>
      </c>
      <c r="AR26" s="182" t="s">
        <v>165</v>
      </c>
      <c r="AS26" s="590"/>
      <c r="AT26" s="180" t="s">
        <v>159</v>
      </c>
      <c r="AU26" s="180" t="s">
        <v>373</v>
      </c>
      <c r="AV26" s="180" t="s">
        <v>161</v>
      </c>
      <c r="AW26" s="182" t="s">
        <v>165</v>
      </c>
      <c r="AX26" s="590"/>
    </row>
    <row r="27" spans="2:50" ht="14.25" customHeight="1">
      <c r="B27" s="614" t="s">
        <v>432</v>
      </c>
      <c r="C27" s="180">
        <v>1</v>
      </c>
      <c r="D27" s="183" t="s">
        <v>349</v>
      </c>
      <c r="E27" s="180">
        <v>21</v>
      </c>
      <c r="F27" s="180">
        <v>2790</v>
      </c>
      <c r="G27" s="185">
        <f t="shared" ref="G27:G28" si="9">F27/E27</f>
        <v>132.85714285714286</v>
      </c>
      <c r="H27" s="595">
        <f>AVERAGE(G27:G41)</f>
        <v>366.42857142857144</v>
      </c>
      <c r="I27" s="186">
        <f>AVERAGE(P27,U27,Z27,AE27,AJ27,AO27,AT27)</f>
        <v>21</v>
      </c>
      <c r="J27" s="186">
        <f>AVERAGE(Q27,V27,AA27,AF27,AK27,AP27,AU27)</f>
        <v>2484.1730769230767</v>
      </c>
      <c r="K27" s="187">
        <f>AVERAGE(R27,W27,AB27,AG27,AL27,AQ27,AV27)</f>
        <v>118.29395604395602</v>
      </c>
      <c r="L27" s="596">
        <f>IFERROR(AVERAGE(K27:K41),"-")</f>
        <v>361.14748041183083</v>
      </c>
      <c r="M27" s="186">
        <f>RANK(K27, K$27:$K$41)</f>
        <v>2</v>
      </c>
      <c r="N27" s="590"/>
      <c r="O27" s="590"/>
      <c r="P27" s="188">
        <v>21</v>
      </c>
      <c r="Q27" s="188">
        <v>2484.1730769230767</v>
      </c>
      <c r="R27" s="185">
        <f>IFERROR(Q27/P27,"")</f>
        <v>118.29395604395603</v>
      </c>
      <c r="S27" s="182">
        <f>RANK(R27, R$27:R$41)</f>
        <v>2</v>
      </c>
      <c r="T27" s="595">
        <f>AVERAGE(R27:R41)</f>
        <v>330.32537760261516</v>
      </c>
      <c r="U27" s="188">
        <v>21</v>
      </c>
      <c r="V27" s="188">
        <v>2484.1730769230767</v>
      </c>
      <c r="W27" s="185">
        <f t="shared" ref="W27:W28" si="10">IFERROR(V27/U27,"")</f>
        <v>118.29395604395603</v>
      </c>
      <c r="X27" s="182">
        <f>RANK(W27, W$27:W$41)</f>
        <v>2</v>
      </c>
      <c r="Y27" s="595">
        <f>AVERAGE(W27:W41)</f>
        <v>330.20537760261516</v>
      </c>
      <c r="Z27" s="188">
        <v>21</v>
      </c>
      <c r="AA27" s="188">
        <v>2484.1730769230767</v>
      </c>
      <c r="AB27" s="185">
        <f t="shared" ref="AB27:AB28" si="11">IFERROR(AA27/Z27,"")</f>
        <v>118.29395604395603</v>
      </c>
      <c r="AC27" s="182">
        <f>RANK(AB27, AB$27:AB$41)</f>
        <v>2</v>
      </c>
      <c r="AD27" s="595">
        <f>AVERAGE(AB27:AB41)</f>
        <v>330.08537760261515</v>
      </c>
      <c r="AE27" s="188">
        <v>21</v>
      </c>
      <c r="AF27" s="188">
        <v>2484.1730769230767</v>
      </c>
      <c r="AG27" s="185">
        <f>IFERROR(AF27/AE27,"")</f>
        <v>118.29395604395603</v>
      </c>
      <c r="AH27" s="182">
        <f>RANK(AG27, AG$27:AG$41)</f>
        <v>2</v>
      </c>
      <c r="AI27" s="595">
        <f>AVERAGE(AG27:AG41)</f>
        <v>384.45305751874264</v>
      </c>
      <c r="AJ27" s="188">
        <v>21</v>
      </c>
      <c r="AK27" s="188">
        <v>2484.1730769230767</v>
      </c>
      <c r="AL27" s="185">
        <f t="shared" ref="AL27:AL28" si="12">IFERROR(AK27/AJ27,"")</f>
        <v>118.29395604395603</v>
      </c>
      <c r="AM27" s="182">
        <f>RANK(AL27, AL$27:AL$41)</f>
        <v>2</v>
      </c>
      <c r="AN27" s="595">
        <f>AVERAGE(AL27:AL41)</f>
        <v>384.38105751874264</v>
      </c>
      <c r="AO27" s="188">
        <v>21</v>
      </c>
      <c r="AP27" s="188">
        <v>2484.1730769230762</v>
      </c>
      <c r="AQ27" s="185">
        <f t="shared" ref="AQ27:AQ28" si="13">IFERROR(AP27/AO27,"")</f>
        <v>118.29395604395602</v>
      </c>
      <c r="AR27" s="182">
        <f>RANK(AQ27, AQ$27:AQ$41)</f>
        <v>2</v>
      </c>
      <c r="AS27" s="595">
        <f>AVERAGE(AQ27:AQ41)</f>
        <v>384.34505751874258</v>
      </c>
      <c r="AT27" s="188">
        <v>21</v>
      </c>
      <c r="AU27" s="188">
        <v>2484.1730769230767</v>
      </c>
      <c r="AV27" s="185">
        <f t="shared" ref="AV27:AV28" si="14">IFERROR(AU27/AT27,"")</f>
        <v>118.29395604395603</v>
      </c>
      <c r="AW27" s="182">
        <f>RANK(AV27, AV$27:AV$41)</f>
        <v>2</v>
      </c>
      <c r="AX27" s="595">
        <f>AVERAGE(AV27:AV41)</f>
        <v>384.23705751874263</v>
      </c>
    </row>
    <row r="28" spans="2:50" ht="14.25" customHeight="1">
      <c r="B28" s="590"/>
      <c r="C28" s="180">
        <v>2</v>
      </c>
      <c r="D28" s="183" t="s">
        <v>496</v>
      </c>
      <c r="E28" s="180">
        <v>6</v>
      </c>
      <c r="F28" s="180">
        <v>3600</v>
      </c>
      <c r="G28" s="185">
        <f t="shared" si="9"/>
        <v>600</v>
      </c>
      <c r="H28" s="595"/>
      <c r="I28" s="186">
        <f t="shared" ref="I28:K28" si="15">AVERAGE(P28,U28,Z28,AE28,AJ28,AO28,AT28)</f>
        <v>5.4285714285714288</v>
      </c>
      <c r="J28" s="186">
        <f t="shared" si="15"/>
        <v>3252.3407949676453</v>
      </c>
      <c r="K28" s="187">
        <f t="shared" si="15"/>
        <v>604.00100477970568</v>
      </c>
      <c r="L28" s="596"/>
      <c r="M28" s="186">
        <f>RANK(K28, K$27:$K$41)</f>
        <v>1</v>
      </c>
      <c r="N28" s="590"/>
      <c r="O28" s="590"/>
      <c r="P28" s="188">
        <v>6</v>
      </c>
      <c r="Q28" s="188">
        <v>3254.1407949676459</v>
      </c>
      <c r="R28" s="185">
        <f t="shared" ref="R28" si="16">IFERROR(Q28/P28,"")</f>
        <v>542.35679916127435</v>
      </c>
      <c r="S28" s="182">
        <f>RANK(R28, R$27:R$41)</f>
        <v>1</v>
      </c>
      <c r="T28" s="595"/>
      <c r="U28" s="188">
        <v>6</v>
      </c>
      <c r="V28" s="188">
        <v>3252.7007949676463</v>
      </c>
      <c r="W28" s="185">
        <f t="shared" si="10"/>
        <v>542.11679916127434</v>
      </c>
      <c r="X28" s="182">
        <f>RANK(W28, W$27:W$41)</f>
        <v>1</v>
      </c>
      <c r="Y28" s="595"/>
      <c r="Z28" s="188">
        <v>6</v>
      </c>
      <c r="AA28" s="188">
        <v>3251.2607949676458</v>
      </c>
      <c r="AB28" s="185">
        <f t="shared" si="11"/>
        <v>541.87679916127433</v>
      </c>
      <c r="AC28" s="182">
        <f>RANK(AB28, AB$27:AB$41)</f>
        <v>1</v>
      </c>
      <c r="AD28" s="595"/>
      <c r="AE28" s="188">
        <v>5</v>
      </c>
      <c r="AF28" s="188">
        <v>3253.060794967646</v>
      </c>
      <c r="AG28" s="185">
        <f t="shared" ref="AG28" si="17">IFERROR(AF28/AE28,"")</f>
        <v>650.61215899352919</v>
      </c>
      <c r="AH28" s="182">
        <f>RANK(AG28, AG$27:AG$41)</f>
        <v>1</v>
      </c>
      <c r="AI28" s="595"/>
      <c r="AJ28" s="188">
        <v>5</v>
      </c>
      <c r="AK28" s="188">
        <v>3252.3407949676457</v>
      </c>
      <c r="AL28" s="185">
        <f t="shared" si="12"/>
        <v>650.46815899352919</v>
      </c>
      <c r="AM28" s="182">
        <f>RANK(AL28, AL$27:AL$41)</f>
        <v>1</v>
      </c>
      <c r="AN28" s="595"/>
      <c r="AO28" s="188">
        <v>5</v>
      </c>
      <c r="AP28" s="188">
        <v>3251.980794967646</v>
      </c>
      <c r="AQ28" s="185">
        <f t="shared" si="13"/>
        <v>650.39615899352918</v>
      </c>
      <c r="AR28" s="182">
        <f>RANK(AQ28, AQ$27:AQ$41)</f>
        <v>1</v>
      </c>
      <c r="AS28" s="595"/>
      <c r="AT28" s="188">
        <v>5</v>
      </c>
      <c r="AU28" s="188">
        <v>3250.9007949676461</v>
      </c>
      <c r="AV28" s="185">
        <f t="shared" si="14"/>
        <v>650.18015899352918</v>
      </c>
      <c r="AW28" s="182">
        <f>RANK(AV28, AV$27:AV$41)</f>
        <v>1</v>
      </c>
      <c r="AX28" s="595"/>
    </row>
    <row r="29" spans="2:50" ht="14.25" customHeight="1">
      <c r="B29" s="590"/>
      <c r="C29" s="180">
        <v>3</v>
      </c>
      <c r="D29" s="183"/>
      <c r="E29" s="180"/>
      <c r="F29" s="180"/>
      <c r="G29" s="185"/>
      <c r="H29" s="595"/>
      <c r="I29" s="186"/>
      <c r="J29" s="186"/>
      <c r="K29" s="187"/>
      <c r="L29" s="596"/>
      <c r="M29" s="186"/>
      <c r="N29" s="590"/>
      <c r="O29" s="590"/>
      <c r="P29" s="188"/>
      <c r="Q29" s="188"/>
      <c r="R29" s="185"/>
      <c r="S29" s="182"/>
      <c r="T29" s="595"/>
      <c r="U29" s="188"/>
      <c r="V29" s="188"/>
      <c r="W29" s="185"/>
      <c r="X29" s="182"/>
      <c r="Y29" s="595"/>
      <c r="Z29" s="188"/>
      <c r="AA29" s="188"/>
      <c r="AB29" s="185"/>
      <c r="AC29" s="182"/>
      <c r="AD29" s="595"/>
      <c r="AE29" s="188"/>
      <c r="AF29" s="188"/>
      <c r="AG29" s="185"/>
      <c r="AH29" s="182"/>
      <c r="AI29" s="595"/>
      <c r="AJ29" s="188"/>
      <c r="AK29" s="188"/>
      <c r="AL29" s="185"/>
      <c r="AM29" s="182"/>
      <c r="AN29" s="595"/>
      <c r="AO29" s="188"/>
      <c r="AP29" s="188"/>
      <c r="AQ29" s="185"/>
      <c r="AR29" s="182"/>
      <c r="AS29" s="595"/>
      <c r="AT29" s="188"/>
      <c r="AU29" s="188"/>
      <c r="AV29" s="185"/>
      <c r="AW29" s="182"/>
      <c r="AX29" s="595"/>
    </row>
    <row r="30" spans="2:50" ht="14.25" customHeight="1">
      <c r="B30" s="590"/>
      <c r="C30" s="180">
        <v>4</v>
      </c>
      <c r="D30" s="183"/>
      <c r="E30" s="180"/>
      <c r="F30" s="180"/>
      <c r="G30" s="185"/>
      <c r="H30" s="595"/>
      <c r="I30" s="186"/>
      <c r="J30" s="186"/>
      <c r="K30" s="187"/>
      <c r="L30" s="596"/>
      <c r="M30" s="186"/>
      <c r="N30" s="590"/>
      <c r="O30" s="590"/>
      <c r="P30" s="188"/>
      <c r="Q30" s="188"/>
      <c r="R30" s="185"/>
      <c r="S30" s="182"/>
      <c r="T30" s="595"/>
      <c r="U30" s="188"/>
      <c r="V30" s="188"/>
      <c r="W30" s="185"/>
      <c r="X30" s="182"/>
      <c r="Y30" s="595"/>
      <c r="Z30" s="188"/>
      <c r="AA30" s="188"/>
      <c r="AB30" s="185"/>
      <c r="AC30" s="182"/>
      <c r="AD30" s="595"/>
      <c r="AE30" s="188"/>
      <c r="AF30" s="188"/>
      <c r="AG30" s="185"/>
      <c r="AH30" s="182"/>
      <c r="AI30" s="595"/>
      <c r="AJ30" s="188"/>
      <c r="AK30" s="188"/>
      <c r="AL30" s="185"/>
      <c r="AM30" s="182"/>
      <c r="AN30" s="595"/>
      <c r="AO30" s="188"/>
      <c r="AP30" s="188"/>
      <c r="AQ30" s="185"/>
      <c r="AR30" s="182"/>
      <c r="AS30" s="595"/>
      <c r="AT30" s="188"/>
      <c r="AU30" s="188"/>
      <c r="AV30" s="185"/>
      <c r="AW30" s="182"/>
      <c r="AX30" s="595"/>
    </row>
    <row r="31" spans="2:50" ht="14.25" customHeight="1">
      <c r="B31" s="590"/>
      <c r="C31" s="180">
        <v>5</v>
      </c>
      <c r="D31" s="183"/>
      <c r="E31" s="180"/>
      <c r="F31" s="180"/>
      <c r="G31" s="185"/>
      <c r="H31" s="595"/>
      <c r="I31" s="186"/>
      <c r="J31" s="186"/>
      <c r="K31" s="187"/>
      <c r="L31" s="596"/>
      <c r="M31" s="186"/>
      <c r="N31" s="590"/>
      <c r="O31" s="590"/>
      <c r="P31" s="188"/>
      <c r="Q31" s="188"/>
      <c r="R31" s="185"/>
      <c r="S31" s="182"/>
      <c r="T31" s="595"/>
      <c r="U31" s="188"/>
      <c r="V31" s="188"/>
      <c r="W31" s="185"/>
      <c r="X31" s="182"/>
      <c r="Y31" s="595"/>
      <c r="Z31" s="188"/>
      <c r="AA31" s="188"/>
      <c r="AB31" s="185"/>
      <c r="AC31" s="182"/>
      <c r="AD31" s="595"/>
      <c r="AE31" s="188"/>
      <c r="AF31" s="188"/>
      <c r="AG31" s="185"/>
      <c r="AH31" s="182"/>
      <c r="AI31" s="595"/>
      <c r="AJ31" s="188"/>
      <c r="AK31" s="188"/>
      <c r="AL31" s="185"/>
      <c r="AM31" s="182"/>
      <c r="AN31" s="595"/>
      <c r="AO31" s="188"/>
      <c r="AP31" s="188"/>
      <c r="AQ31" s="185"/>
      <c r="AR31" s="182"/>
      <c r="AS31" s="595"/>
      <c r="AT31" s="188"/>
      <c r="AU31" s="188"/>
      <c r="AV31" s="185"/>
      <c r="AW31" s="182"/>
      <c r="AX31" s="595"/>
    </row>
    <row r="32" spans="2:50" ht="14.25" customHeight="1">
      <c r="B32" s="590"/>
      <c r="C32" s="180">
        <v>6</v>
      </c>
      <c r="D32" s="183"/>
      <c r="E32" s="180"/>
      <c r="F32" s="180"/>
      <c r="G32" s="185"/>
      <c r="H32" s="595"/>
      <c r="I32" s="186"/>
      <c r="J32" s="186"/>
      <c r="K32" s="187"/>
      <c r="L32" s="596"/>
      <c r="M32" s="186"/>
      <c r="N32" s="590"/>
      <c r="O32" s="590"/>
      <c r="P32" s="188"/>
      <c r="Q32" s="188"/>
      <c r="R32" s="185"/>
      <c r="S32" s="182"/>
      <c r="T32" s="595"/>
      <c r="U32" s="188"/>
      <c r="V32" s="188"/>
      <c r="W32" s="185"/>
      <c r="X32" s="182"/>
      <c r="Y32" s="595"/>
      <c r="Z32" s="188"/>
      <c r="AA32" s="188"/>
      <c r="AB32" s="185"/>
      <c r="AC32" s="182"/>
      <c r="AD32" s="595"/>
      <c r="AE32" s="188"/>
      <c r="AF32" s="188"/>
      <c r="AG32" s="185"/>
      <c r="AH32" s="182"/>
      <c r="AI32" s="595"/>
      <c r="AJ32" s="188"/>
      <c r="AK32" s="188"/>
      <c r="AL32" s="185"/>
      <c r="AM32" s="182"/>
      <c r="AN32" s="595"/>
      <c r="AO32" s="188"/>
      <c r="AP32" s="188"/>
      <c r="AQ32" s="185"/>
      <c r="AR32" s="182"/>
      <c r="AS32" s="595"/>
      <c r="AT32" s="188"/>
      <c r="AU32" s="188"/>
      <c r="AV32" s="185"/>
      <c r="AW32" s="182"/>
      <c r="AX32" s="595"/>
    </row>
    <row r="33" spans="2:50" ht="14.25" customHeight="1">
      <c r="B33" s="590"/>
      <c r="C33" s="180">
        <v>7</v>
      </c>
      <c r="D33" s="183"/>
      <c r="E33" s="180"/>
      <c r="F33" s="180"/>
      <c r="G33" s="185"/>
      <c r="H33" s="595"/>
      <c r="I33" s="186"/>
      <c r="J33" s="186"/>
      <c r="K33" s="187"/>
      <c r="L33" s="596"/>
      <c r="M33" s="186"/>
      <c r="N33" s="590"/>
      <c r="O33" s="590"/>
      <c r="P33" s="188"/>
      <c r="Q33" s="188"/>
      <c r="R33" s="185"/>
      <c r="S33" s="182"/>
      <c r="T33" s="595"/>
      <c r="U33" s="188"/>
      <c r="V33" s="188"/>
      <c r="W33" s="185"/>
      <c r="X33" s="182"/>
      <c r="Y33" s="595"/>
      <c r="Z33" s="188"/>
      <c r="AA33" s="188"/>
      <c r="AB33" s="185"/>
      <c r="AC33" s="182"/>
      <c r="AD33" s="595"/>
      <c r="AE33" s="188"/>
      <c r="AF33" s="188"/>
      <c r="AG33" s="185"/>
      <c r="AH33" s="182"/>
      <c r="AI33" s="595"/>
      <c r="AJ33" s="188"/>
      <c r="AK33" s="188"/>
      <c r="AL33" s="185"/>
      <c r="AM33" s="182"/>
      <c r="AN33" s="595"/>
      <c r="AO33" s="188"/>
      <c r="AP33" s="188"/>
      <c r="AQ33" s="185"/>
      <c r="AR33" s="182"/>
      <c r="AS33" s="595"/>
      <c r="AT33" s="188"/>
      <c r="AU33" s="188"/>
      <c r="AV33" s="185"/>
      <c r="AW33" s="182"/>
      <c r="AX33" s="595"/>
    </row>
    <row r="34" spans="2:50" ht="14.25" customHeight="1">
      <c r="B34" s="590"/>
      <c r="C34" s="180">
        <v>8</v>
      </c>
      <c r="D34" s="183"/>
      <c r="E34" s="180"/>
      <c r="F34" s="180"/>
      <c r="G34" s="185"/>
      <c r="H34" s="595"/>
      <c r="I34" s="186"/>
      <c r="J34" s="186"/>
      <c r="K34" s="187"/>
      <c r="L34" s="596"/>
      <c r="M34" s="186"/>
      <c r="N34" s="590"/>
      <c r="O34" s="590"/>
      <c r="P34" s="188"/>
      <c r="Q34" s="188"/>
      <c r="R34" s="185"/>
      <c r="S34" s="182"/>
      <c r="T34" s="595"/>
      <c r="U34" s="188"/>
      <c r="V34" s="188"/>
      <c r="W34" s="185"/>
      <c r="X34" s="182"/>
      <c r="Y34" s="595"/>
      <c r="Z34" s="188"/>
      <c r="AA34" s="188"/>
      <c r="AB34" s="185"/>
      <c r="AC34" s="182"/>
      <c r="AD34" s="595"/>
      <c r="AE34" s="188"/>
      <c r="AF34" s="188"/>
      <c r="AG34" s="185"/>
      <c r="AH34" s="182"/>
      <c r="AI34" s="595"/>
      <c r="AJ34" s="188"/>
      <c r="AK34" s="188"/>
      <c r="AL34" s="185"/>
      <c r="AM34" s="182"/>
      <c r="AN34" s="595"/>
      <c r="AO34" s="188"/>
      <c r="AP34" s="188"/>
      <c r="AQ34" s="185"/>
      <c r="AR34" s="182"/>
      <c r="AS34" s="595"/>
      <c r="AT34" s="188"/>
      <c r="AU34" s="188"/>
      <c r="AV34" s="185"/>
      <c r="AW34" s="182"/>
      <c r="AX34" s="595"/>
    </row>
    <row r="35" spans="2:50" ht="14.25" customHeight="1">
      <c r="B35" s="590"/>
      <c r="C35" s="180">
        <v>9</v>
      </c>
      <c r="D35" s="183"/>
      <c r="E35" s="180"/>
      <c r="F35" s="180"/>
      <c r="G35" s="185"/>
      <c r="H35" s="595"/>
      <c r="I35" s="186"/>
      <c r="J35" s="186"/>
      <c r="K35" s="187"/>
      <c r="L35" s="596"/>
      <c r="M35" s="186"/>
      <c r="N35" s="590"/>
      <c r="O35" s="590"/>
      <c r="P35" s="188"/>
      <c r="Q35" s="188"/>
      <c r="R35" s="185"/>
      <c r="S35" s="182"/>
      <c r="T35" s="595"/>
      <c r="U35" s="188"/>
      <c r="V35" s="188"/>
      <c r="W35" s="185"/>
      <c r="X35" s="182"/>
      <c r="Y35" s="595"/>
      <c r="Z35" s="188"/>
      <c r="AA35" s="188"/>
      <c r="AB35" s="185"/>
      <c r="AC35" s="182"/>
      <c r="AD35" s="595"/>
      <c r="AE35" s="188"/>
      <c r="AF35" s="188"/>
      <c r="AG35" s="185"/>
      <c r="AH35" s="182"/>
      <c r="AI35" s="595"/>
      <c r="AJ35" s="188"/>
      <c r="AK35" s="188"/>
      <c r="AL35" s="185"/>
      <c r="AM35" s="182"/>
      <c r="AN35" s="595"/>
      <c r="AO35" s="188"/>
      <c r="AP35" s="188"/>
      <c r="AQ35" s="185"/>
      <c r="AR35" s="182"/>
      <c r="AS35" s="595"/>
      <c r="AT35" s="188"/>
      <c r="AU35" s="188"/>
      <c r="AV35" s="185"/>
      <c r="AW35" s="182"/>
      <c r="AX35" s="595"/>
    </row>
    <row r="36" spans="2:50" ht="14.25" customHeight="1">
      <c r="B36" s="590"/>
      <c r="C36" s="180">
        <v>10</v>
      </c>
      <c r="D36" s="183"/>
      <c r="E36" s="180"/>
      <c r="F36" s="180"/>
      <c r="G36" s="185"/>
      <c r="H36" s="595"/>
      <c r="I36" s="186"/>
      <c r="J36" s="186"/>
      <c r="K36" s="187"/>
      <c r="L36" s="596"/>
      <c r="M36" s="186"/>
      <c r="N36" s="590"/>
      <c r="O36" s="590"/>
      <c r="P36" s="188"/>
      <c r="Q36" s="188"/>
      <c r="R36" s="185"/>
      <c r="S36" s="182"/>
      <c r="T36" s="595"/>
      <c r="U36" s="188"/>
      <c r="V36" s="188"/>
      <c r="W36" s="185"/>
      <c r="X36" s="182"/>
      <c r="Y36" s="595"/>
      <c r="Z36" s="188"/>
      <c r="AA36" s="188"/>
      <c r="AB36" s="185"/>
      <c r="AC36" s="182"/>
      <c r="AD36" s="595"/>
      <c r="AE36" s="188"/>
      <c r="AF36" s="188"/>
      <c r="AG36" s="185"/>
      <c r="AH36" s="182"/>
      <c r="AI36" s="595"/>
      <c r="AJ36" s="188"/>
      <c r="AK36" s="188"/>
      <c r="AL36" s="185"/>
      <c r="AM36" s="182"/>
      <c r="AN36" s="595"/>
      <c r="AO36" s="188"/>
      <c r="AP36" s="188"/>
      <c r="AQ36" s="185"/>
      <c r="AR36" s="182"/>
      <c r="AS36" s="595"/>
      <c r="AT36" s="188"/>
      <c r="AU36" s="188"/>
      <c r="AV36" s="185"/>
      <c r="AW36" s="182"/>
      <c r="AX36" s="595"/>
    </row>
    <row r="37" spans="2:50" ht="14.25" customHeight="1">
      <c r="B37" s="590"/>
      <c r="C37" s="180">
        <v>11</v>
      </c>
      <c r="D37" s="183"/>
      <c r="E37" s="180"/>
      <c r="F37" s="180"/>
      <c r="G37" s="185"/>
      <c r="H37" s="595"/>
      <c r="I37" s="186"/>
      <c r="J37" s="186"/>
      <c r="K37" s="187"/>
      <c r="L37" s="596"/>
      <c r="M37" s="186"/>
      <c r="N37" s="590"/>
      <c r="O37" s="590"/>
      <c r="P37" s="188"/>
      <c r="Q37" s="188"/>
      <c r="R37" s="185"/>
      <c r="S37" s="182"/>
      <c r="T37" s="595"/>
      <c r="U37" s="188"/>
      <c r="V37" s="188"/>
      <c r="W37" s="185"/>
      <c r="X37" s="182"/>
      <c r="Y37" s="595"/>
      <c r="Z37" s="188"/>
      <c r="AA37" s="188"/>
      <c r="AB37" s="185"/>
      <c r="AC37" s="182"/>
      <c r="AD37" s="595"/>
      <c r="AE37" s="188"/>
      <c r="AF37" s="188"/>
      <c r="AG37" s="185"/>
      <c r="AH37" s="182"/>
      <c r="AI37" s="595"/>
      <c r="AJ37" s="188"/>
      <c r="AK37" s="188"/>
      <c r="AL37" s="185"/>
      <c r="AM37" s="182"/>
      <c r="AN37" s="595"/>
      <c r="AO37" s="188"/>
      <c r="AP37" s="188"/>
      <c r="AQ37" s="185"/>
      <c r="AR37" s="182"/>
      <c r="AS37" s="595"/>
      <c r="AT37" s="188"/>
      <c r="AU37" s="188"/>
      <c r="AV37" s="185"/>
      <c r="AW37" s="182"/>
      <c r="AX37" s="595"/>
    </row>
    <row r="38" spans="2:50" ht="14.25" customHeight="1">
      <c r="B38" s="590"/>
      <c r="C38" s="180">
        <v>12</v>
      </c>
      <c r="D38" s="183"/>
      <c r="E38" s="180"/>
      <c r="F38" s="180"/>
      <c r="G38" s="185"/>
      <c r="H38" s="595"/>
      <c r="I38" s="186"/>
      <c r="J38" s="186"/>
      <c r="K38" s="187"/>
      <c r="L38" s="596"/>
      <c r="M38" s="186"/>
      <c r="N38" s="590"/>
      <c r="O38" s="590"/>
      <c r="P38" s="188"/>
      <c r="Q38" s="188"/>
      <c r="R38" s="185"/>
      <c r="S38" s="182"/>
      <c r="T38" s="595"/>
      <c r="U38" s="188"/>
      <c r="V38" s="188"/>
      <c r="W38" s="185"/>
      <c r="X38" s="182"/>
      <c r="Y38" s="595"/>
      <c r="Z38" s="188"/>
      <c r="AA38" s="188"/>
      <c r="AB38" s="185"/>
      <c r="AC38" s="182"/>
      <c r="AD38" s="595"/>
      <c r="AE38" s="188"/>
      <c r="AF38" s="188"/>
      <c r="AG38" s="185"/>
      <c r="AH38" s="182"/>
      <c r="AI38" s="595"/>
      <c r="AJ38" s="188"/>
      <c r="AK38" s="188"/>
      <c r="AL38" s="185"/>
      <c r="AM38" s="182"/>
      <c r="AN38" s="595"/>
      <c r="AO38" s="188"/>
      <c r="AP38" s="188"/>
      <c r="AQ38" s="185"/>
      <c r="AR38" s="182"/>
      <c r="AS38" s="595"/>
      <c r="AT38" s="188"/>
      <c r="AU38" s="188"/>
      <c r="AV38" s="185"/>
      <c r="AW38" s="182"/>
      <c r="AX38" s="595"/>
    </row>
    <row r="39" spans="2:50" ht="14.25" customHeight="1">
      <c r="B39" s="590"/>
      <c r="C39" s="180">
        <v>13</v>
      </c>
      <c r="D39" s="183"/>
      <c r="E39" s="180"/>
      <c r="F39" s="180"/>
      <c r="G39" s="185"/>
      <c r="H39" s="595"/>
      <c r="I39" s="186"/>
      <c r="J39" s="186"/>
      <c r="K39" s="187"/>
      <c r="L39" s="596"/>
      <c r="M39" s="186"/>
      <c r="N39" s="590"/>
      <c r="O39" s="590"/>
      <c r="P39" s="188"/>
      <c r="Q39" s="188"/>
      <c r="R39" s="185"/>
      <c r="S39" s="182"/>
      <c r="T39" s="595"/>
      <c r="U39" s="188"/>
      <c r="V39" s="188"/>
      <c r="W39" s="185"/>
      <c r="X39" s="182"/>
      <c r="Y39" s="595"/>
      <c r="Z39" s="188"/>
      <c r="AA39" s="188"/>
      <c r="AB39" s="185"/>
      <c r="AC39" s="182"/>
      <c r="AD39" s="595"/>
      <c r="AE39" s="188"/>
      <c r="AF39" s="188"/>
      <c r="AG39" s="185"/>
      <c r="AH39" s="182"/>
      <c r="AI39" s="595"/>
      <c r="AJ39" s="188"/>
      <c r="AK39" s="188"/>
      <c r="AL39" s="185"/>
      <c r="AM39" s="182"/>
      <c r="AN39" s="595"/>
      <c r="AO39" s="188"/>
      <c r="AP39" s="188"/>
      <c r="AQ39" s="185"/>
      <c r="AR39" s="182"/>
      <c r="AS39" s="595"/>
      <c r="AT39" s="188"/>
      <c r="AU39" s="188"/>
      <c r="AV39" s="185"/>
      <c r="AW39" s="182"/>
      <c r="AX39" s="595"/>
    </row>
    <row r="40" spans="2:50" ht="14.25" customHeight="1">
      <c r="B40" s="590"/>
      <c r="C40" s="180">
        <v>14</v>
      </c>
      <c r="D40" s="183"/>
      <c r="E40" s="180"/>
      <c r="F40" s="180"/>
      <c r="G40" s="185"/>
      <c r="H40" s="595"/>
      <c r="I40" s="186"/>
      <c r="J40" s="186"/>
      <c r="K40" s="187"/>
      <c r="L40" s="596"/>
      <c r="M40" s="186"/>
      <c r="N40" s="590"/>
      <c r="O40" s="590"/>
      <c r="P40" s="188"/>
      <c r="Q40" s="188"/>
      <c r="R40" s="185"/>
      <c r="S40" s="182"/>
      <c r="T40" s="595"/>
      <c r="U40" s="188"/>
      <c r="V40" s="188"/>
      <c r="W40" s="185"/>
      <c r="X40" s="182"/>
      <c r="Y40" s="595"/>
      <c r="Z40" s="188"/>
      <c r="AA40" s="188"/>
      <c r="AB40" s="185"/>
      <c r="AC40" s="182"/>
      <c r="AD40" s="595"/>
      <c r="AE40" s="188"/>
      <c r="AF40" s="188"/>
      <c r="AG40" s="185"/>
      <c r="AH40" s="182"/>
      <c r="AI40" s="595"/>
      <c r="AJ40" s="188"/>
      <c r="AK40" s="188"/>
      <c r="AL40" s="185"/>
      <c r="AM40" s="182"/>
      <c r="AN40" s="595"/>
      <c r="AO40" s="188"/>
      <c r="AP40" s="188"/>
      <c r="AQ40" s="185"/>
      <c r="AR40" s="182"/>
      <c r="AS40" s="595"/>
      <c r="AT40" s="188"/>
      <c r="AU40" s="188"/>
      <c r="AV40" s="185"/>
      <c r="AW40" s="182"/>
      <c r="AX40" s="595"/>
    </row>
    <row r="41" spans="2:50" ht="14.25" customHeight="1">
      <c r="B41" s="590"/>
      <c r="C41" s="180">
        <v>15</v>
      </c>
      <c r="D41" s="183"/>
      <c r="E41" s="180"/>
      <c r="F41" s="180"/>
      <c r="G41" s="185"/>
      <c r="H41" s="595"/>
      <c r="I41" s="186"/>
      <c r="J41" s="186"/>
      <c r="K41" s="187"/>
      <c r="L41" s="596"/>
      <c r="M41" s="186"/>
      <c r="N41" s="590"/>
      <c r="O41" s="590"/>
      <c r="P41" s="188"/>
      <c r="Q41" s="188"/>
      <c r="R41" s="185"/>
      <c r="S41" s="182"/>
      <c r="T41" s="595"/>
      <c r="U41" s="188"/>
      <c r="V41" s="188"/>
      <c r="W41" s="185"/>
      <c r="X41" s="182"/>
      <c r="Y41" s="595"/>
      <c r="Z41" s="188"/>
      <c r="AA41" s="188"/>
      <c r="AB41" s="185"/>
      <c r="AC41" s="182"/>
      <c r="AD41" s="595"/>
      <c r="AE41" s="188"/>
      <c r="AF41" s="188"/>
      <c r="AG41" s="185"/>
      <c r="AH41" s="182"/>
      <c r="AI41" s="595"/>
      <c r="AJ41" s="188"/>
      <c r="AK41" s="188"/>
      <c r="AL41" s="185"/>
      <c r="AM41" s="182"/>
      <c r="AN41" s="595"/>
      <c r="AO41" s="188"/>
      <c r="AP41" s="188"/>
      <c r="AQ41" s="185"/>
      <c r="AR41" s="182"/>
      <c r="AS41" s="595"/>
      <c r="AT41" s="188"/>
      <c r="AU41" s="188"/>
      <c r="AV41" s="185"/>
      <c r="AW41" s="182"/>
      <c r="AX41" s="595"/>
    </row>
  </sheetData>
  <mergeCells count="118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41"/>
  <sheetViews>
    <sheetView zoomScaleNormal="100" workbookViewId="0">
      <pane xSplit="13" ySplit="1" topLeftCell="AI2" activePane="bottomRight" state="frozen"/>
      <selection activeCell="L95" sqref="L95"/>
      <selection pane="topRight" activeCell="L95" sqref="L95"/>
      <selection pane="bottomLeft" activeCell="L95" sqref="L95"/>
      <selection pane="bottomRight" activeCell="B22" sqref="B22:M2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498" t="s">
        <v>738</v>
      </c>
      <c r="C1" s="175">
        <f>AVERAGE(L7,L27)</f>
        <v>353.15447554032437</v>
      </c>
    </row>
    <row r="2" spans="1:50" ht="14.25" customHeight="1" collapsed="1">
      <c r="B2" s="572" t="s">
        <v>660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  <c r="N2" s="608" t="s">
        <v>369</v>
      </c>
      <c r="O2" s="608" t="s">
        <v>105</v>
      </c>
      <c r="P2" s="610">
        <v>46140</v>
      </c>
      <c r="Q2" s="611"/>
      <c r="R2" s="611"/>
      <c r="S2" s="611"/>
      <c r="T2" s="611"/>
      <c r="U2" s="612">
        <v>46141</v>
      </c>
      <c r="V2" s="613"/>
      <c r="W2" s="613"/>
      <c r="X2" s="613"/>
      <c r="Y2" s="613"/>
      <c r="Z2" s="610">
        <v>46142</v>
      </c>
      <c r="AA2" s="611"/>
      <c r="AB2" s="611"/>
      <c r="AC2" s="611"/>
      <c r="AD2" s="611"/>
      <c r="AE2" s="612">
        <v>46143</v>
      </c>
      <c r="AF2" s="613"/>
      <c r="AG2" s="613"/>
      <c r="AH2" s="613"/>
      <c r="AI2" s="613"/>
      <c r="AJ2" s="600">
        <v>46144</v>
      </c>
      <c r="AK2" s="601"/>
      <c r="AL2" s="601"/>
      <c r="AM2" s="601"/>
      <c r="AN2" s="602"/>
      <c r="AO2" s="612">
        <v>46145</v>
      </c>
      <c r="AP2" s="613"/>
      <c r="AQ2" s="613"/>
      <c r="AR2" s="613"/>
      <c r="AS2" s="613"/>
      <c r="AT2" s="600">
        <v>46146</v>
      </c>
      <c r="AU2" s="601"/>
      <c r="AV2" s="601"/>
      <c r="AW2" s="601"/>
      <c r="AX2" s="602"/>
    </row>
    <row r="3" spans="1:50" ht="14.25" customHeight="1"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5"/>
      <c r="N3" s="609"/>
      <c r="O3" s="609"/>
      <c r="P3" s="603">
        <v>46140</v>
      </c>
      <c r="Q3" s="603"/>
      <c r="R3" s="603"/>
      <c r="S3" s="603"/>
      <c r="T3" s="603"/>
      <c r="U3" s="604">
        <v>46141</v>
      </c>
      <c r="V3" s="604"/>
      <c r="W3" s="604"/>
      <c r="X3" s="604"/>
      <c r="Y3" s="604"/>
      <c r="Z3" s="603">
        <v>46142</v>
      </c>
      <c r="AA3" s="603"/>
      <c r="AB3" s="603"/>
      <c r="AC3" s="603"/>
      <c r="AD3" s="603"/>
      <c r="AE3" s="604">
        <v>46143</v>
      </c>
      <c r="AF3" s="604"/>
      <c r="AG3" s="604"/>
      <c r="AH3" s="604"/>
      <c r="AI3" s="604"/>
      <c r="AJ3" s="605">
        <v>46144</v>
      </c>
      <c r="AK3" s="606"/>
      <c r="AL3" s="606"/>
      <c r="AM3" s="606"/>
      <c r="AN3" s="607"/>
      <c r="AO3" s="604">
        <v>46145</v>
      </c>
      <c r="AP3" s="604"/>
      <c r="AQ3" s="604"/>
      <c r="AR3" s="604"/>
      <c r="AS3" s="604"/>
      <c r="AT3" s="605">
        <v>46146</v>
      </c>
      <c r="AU3" s="606"/>
      <c r="AV3" s="606"/>
      <c r="AW3" s="606"/>
      <c r="AX3" s="607"/>
    </row>
    <row r="4" spans="1:50" ht="14.25" customHeight="1">
      <c r="B4" s="590" t="s">
        <v>162</v>
      </c>
      <c r="C4" s="590" t="s">
        <v>157</v>
      </c>
      <c r="D4" s="590"/>
      <c r="E4" s="590" t="s">
        <v>158</v>
      </c>
      <c r="F4" s="590"/>
      <c r="G4" s="590"/>
      <c r="H4" s="590" t="s">
        <v>163</v>
      </c>
      <c r="I4" s="591" t="s">
        <v>370</v>
      </c>
      <c r="J4" s="591"/>
      <c r="K4" s="591"/>
      <c r="L4" s="591" t="s">
        <v>163</v>
      </c>
      <c r="M4" s="591" t="s">
        <v>165</v>
      </c>
      <c r="N4" s="590"/>
      <c r="O4" s="590" t="s">
        <v>164</v>
      </c>
      <c r="P4" s="590" t="s">
        <v>160</v>
      </c>
      <c r="Q4" s="590"/>
      <c r="R4" s="590"/>
      <c r="S4" s="590"/>
      <c r="T4" s="590" t="s">
        <v>163</v>
      </c>
      <c r="U4" s="590" t="s">
        <v>160</v>
      </c>
      <c r="V4" s="590"/>
      <c r="W4" s="590"/>
      <c r="X4" s="590"/>
      <c r="Y4" s="590" t="s">
        <v>163</v>
      </c>
      <c r="Z4" s="590" t="s">
        <v>160</v>
      </c>
      <c r="AA4" s="590"/>
      <c r="AB4" s="590"/>
      <c r="AC4" s="590"/>
      <c r="AD4" s="590" t="s">
        <v>163</v>
      </c>
      <c r="AE4" s="590" t="s">
        <v>160</v>
      </c>
      <c r="AF4" s="590"/>
      <c r="AG4" s="590"/>
      <c r="AH4" s="590"/>
      <c r="AI4" s="590" t="s">
        <v>163</v>
      </c>
      <c r="AJ4" s="590" t="s">
        <v>160</v>
      </c>
      <c r="AK4" s="590"/>
      <c r="AL4" s="590"/>
      <c r="AM4" s="590"/>
      <c r="AN4" s="590" t="s">
        <v>163</v>
      </c>
      <c r="AO4" s="590" t="s">
        <v>160</v>
      </c>
      <c r="AP4" s="590"/>
      <c r="AQ4" s="590"/>
      <c r="AR4" s="590"/>
      <c r="AS4" s="590" t="s">
        <v>163</v>
      </c>
      <c r="AT4" s="590" t="s">
        <v>160</v>
      </c>
      <c r="AU4" s="590"/>
      <c r="AV4" s="590"/>
      <c r="AW4" s="590"/>
      <c r="AX4" s="590" t="s">
        <v>163</v>
      </c>
    </row>
    <row r="5" spans="1:50" ht="14.25" customHeight="1">
      <c r="B5" s="590"/>
      <c r="C5" s="590"/>
      <c r="D5" s="590"/>
      <c r="E5" s="590" t="s">
        <v>371</v>
      </c>
      <c r="F5" s="590"/>
      <c r="G5" s="590"/>
      <c r="H5" s="590"/>
      <c r="I5" s="591" t="s">
        <v>371</v>
      </c>
      <c r="J5" s="591"/>
      <c r="K5" s="591"/>
      <c r="L5" s="591"/>
      <c r="M5" s="591"/>
      <c r="N5" s="590"/>
      <c r="O5" s="590"/>
      <c r="P5" s="590" t="s">
        <v>372</v>
      </c>
      <c r="Q5" s="590"/>
      <c r="R5" s="590"/>
      <c r="S5" s="590"/>
      <c r="T5" s="590"/>
      <c r="U5" s="590" t="s">
        <v>372</v>
      </c>
      <c r="V5" s="590"/>
      <c r="W5" s="590"/>
      <c r="X5" s="590"/>
      <c r="Y5" s="590"/>
      <c r="Z5" s="590" t="s">
        <v>372</v>
      </c>
      <c r="AA5" s="590"/>
      <c r="AB5" s="590"/>
      <c r="AC5" s="590"/>
      <c r="AD5" s="590"/>
      <c r="AE5" s="590" t="s">
        <v>372</v>
      </c>
      <c r="AF5" s="590"/>
      <c r="AG5" s="590"/>
      <c r="AH5" s="590"/>
      <c r="AI5" s="590"/>
      <c r="AJ5" s="590" t="s">
        <v>372</v>
      </c>
      <c r="AK5" s="590"/>
      <c r="AL5" s="590"/>
      <c r="AM5" s="590"/>
      <c r="AN5" s="590"/>
      <c r="AO5" s="590" t="s">
        <v>372</v>
      </c>
      <c r="AP5" s="590"/>
      <c r="AQ5" s="590"/>
      <c r="AR5" s="590"/>
      <c r="AS5" s="590"/>
      <c r="AT5" s="590" t="s">
        <v>372</v>
      </c>
      <c r="AU5" s="590"/>
      <c r="AV5" s="590"/>
      <c r="AW5" s="590"/>
      <c r="AX5" s="590"/>
    </row>
    <row r="6" spans="1:50" ht="14.25" customHeight="1">
      <c r="B6" s="590"/>
      <c r="C6" s="590"/>
      <c r="D6" s="590"/>
      <c r="E6" s="180" t="s">
        <v>159</v>
      </c>
      <c r="F6" s="180" t="s">
        <v>373</v>
      </c>
      <c r="G6" s="180" t="s">
        <v>161</v>
      </c>
      <c r="H6" s="590"/>
      <c r="I6" s="181" t="s">
        <v>159</v>
      </c>
      <c r="J6" s="181" t="s">
        <v>373</v>
      </c>
      <c r="K6" s="181" t="s">
        <v>161</v>
      </c>
      <c r="L6" s="591"/>
      <c r="M6" s="591"/>
      <c r="N6" s="590"/>
      <c r="O6" s="590"/>
      <c r="P6" s="180" t="s">
        <v>159</v>
      </c>
      <c r="Q6" s="180" t="s">
        <v>373</v>
      </c>
      <c r="R6" s="180" t="s">
        <v>161</v>
      </c>
      <c r="S6" s="182" t="s">
        <v>165</v>
      </c>
      <c r="T6" s="590"/>
      <c r="U6" s="180" t="s">
        <v>159</v>
      </c>
      <c r="V6" s="180" t="s">
        <v>373</v>
      </c>
      <c r="W6" s="180" t="s">
        <v>161</v>
      </c>
      <c r="X6" s="182" t="s">
        <v>165</v>
      </c>
      <c r="Y6" s="590"/>
      <c r="Z6" s="180" t="s">
        <v>159</v>
      </c>
      <c r="AA6" s="180" t="s">
        <v>373</v>
      </c>
      <c r="AB6" s="180" t="s">
        <v>161</v>
      </c>
      <c r="AC6" s="182" t="s">
        <v>165</v>
      </c>
      <c r="AD6" s="590"/>
      <c r="AE6" s="180" t="s">
        <v>159</v>
      </c>
      <c r="AF6" s="180" t="s">
        <v>373</v>
      </c>
      <c r="AG6" s="180" t="s">
        <v>161</v>
      </c>
      <c r="AH6" s="182" t="s">
        <v>165</v>
      </c>
      <c r="AI6" s="590"/>
      <c r="AJ6" s="180" t="s">
        <v>159</v>
      </c>
      <c r="AK6" s="180" t="s">
        <v>373</v>
      </c>
      <c r="AL6" s="180" t="s">
        <v>161</v>
      </c>
      <c r="AM6" s="182" t="s">
        <v>165</v>
      </c>
      <c r="AN6" s="590"/>
      <c r="AO6" s="180" t="s">
        <v>159</v>
      </c>
      <c r="AP6" s="180" t="s">
        <v>373</v>
      </c>
      <c r="AQ6" s="180" t="s">
        <v>161</v>
      </c>
      <c r="AR6" s="182" t="s">
        <v>165</v>
      </c>
      <c r="AS6" s="590"/>
      <c r="AT6" s="180" t="s">
        <v>159</v>
      </c>
      <c r="AU6" s="180" t="s">
        <v>373</v>
      </c>
      <c r="AV6" s="180" t="s">
        <v>161</v>
      </c>
      <c r="AW6" s="182" t="s">
        <v>165</v>
      </c>
      <c r="AX6" s="590"/>
    </row>
    <row r="7" spans="1:50" ht="14.25" customHeight="1">
      <c r="B7" s="590" t="s">
        <v>376</v>
      </c>
      <c r="C7" s="180">
        <v>1</v>
      </c>
      <c r="D7" s="183" t="s">
        <v>581</v>
      </c>
      <c r="E7" s="180">
        <v>11</v>
      </c>
      <c r="F7" s="180">
        <v>3000</v>
      </c>
      <c r="G7" s="185">
        <f t="shared" ref="G7:G9" si="0">F7/E7</f>
        <v>272.72727272727275</v>
      </c>
      <c r="H7" s="595">
        <f>AVERAGE(G7:G21)</f>
        <v>368.68686868686876</v>
      </c>
      <c r="I7" s="186">
        <f>AVERAGE(P7,U7,Z7,AE7,AJ7,AO7,AT7)</f>
        <v>11</v>
      </c>
      <c r="J7" s="186">
        <f>AVERAGE(Q7,V7,AA7,AF7,AK7,AP7,AU7)</f>
        <v>2652.1180131291808</v>
      </c>
      <c r="K7" s="187">
        <f>AVERAGE(R7,W7,AB7,AG7,AL7,AQ7,AV7)</f>
        <v>241.10163755719825</v>
      </c>
      <c r="L7" s="596">
        <f>IFERROR(AVERAGE(K7:K21),"-")</f>
        <v>330.46632943390705</v>
      </c>
      <c r="M7" s="186">
        <f>RANK(K7, K$7:$K$21)</f>
        <v>3</v>
      </c>
      <c r="N7" s="590"/>
      <c r="O7" s="590"/>
      <c r="P7" s="188">
        <v>11</v>
      </c>
      <c r="Q7" s="188">
        <v>2651.5180131291809</v>
      </c>
      <c r="R7" s="185">
        <f>IFERROR(Q7/P7,"")</f>
        <v>241.04709210265281</v>
      </c>
      <c r="S7" s="182">
        <f>RANK(R7, R$7:R$21)</f>
        <v>3</v>
      </c>
      <c r="T7" s="595">
        <f>AVERAGE(R7:R21)</f>
        <v>330.30737612028707</v>
      </c>
      <c r="U7" s="188">
        <v>11</v>
      </c>
      <c r="V7" s="188">
        <v>2651.8180131291811</v>
      </c>
      <c r="W7" s="185">
        <f t="shared" ref="W7:W9" si="1">IFERROR(V7/U7,"")</f>
        <v>241.07436482992554</v>
      </c>
      <c r="X7" s="182">
        <f>RANK(W7, W$7:W$21)</f>
        <v>3</v>
      </c>
      <c r="Y7" s="595">
        <f>AVERAGE(W7:W21)</f>
        <v>330.35813369604466</v>
      </c>
      <c r="Z7" s="188">
        <v>11</v>
      </c>
      <c r="AA7" s="188">
        <v>2653.0180131291804</v>
      </c>
      <c r="AB7" s="185">
        <f t="shared" ref="AB7:AB9" si="2">IFERROR(AA7/Z7,"")</f>
        <v>241.18345573901641</v>
      </c>
      <c r="AC7" s="182">
        <f>RANK(AB7, AB$7:AB$21)</f>
        <v>3</v>
      </c>
      <c r="AD7" s="595">
        <f>AVERAGE(AB7:AB21)</f>
        <v>330.43454478709486</v>
      </c>
      <c r="AE7" s="188"/>
      <c r="AF7" s="188"/>
      <c r="AG7" s="185"/>
      <c r="AH7" s="182"/>
      <c r="AI7" s="597">
        <f>AVERAGE(AG7:AG21)</f>
        <v>375.08092264446736</v>
      </c>
      <c r="AJ7" s="188"/>
      <c r="AK7" s="188"/>
      <c r="AL7" s="185"/>
      <c r="AM7" s="182"/>
      <c r="AN7" s="595">
        <f>AVERAGE(AL7:AL21)</f>
        <v>375.03925597780074</v>
      </c>
      <c r="AO7" s="188"/>
      <c r="AP7" s="188"/>
      <c r="AQ7" s="185"/>
      <c r="AR7" s="182"/>
      <c r="AS7" s="595">
        <f>AVERAGE(AQ7:AQ21)</f>
        <v>375.18508931113399</v>
      </c>
      <c r="AT7" s="188"/>
      <c r="AU7" s="188"/>
      <c r="AV7" s="185"/>
      <c r="AW7" s="182"/>
      <c r="AX7" s="595">
        <f>AVERAGE(AV7:AV21)</f>
        <v>375.73783410308505</v>
      </c>
    </row>
    <row r="8" spans="1:50" ht="14.25" customHeight="1">
      <c r="B8" s="590"/>
      <c r="C8" s="180">
        <v>2</v>
      </c>
      <c r="D8" s="183" t="s">
        <v>614</v>
      </c>
      <c r="E8" s="180">
        <v>6</v>
      </c>
      <c r="F8" s="180">
        <v>2500</v>
      </c>
      <c r="G8" s="185">
        <f t="shared" si="0"/>
        <v>416.66666666666669</v>
      </c>
      <c r="H8" s="595"/>
      <c r="I8" s="186">
        <f t="shared" ref="I8:K9" si="3">AVERAGE(P8,U8,Z8,AE8,AJ8,AO8,AT8)</f>
        <v>6</v>
      </c>
      <c r="J8" s="186">
        <f t="shared" si="3"/>
        <v>2250.7227073064419</v>
      </c>
      <c r="K8" s="187">
        <f t="shared" si="3"/>
        <v>375.12045121774042</v>
      </c>
      <c r="L8" s="596"/>
      <c r="M8" s="186">
        <f>RANK(K8, K$7:$K$21)</f>
        <v>2</v>
      </c>
      <c r="N8" s="590"/>
      <c r="O8" s="590"/>
      <c r="P8" s="188">
        <v>6</v>
      </c>
      <c r="Q8" s="188">
        <v>2249.181026309117</v>
      </c>
      <c r="R8" s="185">
        <f t="shared" ref="R8:R9" si="4">IFERROR(Q8/P8,"")</f>
        <v>374.86350438485283</v>
      </c>
      <c r="S8" s="182">
        <f>RANK(R8, R$7:R$21)</f>
        <v>2</v>
      </c>
      <c r="T8" s="595"/>
      <c r="U8" s="188">
        <v>6</v>
      </c>
      <c r="V8" s="188">
        <v>2249.181026309117</v>
      </c>
      <c r="W8" s="185">
        <f t="shared" si="1"/>
        <v>374.86350438485283</v>
      </c>
      <c r="X8" s="182">
        <f>RANK(W8, W$7:W$21)</f>
        <v>2</v>
      </c>
      <c r="Y8" s="595"/>
      <c r="Z8" s="188">
        <v>6</v>
      </c>
      <c r="AA8" s="188">
        <v>2250.1518804934758</v>
      </c>
      <c r="AB8" s="185">
        <f t="shared" si="2"/>
        <v>375.02531341557932</v>
      </c>
      <c r="AC8" s="182">
        <f>RANK(AB8, AB$7:AB$21)</f>
        <v>2</v>
      </c>
      <c r="AD8" s="595"/>
      <c r="AE8" s="188">
        <v>6</v>
      </c>
      <c r="AF8" s="188">
        <v>2250.4018804934758</v>
      </c>
      <c r="AG8" s="185">
        <f t="shared" ref="AG8:AG9" si="5">IFERROR(AF8/AE8,"")</f>
        <v>375.06698008224595</v>
      </c>
      <c r="AH8" s="182">
        <f>RANK(AG8, AG$7:AG$21)</f>
        <v>2</v>
      </c>
      <c r="AI8" s="598"/>
      <c r="AJ8" s="188">
        <v>6</v>
      </c>
      <c r="AK8" s="188">
        <v>2249.9018804934758</v>
      </c>
      <c r="AL8" s="185">
        <f t="shared" ref="AL8:AL9" si="6">IFERROR(AK8/AJ8,"")</f>
        <v>374.98364674891263</v>
      </c>
      <c r="AM8" s="182">
        <f>RANK(AL8, AL$7:AL$21)</f>
        <v>2</v>
      </c>
      <c r="AN8" s="595"/>
      <c r="AO8" s="188">
        <v>6</v>
      </c>
      <c r="AP8" s="188">
        <v>2251.1518804934753</v>
      </c>
      <c r="AQ8" s="185">
        <f t="shared" ref="AQ8:AQ9" si="7">IFERROR(AP8/AO8,"")</f>
        <v>375.19198008224589</v>
      </c>
      <c r="AR8" s="182">
        <f>RANK(AQ8, AQ$7:AQ$21)</f>
        <v>1</v>
      </c>
      <c r="AS8" s="595"/>
      <c r="AT8" s="188">
        <v>6</v>
      </c>
      <c r="AU8" s="188">
        <v>2255.0893765529581</v>
      </c>
      <c r="AV8" s="185">
        <f t="shared" ref="AV8:AV9" si="8">IFERROR(AU8/AT8,"")</f>
        <v>375.848229425493</v>
      </c>
      <c r="AW8" s="182">
        <f>RANK(AV8, AV$7:AV$21)</f>
        <v>1</v>
      </c>
      <c r="AX8" s="595"/>
    </row>
    <row r="9" spans="1:50" ht="14.25" customHeight="1">
      <c r="B9" s="590"/>
      <c r="C9" s="180">
        <v>3</v>
      </c>
      <c r="D9" s="183" t="s">
        <v>641</v>
      </c>
      <c r="E9" s="180">
        <v>6</v>
      </c>
      <c r="F9" s="180">
        <v>2500</v>
      </c>
      <c r="G9" s="185">
        <f t="shared" si="0"/>
        <v>416.66666666666669</v>
      </c>
      <c r="H9" s="595"/>
      <c r="I9" s="186">
        <f t="shared" si="3"/>
        <v>6</v>
      </c>
      <c r="J9" s="186">
        <f t="shared" si="3"/>
        <v>2251.061397160694</v>
      </c>
      <c r="K9" s="187">
        <f t="shared" si="3"/>
        <v>375.17689952678239</v>
      </c>
      <c r="L9" s="596"/>
      <c r="M9" s="186">
        <f>RANK(K9, K$7:$K$21)</f>
        <v>1</v>
      </c>
      <c r="N9" s="590"/>
      <c r="O9" s="590"/>
      <c r="P9" s="188">
        <v>6</v>
      </c>
      <c r="Q9" s="188">
        <v>2250.069191240133</v>
      </c>
      <c r="R9" s="185">
        <f t="shared" si="4"/>
        <v>375.01153187335552</v>
      </c>
      <c r="S9" s="182">
        <f>RANK(R9, R$7:R$21)</f>
        <v>1</v>
      </c>
      <c r="T9" s="595"/>
      <c r="U9" s="188">
        <v>6</v>
      </c>
      <c r="V9" s="188">
        <v>2250.819191240133</v>
      </c>
      <c r="W9" s="185">
        <f t="shared" si="1"/>
        <v>375.13653187335552</v>
      </c>
      <c r="X9" s="182">
        <f>RANK(W9, W$7:W$21)</f>
        <v>1</v>
      </c>
      <c r="Y9" s="595"/>
      <c r="Z9" s="188">
        <v>6</v>
      </c>
      <c r="AA9" s="188">
        <v>2250.5691912401326</v>
      </c>
      <c r="AB9" s="185">
        <f t="shared" si="2"/>
        <v>375.09486520668878</v>
      </c>
      <c r="AC9" s="182">
        <f>RANK(AB9, AB$7:AB$21)</f>
        <v>1</v>
      </c>
      <c r="AD9" s="595"/>
      <c r="AE9" s="188">
        <v>6</v>
      </c>
      <c r="AF9" s="188">
        <v>2250.5691912401326</v>
      </c>
      <c r="AG9" s="185">
        <f t="shared" si="5"/>
        <v>375.09486520668878</v>
      </c>
      <c r="AH9" s="182">
        <f>RANK(AG9, AG$7:AG$21)</f>
        <v>1</v>
      </c>
      <c r="AI9" s="598"/>
      <c r="AJ9" s="188">
        <v>6</v>
      </c>
      <c r="AK9" s="188">
        <v>2250.5691912401326</v>
      </c>
      <c r="AL9" s="185">
        <f t="shared" si="6"/>
        <v>375.09486520668878</v>
      </c>
      <c r="AM9" s="182">
        <f>RANK(AL9, AL$7:AL$21)</f>
        <v>1</v>
      </c>
      <c r="AN9" s="595"/>
      <c r="AO9" s="188">
        <v>6</v>
      </c>
      <c r="AP9" s="188">
        <v>2251.0691912401321</v>
      </c>
      <c r="AQ9" s="185">
        <f t="shared" si="7"/>
        <v>375.17819854002204</v>
      </c>
      <c r="AR9" s="182">
        <f>RANK(AQ9, AQ$7:AQ$21)</f>
        <v>2</v>
      </c>
      <c r="AS9" s="595"/>
      <c r="AT9" s="188">
        <v>6</v>
      </c>
      <c r="AU9" s="188">
        <v>2253.7646326840627</v>
      </c>
      <c r="AV9" s="185">
        <f t="shared" si="8"/>
        <v>375.6274387806771</v>
      </c>
      <c r="AW9" s="182">
        <f>RANK(AV9, AV$7:AV$21)</f>
        <v>2</v>
      </c>
      <c r="AX9" s="595"/>
    </row>
    <row r="10" spans="1:50" ht="14.25" customHeight="1">
      <c r="B10" s="590"/>
      <c r="C10" s="180">
        <v>4</v>
      </c>
      <c r="D10" s="183"/>
      <c r="E10" s="180"/>
      <c r="F10" s="180"/>
      <c r="G10" s="185"/>
      <c r="H10" s="595"/>
      <c r="I10" s="186"/>
      <c r="J10" s="186"/>
      <c r="K10" s="187"/>
      <c r="L10" s="596"/>
      <c r="M10" s="186"/>
      <c r="N10" s="590"/>
      <c r="O10" s="590"/>
      <c r="P10" s="188"/>
      <c r="Q10" s="188"/>
      <c r="R10" s="185"/>
      <c r="S10" s="182"/>
      <c r="T10" s="595"/>
      <c r="U10" s="188"/>
      <c r="V10" s="188"/>
      <c r="W10" s="185"/>
      <c r="X10" s="182"/>
      <c r="Y10" s="595"/>
      <c r="Z10" s="188"/>
      <c r="AA10" s="188"/>
      <c r="AB10" s="185"/>
      <c r="AC10" s="182"/>
      <c r="AD10" s="595"/>
      <c r="AE10" s="188"/>
      <c r="AF10" s="188"/>
      <c r="AG10" s="185"/>
      <c r="AH10" s="182"/>
      <c r="AI10" s="598"/>
      <c r="AJ10" s="188"/>
      <c r="AK10" s="188"/>
      <c r="AL10" s="185"/>
      <c r="AM10" s="182"/>
      <c r="AN10" s="595"/>
      <c r="AO10" s="188"/>
      <c r="AP10" s="188"/>
      <c r="AQ10" s="185"/>
      <c r="AR10" s="182"/>
      <c r="AS10" s="595"/>
      <c r="AT10" s="188"/>
      <c r="AU10" s="188"/>
      <c r="AV10" s="185"/>
      <c r="AW10" s="182"/>
      <c r="AX10" s="595"/>
    </row>
    <row r="11" spans="1:50" ht="14.25" customHeight="1">
      <c r="B11" s="590"/>
      <c r="C11" s="180">
        <v>5</v>
      </c>
      <c r="D11" s="183"/>
      <c r="E11" s="180"/>
      <c r="F11" s="180"/>
      <c r="G11" s="185"/>
      <c r="H11" s="595"/>
      <c r="I11" s="186"/>
      <c r="J11" s="186"/>
      <c r="K11" s="187"/>
      <c r="L11" s="596"/>
      <c r="M11" s="186"/>
      <c r="N11" s="590"/>
      <c r="O11" s="590"/>
      <c r="P11" s="188"/>
      <c r="Q11" s="188"/>
      <c r="R11" s="185"/>
      <c r="S11" s="182"/>
      <c r="T11" s="595"/>
      <c r="U11" s="188"/>
      <c r="V11" s="188"/>
      <c r="W11" s="185"/>
      <c r="X11" s="182"/>
      <c r="Y11" s="595"/>
      <c r="Z11" s="188"/>
      <c r="AA11" s="188"/>
      <c r="AB11" s="185"/>
      <c r="AC11" s="182"/>
      <c r="AD11" s="595"/>
      <c r="AE11" s="188"/>
      <c r="AF11" s="188"/>
      <c r="AG11" s="185"/>
      <c r="AH11" s="182"/>
      <c r="AI11" s="598"/>
      <c r="AJ11" s="188"/>
      <c r="AK11" s="188"/>
      <c r="AL11" s="185"/>
      <c r="AM11" s="182"/>
      <c r="AN11" s="595"/>
      <c r="AO11" s="188"/>
      <c r="AP11" s="188"/>
      <c r="AQ11" s="185"/>
      <c r="AR11" s="182"/>
      <c r="AS11" s="595"/>
      <c r="AT11" s="188"/>
      <c r="AU11" s="188"/>
      <c r="AV11" s="185"/>
      <c r="AW11" s="182"/>
      <c r="AX11" s="595"/>
    </row>
    <row r="12" spans="1:50" ht="14.25" customHeight="1">
      <c r="B12" s="590"/>
      <c r="C12" s="180">
        <v>6</v>
      </c>
      <c r="D12" s="183"/>
      <c r="E12" s="180"/>
      <c r="F12" s="180"/>
      <c r="G12" s="185"/>
      <c r="H12" s="595"/>
      <c r="I12" s="186"/>
      <c r="J12" s="186"/>
      <c r="K12" s="187"/>
      <c r="L12" s="596"/>
      <c r="M12" s="186"/>
      <c r="N12" s="590"/>
      <c r="O12" s="590"/>
      <c r="P12" s="188"/>
      <c r="Q12" s="188"/>
      <c r="R12" s="185"/>
      <c r="S12" s="182"/>
      <c r="T12" s="595"/>
      <c r="U12" s="188"/>
      <c r="V12" s="188"/>
      <c r="W12" s="185"/>
      <c r="X12" s="182"/>
      <c r="Y12" s="595"/>
      <c r="Z12" s="188"/>
      <c r="AA12" s="188"/>
      <c r="AB12" s="185"/>
      <c r="AC12" s="182"/>
      <c r="AD12" s="595"/>
      <c r="AE12" s="188"/>
      <c r="AF12" s="188"/>
      <c r="AG12" s="185"/>
      <c r="AH12" s="182"/>
      <c r="AI12" s="598"/>
      <c r="AJ12" s="188"/>
      <c r="AK12" s="188"/>
      <c r="AL12" s="185"/>
      <c r="AM12" s="182"/>
      <c r="AN12" s="595"/>
      <c r="AO12" s="188"/>
      <c r="AP12" s="188"/>
      <c r="AQ12" s="185"/>
      <c r="AR12" s="182"/>
      <c r="AS12" s="595"/>
      <c r="AT12" s="188"/>
      <c r="AU12" s="188"/>
      <c r="AV12" s="185"/>
      <c r="AW12" s="182"/>
      <c r="AX12" s="595"/>
    </row>
    <row r="13" spans="1:50" ht="14.25" customHeight="1">
      <c r="B13" s="590"/>
      <c r="C13" s="180">
        <v>7</v>
      </c>
      <c r="D13" s="183"/>
      <c r="E13" s="180"/>
      <c r="F13" s="180"/>
      <c r="G13" s="185"/>
      <c r="H13" s="595"/>
      <c r="I13" s="186"/>
      <c r="J13" s="186"/>
      <c r="K13" s="187"/>
      <c r="L13" s="596"/>
      <c r="M13" s="186"/>
      <c r="N13" s="590"/>
      <c r="O13" s="590"/>
      <c r="P13" s="188"/>
      <c r="Q13" s="188"/>
      <c r="R13" s="185"/>
      <c r="S13" s="182"/>
      <c r="T13" s="595"/>
      <c r="U13" s="188"/>
      <c r="V13" s="188"/>
      <c r="W13" s="185"/>
      <c r="X13" s="182"/>
      <c r="Y13" s="595"/>
      <c r="Z13" s="188"/>
      <c r="AA13" s="188"/>
      <c r="AB13" s="185"/>
      <c r="AC13" s="182"/>
      <c r="AD13" s="595"/>
      <c r="AE13" s="188"/>
      <c r="AF13" s="188"/>
      <c r="AG13" s="185"/>
      <c r="AH13" s="182"/>
      <c r="AI13" s="598"/>
      <c r="AJ13" s="188"/>
      <c r="AK13" s="188"/>
      <c r="AL13" s="185"/>
      <c r="AM13" s="182"/>
      <c r="AN13" s="595"/>
      <c r="AO13" s="188"/>
      <c r="AP13" s="188"/>
      <c r="AQ13" s="185"/>
      <c r="AR13" s="182"/>
      <c r="AS13" s="595"/>
      <c r="AT13" s="188"/>
      <c r="AU13" s="188"/>
      <c r="AV13" s="185"/>
      <c r="AW13" s="182"/>
      <c r="AX13" s="595"/>
    </row>
    <row r="14" spans="1:50" ht="14.25" customHeight="1">
      <c r="B14" s="590"/>
      <c r="C14" s="180">
        <v>8</v>
      </c>
      <c r="D14" s="183"/>
      <c r="E14" s="180"/>
      <c r="F14" s="180"/>
      <c r="G14" s="185"/>
      <c r="H14" s="595"/>
      <c r="I14" s="186"/>
      <c r="J14" s="186"/>
      <c r="K14" s="187"/>
      <c r="L14" s="596"/>
      <c r="M14" s="186"/>
      <c r="N14" s="590"/>
      <c r="O14" s="590"/>
      <c r="P14" s="188"/>
      <c r="Q14" s="188"/>
      <c r="R14" s="185"/>
      <c r="S14" s="182"/>
      <c r="T14" s="595"/>
      <c r="U14" s="188"/>
      <c r="V14" s="188"/>
      <c r="W14" s="185"/>
      <c r="X14" s="182"/>
      <c r="Y14" s="595"/>
      <c r="Z14" s="188"/>
      <c r="AA14" s="188"/>
      <c r="AB14" s="185"/>
      <c r="AC14" s="182"/>
      <c r="AD14" s="595"/>
      <c r="AE14" s="188"/>
      <c r="AF14" s="188"/>
      <c r="AG14" s="185"/>
      <c r="AH14" s="182"/>
      <c r="AI14" s="598"/>
      <c r="AJ14" s="188"/>
      <c r="AK14" s="188"/>
      <c r="AL14" s="185"/>
      <c r="AM14" s="182"/>
      <c r="AN14" s="595"/>
      <c r="AO14" s="188"/>
      <c r="AP14" s="188"/>
      <c r="AQ14" s="185"/>
      <c r="AR14" s="182"/>
      <c r="AS14" s="595"/>
      <c r="AT14" s="188"/>
      <c r="AU14" s="188"/>
      <c r="AV14" s="185"/>
      <c r="AW14" s="182"/>
      <c r="AX14" s="595"/>
    </row>
    <row r="15" spans="1:50" ht="14.25" customHeight="1">
      <c r="B15" s="590"/>
      <c r="C15" s="180">
        <v>9</v>
      </c>
      <c r="D15" s="183"/>
      <c r="E15" s="180"/>
      <c r="F15" s="180"/>
      <c r="G15" s="185"/>
      <c r="H15" s="595"/>
      <c r="I15" s="186"/>
      <c r="J15" s="186"/>
      <c r="K15" s="187"/>
      <c r="L15" s="596"/>
      <c r="M15" s="186"/>
      <c r="N15" s="590"/>
      <c r="O15" s="590"/>
      <c r="P15" s="188"/>
      <c r="Q15" s="188"/>
      <c r="R15" s="185"/>
      <c r="S15" s="182"/>
      <c r="T15" s="595"/>
      <c r="U15" s="188"/>
      <c r="V15" s="188"/>
      <c r="W15" s="185"/>
      <c r="X15" s="182"/>
      <c r="Y15" s="595"/>
      <c r="Z15" s="188"/>
      <c r="AA15" s="188"/>
      <c r="AB15" s="185"/>
      <c r="AC15" s="182"/>
      <c r="AD15" s="595"/>
      <c r="AE15" s="188"/>
      <c r="AF15" s="188"/>
      <c r="AG15" s="185"/>
      <c r="AH15" s="182"/>
      <c r="AI15" s="598"/>
      <c r="AJ15" s="188"/>
      <c r="AK15" s="188"/>
      <c r="AL15" s="185"/>
      <c r="AM15" s="182"/>
      <c r="AN15" s="595"/>
      <c r="AO15" s="188"/>
      <c r="AP15" s="188"/>
      <c r="AQ15" s="185"/>
      <c r="AR15" s="182"/>
      <c r="AS15" s="595"/>
      <c r="AT15" s="188"/>
      <c r="AU15" s="188"/>
      <c r="AV15" s="185"/>
      <c r="AW15" s="182"/>
      <c r="AX15" s="595"/>
    </row>
    <row r="16" spans="1:50" ht="14.25" customHeight="1">
      <c r="B16" s="590"/>
      <c r="C16" s="180">
        <v>10</v>
      </c>
      <c r="D16" s="183"/>
      <c r="E16" s="180"/>
      <c r="F16" s="180"/>
      <c r="G16" s="185"/>
      <c r="H16" s="595"/>
      <c r="I16" s="186"/>
      <c r="J16" s="186"/>
      <c r="K16" s="187"/>
      <c r="L16" s="596"/>
      <c r="M16" s="186"/>
      <c r="N16" s="590"/>
      <c r="O16" s="590"/>
      <c r="P16" s="188"/>
      <c r="Q16" s="188"/>
      <c r="R16" s="185"/>
      <c r="S16" s="182"/>
      <c r="T16" s="595"/>
      <c r="U16" s="188"/>
      <c r="V16" s="188"/>
      <c r="W16" s="185"/>
      <c r="X16" s="182"/>
      <c r="Y16" s="595"/>
      <c r="Z16" s="188"/>
      <c r="AA16" s="188"/>
      <c r="AB16" s="185"/>
      <c r="AC16" s="182"/>
      <c r="AD16" s="595"/>
      <c r="AE16" s="188"/>
      <c r="AF16" s="188"/>
      <c r="AG16" s="185"/>
      <c r="AH16" s="182"/>
      <c r="AI16" s="598"/>
      <c r="AJ16" s="188"/>
      <c r="AK16" s="188"/>
      <c r="AL16" s="185"/>
      <c r="AM16" s="182"/>
      <c r="AN16" s="595"/>
      <c r="AO16" s="188"/>
      <c r="AP16" s="188"/>
      <c r="AQ16" s="185"/>
      <c r="AR16" s="182"/>
      <c r="AS16" s="595"/>
      <c r="AT16" s="188"/>
      <c r="AU16" s="188"/>
      <c r="AV16" s="185"/>
      <c r="AW16" s="182"/>
      <c r="AX16" s="595"/>
    </row>
    <row r="17" spans="2:50" ht="14.25" customHeight="1">
      <c r="B17" s="590"/>
      <c r="C17" s="180">
        <v>11</v>
      </c>
      <c r="D17" s="183"/>
      <c r="E17" s="180"/>
      <c r="F17" s="180"/>
      <c r="G17" s="185"/>
      <c r="H17" s="595"/>
      <c r="I17" s="186"/>
      <c r="J17" s="186"/>
      <c r="K17" s="187"/>
      <c r="L17" s="596"/>
      <c r="M17" s="186"/>
      <c r="N17" s="590"/>
      <c r="O17" s="590"/>
      <c r="P17" s="188"/>
      <c r="Q17" s="188"/>
      <c r="R17" s="185"/>
      <c r="S17" s="182"/>
      <c r="T17" s="595"/>
      <c r="U17" s="188"/>
      <c r="V17" s="188"/>
      <c r="W17" s="185"/>
      <c r="X17" s="182"/>
      <c r="Y17" s="595"/>
      <c r="Z17" s="188"/>
      <c r="AA17" s="188"/>
      <c r="AB17" s="185"/>
      <c r="AC17" s="182"/>
      <c r="AD17" s="595"/>
      <c r="AE17" s="188"/>
      <c r="AF17" s="188"/>
      <c r="AG17" s="185"/>
      <c r="AH17" s="182"/>
      <c r="AI17" s="598"/>
      <c r="AJ17" s="188"/>
      <c r="AK17" s="188"/>
      <c r="AL17" s="185"/>
      <c r="AM17" s="182"/>
      <c r="AN17" s="595"/>
      <c r="AO17" s="188"/>
      <c r="AP17" s="188"/>
      <c r="AQ17" s="185"/>
      <c r="AR17" s="182"/>
      <c r="AS17" s="595"/>
      <c r="AT17" s="188"/>
      <c r="AU17" s="188"/>
      <c r="AV17" s="185"/>
      <c r="AW17" s="182"/>
      <c r="AX17" s="595"/>
    </row>
    <row r="18" spans="2:50" ht="14.25" customHeight="1">
      <c r="B18" s="590"/>
      <c r="C18" s="180">
        <v>12</v>
      </c>
      <c r="D18" s="183"/>
      <c r="E18" s="180"/>
      <c r="F18" s="180"/>
      <c r="G18" s="185"/>
      <c r="H18" s="595"/>
      <c r="I18" s="186"/>
      <c r="J18" s="186"/>
      <c r="K18" s="187"/>
      <c r="L18" s="596"/>
      <c r="M18" s="186"/>
      <c r="N18" s="590"/>
      <c r="O18" s="590"/>
      <c r="P18" s="188"/>
      <c r="Q18" s="188"/>
      <c r="R18" s="185"/>
      <c r="S18" s="182"/>
      <c r="T18" s="595"/>
      <c r="U18" s="188"/>
      <c r="V18" s="188"/>
      <c r="W18" s="185"/>
      <c r="X18" s="182"/>
      <c r="Y18" s="595"/>
      <c r="Z18" s="188"/>
      <c r="AA18" s="188"/>
      <c r="AB18" s="185"/>
      <c r="AC18" s="182"/>
      <c r="AD18" s="595"/>
      <c r="AE18" s="188"/>
      <c r="AF18" s="188"/>
      <c r="AG18" s="185"/>
      <c r="AH18" s="182"/>
      <c r="AI18" s="598"/>
      <c r="AJ18" s="188"/>
      <c r="AK18" s="188"/>
      <c r="AL18" s="185"/>
      <c r="AM18" s="182"/>
      <c r="AN18" s="595"/>
      <c r="AO18" s="188"/>
      <c r="AP18" s="188"/>
      <c r="AQ18" s="185"/>
      <c r="AR18" s="182"/>
      <c r="AS18" s="595"/>
      <c r="AT18" s="188"/>
      <c r="AU18" s="188"/>
      <c r="AV18" s="185"/>
      <c r="AW18" s="182"/>
      <c r="AX18" s="595"/>
    </row>
    <row r="19" spans="2:50" ht="14.25" customHeight="1">
      <c r="B19" s="590"/>
      <c r="C19" s="180">
        <v>13</v>
      </c>
      <c r="D19" s="183"/>
      <c r="E19" s="180"/>
      <c r="F19" s="180"/>
      <c r="G19" s="185"/>
      <c r="H19" s="595"/>
      <c r="I19" s="186"/>
      <c r="J19" s="186"/>
      <c r="K19" s="187"/>
      <c r="L19" s="596"/>
      <c r="M19" s="186"/>
      <c r="N19" s="590"/>
      <c r="O19" s="590"/>
      <c r="P19" s="188"/>
      <c r="Q19" s="188"/>
      <c r="R19" s="185"/>
      <c r="S19" s="182"/>
      <c r="T19" s="595"/>
      <c r="U19" s="188"/>
      <c r="V19" s="188"/>
      <c r="W19" s="185"/>
      <c r="X19" s="182"/>
      <c r="Y19" s="595"/>
      <c r="Z19" s="188"/>
      <c r="AA19" s="188"/>
      <c r="AB19" s="185"/>
      <c r="AC19" s="182"/>
      <c r="AD19" s="595"/>
      <c r="AE19" s="188"/>
      <c r="AF19" s="188"/>
      <c r="AG19" s="185"/>
      <c r="AH19" s="182"/>
      <c r="AI19" s="598"/>
      <c r="AJ19" s="188"/>
      <c r="AK19" s="188"/>
      <c r="AL19" s="185"/>
      <c r="AM19" s="182"/>
      <c r="AN19" s="595"/>
      <c r="AO19" s="188"/>
      <c r="AP19" s="188"/>
      <c r="AQ19" s="185"/>
      <c r="AR19" s="182"/>
      <c r="AS19" s="595"/>
      <c r="AT19" s="188"/>
      <c r="AU19" s="188"/>
      <c r="AV19" s="185"/>
      <c r="AW19" s="182"/>
      <c r="AX19" s="595"/>
    </row>
    <row r="20" spans="2:50" ht="14.25" customHeight="1">
      <c r="B20" s="590"/>
      <c r="C20" s="180">
        <v>14</v>
      </c>
      <c r="D20" s="183"/>
      <c r="E20" s="180"/>
      <c r="F20" s="180"/>
      <c r="G20" s="185"/>
      <c r="H20" s="595"/>
      <c r="I20" s="186"/>
      <c r="J20" s="186"/>
      <c r="K20" s="187"/>
      <c r="L20" s="596"/>
      <c r="M20" s="186"/>
      <c r="N20" s="590"/>
      <c r="O20" s="590"/>
      <c r="P20" s="188"/>
      <c r="Q20" s="188"/>
      <c r="R20" s="185"/>
      <c r="S20" s="182"/>
      <c r="T20" s="595"/>
      <c r="U20" s="188"/>
      <c r="V20" s="188"/>
      <c r="W20" s="185"/>
      <c r="X20" s="182"/>
      <c r="Y20" s="595"/>
      <c r="Z20" s="188"/>
      <c r="AA20" s="188"/>
      <c r="AB20" s="185"/>
      <c r="AC20" s="182"/>
      <c r="AD20" s="595"/>
      <c r="AE20" s="188"/>
      <c r="AF20" s="188"/>
      <c r="AG20" s="185"/>
      <c r="AH20" s="182"/>
      <c r="AI20" s="598"/>
      <c r="AJ20" s="188"/>
      <c r="AK20" s="188"/>
      <c r="AL20" s="185"/>
      <c r="AM20" s="182"/>
      <c r="AN20" s="595"/>
      <c r="AO20" s="188"/>
      <c r="AP20" s="188"/>
      <c r="AQ20" s="185"/>
      <c r="AR20" s="182"/>
      <c r="AS20" s="595"/>
      <c r="AT20" s="188"/>
      <c r="AU20" s="188"/>
      <c r="AV20" s="185"/>
      <c r="AW20" s="182"/>
      <c r="AX20" s="595"/>
    </row>
    <row r="21" spans="2:50" ht="14.25" customHeight="1">
      <c r="B21" s="590"/>
      <c r="C21" s="180">
        <v>15</v>
      </c>
      <c r="D21" s="183"/>
      <c r="E21" s="180"/>
      <c r="F21" s="180"/>
      <c r="G21" s="185"/>
      <c r="H21" s="595"/>
      <c r="I21" s="186"/>
      <c r="J21" s="186"/>
      <c r="K21" s="187"/>
      <c r="L21" s="596"/>
      <c r="M21" s="186"/>
      <c r="N21" s="590"/>
      <c r="O21" s="590"/>
      <c r="P21" s="188"/>
      <c r="Q21" s="188"/>
      <c r="R21" s="185"/>
      <c r="S21" s="182"/>
      <c r="T21" s="595"/>
      <c r="U21" s="188"/>
      <c r="V21" s="188"/>
      <c r="W21" s="185"/>
      <c r="X21" s="182"/>
      <c r="Y21" s="595"/>
      <c r="Z21" s="188"/>
      <c r="AA21" s="188"/>
      <c r="AB21" s="185"/>
      <c r="AC21" s="182"/>
      <c r="AD21" s="595"/>
      <c r="AE21" s="188"/>
      <c r="AF21" s="188"/>
      <c r="AG21" s="185"/>
      <c r="AH21" s="182"/>
      <c r="AI21" s="599"/>
      <c r="AJ21" s="188"/>
      <c r="AK21" s="188"/>
      <c r="AL21" s="185"/>
      <c r="AM21" s="182"/>
      <c r="AN21" s="595"/>
      <c r="AO21" s="188"/>
      <c r="AP21" s="188"/>
      <c r="AQ21" s="185"/>
      <c r="AR21" s="182"/>
      <c r="AS21" s="595"/>
      <c r="AT21" s="188"/>
      <c r="AU21" s="188"/>
      <c r="AV21" s="185"/>
      <c r="AW21" s="182"/>
      <c r="AX21" s="595"/>
    </row>
    <row r="22" spans="2:50" ht="14.25" customHeight="1" collapsed="1">
      <c r="B22" s="572" t="s">
        <v>737</v>
      </c>
      <c r="C22" s="572"/>
      <c r="D22" s="572"/>
      <c r="E22" s="572"/>
      <c r="F22" s="572"/>
      <c r="G22" s="572"/>
      <c r="H22" s="572"/>
      <c r="I22" s="572"/>
      <c r="J22" s="572"/>
      <c r="K22" s="572"/>
      <c r="L22" s="572"/>
      <c r="M22" s="573"/>
      <c r="N22" s="608" t="s">
        <v>369</v>
      </c>
      <c r="O22" s="608" t="s">
        <v>105</v>
      </c>
      <c r="P22" s="610">
        <v>46147</v>
      </c>
      <c r="Q22" s="611"/>
      <c r="R22" s="611"/>
      <c r="S22" s="611"/>
      <c r="T22" s="611"/>
      <c r="U22" s="612">
        <v>46148</v>
      </c>
      <c r="V22" s="613"/>
      <c r="W22" s="613"/>
      <c r="X22" s="613"/>
      <c r="Y22" s="613"/>
      <c r="Z22" s="610">
        <v>46149</v>
      </c>
      <c r="AA22" s="611"/>
      <c r="AB22" s="611"/>
      <c r="AC22" s="611"/>
      <c r="AD22" s="611"/>
      <c r="AE22" s="612">
        <v>46150</v>
      </c>
      <c r="AF22" s="613"/>
      <c r="AG22" s="613"/>
      <c r="AH22" s="613"/>
      <c r="AI22" s="613"/>
      <c r="AJ22" s="600">
        <v>46151</v>
      </c>
      <c r="AK22" s="601"/>
      <c r="AL22" s="601"/>
      <c r="AM22" s="601"/>
      <c r="AN22" s="602"/>
      <c r="AO22" s="612">
        <v>46152</v>
      </c>
      <c r="AP22" s="613"/>
      <c r="AQ22" s="613"/>
      <c r="AR22" s="613"/>
      <c r="AS22" s="613"/>
      <c r="AT22" s="600">
        <v>46153</v>
      </c>
      <c r="AU22" s="601"/>
      <c r="AV22" s="601"/>
      <c r="AW22" s="601"/>
      <c r="AX22" s="602"/>
    </row>
    <row r="23" spans="2:50" ht="14.25" customHeight="1">
      <c r="B23" s="574"/>
      <c r="C23" s="574"/>
      <c r="D23" s="574"/>
      <c r="E23" s="574"/>
      <c r="F23" s="574"/>
      <c r="G23" s="574"/>
      <c r="H23" s="574"/>
      <c r="I23" s="574"/>
      <c r="J23" s="574"/>
      <c r="K23" s="574"/>
      <c r="L23" s="574"/>
      <c r="M23" s="575"/>
      <c r="N23" s="609"/>
      <c r="O23" s="609"/>
      <c r="P23" s="603">
        <v>46147</v>
      </c>
      <c r="Q23" s="603"/>
      <c r="R23" s="603"/>
      <c r="S23" s="603"/>
      <c r="T23" s="603"/>
      <c r="U23" s="604">
        <v>46148</v>
      </c>
      <c r="V23" s="604"/>
      <c r="W23" s="604"/>
      <c r="X23" s="604"/>
      <c r="Y23" s="604"/>
      <c r="Z23" s="603">
        <v>46149</v>
      </c>
      <c r="AA23" s="603"/>
      <c r="AB23" s="603"/>
      <c r="AC23" s="603"/>
      <c r="AD23" s="603"/>
      <c r="AE23" s="604">
        <v>46150</v>
      </c>
      <c r="AF23" s="604"/>
      <c r="AG23" s="604"/>
      <c r="AH23" s="604"/>
      <c r="AI23" s="604"/>
      <c r="AJ23" s="605">
        <v>46151</v>
      </c>
      <c r="AK23" s="606"/>
      <c r="AL23" s="606"/>
      <c r="AM23" s="606"/>
      <c r="AN23" s="607"/>
      <c r="AO23" s="604">
        <v>46152</v>
      </c>
      <c r="AP23" s="604"/>
      <c r="AQ23" s="604"/>
      <c r="AR23" s="604"/>
      <c r="AS23" s="604"/>
      <c r="AT23" s="605">
        <v>46153</v>
      </c>
      <c r="AU23" s="606"/>
      <c r="AV23" s="606"/>
      <c r="AW23" s="606"/>
      <c r="AX23" s="607"/>
    </row>
    <row r="24" spans="2:50" ht="14.25" customHeight="1">
      <c r="B24" s="590" t="s">
        <v>162</v>
      </c>
      <c r="C24" s="590" t="s">
        <v>157</v>
      </c>
      <c r="D24" s="590"/>
      <c r="E24" s="590" t="s">
        <v>158</v>
      </c>
      <c r="F24" s="590"/>
      <c r="G24" s="590"/>
      <c r="H24" s="590" t="s">
        <v>163</v>
      </c>
      <c r="I24" s="591" t="s">
        <v>370</v>
      </c>
      <c r="J24" s="591"/>
      <c r="K24" s="591"/>
      <c r="L24" s="591" t="s">
        <v>163</v>
      </c>
      <c r="M24" s="591" t="s">
        <v>165</v>
      </c>
      <c r="N24" s="590"/>
      <c r="O24" s="590" t="s">
        <v>164</v>
      </c>
      <c r="P24" s="590" t="s">
        <v>160</v>
      </c>
      <c r="Q24" s="590"/>
      <c r="R24" s="590"/>
      <c r="S24" s="590"/>
      <c r="T24" s="590" t="s">
        <v>163</v>
      </c>
      <c r="U24" s="590" t="s">
        <v>160</v>
      </c>
      <c r="V24" s="590"/>
      <c r="W24" s="590"/>
      <c r="X24" s="590"/>
      <c r="Y24" s="590" t="s">
        <v>163</v>
      </c>
      <c r="Z24" s="590" t="s">
        <v>160</v>
      </c>
      <c r="AA24" s="590"/>
      <c r="AB24" s="590"/>
      <c r="AC24" s="590"/>
      <c r="AD24" s="590" t="s">
        <v>163</v>
      </c>
      <c r="AE24" s="590" t="s">
        <v>160</v>
      </c>
      <c r="AF24" s="590"/>
      <c r="AG24" s="590"/>
      <c r="AH24" s="590"/>
      <c r="AI24" s="590" t="s">
        <v>163</v>
      </c>
      <c r="AJ24" s="590" t="s">
        <v>160</v>
      </c>
      <c r="AK24" s="590"/>
      <c r="AL24" s="590"/>
      <c r="AM24" s="590"/>
      <c r="AN24" s="590" t="s">
        <v>163</v>
      </c>
      <c r="AO24" s="590" t="s">
        <v>160</v>
      </c>
      <c r="AP24" s="590"/>
      <c r="AQ24" s="590"/>
      <c r="AR24" s="590"/>
      <c r="AS24" s="590" t="s">
        <v>163</v>
      </c>
      <c r="AT24" s="590" t="s">
        <v>160</v>
      </c>
      <c r="AU24" s="590"/>
      <c r="AV24" s="590"/>
      <c r="AW24" s="590"/>
      <c r="AX24" s="590" t="s">
        <v>163</v>
      </c>
    </row>
    <row r="25" spans="2:50" ht="14.25" customHeight="1">
      <c r="B25" s="590"/>
      <c r="C25" s="590"/>
      <c r="D25" s="590"/>
      <c r="E25" s="590" t="s">
        <v>371</v>
      </c>
      <c r="F25" s="590"/>
      <c r="G25" s="590"/>
      <c r="H25" s="590"/>
      <c r="I25" s="591" t="s">
        <v>371</v>
      </c>
      <c r="J25" s="591"/>
      <c r="K25" s="591"/>
      <c r="L25" s="591"/>
      <c r="M25" s="591"/>
      <c r="N25" s="590"/>
      <c r="O25" s="590"/>
      <c r="P25" s="590" t="s">
        <v>372</v>
      </c>
      <c r="Q25" s="590"/>
      <c r="R25" s="590"/>
      <c r="S25" s="590"/>
      <c r="T25" s="590"/>
      <c r="U25" s="590" t="s">
        <v>372</v>
      </c>
      <c r="V25" s="590"/>
      <c r="W25" s="590"/>
      <c r="X25" s="590"/>
      <c r="Y25" s="590"/>
      <c r="Z25" s="590" t="s">
        <v>372</v>
      </c>
      <c r="AA25" s="590"/>
      <c r="AB25" s="590"/>
      <c r="AC25" s="590"/>
      <c r="AD25" s="590"/>
      <c r="AE25" s="590" t="s">
        <v>372</v>
      </c>
      <c r="AF25" s="590"/>
      <c r="AG25" s="590"/>
      <c r="AH25" s="590"/>
      <c r="AI25" s="590"/>
      <c r="AJ25" s="590" t="s">
        <v>372</v>
      </c>
      <c r="AK25" s="590"/>
      <c r="AL25" s="590"/>
      <c r="AM25" s="590"/>
      <c r="AN25" s="590"/>
      <c r="AO25" s="590" t="s">
        <v>372</v>
      </c>
      <c r="AP25" s="590"/>
      <c r="AQ25" s="590"/>
      <c r="AR25" s="590"/>
      <c r="AS25" s="590"/>
      <c r="AT25" s="590" t="s">
        <v>372</v>
      </c>
      <c r="AU25" s="590"/>
      <c r="AV25" s="590"/>
      <c r="AW25" s="590"/>
      <c r="AX25" s="590"/>
    </row>
    <row r="26" spans="2:50" ht="14.25" customHeight="1">
      <c r="B26" s="590"/>
      <c r="C26" s="590"/>
      <c r="D26" s="590"/>
      <c r="E26" s="180" t="s">
        <v>159</v>
      </c>
      <c r="F26" s="180" t="s">
        <v>373</v>
      </c>
      <c r="G26" s="180" t="s">
        <v>161</v>
      </c>
      <c r="H26" s="590"/>
      <c r="I26" s="181" t="s">
        <v>159</v>
      </c>
      <c r="J26" s="181" t="s">
        <v>373</v>
      </c>
      <c r="K26" s="181" t="s">
        <v>161</v>
      </c>
      <c r="L26" s="591"/>
      <c r="M26" s="591"/>
      <c r="N26" s="590"/>
      <c r="O26" s="590"/>
      <c r="P26" s="180" t="s">
        <v>159</v>
      </c>
      <c r="Q26" s="180" t="s">
        <v>373</v>
      </c>
      <c r="R26" s="180" t="s">
        <v>161</v>
      </c>
      <c r="S26" s="182" t="s">
        <v>165</v>
      </c>
      <c r="T26" s="590"/>
      <c r="U26" s="180" t="s">
        <v>159</v>
      </c>
      <c r="V26" s="180" t="s">
        <v>373</v>
      </c>
      <c r="W26" s="180" t="s">
        <v>161</v>
      </c>
      <c r="X26" s="182" t="s">
        <v>165</v>
      </c>
      <c r="Y26" s="590"/>
      <c r="Z26" s="180" t="s">
        <v>159</v>
      </c>
      <c r="AA26" s="180" t="s">
        <v>373</v>
      </c>
      <c r="AB26" s="180" t="s">
        <v>161</v>
      </c>
      <c r="AC26" s="182" t="s">
        <v>165</v>
      </c>
      <c r="AD26" s="590"/>
      <c r="AE26" s="180" t="s">
        <v>159</v>
      </c>
      <c r="AF26" s="180" t="s">
        <v>373</v>
      </c>
      <c r="AG26" s="180" t="s">
        <v>161</v>
      </c>
      <c r="AH26" s="182" t="s">
        <v>165</v>
      </c>
      <c r="AI26" s="590"/>
      <c r="AJ26" s="180" t="s">
        <v>159</v>
      </c>
      <c r="AK26" s="180" t="s">
        <v>373</v>
      </c>
      <c r="AL26" s="180" t="s">
        <v>161</v>
      </c>
      <c r="AM26" s="182" t="s">
        <v>165</v>
      </c>
      <c r="AN26" s="590"/>
      <c r="AO26" s="180" t="s">
        <v>159</v>
      </c>
      <c r="AP26" s="180" t="s">
        <v>373</v>
      </c>
      <c r="AQ26" s="180" t="s">
        <v>161</v>
      </c>
      <c r="AR26" s="182" t="s">
        <v>165</v>
      </c>
      <c r="AS26" s="590"/>
      <c r="AT26" s="180" t="s">
        <v>159</v>
      </c>
      <c r="AU26" s="180" t="s">
        <v>373</v>
      </c>
      <c r="AV26" s="180" t="s">
        <v>161</v>
      </c>
      <c r="AW26" s="182" t="s">
        <v>165</v>
      </c>
      <c r="AX26" s="590"/>
    </row>
    <row r="27" spans="2:50" ht="14.25" customHeight="1">
      <c r="B27" s="590" t="s">
        <v>376</v>
      </c>
      <c r="C27" s="180">
        <v>1</v>
      </c>
      <c r="D27" s="183" t="s">
        <v>614</v>
      </c>
      <c r="E27" s="180">
        <v>6</v>
      </c>
      <c r="F27" s="180">
        <v>2500</v>
      </c>
      <c r="G27" s="185">
        <f t="shared" ref="G27:G28" si="9">F27/E27</f>
        <v>416.66666666666669</v>
      </c>
      <c r="H27" s="595">
        <f>AVERAGE(G27:G41)</f>
        <v>416.66666666666669</v>
      </c>
      <c r="I27" s="186">
        <f>AVERAGE(P27,U27,Z27,AE27,AJ27,AO27,AT27)</f>
        <v>6</v>
      </c>
      <c r="J27" s="186">
        <f>AVERAGE(Q27,V27,AA27,AF27,AK27,AP27,AU27)</f>
        <v>2255.375090838671</v>
      </c>
      <c r="K27" s="187">
        <f>AVERAGE(R27,W27,AB27,AG27,AL27,AQ27,AV27)</f>
        <v>375.89584847311187</v>
      </c>
      <c r="L27" s="596">
        <f>IFERROR(AVERAGE(K27:K41),"-")</f>
        <v>375.84262164674169</v>
      </c>
      <c r="M27" s="186">
        <f>RANK(K27, K$27:$K$41)</f>
        <v>1</v>
      </c>
      <c r="N27" s="590"/>
      <c r="O27" s="590"/>
      <c r="P27" s="188">
        <v>6</v>
      </c>
      <c r="Q27" s="188">
        <v>2255.8393765529577</v>
      </c>
      <c r="R27" s="185">
        <f>IFERROR(Q27/P27,"")</f>
        <v>375.97322942549295</v>
      </c>
      <c r="S27" s="182">
        <f>RANK(R27, R$27:R$41)</f>
        <v>1</v>
      </c>
      <c r="T27" s="595">
        <f>AVERAGE(R27:R41)</f>
        <v>375.80033410308499</v>
      </c>
      <c r="U27" s="188">
        <v>6</v>
      </c>
      <c r="V27" s="188">
        <v>2255.0893765529577</v>
      </c>
      <c r="W27" s="185">
        <f t="shared" ref="W27:W28" si="10">IFERROR(V27/U27,"")</f>
        <v>375.84822942549295</v>
      </c>
      <c r="X27" s="182">
        <f>RANK(W27, W$27:W$41)</f>
        <v>1</v>
      </c>
      <c r="Y27" s="595">
        <f>AVERAGE(W27:W41)</f>
        <v>375.80033410308499</v>
      </c>
      <c r="Z27" s="188">
        <v>6</v>
      </c>
      <c r="AA27" s="188">
        <v>2255.0893765529572</v>
      </c>
      <c r="AB27" s="185">
        <f t="shared" ref="AB27:AB28" si="11">IFERROR(AA27/Z27,"")</f>
        <v>375.84822942549289</v>
      </c>
      <c r="AC27" s="182">
        <f>RANK(AB27, AB$27:AB$41)</f>
        <v>1</v>
      </c>
      <c r="AD27" s="595">
        <f>AVERAGE(AB27:AB41)</f>
        <v>375.77950076975162</v>
      </c>
      <c r="AE27" s="188">
        <v>6</v>
      </c>
      <c r="AF27" s="188">
        <v>2255.3393765529572</v>
      </c>
      <c r="AG27" s="185">
        <f>IFERROR(AF27/AE27,"")</f>
        <v>375.88989609215952</v>
      </c>
      <c r="AH27" s="182">
        <f>RANK(AG27, AG$27:AG$41)</f>
        <v>1</v>
      </c>
      <c r="AI27" s="595">
        <f>AVERAGE(AG27:AG41)</f>
        <v>375.75866743641825</v>
      </c>
      <c r="AJ27" s="188">
        <v>6</v>
      </c>
      <c r="AK27" s="188">
        <v>2256.0893765529568</v>
      </c>
      <c r="AL27" s="185">
        <f t="shared" ref="AL27:AL28" si="12">IFERROR(AK27/AJ27,"")</f>
        <v>376.01489609215946</v>
      </c>
      <c r="AM27" s="182">
        <f>RANK(AL27, AL$27:AL$41)</f>
        <v>1</v>
      </c>
      <c r="AN27" s="595">
        <f>AVERAGE(AL27:AL41)</f>
        <v>375.96150503828403</v>
      </c>
      <c r="AO27" s="188">
        <v>6</v>
      </c>
      <c r="AP27" s="188">
        <v>2254.8393765529568</v>
      </c>
      <c r="AQ27" s="185">
        <f t="shared" ref="AQ27:AQ28" si="13">IFERROR(AP27/AO27,"")</f>
        <v>375.80656275882615</v>
      </c>
      <c r="AR27" s="182">
        <f>RANK(AQ27, AQ$27:AQ$41)</f>
        <v>2</v>
      </c>
      <c r="AS27" s="595">
        <f>AVERAGE(AQ27:AQ41)</f>
        <v>375.83650503828409</v>
      </c>
      <c r="AT27" s="188">
        <v>6</v>
      </c>
      <c r="AU27" s="188">
        <v>2255.3393765529568</v>
      </c>
      <c r="AV27" s="185">
        <f t="shared" ref="AV27:AV28" si="14">IFERROR(AU27/AT27,"")</f>
        <v>375.88989609215946</v>
      </c>
      <c r="AW27" s="182">
        <f>RANK(AV27, AV$27:AV$41)</f>
        <v>2</v>
      </c>
      <c r="AX27" s="595">
        <f>AVERAGE(AV27:AV41)</f>
        <v>375.96150503828403</v>
      </c>
    </row>
    <row r="28" spans="2:50" ht="14.25" customHeight="1">
      <c r="B28" s="590"/>
      <c r="C28" s="180">
        <v>2</v>
      </c>
      <c r="D28" s="183" t="s">
        <v>641</v>
      </c>
      <c r="E28" s="180">
        <v>6</v>
      </c>
      <c r="F28" s="180">
        <v>2500</v>
      </c>
      <c r="G28" s="185">
        <f t="shared" si="9"/>
        <v>416.66666666666669</v>
      </c>
      <c r="H28" s="595"/>
      <c r="I28" s="186">
        <f t="shared" ref="I28:K28" si="15">AVERAGE(P28,U28,Z28,AE28,AJ28,AO28,AT28)</f>
        <v>6</v>
      </c>
      <c r="J28" s="186">
        <f t="shared" si="15"/>
        <v>2254.7363689222293</v>
      </c>
      <c r="K28" s="187">
        <f t="shared" si="15"/>
        <v>375.78939482037151</v>
      </c>
      <c r="L28" s="596"/>
      <c r="M28" s="186">
        <f>RANK(K28, K$27:$K$41)</f>
        <v>2</v>
      </c>
      <c r="N28" s="590"/>
      <c r="O28" s="590"/>
      <c r="P28" s="188">
        <v>6</v>
      </c>
      <c r="Q28" s="188">
        <v>2253.7646326840622</v>
      </c>
      <c r="R28" s="185">
        <f t="shared" ref="R28" si="16">IFERROR(Q28/P28,"")</f>
        <v>375.62743878067704</v>
      </c>
      <c r="S28" s="182">
        <f>RANK(R28, R$27:R$41)</f>
        <v>2</v>
      </c>
      <c r="T28" s="595"/>
      <c r="U28" s="188">
        <v>6</v>
      </c>
      <c r="V28" s="188">
        <v>2254.5146326840618</v>
      </c>
      <c r="W28" s="185">
        <f t="shared" si="10"/>
        <v>375.75243878067698</v>
      </c>
      <c r="X28" s="182">
        <f>RANK(W28, W$27:W$41)</f>
        <v>2</v>
      </c>
      <c r="Y28" s="595"/>
      <c r="Z28" s="188">
        <v>6</v>
      </c>
      <c r="AA28" s="188">
        <v>2254.2646326840618</v>
      </c>
      <c r="AB28" s="185">
        <f t="shared" si="11"/>
        <v>375.7107721140103</v>
      </c>
      <c r="AC28" s="182">
        <f>RANK(AB28, AB$27:AB$41)</f>
        <v>2</v>
      </c>
      <c r="AD28" s="595"/>
      <c r="AE28" s="188">
        <v>6</v>
      </c>
      <c r="AF28" s="188">
        <v>2253.7646326840618</v>
      </c>
      <c r="AG28" s="185">
        <f t="shared" ref="AG28" si="17">IFERROR(AF28/AE28,"")</f>
        <v>375.62743878067698</v>
      </c>
      <c r="AH28" s="182">
        <f>RANK(AG28, AG$27:AG$41)</f>
        <v>2</v>
      </c>
      <c r="AI28" s="595"/>
      <c r="AJ28" s="188">
        <v>6</v>
      </c>
      <c r="AK28" s="188">
        <v>2255.4486839064516</v>
      </c>
      <c r="AL28" s="185">
        <f t="shared" si="12"/>
        <v>375.9081139844086</v>
      </c>
      <c r="AM28" s="182">
        <f>RANK(AL28, AL$27:AL$41)</f>
        <v>2</v>
      </c>
      <c r="AN28" s="595"/>
      <c r="AO28" s="188">
        <v>6</v>
      </c>
      <c r="AP28" s="188">
        <v>2255.1986839064521</v>
      </c>
      <c r="AQ28" s="185">
        <f t="shared" si="13"/>
        <v>375.86644731774203</v>
      </c>
      <c r="AR28" s="182">
        <f>RANK(AQ28, AQ$27:AQ$41)</f>
        <v>1</v>
      </c>
      <c r="AS28" s="595"/>
      <c r="AT28" s="188">
        <v>6</v>
      </c>
      <c r="AU28" s="188">
        <v>2256.1986839064521</v>
      </c>
      <c r="AV28" s="185">
        <f t="shared" si="14"/>
        <v>376.03311398440866</v>
      </c>
      <c r="AW28" s="182">
        <f>RANK(AV28, AV$27:AV$41)</f>
        <v>1</v>
      </c>
      <c r="AX28" s="595"/>
    </row>
    <row r="29" spans="2:50" ht="14.25" customHeight="1">
      <c r="B29" s="590"/>
      <c r="C29" s="180">
        <v>3</v>
      </c>
      <c r="D29" s="183"/>
      <c r="E29" s="180"/>
      <c r="F29" s="180"/>
      <c r="G29" s="185"/>
      <c r="H29" s="595"/>
      <c r="I29" s="186"/>
      <c r="J29" s="186"/>
      <c r="K29" s="187"/>
      <c r="L29" s="596"/>
      <c r="M29" s="186"/>
      <c r="N29" s="590"/>
      <c r="O29" s="590"/>
      <c r="P29" s="188"/>
      <c r="Q29" s="188"/>
      <c r="R29" s="185"/>
      <c r="S29" s="182"/>
      <c r="T29" s="595"/>
      <c r="U29" s="188"/>
      <c r="V29" s="188"/>
      <c r="W29" s="185"/>
      <c r="X29" s="182"/>
      <c r="Y29" s="595"/>
      <c r="Z29" s="188"/>
      <c r="AA29" s="188"/>
      <c r="AB29" s="185"/>
      <c r="AC29" s="182"/>
      <c r="AD29" s="595"/>
      <c r="AE29" s="188"/>
      <c r="AF29" s="188"/>
      <c r="AG29" s="185"/>
      <c r="AH29" s="182"/>
      <c r="AI29" s="595"/>
      <c r="AJ29" s="188"/>
      <c r="AK29" s="188"/>
      <c r="AL29" s="185"/>
      <c r="AM29" s="182"/>
      <c r="AN29" s="595"/>
      <c r="AO29" s="188"/>
      <c r="AP29" s="188"/>
      <c r="AQ29" s="185"/>
      <c r="AR29" s="182"/>
      <c r="AS29" s="595"/>
      <c r="AT29" s="188"/>
      <c r="AU29" s="188"/>
      <c r="AV29" s="185"/>
      <c r="AW29" s="182"/>
      <c r="AX29" s="595"/>
    </row>
    <row r="30" spans="2:50" ht="14.25" customHeight="1">
      <c r="B30" s="590"/>
      <c r="C30" s="180">
        <v>4</v>
      </c>
      <c r="D30" s="183"/>
      <c r="E30" s="180"/>
      <c r="F30" s="180"/>
      <c r="G30" s="185"/>
      <c r="H30" s="595"/>
      <c r="I30" s="186"/>
      <c r="J30" s="186"/>
      <c r="K30" s="187"/>
      <c r="L30" s="596"/>
      <c r="M30" s="186"/>
      <c r="N30" s="590"/>
      <c r="O30" s="590"/>
      <c r="P30" s="188"/>
      <c r="Q30" s="188"/>
      <c r="R30" s="185"/>
      <c r="S30" s="182"/>
      <c r="T30" s="595"/>
      <c r="U30" s="188"/>
      <c r="V30" s="188"/>
      <c r="W30" s="185"/>
      <c r="X30" s="182"/>
      <c r="Y30" s="595"/>
      <c r="Z30" s="188"/>
      <c r="AA30" s="188"/>
      <c r="AB30" s="185"/>
      <c r="AC30" s="182"/>
      <c r="AD30" s="595"/>
      <c r="AE30" s="188"/>
      <c r="AF30" s="188"/>
      <c r="AG30" s="185"/>
      <c r="AH30" s="182"/>
      <c r="AI30" s="595"/>
      <c r="AJ30" s="188"/>
      <c r="AK30" s="188"/>
      <c r="AL30" s="185"/>
      <c r="AM30" s="182"/>
      <c r="AN30" s="595"/>
      <c r="AO30" s="188"/>
      <c r="AP30" s="188"/>
      <c r="AQ30" s="185"/>
      <c r="AR30" s="182"/>
      <c r="AS30" s="595"/>
      <c r="AT30" s="188"/>
      <c r="AU30" s="188"/>
      <c r="AV30" s="185"/>
      <c r="AW30" s="182"/>
      <c r="AX30" s="595"/>
    </row>
    <row r="31" spans="2:50" ht="14.25" customHeight="1">
      <c r="B31" s="590"/>
      <c r="C31" s="180">
        <v>5</v>
      </c>
      <c r="D31" s="183"/>
      <c r="E31" s="180"/>
      <c r="F31" s="180"/>
      <c r="G31" s="185"/>
      <c r="H31" s="595"/>
      <c r="I31" s="186"/>
      <c r="J31" s="186"/>
      <c r="K31" s="187"/>
      <c r="L31" s="596"/>
      <c r="M31" s="186"/>
      <c r="N31" s="590"/>
      <c r="O31" s="590"/>
      <c r="P31" s="188"/>
      <c r="Q31" s="188"/>
      <c r="R31" s="185"/>
      <c r="S31" s="182"/>
      <c r="T31" s="595"/>
      <c r="U31" s="188"/>
      <c r="V31" s="188"/>
      <c r="W31" s="185"/>
      <c r="X31" s="182"/>
      <c r="Y31" s="595"/>
      <c r="Z31" s="188"/>
      <c r="AA31" s="188"/>
      <c r="AB31" s="185"/>
      <c r="AC31" s="182"/>
      <c r="AD31" s="595"/>
      <c r="AE31" s="188"/>
      <c r="AF31" s="188"/>
      <c r="AG31" s="185"/>
      <c r="AH31" s="182"/>
      <c r="AI31" s="595"/>
      <c r="AJ31" s="188"/>
      <c r="AK31" s="188"/>
      <c r="AL31" s="185"/>
      <c r="AM31" s="182"/>
      <c r="AN31" s="595"/>
      <c r="AO31" s="188"/>
      <c r="AP31" s="188"/>
      <c r="AQ31" s="185"/>
      <c r="AR31" s="182"/>
      <c r="AS31" s="595"/>
      <c r="AT31" s="188"/>
      <c r="AU31" s="188"/>
      <c r="AV31" s="185"/>
      <c r="AW31" s="182"/>
      <c r="AX31" s="595"/>
    </row>
    <row r="32" spans="2:50" ht="14.25" customHeight="1">
      <c r="B32" s="590"/>
      <c r="C32" s="180">
        <v>6</v>
      </c>
      <c r="D32" s="183"/>
      <c r="E32" s="180"/>
      <c r="F32" s="180"/>
      <c r="G32" s="185"/>
      <c r="H32" s="595"/>
      <c r="I32" s="186"/>
      <c r="J32" s="186"/>
      <c r="K32" s="187"/>
      <c r="L32" s="596"/>
      <c r="M32" s="186"/>
      <c r="N32" s="590"/>
      <c r="O32" s="590"/>
      <c r="P32" s="188"/>
      <c r="Q32" s="188"/>
      <c r="R32" s="185"/>
      <c r="S32" s="182"/>
      <c r="T32" s="595"/>
      <c r="U32" s="188"/>
      <c r="V32" s="188"/>
      <c r="W32" s="185"/>
      <c r="X32" s="182"/>
      <c r="Y32" s="595"/>
      <c r="Z32" s="188"/>
      <c r="AA32" s="188"/>
      <c r="AB32" s="185"/>
      <c r="AC32" s="182"/>
      <c r="AD32" s="595"/>
      <c r="AE32" s="188"/>
      <c r="AF32" s="188"/>
      <c r="AG32" s="185"/>
      <c r="AH32" s="182"/>
      <c r="AI32" s="595"/>
      <c r="AJ32" s="188"/>
      <c r="AK32" s="188"/>
      <c r="AL32" s="185"/>
      <c r="AM32" s="182"/>
      <c r="AN32" s="595"/>
      <c r="AO32" s="188"/>
      <c r="AP32" s="188"/>
      <c r="AQ32" s="185"/>
      <c r="AR32" s="182"/>
      <c r="AS32" s="595"/>
      <c r="AT32" s="188"/>
      <c r="AU32" s="188"/>
      <c r="AV32" s="185"/>
      <c r="AW32" s="182"/>
      <c r="AX32" s="595"/>
    </row>
    <row r="33" spans="2:50" ht="14.25" customHeight="1">
      <c r="B33" s="590"/>
      <c r="C33" s="180">
        <v>7</v>
      </c>
      <c r="D33" s="183"/>
      <c r="E33" s="180"/>
      <c r="F33" s="180"/>
      <c r="G33" s="185"/>
      <c r="H33" s="595"/>
      <c r="I33" s="186"/>
      <c r="J33" s="186"/>
      <c r="K33" s="187"/>
      <c r="L33" s="596"/>
      <c r="M33" s="186"/>
      <c r="N33" s="590"/>
      <c r="O33" s="590"/>
      <c r="P33" s="188"/>
      <c r="Q33" s="188"/>
      <c r="R33" s="185"/>
      <c r="S33" s="182"/>
      <c r="T33" s="595"/>
      <c r="U33" s="188"/>
      <c r="V33" s="188"/>
      <c r="W33" s="185"/>
      <c r="X33" s="182"/>
      <c r="Y33" s="595"/>
      <c r="Z33" s="188"/>
      <c r="AA33" s="188"/>
      <c r="AB33" s="185"/>
      <c r="AC33" s="182"/>
      <c r="AD33" s="595"/>
      <c r="AE33" s="188"/>
      <c r="AF33" s="188"/>
      <c r="AG33" s="185"/>
      <c r="AH33" s="182"/>
      <c r="AI33" s="595"/>
      <c r="AJ33" s="188"/>
      <c r="AK33" s="188"/>
      <c r="AL33" s="185"/>
      <c r="AM33" s="182"/>
      <c r="AN33" s="595"/>
      <c r="AO33" s="188"/>
      <c r="AP33" s="188"/>
      <c r="AQ33" s="185"/>
      <c r="AR33" s="182"/>
      <c r="AS33" s="595"/>
      <c r="AT33" s="188"/>
      <c r="AU33" s="188"/>
      <c r="AV33" s="185"/>
      <c r="AW33" s="182"/>
      <c r="AX33" s="595"/>
    </row>
    <row r="34" spans="2:50" ht="14.25" customHeight="1">
      <c r="B34" s="590"/>
      <c r="C34" s="180">
        <v>8</v>
      </c>
      <c r="D34" s="183"/>
      <c r="E34" s="180"/>
      <c r="F34" s="180"/>
      <c r="G34" s="185"/>
      <c r="H34" s="595"/>
      <c r="I34" s="186"/>
      <c r="J34" s="186"/>
      <c r="K34" s="187"/>
      <c r="L34" s="596"/>
      <c r="M34" s="186"/>
      <c r="N34" s="590"/>
      <c r="O34" s="590"/>
      <c r="P34" s="188"/>
      <c r="Q34" s="188"/>
      <c r="R34" s="185"/>
      <c r="S34" s="182"/>
      <c r="T34" s="595"/>
      <c r="U34" s="188"/>
      <c r="V34" s="188"/>
      <c r="W34" s="185"/>
      <c r="X34" s="182"/>
      <c r="Y34" s="595"/>
      <c r="Z34" s="188"/>
      <c r="AA34" s="188"/>
      <c r="AB34" s="185"/>
      <c r="AC34" s="182"/>
      <c r="AD34" s="595"/>
      <c r="AE34" s="188"/>
      <c r="AF34" s="188"/>
      <c r="AG34" s="185"/>
      <c r="AH34" s="182"/>
      <c r="AI34" s="595"/>
      <c r="AJ34" s="188"/>
      <c r="AK34" s="188"/>
      <c r="AL34" s="185"/>
      <c r="AM34" s="182"/>
      <c r="AN34" s="595"/>
      <c r="AO34" s="188"/>
      <c r="AP34" s="188"/>
      <c r="AQ34" s="185"/>
      <c r="AR34" s="182"/>
      <c r="AS34" s="595"/>
      <c r="AT34" s="188"/>
      <c r="AU34" s="188"/>
      <c r="AV34" s="185"/>
      <c r="AW34" s="182"/>
      <c r="AX34" s="595"/>
    </row>
    <row r="35" spans="2:50" ht="14.25" customHeight="1">
      <c r="B35" s="590"/>
      <c r="C35" s="180">
        <v>9</v>
      </c>
      <c r="D35" s="183"/>
      <c r="E35" s="180"/>
      <c r="F35" s="180"/>
      <c r="G35" s="185"/>
      <c r="H35" s="595"/>
      <c r="I35" s="186"/>
      <c r="J35" s="186"/>
      <c r="K35" s="187"/>
      <c r="L35" s="596"/>
      <c r="M35" s="186"/>
      <c r="N35" s="590"/>
      <c r="O35" s="590"/>
      <c r="P35" s="188"/>
      <c r="Q35" s="188"/>
      <c r="R35" s="185"/>
      <c r="S35" s="182"/>
      <c r="T35" s="595"/>
      <c r="U35" s="188"/>
      <c r="V35" s="188"/>
      <c r="W35" s="185"/>
      <c r="X35" s="182"/>
      <c r="Y35" s="595"/>
      <c r="Z35" s="188"/>
      <c r="AA35" s="188"/>
      <c r="AB35" s="185"/>
      <c r="AC35" s="182"/>
      <c r="AD35" s="595"/>
      <c r="AE35" s="188"/>
      <c r="AF35" s="188"/>
      <c r="AG35" s="185"/>
      <c r="AH35" s="182"/>
      <c r="AI35" s="595"/>
      <c r="AJ35" s="188"/>
      <c r="AK35" s="188"/>
      <c r="AL35" s="185"/>
      <c r="AM35" s="182"/>
      <c r="AN35" s="595"/>
      <c r="AO35" s="188"/>
      <c r="AP35" s="188"/>
      <c r="AQ35" s="185"/>
      <c r="AR35" s="182"/>
      <c r="AS35" s="595"/>
      <c r="AT35" s="188"/>
      <c r="AU35" s="188"/>
      <c r="AV35" s="185"/>
      <c r="AW35" s="182"/>
      <c r="AX35" s="595"/>
    </row>
    <row r="36" spans="2:50" ht="14.25" customHeight="1">
      <c r="B36" s="590"/>
      <c r="C36" s="180">
        <v>10</v>
      </c>
      <c r="D36" s="183"/>
      <c r="E36" s="180"/>
      <c r="F36" s="180"/>
      <c r="G36" s="185"/>
      <c r="H36" s="595"/>
      <c r="I36" s="186"/>
      <c r="J36" s="186"/>
      <c r="K36" s="187"/>
      <c r="L36" s="596"/>
      <c r="M36" s="186"/>
      <c r="N36" s="590"/>
      <c r="O36" s="590"/>
      <c r="P36" s="188"/>
      <c r="Q36" s="188"/>
      <c r="R36" s="185"/>
      <c r="S36" s="182"/>
      <c r="T36" s="595"/>
      <c r="U36" s="188"/>
      <c r="V36" s="188"/>
      <c r="W36" s="185"/>
      <c r="X36" s="182"/>
      <c r="Y36" s="595"/>
      <c r="Z36" s="188"/>
      <c r="AA36" s="188"/>
      <c r="AB36" s="185"/>
      <c r="AC36" s="182"/>
      <c r="AD36" s="595"/>
      <c r="AE36" s="188"/>
      <c r="AF36" s="188"/>
      <c r="AG36" s="185"/>
      <c r="AH36" s="182"/>
      <c r="AI36" s="595"/>
      <c r="AJ36" s="188"/>
      <c r="AK36" s="188"/>
      <c r="AL36" s="185"/>
      <c r="AM36" s="182"/>
      <c r="AN36" s="595"/>
      <c r="AO36" s="188"/>
      <c r="AP36" s="188"/>
      <c r="AQ36" s="185"/>
      <c r="AR36" s="182"/>
      <c r="AS36" s="595"/>
      <c r="AT36" s="188"/>
      <c r="AU36" s="188"/>
      <c r="AV36" s="185"/>
      <c r="AW36" s="182"/>
      <c r="AX36" s="595"/>
    </row>
    <row r="37" spans="2:50" ht="14.25" customHeight="1">
      <c r="B37" s="590"/>
      <c r="C37" s="180">
        <v>11</v>
      </c>
      <c r="D37" s="183"/>
      <c r="E37" s="180"/>
      <c r="F37" s="180"/>
      <c r="G37" s="185"/>
      <c r="H37" s="595"/>
      <c r="I37" s="186"/>
      <c r="J37" s="186"/>
      <c r="K37" s="187"/>
      <c r="L37" s="596"/>
      <c r="M37" s="186"/>
      <c r="N37" s="590"/>
      <c r="O37" s="590"/>
      <c r="P37" s="188"/>
      <c r="Q37" s="188"/>
      <c r="R37" s="185"/>
      <c r="S37" s="182"/>
      <c r="T37" s="595"/>
      <c r="U37" s="188"/>
      <c r="V37" s="188"/>
      <c r="W37" s="185"/>
      <c r="X37" s="182"/>
      <c r="Y37" s="595"/>
      <c r="Z37" s="188"/>
      <c r="AA37" s="188"/>
      <c r="AB37" s="185"/>
      <c r="AC37" s="182"/>
      <c r="AD37" s="595"/>
      <c r="AE37" s="188"/>
      <c r="AF37" s="188"/>
      <c r="AG37" s="185"/>
      <c r="AH37" s="182"/>
      <c r="AI37" s="595"/>
      <c r="AJ37" s="188"/>
      <c r="AK37" s="188"/>
      <c r="AL37" s="185"/>
      <c r="AM37" s="182"/>
      <c r="AN37" s="595"/>
      <c r="AO37" s="188"/>
      <c r="AP37" s="188"/>
      <c r="AQ37" s="185"/>
      <c r="AR37" s="182"/>
      <c r="AS37" s="595"/>
      <c r="AT37" s="188"/>
      <c r="AU37" s="188"/>
      <c r="AV37" s="185"/>
      <c r="AW37" s="182"/>
      <c r="AX37" s="595"/>
    </row>
    <row r="38" spans="2:50" ht="14.25" customHeight="1">
      <c r="B38" s="590"/>
      <c r="C38" s="180">
        <v>12</v>
      </c>
      <c r="D38" s="183"/>
      <c r="E38" s="180"/>
      <c r="F38" s="180"/>
      <c r="G38" s="185"/>
      <c r="H38" s="595"/>
      <c r="I38" s="186"/>
      <c r="J38" s="186"/>
      <c r="K38" s="187"/>
      <c r="L38" s="596"/>
      <c r="M38" s="186"/>
      <c r="N38" s="590"/>
      <c r="O38" s="590"/>
      <c r="P38" s="188"/>
      <c r="Q38" s="188"/>
      <c r="R38" s="185"/>
      <c r="S38" s="182"/>
      <c r="T38" s="595"/>
      <c r="U38" s="188"/>
      <c r="V38" s="188"/>
      <c r="W38" s="185"/>
      <c r="X38" s="182"/>
      <c r="Y38" s="595"/>
      <c r="Z38" s="188"/>
      <c r="AA38" s="188"/>
      <c r="AB38" s="185"/>
      <c r="AC38" s="182"/>
      <c r="AD38" s="595"/>
      <c r="AE38" s="188"/>
      <c r="AF38" s="188"/>
      <c r="AG38" s="185"/>
      <c r="AH38" s="182"/>
      <c r="AI38" s="595"/>
      <c r="AJ38" s="188"/>
      <c r="AK38" s="188"/>
      <c r="AL38" s="185"/>
      <c r="AM38" s="182"/>
      <c r="AN38" s="595"/>
      <c r="AO38" s="188"/>
      <c r="AP38" s="188"/>
      <c r="AQ38" s="185"/>
      <c r="AR38" s="182"/>
      <c r="AS38" s="595"/>
      <c r="AT38" s="188"/>
      <c r="AU38" s="188"/>
      <c r="AV38" s="185"/>
      <c r="AW38" s="182"/>
      <c r="AX38" s="595"/>
    </row>
    <row r="39" spans="2:50" ht="14.25" customHeight="1">
      <c r="B39" s="590"/>
      <c r="C39" s="180">
        <v>13</v>
      </c>
      <c r="D39" s="183"/>
      <c r="E39" s="180"/>
      <c r="F39" s="180"/>
      <c r="G39" s="185"/>
      <c r="H39" s="595"/>
      <c r="I39" s="186"/>
      <c r="J39" s="186"/>
      <c r="K39" s="187"/>
      <c r="L39" s="596"/>
      <c r="M39" s="186"/>
      <c r="N39" s="590"/>
      <c r="O39" s="590"/>
      <c r="P39" s="188"/>
      <c r="Q39" s="188"/>
      <c r="R39" s="185"/>
      <c r="S39" s="182"/>
      <c r="T39" s="595"/>
      <c r="U39" s="188"/>
      <c r="V39" s="188"/>
      <c r="W39" s="185"/>
      <c r="X39" s="182"/>
      <c r="Y39" s="595"/>
      <c r="Z39" s="188"/>
      <c r="AA39" s="188"/>
      <c r="AB39" s="185"/>
      <c r="AC39" s="182"/>
      <c r="AD39" s="595"/>
      <c r="AE39" s="188"/>
      <c r="AF39" s="188"/>
      <c r="AG39" s="185"/>
      <c r="AH39" s="182"/>
      <c r="AI39" s="595"/>
      <c r="AJ39" s="188"/>
      <c r="AK39" s="188"/>
      <c r="AL39" s="185"/>
      <c r="AM39" s="182"/>
      <c r="AN39" s="595"/>
      <c r="AO39" s="188"/>
      <c r="AP39" s="188"/>
      <c r="AQ39" s="185"/>
      <c r="AR39" s="182"/>
      <c r="AS39" s="595"/>
      <c r="AT39" s="188"/>
      <c r="AU39" s="188"/>
      <c r="AV39" s="185"/>
      <c r="AW39" s="182"/>
      <c r="AX39" s="595"/>
    </row>
    <row r="40" spans="2:50" ht="14.25" customHeight="1">
      <c r="B40" s="590"/>
      <c r="C40" s="180">
        <v>14</v>
      </c>
      <c r="D40" s="183"/>
      <c r="E40" s="180"/>
      <c r="F40" s="180"/>
      <c r="G40" s="185"/>
      <c r="H40" s="595"/>
      <c r="I40" s="186"/>
      <c r="J40" s="186"/>
      <c r="K40" s="187"/>
      <c r="L40" s="596"/>
      <c r="M40" s="186"/>
      <c r="N40" s="590"/>
      <c r="O40" s="590"/>
      <c r="P40" s="188"/>
      <c r="Q40" s="188"/>
      <c r="R40" s="185"/>
      <c r="S40" s="182"/>
      <c r="T40" s="595"/>
      <c r="U40" s="188"/>
      <c r="V40" s="188"/>
      <c r="W40" s="185"/>
      <c r="X40" s="182"/>
      <c r="Y40" s="595"/>
      <c r="Z40" s="188"/>
      <c r="AA40" s="188"/>
      <c r="AB40" s="185"/>
      <c r="AC40" s="182"/>
      <c r="AD40" s="595"/>
      <c r="AE40" s="188"/>
      <c r="AF40" s="188"/>
      <c r="AG40" s="185"/>
      <c r="AH40" s="182"/>
      <c r="AI40" s="595"/>
      <c r="AJ40" s="188"/>
      <c r="AK40" s="188"/>
      <c r="AL40" s="185"/>
      <c r="AM40" s="182"/>
      <c r="AN40" s="595"/>
      <c r="AO40" s="188"/>
      <c r="AP40" s="188"/>
      <c r="AQ40" s="185"/>
      <c r="AR40" s="182"/>
      <c r="AS40" s="595"/>
      <c r="AT40" s="188"/>
      <c r="AU40" s="188"/>
      <c r="AV40" s="185"/>
      <c r="AW40" s="182"/>
      <c r="AX40" s="595"/>
    </row>
    <row r="41" spans="2:50" ht="14.25" customHeight="1">
      <c r="B41" s="590"/>
      <c r="C41" s="180">
        <v>15</v>
      </c>
      <c r="D41" s="183"/>
      <c r="E41" s="180"/>
      <c r="F41" s="180"/>
      <c r="G41" s="185"/>
      <c r="H41" s="595"/>
      <c r="I41" s="186"/>
      <c r="J41" s="186"/>
      <c r="K41" s="187"/>
      <c r="L41" s="596"/>
      <c r="M41" s="186"/>
      <c r="N41" s="590"/>
      <c r="O41" s="590"/>
      <c r="P41" s="188"/>
      <c r="Q41" s="188"/>
      <c r="R41" s="185"/>
      <c r="S41" s="182"/>
      <c r="T41" s="595"/>
      <c r="U41" s="188"/>
      <c r="V41" s="188"/>
      <c r="W41" s="185"/>
      <c r="X41" s="182"/>
      <c r="Y41" s="595"/>
      <c r="Z41" s="188"/>
      <c r="AA41" s="188"/>
      <c r="AB41" s="185"/>
      <c r="AC41" s="182"/>
      <c r="AD41" s="595"/>
      <c r="AE41" s="188"/>
      <c r="AF41" s="188"/>
      <c r="AG41" s="185"/>
      <c r="AH41" s="182"/>
      <c r="AI41" s="595"/>
      <c r="AJ41" s="188"/>
      <c r="AK41" s="188"/>
      <c r="AL41" s="185"/>
      <c r="AM41" s="182"/>
      <c r="AN41" s="595"/>
      <c r="AO41" s="188"/>
      <c r="AP41" s="188"/>
      <c r="AQ41" s="185"/>
      <c r="AR41" s="182"/>
      <c r="AS41" s="595"/>
      <c r="AT41" s="188"/>
      <c r="AU41" s="188"/>
      <c r="AV41" s="185"/>
      <c r="AW41" s="182"/>
      <c r="AX41" s="595"/>
    </row>
  </sheetData>
  <mergeCells count="118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41"/>
  <sheetViews>
    <sheetView zoomScaleNormal="100" workbookViewId="0">
      <pane xSplit="13" ySplit="1" topLeftCell="N2" activePane="bottomRight" state="frozen"/>
      <selection activeCell="L95" sqref="L95"/>
      <selection pane="topRight" activeCell="L95" sqref="L95"/>
      <selection pane="bottomLeft" activeCell="L95" sqref="L95"/>
      <selection pane="bottomRight" activeCell="B22" sqref="B22:M2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498" t="s">
        <v>738</v>
      </c>
      <c r="C1" s="175">
        <f>AVERAGE(L7,L27)</f>
        <v>85.277751468978749</v>
      </c>
    </row>
    <row r="2" spans="1:50" ht="14.25" customHeight="1">
      <c r="B2" s="572" t="s">
        <v>660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  <c r="N2" s="608" t="s">
        <v>369</v>
      </c>
      <c r="O2" s="608" t="s">
        <v>105</v>
      </c>
      <c r="P2" s="610">
        <v>46140</v>
      </c>
      <c r="Q2" s="611"/>
      <c r="R2" s="611"/>
      <c r="S2" s="611"/>
      <c r="T2" s="611"/>
      <c r="U2" s="612">
        <v>46141</v>
      </c>
      <c r="V2" s="613"/>
      <c r="W2" s="613"/>
      <c r="X2" s="613"/>
      <c r="Y2" s="613"/>
      <c r="Z2" s="610">
        <v>46142</v>
      </c>
      <c r="AA2" s="611"/>
      <c r="AB2" s="611"/>
      <c r="AC2" s="611"/>
      <c r="AD2" s="611"/>
      <c r="AE2" s="612">
        <v>46143</v>
      </c>
      <c r="AF2" s="613"/>
      <c r="AG2" s="613"/>
      <c r="AH2" s="613"/>
      <c r="AI2" s="613"/>
      <c r="AJ2" s="600">
        <v>46144</v>
      </c>
      <c r="AK2" s="601"/>
      <c r="AL2" s="601"/>
      <c r="AM2" s="601"/>
      <c r="AN2" s="602"/>
      <c r="AO2" s="612">
        <v>46145</v>
      </c>
      <c r="AP2" s="613"/>
      <c r="AQ2" s="613"/>
      <c r="AR2" s="613"/>
      <c r="AS2" s="613"/>
      <c r="AT2" s="600">
        <v>46146</v>
      </c>
      <c r="AU2" s="601"/>
      <c r="AV2" s="601"/>
      <c r="AW2" s="601"/>
      <c r="AX2" s="602"/>
    </row>
    <row r="3" spans="1:50" ht="14.25" customHeight="1"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5"/>
      <c r="N3" s="609"/>
      <c r="O3" s="609"/>
      <c r="P3" s="603">
        <v>46140</v>
      </c>
      <c r="Q3" s="603"/>
      <c r="R3" s="603"/>
      <c r="S3" s="603"/>
      <c r="T3" s="603"/>
      <c r="U3" s="604">
        <v>46141</v>
      </c>
      <c r="V3" s="604"/>
      <c r="W3" s="604"/>
      <c r="X3" s="604"/>
      <c r="Y3" s="604"/>
      <c r="Z3" s="603">
        <v>46142</v>
      </c>
      <c r="AA3" s="603"/>
      <c r="AB3" s="603"/>
      <c r="AC3" s="603"/>
      <c r="AD3" s="603"/>
      <c r="AE3" s="604">
        <v>46143</v>
      </c>
      <c r="AF3" s="604"/>
      <c r="AG3" s="604"/>
      <c r="AH3" s="604"/>
      <c r="AI3" s="604"/>
      <c r="AJ3" s="605">
        <v>46144</v>
      </c>
      <c r="AK3" s="606"/>
      <c r="AL3" s="606"/>
      <c r="AM3" s="606"/>
      <c r="AN3" s="607"/>
      <c r="AO3" s="604">
        <v>46145</v>
      </c>
      <c r="AP3" s="604"/>
      <c r="AQ3" s="604"/>
      <c r="AR3" s="604"/>
      <c r="AS3" s="604"/>
      <c r="AT3" s="605">
        <v>46146</v>
      </c>
      <c r="AU3" s="606"/>
      <c r="AV3" s="606"/>
      <c r="AW3" s="606"/>
      <c r="AX3" s="607"/>
    </row>
    <row r="4" spans="1:50" ht="14.25" customHeight="1">
      <c r="B4" s="590" t="s">
        <v>162</v>
      </c>
      <c r="C4" s="590" t="s">
        <v>157</v>
      </c>
      <c r="D4" s="590"/>
      <c r="E4" s="590" t="s">
        <v>158</v>
      </c>
      <c r="F4" s="590"/>
      <c r="G4" s="590"/>
      <c r="H4" s="590" t="s">
        <v>163</v>
      </c>
      <c r="I4" s="591" t="s">
        <v>370</v>
      </c>
      <c r="J4" s="591"/>
      <c r="K4" s="591"/>
      <c r="L4" s="591" t="s">
        <v>163</v>
      </c>
      <c r="M4" s="591" t="s">
        <v>165</v>
      </c>
      <c r="N4" s="590"/>
      <c r="O4" s="590" t="s">
        <v>164</v>
      </c>
      <c r="P4" s="590" t="s">
        <v>160</v>
      </c>
      <c r="Q4" s="590"/>
      <c r="R4" s="590"/>
      <c r="S4" s="590"/>
      <c r="T4" s="590" t="s">
        <v>163</v>
      </c>
      <c r="U4" s="590" t="s">
        <v>160</v>
      </c>
      <c r="V4" s="590"/>
      <c r="W4" s="590"/>
      <c r="X4" s="590"/>
      <c r="Y4" s="590" t="s">
        <v>163</v>
      </c>
      <c r="Z4" s="590" t="s">
        <v>160</v>
      </c>
      <c r="AA4" s="590"/>
      <c r="AB4" s="590"/>
      <c r="AC4" s="590"/>
      <c r="AD4" s="590" t="s">
        <v>163</v>
      </c>
      <c r="AE4" s="590" t="s">
        <v>160</v>
      </c>
      <c r="AF4" s="590"/>
      <c r="AG4" s="590"/>
      <c r="AH4" s="590"/>
      <c r="AI4" s="590" t="s">
        <v>163</v>
      </c>
      <c r="AJ4" s="590" t="s">
        <v>160</v>
      </c>
      <c r="AK4" s="590"/>
      <c r="AL4" s="590"/>
      <c r="AM4" s="590"/>
      <c r="AN4" s="590" t="s">
        <v>163</v>
      </c>
      <c r="AO4" s="590" t="s">
        <v>160</v>
      </c>
      <c r="AP4" s="590"/>
      <c r="AQ4" s="590"/>
      <c r="AR4" s="590"/>
      <c r="AS4" s="590" t="s">
        <v>163</v>
      </c>
      <c r="AT4" s="590" t="s">
        <v>160</v>
      </c>
      <c r="AU4" s="590"/>
      <c r="AV4" s="590"/>
      <c r="AW4" s="590"/>
      <c r="AX4" s="590" t="s">
        <v>163</v>
      </c>
    </row>
    <row r="5" spans="1:50" ht="14.25" customHeight="1">
      <c r="B5" s="590"/>
      <c r="C5" s="590"/>
      <c r="D5" s="590"/>
      <c r="E5" s="590" t="s">
        <v>371</v>
      </c>
      <c r="F5" s="590"/>
      <c r="G5" s="590"/>
      <c r="H5" s="590"/>
      <c r="I5" s="591" t="s">
        <v>371</v>
      </c>
      <c r="J5" s="591"/>
      <c r="K5" s="591"/>
      <c r="L5" s="591"/>
      <c r="M5" s="591"/>
      <c r="N5" s="590"/>
      <c r="O5" s="590"/>
      <c r="P5" s="590" t="s">
        <v>372</v>
      </c>
      <c r="Q5" s="590"/>
      <c r="R5" s="590"/>
      <c r="S5" s="590"/>
      <c r="T5" s="590"/>
      <c r="U5" s="590" t="s">
        <v>372</v>
      </c>
      <c r="V5" s="590"/>
      <c r="W5" s="590"/>
      <c r="X5" s="590"/>
      <c r="Y5" s="590"/>
      <c r="Z5" s="590" t="s">
        <v>372</v>
      </c>
      <c r="AA5" s="590"/>
      <c r="AB5" s="590"/>
      <c r="AC5" s="590"/>
      <c r="AD5" s="590"/>
      <c r="AE5" s="590" t="s">
        <v>372</v>
      </c>
      <c r="AF5" s="590"/>
      <c r="AG5" s="590"/>
      <c r="AH5" s="590"/>
      <c r="AI5" s="590"/>
      <c r="AJ5" s="590" t="s">
        <v>372</v>
      </c>
      <c r="AK5" s="590"/>
      <c r="AL5" s="590"/>
      <c r="AM5" s="590"/>
      <c r="AN5" s="590"/>
      <c r="AO5" s="590" t="s">
        <v>372</v>
      </c>
      <c r="AP5" s="590"/>
      <c r="AQ5" s="590"/>
      <c r="AR5" s="590"/>
      <c r="AS5" s="590"/>
      <c r="AT5" s="590" t="s">
        <v>372</v>
      </c>
      <c r="AU5" s="590"/>
      <c r="AV5" s="590"/>
      <c r="AW5" s="590"/>
      <c r="AX5" s="590"/>
    </row>
    <row r="6" spans="1:50" ht="14.25" customHeight="1">
      <c r="B6" s="590"/>
      <c r="C6" s="590"/>
      <c r="D6" s="590"/>
      <c r="E6" s="180" t="s">
        <v>159</v>
      </c>
      <c r="F6" s="180" t="s">
        <v>373</v>
      </c>
      <c r="G6" s="180" t="s">
        <v>161</v>
      </c>
      <c r="H6" s="590"/>
      <c r="I6" s="181" t="s">
        <v>159</v>
      </c>
      <c r="J6" s="181" t="s">
        <v>373</v>
      </c>
      <c r="K6" s="181" t="s">
        <v>161</v>
      </c>
      <c r="L6" s="591"/>
      <c r="M6" s="591"/>
      <c r="N6" s="590"/>
      <c r="O6" s="590"/>
      <c r="P6" s="180" t="s">
        <v>159</v>
      </c>
      <c r="Q6" s="180" t="s">
        <v>373</v>
      </c>
      <c r="R6" s="180" t="s">
        <v>161</v>
      </c>
      <c r="S6" s="182" t="s">
        <v>165</v>
      </c>
      <c r="T6" s="590"/>
      <c r="U6" s="180" t="s">
        <v>159</v>
      </c>
      <c r="V6" s="180" t="s">
        <v>373</v>
      </c>
      <c r="W6" s="180" t="s">
        <v>161</v>
      </c>
      <c r="X6" s="182" t="s">
        <v>165</v>
      </c>
      <c r="Y6" s="590"/>
      <c r="Z6" s="180" t="s">
        <v>159</v>
      </c>
      <c r="AA6" s="180" t="s">
        <v>373</v>
      </c>
      <c r="AB6" s="180" t="s">
        <v>161</v>
      </c>
      <c r="AC6" s="182" t="s">
        <v>165</v>
      </c>
      <c r="AD6" s="590"/>
      <c r="AE6" s="180" t="s">
        <v>159</v>
      </c>
      <c r="AF6" s="180" t="s">
        <v>373</v>
      </c>
      <c r="AG6" s="180" t="s">
        <v>161</v>
      </c>
      <c r="AH6" s="182" t="s">
        <v>165</v>
      </c>
      <c r="AI6" s="590"/>
      <c r="AJ6" s="180" t="s">
        <v>159</v>
      </c>
      <c r="AK6" s="180" t="s">
        <v>373</v>
      </c>
      <c r="AL6" s="180" t="s">
        <v>161</v>
      </c>
      <c r="AM6" s="182" t="s">
        <v>165</v>
      </c>
      <c r="AN6" s="590"/>
      <c r="AO6" s="180" t="s">
        <v>159</v>
      </c>
      <c r="AP6" s="180" t="s">
        <v>373</v>
      </c>
      <c r="AQ6" s="180" t="s">
        <v>161</v>
      </c>
      <c r="AR6" s="182" t="s">
        <v>165</v>
      </c>
      <c r="AS6" s="590"/>
      <c r="AT6" s="180" t="s">
        <v>159</v>
      </c>
      <c r="AU6" s="180" t="s">
        <v>373</v>
      </c>
      <c r="AV6" s="180" t="s">
        <v>161</v>
      </c>
      <c r="AW6" s="182" t="s">
        <v>165</v>
      </c>
      <c r="AX6" s="590"/>
    </row>
    <row r="7" spans="1:50" ht="14.25" customHeight="1">
      <c r="B7" s="590" t="s">
        <v>350</v>
      </c>
      <c r="C7" s="180">
        <v>1</v>
      </c>
      <c r="D7" s="183" t="s">
        <v>344</v>
      </c>
      <c r="E7" s="180">
        <v>24</v>
      </c>
      <c r="F7" s="180">
        <v>2000</v>
      </c>
      <c r="G7" s="185">
        <f t="shared" ref="G7:G14" si="0">F7/E7</f>
        <v>83.333333333333329</v>
      </c>
      <c r="H7" s="595">
        <f>AVERAGE(G7:G21)</f>
        <v>95.022542769968396</v>
      </c>
      <c r="I7" s="186">
        <f>AVERAGE(P7,U7,Z7,AE7,AJ7,AO7,AT7)</f>
        <v>24</v>
      </c>
      <c r="J7" s="186">
        <f>AVERAGE(Q7,V7,AA7,AF7,AK7,AP7,AU7)</f>
        <v>1785.6013990749088</v>
      </c>
      <c r="K7" s="187">
        <f>AVERAGE(R7,W7,AB7,AG7,AL7,AQ7,AV7)</f>
        <v>74.400058294787883</v>
      </c>
      <c r="L7" s="596">
        <f>IFERROR(AVERAGE(K7:K21),"-")</f>
        <v>84.873928785145154</v>
      </c>
      <c r="M7" s="186">
        <f>RANK(K7, K$7:$K$21)</f>
        <v>8</v>
      </c>
      <c r="N7" s="590"/>
      <c r="O7" s="590"/>
      <c r="P7" s="188">
        <v>24</v>
      </c>
      <c r="Q7" s="188">
        <v>1780.1585139318909</v>
      </c>
      <c r="R7" s="185">
        <f>IFERROR(Q7/P7,"")</f>
        <v>74.173271413828786</v>
      </c>
      <c r="S7" s="182">
        <f>RANK(R7, R$7:R$21)</f>
        <v>8</v>
      </c>
      <c r="T7" s="595">
        <f>AVERAGE(R7:R21)</f>
        <v>84.271086813362857</v>
      </c>
      <c r="U7" s="188">
        <v>24</v>
      </c>
      <c r="V7" s="188">
        <v>1780.3585139318909</v>
      </c>
      <c r="W7" s="185">
        <f t="shared" ref="W7:W14" si="1">IFERROR(V7/U7,"")</f>
        <v>74.181604747162126</v>
      </c>
      <c r="X7" s="182">
        <f>RANK(W7, W$7:W$21)</f>
        <v>8</v>
      </c>
      <c r="Y7" s="595">
        <f>AVERAGE(W7:W21)</f>
        <v>84.27312809183077</v>
      </c>
      <c r="Z7" s="188">
        <v>24</v>
      </c>
      <c r="AA7" s="188">
        <v>1788.2185531321163</v>
      </c>
      <c r="AB7" s="185">
        <f t="shared" ref="AB7:AB14" si="2">IFERROR(AA7/Z7,"")</f>
        <v>74.509106380504846</v>
      </c>
      <c r="AC7" s="182">
        <f>RANK(AB7, AB$7:AB$21)</f>
        <v>8</v>
      </c>
      <c r="AD7" s="595">
        <f>AVERAGE(AB7:AB21)</f>
        <v>85.655759864118934</v>
      </c>
      <c r="AE7" s="188">
        <v>24</v>
      </c>
      <c r="AF7" s="188">
        <v>1788.0185531321163</v>
      </c>
      <c r="AG7" s="185">
        <f>IFERROR(AF7/AE7,"")</f>
        <v>74.500773047171506</v>
      </c>
      <c r="AH7" s="182">
        <f>RANK(AG7, AG$7:AG$21)</f>
        <v>8</v>
      </c>
      <c r="AI7" s="595">
        <f>AVERAGE(AG7:AG21)</f>
        <v>85.632018525529347</v>
      </c>
      <c r="AJ7" s="188">
        <v>24</v>
      </c>
      <c r="AK7" s="188">
        <v>1787.6185531321159</v>
      </c>
      <c r="AL7" s="185">
        <f t="shared" ref="AL7:AL14" si="3">IFERROR(AK7/AJ7,"")</f>
        <v>74.484106380504826</v>
      </c>
      <c r="AM7" s="182">
        <f>RANK(AL7, AL$7:AL$21)</f>
        <v>8</v>
      </c>
      <c r="AN7" s="595">
        <f>AVERAGE(AL7:AL21)</f>
        <v>85.663302565982278</v>
      </c>
      <c r="AO7" s="188">
        <v>24</v>
      </c>
      <c r="AP7" s="188">
        <v>1787.0185531321163</v>
      </c>
      <c r="AQ7" s="185">
        <f t="shared" ref="AQ7:AQ14" si="4">IFERROR(AP7/AO7,"")</f>
        <v>74.459106380504849</v>
      </c>
      <c r="AR7" s="182">
        <f>RANK(AQ7, AQ$7:AQ$21)</f>
        <v>8</v>
      </c>
      <c r="AS7" s="595">
        <f>AVERAGE(AQ7:AQ21)</f>
        <v>84.306631091405478</v>
      </c>
      <c r="AT7" s="188">
        <v>24</v>
      </c>
      <c r="AU7" s="188">
        <v>1787.8185531321162</v>
      </c>
      <c r="AV7" s="185">
        <f t="shared" ref="AV7:AV14" si="5">IFERROR(AU7/AT7,"")</f>
        <v>74.492439713838181</v>
      </c>
      <c r="AW7" s="182">
        <f>RANK(AV7, AV$7:AV$21)</f>
        <v>8</v>
      </c>
      <c r="AX7" s="595">
        <f>AVERAGE(AV7:AV21)</f>
        <v>84.31557454378644</v>
      </c>
    </row>
    <row r="8" spans="1:50" ht="14.25" customHeight="1">
      <c r="B8" s="590"/>
      <c r="C8" s="180">
        <v>2</v>
      </c>
      <c r="D8" s="183" t="s">
        <v>343</v>
      </c>
      <c r="E8" s="180">
        <v>23</v>
      </c>
      <c r="F8" s="180">
        <v>2000</v>
      </c>
      <c r="G8" s="185">
        <f t="shared" si="0"/>
        <v>86.956521739130437</v>
      </c>
      <c r="H8" s="595"/>
      <c r="I8" s="186">
        <f t="shared" ref="I8:K14" si="6">AVERAGE(P8,U8,Z8,AE8,AJ8,AO8,AT8)</f>
        <v>22.714285714285715</v>
      </c>
      <c r="J8" s="186">
        <f t="shared" si="6"/>
        <v>1800.0874232634017</v>
      </c>
      <c r="K8" s="187">
        <f t="shared" si="6"/>
        <v>79.274089999818287</v>
      </c>
      <c r="L8" s="596"/>
      <c r="M8" s="186">
        <f>RANK(K8, K$7:$K$21)</f>
        <v>4</v>
      </c>
      <c r="N8" s="590"/>
      <c r="O8" s="590"/>
      <c r="P8" s="188">
        <v>23</v>
      </c>
      <c r="Q8" s="188">
        <v>1791.6750301568106</v>
      </c>
      <c r="R8" s="185">
        <f t="shared" ref="R8:R14" si="7">IFERROR(Q8/P8,"")</f>
        <v>77.898914354643935</v>
      </c>
      <c r="S8" s="182">
        <f t="shared" ref="S8:S14" si="8">RANK(R8, R$7:R$21)</f>
        <v>4</v>
      </c>
      <c r="T8" s="595"/>
      <c r="U8" s="188">
        <v>23</v>
      </c>
      <c r="V8" s="188">
        <v>1792.0750301568105</v>
      </c>
      <c r="W8" s="185">
        <f t="shared" si="1"/>
        <v>77.91630565899176</v>
      </c>
      <c r="X8" s="182">
        <f t="shared" ref="X8:X14" si="9">RANK(W8, W$7:W$21)</f>
        <v>4</v>
      </c>
      <c r="Y8" s="595"/>
      <c r="Z8" s="188">
        <v>22</v>
      </c>
      <c r="AA8" s="188">
        <v>1789.3635967925372</v>
      </c>
      <c r="AB8" s="185">
        <f t="shared" si="2"/>
        <v>81.334708945115324</v>
      </c>
      <c r="AC8" s="182">
        <f t="shared" ref="AC8:AC14" si="10">RANK(AB8, AB$7:AB$21)</f>
        <v>4</v>
      </c>
      <c r="AD8" s="595"/>
      <c r="AE8" s="188">
        <v>22</v>
      </c>
      <c r="AF8" s="188">
        <v>1786</v>
      </c>
      <c r="AG8" s="185">
        <f t="shared" ref="AG8:AG14" si="11">IFERROR(AF8/AE8,"")</f>
        <v>81.181818181818187</v>
      </c>
      <c r="AH8" s="182">
        <f t="shared" ref="AH8:AH14" si="12">RANK(AG8, AG$7:AG$21)</f>
        <v>4</v>
      </c>
      <c r="AI8" s="595"/>
      <c r="AJ8" s="188">
        <v>23</v>
      </c>
      <c r="AK8" s="188">
        <v>1869.4983057376526</v>
      </c>
      <c r="AL8" s="185">
        <f t="shared" si="3"/>
        <v>81.282535032071848</v>
      </c>
      <c r="AM8" s="182">
        <f t="shared" ref="AM8:AM14" si="13">RANK(AL8, AL$7:AL$21)</f>
        <v>4</v>
      </c>
      <c r="AN8" s="595"/>
      <c r="AO8" s="188">
        <v>23</v>
      </c>
      <c r="AP8" s="188">
        <v>1786</v>
      </c>
      <c r="AQ8" s="185">
        <f t="shared" si="4"/>
        <v>77.652173913043484</v>
      </c>
      <c r="AR8" s="182">
        <f t="shared" ref="AR8:AR14" si="14">RANK(AQ8, AQ$7:AQ$21)</f>
        <v>4</v>
      </c>
      <c r="AS8" s="595"/>
      <c r="AT8" s="188">
        <v>23</v>
      </c>
      <c r="AU8" s="188">
        <v>1786.0000000000002</v>
      </c>
      <c r="AV8" s="185">
        <f t="shared" si="5"/>
        <v>77.652173913043484</v>
      </c>
      <c r="AW8" s="182">
        <f t="shared" ref="AW8:AW14" si="15">RANK(AV8, AV$7:AV$21)</f>
        <v>4</v>
      </c>
      <c r="AX8" s="595"/>
    </row>
    <row r="9" spans="1:50" ht="14.25" customHeight="1">
      <c r="B9" s="590"/>
      <c r="C9" s="180">
        <v>3</v>
      </c>
      <c r="D9" s="183" t="s">
        <v>351</v>
      </c>
      <c r="E9" s="180">
        <v>23</v>
      </c>
      <c r="F9" s="180">
        <v>2000</v>
      </c>
      <c r="G9" s="185">
        <f t="shared" si="0"/>
        <v>86.956521739130437</v>
      </c>
      <c r="H9" s="595"/>
      <c r="I9" s="186">
        <f t="shared" si="6"/>
        <v>22.714285714285715</v>
      </c>
      <c r="J9" s="186">
        <f t="shared" si="6"/>
        <v>1798.5902299960592</v>
      </c>
      <c r="K9" s="187">
        <f t="shared" si="6"/>
        <v>79.208446277876973</v>
      </c>
      <c r="L9" s="596"/>
      <c r="M9" s="186">
        <f>RANK(K9, K$7:$K$21)</f>
        <v>5</v>
      </c>
      <c r="N9" s="590"/>
      <c r="O9" s="590"/>
      <c r="P9" s="188">
        <v>23</v>
      </c>
      <c r="Q9" s="188">
        <v>1787.8212968471134</v>
      </c>
      <c r="R9" s="185">
        <f t="shared" si="7"/>
        <v>77.731360732483196</v>
      </c>
      <c r="S9" s="182">
        <f t="shared" si="8"/>
        <v>5</v>
      </c>
      <c r="T9" s="595"/>
      <c r="U9" s="188">
        <v>23</v>
      </c>
      <c r="V9" s="188">
        <v>1787.8212968471134</v>
      </c>
      <c r="W9" s="185">
        <f t="shared" si="1"/>
        <v>77.731360732483196</v>
      </c>
      <c r="X9" s="182">
        <f t="shared" si="9"/>
        <v>5</v>
      </c>
      <c r="Y9" s="595"/>
      <c r="Z9" s="188">
        <v>22</v>
      </c>
      <c r="AA9" s="188">
        <v>1787.4212968471136</v>
      </c>
      <c r="AB9" s="185">
        <f t="shared" si="2"/>
        <v>81.246422583959713</v>
      </c>
      <c r="AC9" s="182">
        <f t="shared" si="10"/>
        <v>5</v>
      </c>
      <c r="AD9" s="595"/>
      <c r="AE9" s="188">
        <v>22</v>
      </c>
      <c r="AF9" s="188">
        <v>1786.0000000000002</v>
      </c>
      <c r="AG9" s="185">
        <f t="shared" si="11"/>
        <v>81.181818181818187</v>
      </c>
      <c r="AH9" s="182">
        <f t="shared" si="12"/>
        <v>4</v>
      </c>
      <c r="AI9" s="595"/>
      <c r="AJ9" s="188">
        <v>23</v>
      </c>
      <c r="AK9" s="188">
        <v>1869.0677194310733</v>
      </c>
      <c r="AL9" s="185">
        <f t="shared" si="3"/>
        <v>81.263813888307538</v>
      </c>
      <c r="AM9" s="182">
        <f t="shared" si="13"/>
        <v>5</v>
      </c>
      <c r="AN9" s="595"/>
      <c r="AO9" s="188">
        <v>23</v>
      </c>
      <c r="AP9" s="188">
        <v>1786</v>
      </c>
      <c r="AQ9" s="185">
        <f t="shared" si="4"/>
        <v>77.652173913043484</v>
      </c>
      <c r="AR9" s="182">
        <f t="shared" si="14"/>
        <v>4</v>
      </c>
      <c r="AS9" s="595"/>
      <c r="AT9" s="188">
        <v>23</v>
      </c>
      <c r="AU9" s="188">
        <v>1786.0000000000002</v>
      </c>
      <c r="AV9" s="185">
        <f t="shared" si="5"/>
        <v>77.652173913043484</v>
      </c>
      <c r="AW9" s="182">
        <f t="shared" si="15"/>
        <v>4</v>
      </c>
      <c r="AX9" s="595"/>
    </row>
    <row r="10" spans="1:50" ht="14.25" customHeight="1">
      <c r="B10" s="590"/>
      <c r="C10" s="180">
        <v>4</v>
      </c>
      <c r="D10" s="183" t="s">
        <v>345</v>
      </c>
      <c r="E10" s="180">
        <v>23</v>
      </c>
      <c r="F10" s="180">
        <v>2000</v>
      </c>
      <c r="G10" s="185">
        <f t="shared" si="0"/>
        <v>86.956521739130437</v>
      </c>
      <c r="H10" s="595"/>
      <c r="I10" s="186">
        <f t="shared" si="6"/>
        <v>22.714285714285715</v>
      </c>
      <c r="J10" s="186">
        <f t="shared" si="6"/>
        <v>1797.4877735524144</v>
      </c>
      <c r="K10" s="187">
        <f t="shared" si="6"/>
        <v>79.160184182860135</v>
      </c>
      <c r="L10" s="596"/>
      <c r="M10" s="186">
        <f>RANK(K10, K$7:$K$21)</f>
        <v>6</v>
      </c>
      <c r="N10" s="590"/>
      <c r="O10" s="590"/>
      <c r="P10" s="188">
        <v>23</v>
      </c>
      <c r="Q10" s="188">
        <v>1785.0552486187842</v>
      </c>
      <c r="R10" s="185">
        <f t="shared" si="7"/>
        <v>77.611097766034092</v>
      </c>
      <c r="S10" s="182">
        <f t="shared" si="8"/>
        <v>6</v>
      </c>
      <c r="T10" s="595"/>
      <c r="U10" s="188">
        <v>23</v>
      </c>
      <c r="V10" s="188">
        <v>1785.4552486187843</v>
      </c>
      <c r="W10" s="185">
        <f t="shared" si="1"/>
        <v>77.628489070381917</v>
      </c>
      <c r="X10" s="182">
        <f t="shared" si="9"/>
        <v>6</v>
      </c>
      <c r="Y10" s="595"/>
      <c r="Z10" s="188">
        <v>22</v>
      </c>
      <c r="AA10" s="188">
        <v>1786.255248618784</v>
      </c>
      <c r="AB10" s="185">
        <f t="shared" si="2"/>
        <v>81.193420391762913</v>
      </c>
      <c r="AC10" s="182">
        <f t="shared" si="10"/>
        <v>6</v>
      </c>
      <c r="AD10" s="595"/>
      <c r="AE10" s="188">
        <v>22</v>
      </c>
      <c r="AF10" s="188">
        <v>1786.0000000000002</v>
      </c>
      <c r="AG10" s="185">
        <f t="shared" si="11"/>
        <v>81.181818181818187</v>
      </c>
      <c r="AH10" s="182">
        <f t="shared" si="12"/>
        <v>4</v>
      </c>
      <c r="AI10" s="595"/>
      <c r="AJ10" s="188">
        <v>23</v>
      </c>
      <c r="AK10" s="188">
        <v>1867.6486690105469</v>
      </c>
      <c r="AL10" s="185">
        <f t="shared" si="3"/>
        <v>81.202116043936826</v>
      </c>
      <c r="AM10" s="182">
        <f t="shared" si="13"/>
        <v>6</v>
      </c>
      <c r="AN10" s="595"/>
      <c r="AO10" s="188">
        <v>23</v>
      </c>
      <c r="AP10" s="188">
        <v>1785.9999999999998</v>
      </c>
      <c r="AQ10" s="185">
        <f t="shared" si="4"/>
        <v>77.65217391304347</v>
      </c>
      <c r="AR10" s="182">
        <f t="shared" si="14"/>
        <v>6</v>
      </c>
      <c r="AS10" s="595"/>
      <c r="AT10" s="188">
        <v>23</v>
      </c>
      <c r="AU10" s="188">
        <v>1785.9999999999998</v>
      </c>
      <c r="AV10" s="185">
        <f t="shared" si="5"/>
        <v>77.65217391304347</v>
      </c>
      <c r="AW10" s="182">
        <f t="shared" si="15"/>
        <v>6</v>
      </c>
      <c r="AX10" s="595"/>
    </row>
    <row r="11" spans="1:50" ht="14.25" customHeight="1">
      <c r="B11" s="590"/>
      <c r="C11" s="180">
        <v>5</v>
      </c>
      <c r="D11" s="183" t="s">
        <v>451</v>
      </c>
      <c r="E11" s="180">
        <v>19</v>
      </c>
      <c r="F11" s="180">
        <v>2000</v>
      </c>
      <c r="G11" s="185">
        <f t="shared" si="0"/>
        <v>105.26315789473684</v>
      </c>
      <c r="H11" s="595"/>
      <c r="I11" s="186">
        <f t="shared" si="6"/>
        <v>20</v>
      </c>
      <c r="J11" s="186">
        <f t="shared" si="6"/>
        <v>1786</v>
      </c>
      <c r="K11" s="187">
        <f t="shared" si="6"/>
        <v>89.299999999999983</v>
      </c>
      <c r="L11" s="596"/>
      <c r="M11" s="186">
        <f>RANK(K11, K$7:$K$21)</f>
        <v>3</v>
      </c>
      <c r="N11" s="590"/>
      <c r="O11" s="590"/>
      <c r="P11" s="188">
        <v>20</v>
      </c>
      <c r="Q11" s="188">
        <v>1786</v>
      </c>
      <c r="R11" s="185">
        <f t="shared" si="7"/>
        <v>89.3</v>
      </c>
      <c r="S11" s="182">
        <f t="shared" si="8"/>
        <v>3</v>
      </c>
      <c r="T11" s="595"/>
      <c r="U11" s="188">
        <v>20</v>
      </c>
      <c r="V11" s="188">
        <v>1786.0000000000002</v>
      </c>
      <c r="W11" s="185">
        <f t="shared" si="1"/>
        <v>89.300000000000011</v>
      </c>
      <c r="X11" s="182">
        <f t="shared" si="9"/>
        <v>2</v>
      </c>
      <c r="Y11" s="595"/>
      <c r="Z11" s="188">
        <v>20</v>
      </c>
      <c r="AA11" s="188">
        <v>1786</v>
      </c>
      <c r="AB11" s="185">
        <f t="shared" si="2"/>
        <v>89.3</v>
      </c>
      <c r="AC11" s="182">
        <f t="shared" si="10"/>
        <v>3</v>
      </c>
      <c r="AD11" s="595"/>
      <c r="AE11" s="188">
        <v>20</v>
      </c>
      <c r="AF11" s="188">
        <v>1786</v>
      </c>
      <c r="AG11" s="185">
        <f t="shared" si="11"/>
        <v>89.3</v>
      </c>
      <c r="AH11" s="182">
        <f t="shared" si="12"/>
        <v>3</v>
      </c>
      <c r="AI11" s="595"/>
      <c r="AJ11" s="188">
        <v>20</v>
      </c>
      <c r="AK11" s="188">
        <v>1785.9999999999998</v>
      </c>
      <c r="AL11" s="185">
        <f t="shared" si="3"/>
        <v>89.299999999999983</v>
      </c>
      <c r="AM11" s="182">
        <f t="shared" si="13"/>
        <v>3</v>
      </c>
      <c r="AN11" s="595"/>
      <c r="AO11" s="188">
        <v>20</v>
      </c>
      <c r="AP11" s="188">
        <v>1786</v>
      </c>
      <c r="AQ11" s="185">
        <f t="shared" si="4"/>
        <v>89.3</v>
      </c>
      <c r="AR11" s="182">
        <f t="shared" si="14"/>
        <v>3</v>
      </c>
      <c r="AS11" s="595"/>
      <c r="AT11" s="188">
        <v>20</v>
      </c>
      <c r="AU11" s="188">
        <v>1785.9999999999998</v>
      </c>
      <c r="AV11" s="185">
        <f t="shared" si="5"/>
        <v>89.299999999999983</v>
      </c>
      <c r="AW11" s="182">
        <f t="shared" si="15"/>
        <v>3</v>
      </c>
      <c r="AX11" s="595"/>
    </row>
    <row r="12" spans="1:50" ht="14.25" customHeight="1">
      <c r="B12" s="590"/>
      <c r="C12" s="180">
        <v>6</v>
      </c>
      <c r="D12" s="183" t="s">
        <v>497</v>
      </c>
      <c r="E12" s="180">
        <v>21</v>
      </c>
      <c r="F12" s="180">
        <v>1800</v>
      </c>
      <c r="G12" s="185">
        <f t="shared" si="0"/>
        <v>85.714285714285708</v>
      </c>
      <c r="H12" s="595"/>
      <c r="I12" s="186">
        <f t="shared" si="6"/>
        <v>21</v>
      </c>
      <c r="J12" s="186">
        <f t="shared" si="6"/>
        <v>1605.7342925930138</v>
      </c>
      <c r="K12" s="187">
        <f t="shared" si="6"/>
        <v>76.46353774252448</v>
      </c>
      <c r="L12" s="596"/>
      <c r="M12" s="186">
        <f>RANK(K12, K$7:$K$21)</f>
        <v>7</v>
      </c>
      <c r="N12" s="590"/>
      <c r="O12" s="590"/>
      <c r="P12" s="188">
        <v>21</v>
      </c>
      <c r="Q12" s="188">
        <v>1605.5723639047815</v>
      </c>
      <c r="R12" s="185">
        <f t="shared" si="7"/>
        <v>76.455826852608638</v>
      </c>
      <c r="S12" s="182">
        <f t="shared" si="8"/>
        <v>7</v>
      </c>
      <c r="T12" s="595"/>
      <c r="U12" s="188">
        <v>21</v>
      </c>
      <c r="V12" s="188">
        <v>1604.8523639047814</v>
      </c>
      <c r="W12" s="185">
        <f t="shared" si="1"/>
        <v>76.421541138322922</v>
      </c>
      <c r="X12" s="182">
        <f t="shared" si="9"/>
        <v>7</v>
      </c>
      <c r="Y12" s="595"/>
      <c r="Z12" s="188">
        <v>21</v>
      </c>
      <c r="AA12" s="188">
        <v>1606.3750640683068</v>
      </c>
      <c r="AB12" s="185">
        <f t="shared" si="2"/>
        <v>76.494050669919375</v>
      </c>
      <c r="AC12" s="182">
        <f t="shared" si="10"/>
        <v>7</v>
      </c>
      <c r="AD12" s="595"/>
      <c r="AE12" s="188">
        <v>21</v>
      </c>
      <c r="AF12" s="188">
        <v>1606.375064068307</v>
      </c>
      <c r="AG12" s="185">
        <f t="shared" si="11"/>
        <v>76.494050669919375</v>
      </c>
      <c r="AH12" s="182">
        <f t="shared" si="12"/>
        <v>7</v>
      </c>
      <c r="AI12" s="595"/>
      <c r="AJ12" s="188">
        <v>21</v>
      </c>
      <c r="AK12" s="188">
        <v>1606.1950640683071</v>
      </c>
      <c r="AL12" s="185">
        <f t="shared" si="3"/>
        <v>76.48547924134796</v>
      </c>
      <c r="AM12" s="182">
        <f t="shared" si="13"/>
        <v>7</v>
      </c>
      <c r="AN12" s="595"/>
      <c r="AO12" s="188">
        <v>21</v>
      </c>
      <c r="AP12" s="188">
        <v>1605.1150640683072</v>
      </c>
      <c r="AQ12" s="185">
        <f t="shared" si="4"/>
        <v>76.434050669919387</v>
      </c>
      <c r="AR12" s="182">
        <f t="shared" si="14"/>
        <v>7</v>
      </c>
      <c r="AS12" s="595"/>
      <c r="AT12" s="188">
        <v>21</v>
      </c>
      <c r="AU12" s="188">
        <v>1605.6550640683072</v>
      </c>
      <c r="AV12" s="185">
        <f t="shared" si="5"/>
        <v>76.459764955633673</v>
      </c>
      <c r="AW12" s="182">
        <f t="shared" si="15"/>
        <v>7</v>
      </c>
      <c r="AX12" s="595"/>
    </row>
    <row r="13" spans="1:50" ht="14.25" customHeight="1">
      <c r="B13" s="590"/>
      <c r="C13" s="180">
        <v>7</v>
      </c>
      <c r="D13" s="183" t="s">
        <v>498</v>
      </c>
      <c r="E13" s="180">
        <v>20</v>
      </c>
      <c r="F13" s="180">
        <v>2000</v>
      </c>
      <c r="G13" s="185">
        <f t="shared" si="0"/>
        <v>100</v>
      </c>
      <c r="H13" s="595"/>
      <c r="I13" s="186">
        <f t="shared" si="6"/>
        <v>20</v>
      </c>
      <c r="J13" s="186">
        <f t="shared" si="6"/>
        <v>1788.4208852000145</v>
      </c>
      <c r="K13" s="187">
        <f t="shared" si="6"/>
        <v>89.421044260000727</v>
      </c>
      <c r="L13" s="596"/>
      <c r="M13" s="186">
        <f>RANK(K13, K$7:$K$21)</f>
        <v>2</v>
      </c>
      <c r="N13" s="590"/>
      <c r="O13" s="590"/>
      <c r="P13" s="188">
        <v>20</v>
      </c>
      <c r="Q13" s="188">
        <v>1786.2610032863447</v>
      </c>
      <c r="R13" s="185">
        <f t="shared" si="7"/>
        <v>89.313050164317232</v>
      </c>
      <c r="S13" s="182">
        <f t="shared" si="8"/>
        <v>2</v>
      </c>
      <c r="T13" s="595"/>
      <c r="U13" s="188">
        <v>20</v>
      </c>
      <c r="V13" s="188">
        <v>1785.6610032863446</v>
      </c>
      <c r="W13" s="185">
        <f t="shared" si="1"/>
        <v>89.283050164317231</v>
      </c>
      <c r="X13" s="182">
        <f t="shared" si="9"/>
        <v>3</v>
      </c>
      <c r="Y13" s="595"/>
      <c r="Z13" s="188">
        <v>20</v>
      </c>
      <c r="AA13" s="188">
        <v>1788.8048379654826</v>
      </c>
      <c r="AB13" s="185">
        <f t="shared" si="2"/>
        <v>89.440241898274138</v>
      </c>
      <c r="AC13" s="182">
        <f t="shared" si="10"/>
        <v>2</v>
      </c>
      <c r="AD13" s="595"/>
      <c r="AE13" s="188">
        <v>20</v>
      </c>
      <c r="AF13" s="188">
        <v>1789.0048379654829</v>
      </c>
      <c r="AG13" s="185">
        <f t="shared" si="11"/>
        <v>89.450241898274143</v>
      </c>
      <c r="AH13" s="182">
        <f t="shared" si="12"/>
        <v>2</v>
      </c>
      <c r="AI13" s="595"/>
      <c r="AJ13" s="188">
        <v>20</v>
      </c>
      <c r="AK13" s="188">
        <v>1789.2048379654827</v>
      </c>
      <c r="AL13" s="185">
        <f t="shared" si="3"/>
        <v>89.460241898274134</v>
      </c>
      <c r="AM13" s="182">
        <f t="shared" si="13"/>
        <v>2</v>
      </c>
      <c r="AN13" s="595"/>
      <c r="AO13" s="188">
        <v>20</v>
      </c>
      <c r="AP13" s="188">
        <v>1790.0048379654825</v>
      </c>
      <c r="AQ13" s="185">
        <f t="shared" si="4"/>
        <v>89.500241898274126</v>
      </c>
      <c r="AR13" s="182">
        <f t="shared" si="14"/>
        <v>2</v>
      </c>
      <c r="AS13" s="595"/>
      <c r="AT13" s="188">
        <v>20</v>
      </c>
      <c r="AU13" s="188">
        <v>1790.0048379654825</v>
      </c>
      <c r="AV13" s="185">
        <f t="shared" si="5"/>
        <v>89.500241898274126</v>
      </c>
      <c r="AW13" s="182">
        <f t="shared" si="15"/>
        <v>2</v>
      </c>
      <c r="AX13" s="595"/>
    </row>
    <row r="14" spans="1:50" ht="14.25" customHeight="1">
      <c r="B14" s="590"/>
      <c r="C14" s="180">
        <v>8</v>
      </c>
      <c r="D14" s="183" t="s">
        <v>615</v>
      </c>
      <c r="E14" s="180">
        <v>16</v>
      </c>
      <c r="F14" s="180">
        <v>2000</v>
      </c>
      <c r="G14" s="185">
        <f t="shared" si="0"/>
        <v>125</v>
      </c>
      <c r="H14" s="595"/>
      <c r="I14" s="186">
        <f t="shared" si="6"/>
        <v>16</v>
      </c>
      <c r="J14" s="186">
        <f t="shared" si="6"/>
        <v>1788.2251123726844</v>
      </c>
      <c r="K14" s="187">
        <f t="shared" si="6"/>
        <v>111.76406952329278</v>
      </c>
      <c r="L14" s="596"/>
      <c r="M14" s="186">
        <f>RANK(K14, K$7:$K$21)</f>
        <v>1</v>
      </c>
      <c r="N14" s="590"/>
      <c r="O14" s="590"/>
      <c r="P14" s="188">
        <v>16</v>
      </c>
      <c r="Q14" s="188">
        <v>1786.9627715677909</v>
      </c>
      <c r="R14" s="185">
        <f t="shared" si="7"/>
        <v>111.68517322298693</v>
      </c>
      <c r="S14" s="182">
        <f t="shared" si="8"/>
        <v>1</v>
      </c>
      <c r="T14" s="595"/>
      <c r="U14" s="188">
        <v>16</v>
      </c>
      <c r="V14" s="188">
        <v>1787.5627715677911</v>
      </c>
      <c r="W14" s="185">
        <f t="shared" si="1"/>
        <v>111.72267322298694</v>
      </c>
      <c r="X14" s="182">
        <f t="shared" si="9"/>
        <v>1</v>
      </c>
      <c r="Y14" s="595"/>
      <c r="Z14" s="188">
        <v>16</v>
      </c>
      <c r="AA14" s="188">
        <v>1787.6500486946422</v>
      </c>
      <c r="AB14" s="185">
        <f t="shared" si="2"/>
        <v>111.72812804341514</v>
      </c>
      <c r="AC14" s="182">
        <f t="shared" si="10"/>
        <v>1</v>
      </c>
      <c r="AD14" s="595"/>
      <c r="AE14" s="188">
        <v>16</v>
      </c>
      <c r="AF14" s="188">
        <v>1788.2500486946421</v>
      </c>
      <c r="AG14" s="185">
        <f t="shared" si="11"/>
        <v>111.76562804341513</v>
      </c>
      <c r="AH14" s="182">
        <f t="shared" si="12"/>
        <v>1</v>
      </c>
      <c r="AI14" s="595"/>
      <c r="AJ14" s="188">
        <v>16</v>
      </c>
      <c r="AK14" s="188">
        <v>1789.2500486946424</v>
      </c>
      <c r="AL14" s="185">
        <f t="shared" si="3"/>
        <v>111.82812804341515</v>
      </c>
      <c r="AM14" s="182">
        <f t="shared" si="13"/>
        <v>1</v>
      </c>
      <c r="AN14" s="595"/>
      <c r="AO14" s="188">
        <v>16</v>
      </c>
      <c r="AP14" s="188">
        <v>1788.8500486946421</v>
      </c>
      <c r="AQ14" s="185">
        <f t="shared" si="4"/>
        <v>111.80312804341513</v>
      </c>
      <c r="AR14" s="182">
        <f t="shared" si="14"/>
        <v>1</v>
      </c>
      <c r="AS14" s="595"/>
      <c r="AT14" s="188">
        <v>16</v>
      </c>
      <c r="AU14" s="188">
        <v>1789.0500486946421</v>
      </c>
      <c r="AV14" s="185">
        <f t="shared" si="5"/>
        <v>111.81562804341513</v>
      </c>
      <c r="AW14" s="182">
        <f t="shared" si="15"/>
        <v>1</v>
      </c>
      <c r="AX14" s="595"/>
    </row>
    <row r="15" spans="1:50" ht="14.25" customHeight="1">
      <c r="B15" s="590"/>
      <c r="C15" s="180">
        <v>9</v>
      </c>
      <c r="D15" s="183"/>
      <c r="E15" s="180"/>
      <c r="F15" s="180"/>
      <c r="G15" s="185"/>
      <c r="H15" s="595"/>
      <c r="I15" s="186"/>
      <c r="J15" s="186"/>
      <c r="K15" s="187"/>
      <c r="L15" s="596"/>
      <c r="M15" s="186"/>
      <c r="N15" s="590"/>
      <c r="O15" s="590"/>
      <c r="P15" s="188"/>
      <c r="Q15" s="188"/>
      <c r="R15" s="185"/>
      <c r="S15" s="182"/>
      <c r="T15" s="595"/>
      <c r="U15" s="188"/>
      <c r="V15" s="188"/>
      <c r="W15" s="185"/>
      <c r="X15" s="182"/>
      <c r="Y15" s="595"/>
      <c r="Z15" s="188"/>
      <c r="AA15" s="188"/>
      <c r="AB15" s="185"/>
      <c r="AC15" s="182"/>
      <c r="AD15" s="595"/>
      <c r="AE15" s="188"/>
      <c r="AF15" s="188"/>
      <c r="AG15" s="185"/>
      <c r="AH15" s="182"/>
      <c r="AI15" s="595"/>
      <c r="AJ15" s="188"/>
      <c r="AK15" s="188"/>
      <c r="AL15" s="185"/>
      <c r="AM15" s="182"/>
      <c r="AN15" s="595"/>
      <c r="AO15" s="188"/>
      <c r="AP15" s="188"/>
      <c r="AQ15" s="185"/>
      <c r="AR15" s="182"/>
      <c r="AS15" s="595"/>
      <c r="AT15" s="188"/>
      <c r="AU15" s="188"/>
      <c r="AV15" s="185"/>
      <c r="AW15" s="182"/>
      <c r="AX15" s="595"/>
    </row>
    <row r="16" spans="1:50" ht="14.25" customHeight="1">
      <c r="B16" s="590"/>
      <c r="C16" s="180">
        <v>10</v>
      </c>
      <c r="D16" s="183"/>
      <c r="E16" s="180"/>
      <c r="F16" s="180"/>
      <c r="G16" s="185"/>
      <c r="H16" s="595"/>
      <c r="I16" s="186"/>
      <c r="J16" s="186"/>
      <c r="K16" s="187"/>
      <c r="L16" s="596"/>
      <c r="M16" s="186"/>
      <c r="N16" s="590"/>
      <c r="O16" s="590"/>
      <c r="P16" s="188"/>
      <c r="Q16" s="188"/>
      <c r="R16" s="185"/>
      <c r="S16" s="182"/>
      <c r="T16" s="595"/>
      <c r="U16" s="188"/>
      <c r="V16" s="188"/>
      <c r="W16" s="185"/>
      <c r="X16" s="182"/>
      <c r="Y16" s="595"/>
      <c r="Z16" s="188"/>
      <c r="AA16" s="188"/>
      <c r="AB16" s="185"/>
      <c r="AC16" s="182"/>
      <c r="AD16" s="595"/>
      <c r="AE16" s="188"/>
      <c r="AF16" s="188"/>
      <c r="AG16" s="185"/>
      <c r="AH16" s="182"/>
      <c r="AI16" s="595"/>
      <c r="AJ16" s="188"/>
      <c r="AK16" s="188"/>
      <c r="AL16" s="185"/>
      <c r="AM16" s="182"/>
      <c r="AN16" s="595"/>
      <c r="AO16" s="188"/>
      <c r="AP16" s="188"/>
      <c r="AQ16" s="185"/>
      <c r="AR16" s="182"/>
      <c r="AS16" s="595"/>
      <c r="AT16" s="188"/>
      <c r="AU16" s="188"/>
      <c r="AV16" s="185"/>
      <c r="AW16" s="182"/>
      <c r="AX16" s="595"/>
    </row>
    <row r="17" spans="2:50" ht="14.25" customHeight="1">
      <c r="B17" s="590"/>
      <c r="C17" s="180">
        <v>11</v>
      </c>
      <c r="D17" s="183"/>
      <c r="E17" s="180"/>
      <c r="F17" s="180"/>
      <c r="G17" s="185"/>
      <c r="H17" s="595"/>
      <c r="I17" s="186"/>
      <c r="J17" s="186"/>
      <c r="K17" s="187"/>
      <c r="L17" s="596"/>
      <c r="M17" s="186"/>
      <c r="N17" s="590"/>
      <c r="O17" s="590"/>
      <c r="P17" s="188"/>
      <c r="Q17" s="188"/>
      <c r="R17" s="185"/>
      <c r="S17" s="182"/>
      <c r="T17" s="595"/>
      <c r="U17" s="188"/>
      <c r="V17" s="188"/>
      <c r="W17" s="185"/>
      <c r="X17" s="182"/>
      <c r="Y17" s="595"/>
      <c r="Z17" s="188"/>
      <c r="AA17" s="188"/>
      <c r="AB17" s="185"/>
      <c r="AC17" s="182"/>
      <c r="AD17" s="595"/>
      <c r="AE17" s="188"/>
      <c r="AF17" s="188"/>
      <c r="AG17" s="185"/>
      <c r="AH17" s="182"/>
      <c r="AI17" s="595"/>
      <c r="AJ17" s="188"/>
      <c r="AK17" s="188"/>
      <c r="AL17" s="185"/>
      <c r="AM17" s="182"/>
      <c r="AN17" s="595"/>
      <c r="AO17" s="188"/>
      <c r="AP17" s="188"/>
      <c r="AQ17" s="185"/>
      <c r="AR17" s="182"/>
      <c r="AS17" s="595"/>
      <c r="AT17" s="188"/>
      <c r="AU17" s="188"/>
      <c r="AV17" s="185"/>
      <c r="AW17" s="182"/>
      <c r="AX17" s="595"/>
    </row>
    <row r="18" spans="2:50" ht="14.25" customHeight="1">
      <c r="B18" s="590"/>
      <c r="C18" s="180">
        <v>12</v>
      </c>
      <c r="D18" s="183"/>
      <c r="E18" s="180"/>
      <c r="F18" s="180"/>
      <c r="G18" s="185"/>
      <c r="H18" s="595"/>
      <c r="I18" s="186"/>
      <c r="J18" s="186"/>
      <c r="K18" s="187"/>
      <c r="L18" s="596"/>
      <c r="M18" s="186"/>
      <c r="N18" s="590"/>
      <c r="O18" s="590"/>
      <c r="P18" s="188"/>
      <c r="Q18" s="188"/>
      <c r="R18" s="185"/>
      <c r="S18" s="182"/>
      <c r="T18" s="595"/>
      <c r="U18" s="188"/>
      <c r="V18" s="188"/>
      <c r="W18" s="185"/>
      <c r="X18" s="182"/>
      <c r="Y18" s="595"/>
      <c r="Z18" s="188"/>
      <c r="AA18" s="188"/>
      <c r="AB18" s="185"/>
      <c r="AC18" s="182"/>
      <c r="AD18" s="595"/>
      <c r="AE18" s="188"/>
      <c r="AF18" s="188"/>
      <c r="AG18" s="185"/>
      <c r="AH18" s="182"/>
      <c r="AI18" s="595"/>
      <c r="AJ18" s="188"/>
      <c r="AK18" s="188"/>
      <c r="AL18" s="185"/>
      <c r="AM18" s="182"/>
      <c r="AN18" s="595"/>
      <c r="AO18" s="188"/>
      <c r="AP18" s="188"/>
      <c r="AQ18" s="185"/>
      <c r="AR18" s="182"/>
      <c r="AS18" s="595"/>
      <c r="AT18" s="188"/>
      <c r="AU18" s="188"/>
      <c r="AV18" s="185"/>
      <c r="AW18" s="182"/>
      <c r="AX18" s="595"/>
    </row>
    <row r="19" spans="2:50" ht="14.25" customHeight="1">
      <c r="B19" s="590"/>
      <c r="C19" s="180">
        <v>13</v>
      </c>
      <c r="D19" s="183"/>
      <c r="E19" s="180"/>
      <c r="F19" s="180"/>
      <c r="G19" s="185"/>
      <c r="H19" s="595"/>
      <c r="I19" s="186"/>
      <c r="J19" s="186"/>
      <c r="K19" s="187"/>
      <c r="L19" s="596"/>
      <c r="M19" s="186"/>
      <c r="N19" s="590"/>
      <c r="O19" s="590"/>
      <c r="P19" s="188"/>
      <c r="Q19" s="188"/>
      <c r="R19" s="185"/>
      <c r="S19" s="182"/>
      <c r="T19" s="595"/>
      <c r="U19" s="188"/>
      <c r="V19" s="188"/>
      <c r="W19" s="185"/>
      <c r="X19" s="182"/>
      <c r="Y19" s="595"/>
      <c r="Z19" s="188"/>
      <c r="AA19" s="188"/>
      <c r="AB19" s="185"/>
      <c r="AC19" s="182"/>
      <c r="AD19" s="595"/>
      <c r="AE19" s="188"/>
      <c r="AF19" s="188"/>
      <c r="AG19" s="185"/>
      <c r="AH19" s="182"/>
      <c r="AI19" s="595"/>
      <c r="AJ19" s="188"/>
      <c r="AK19" s="188"/>
      <c r="AL19" s="185"/>
      <c r="AM19" s="182"/>
      <c r="AN19" s="595"/>
      <c r="AO19" s="188"/>
      <c r="AP19" s="188"/>
      <c r="AQ19" s="185"/>
      <c r="AR19" s="182"/>
      <c r="AS19" s="595"/>
      <c r="AT19" s="188"/>
      <c r="AU19" s="188"/>
      <c r="AV19" s="185"/>
      <c r="AW19" s="182"/>
      <c r="AX19" s="595"/>
    </row>
    <row r="20" spans="2:50" ht="14.25" customHeight="1">
      <c r="B20" s="590"/>
      <c r="C20" s="180">
        <v>14</v>
      </c>
      <c r="D20" s="183"/>
      <c r="E20" s="180"/>
      <c r="F20" s="180"/>
      <c r="G20" s="185"/>
      <c r="H20" s="595"/>
      <c r="I20" s="186"/>
      <c r="J20" s="186"/>
      <c r="K20" s="187"/>
      <c r="L20" s="596"/>
      <c r="M20" s="186"/>
      <c r="N20" s="590"/>
      <c r="O20" s="590"/>
      <c r="P20" s="188"/>
      <c r="Q20" s="188"/>
      <c r="R20" s="185"/>
      <c r="S20" s="182"/>
      <c r="T20" s="595"/>
      <c r="U20" s="188"/>
      <c r="V20" s="188"/>
      <c r="W20" s="185"/>
      <c r="X20" s="182"/>
      <c r="Y20" s="595"/>
      <c r="Z20" s="188"/>
      <c r="AA20" s="188"/>
      <c r="AB20" s="185"/>
      <c r="AC20" s="182"/>
      <c r="AD20" s="595"/>
      <c r="AE20" s="188"/>
      <c r="AF20" s="188"/>
      <c r="AG20" s="185"/>
      <c r="AH20" s="182"/>
      <c r="AI20" s="595"/>
      <c r="AJ20" s="188"/>
      <c r="AK20" s="188"/>
      <c r="AL20" s="185"/>
      <c r="AM20" s="182"/>
      <c r="AN20" s="595"/>
      <c r="AO20" s="188"/>
      <c r="AP20" s="188"/>
      <c r="AQ20" s="185"/>
      <c r="AR20" s="182"/>
      <c r="AS20" s="595"/>
      <c r="AT20" s="188"/>
      <c r="AU20" s="188"/>
      <c r="AV20" s="185"/>
      <c r="AW20" s="182"/>
      <c r="AX20" s="595"/>
    </row>
    <row r="21" spans="2:50" ht="14.25" customHeight="1">
      <c r="B21" s="590"/>
      <c r="C21" s="180">
        <v>15</v>
      </c>
      <c r="D21" s="183"/>
      <c r="E21" s="180"/>
      <c r="F21" s="180"/>
      <c r="G21" s="185"/>
      <c r="H21" s="595"/>
      <c r="I21" s="186"/>
      <c r="J21" s="186"/>
      <c r="K21" s="187"/>
      <c r="L21" s="596"/>
      <c r="M21" s="186"/>
      <c r="N21" s="590"/>
      <c r="O21" s="590"/>
      <c r="P21" s="188"/>
      <c r="Q21" s="188"/>
      <c r="R21" s="185"/>
      <c r="S21" s="182"/>
      <c r="T21" s="595"/>
      <c r="U21" s="188"/>
      <c r="V21" s="188"/>
      <c r="W21" s="185"/>
      <c r="X21" s="182"/>
      <c r="Y21" s="595"/>
      <c r="Z21" s="188"/>
      <c r="AA21" s="188"/>
      <c r="AB21" s="185"/>
      <c r="AC21" s="182"/>
      <c r="AD21" s="595"/>
      <c r="AE21" s="188"/>
      <c r="AF21" s="188"/>
      <c r="AG21" s="185"/>
      <c r="AH21" s="182"/>
      <c r="AI21" s="595"/>
      <c r="AJ21" s="188"/>
      <c r="AK21" s="188"/>
      <c r="AL21" s="185"/>
      <c r="AM21" s="182"/>
      <c r="AN21" s="595"/>
      <c r="AO21" s="188"/>
      <c r="AP21" s="188"/>
      <c r="AQ21" s="185"/>
      <c r="AR21" s="182"/>
      <c r="AS21" s="595"/>
      <c r="AT21" s="188"/>
      <c r="AU21" s="188"/>
      <c r="AV21" s="185"/>
      <c r="AW21" s="182"/>
      <c r="AX21" s="595"/>
    </row>
    <row r="22" spans="2:50" ht="14.25" customHeight="1">
      <c r="B22" s="572" t="s">
        <v>737</v>
      </c>
      <c r="C22" s="572"/>
      <c r="D22" s="572"/>
      <c r="E22" s="572"/>
      <c r="F22" s="572"/>
      <c r="G22" s="572"/>
      <c r="H22" s="572"/>
      <c r="I22" s="572"/>
      <c r="J22" s="572"/>
      <c r="K22" s="572"/>
      <c r="L22" s="572"/>
      <c r="M22" s="573"/>
      <c r="N22" s="608" t="s">
        <v>369</v>
      </c>
      <c r="O22" s="608" t="s">
        <v>105</v>
      </c>
      <c r="P22" s="610">
        <v>46147</v>
      </c>
      <c r="Q22" s="611"/>
      <c r="R22" s="611"/>
      <c r="S22" s="611"/>
      <c r="T22" s="611"/>
      <c r="U22" s="612">
        <v>46148</v>
      </c>
      <c r="V22" s="613"/>
      <c r="W22" s="613"/>
      <c r="X22" s="613"/>
      <c r="Y22" s="613"/>
      <c r="Z22" s="610">
        <v>46149</v>
      </c>
      <c r="AA22" s="611"/>
      <c r="AB22" s="611"/>
      <c r="AC22" s="611"/>
      <c r="AD22" s="611"/>
      <c r="AE22" s="612">
        <v>46150</v>
      </c>
      <c r="AF22" s="613"/>
      <c r="AG22" s="613"/>
      <c r="AH22" s="613"/>
      <c r="AI22" s="613"/>
      <c r="AJ22" s="600">
        <v>46151</v>
      </c>
      <c r="AK22" s="601"/>
      <c r="AL22" s="601"/>
      <c r="AM22" s="601"/>
      <c r="AN22" s="602"/>
      <c r="AO22" s="612">
        <v>46152</v>
      </c>
      <c r="AP22" s="613"/>
      <c r="AQ22" s="613"/>
      <c r="AR22" s="613"/>
      <c r="AS22" s="613"/>
      <c r="AT22" s="600">
        <v>46153</v>
      </c>
      <c r="AU22" s="601"/>
      <c r="AV22" s="601"/>
      <c r="AW22" s="601"/>
      <c r="AX22" s="602"/>
    </row>
    <row r="23" spans="2:50" ht="14.25" customHeight="1">
      <c r="B23" s="574"/>
      <c r="C23" s="574"/>
      <c r="D23" s="574"/>
      <c r="E23" s="574"/>
      <c r="F23" s="574"/>
      <c r="G23" s="574"/>
      <c r="H23" s="574"/>
      <c r="I23" s="574"/>
      <c r="J23" s="574"/>
      <c r="K23" s="574"/>
      <c r="L23" s="574"/>
      <c r="M23" s="575"/>
      <c r="N23" s="609"/>
      <c r="O23" s="609"/>
      <c r="P23" s="603">
        <v>46147</v>
      </c>
      <c r="Q23" s="603"/>
      <c r="R23" s="603"/>
      <c r="S23" s="603"/>
      <c r="T23" s="603"/>
      <c r="U23" s="604">
        <v>46148</v>
      </c>
      <c r="V23" s="604"/>
      <c r="W23" s="604"/>
      <c r="X23" s="604"/>
      <c r="Y23" s="604"/>
      <c r="Z23" s="603">
        <v>46149</v>
      </c>
      <c r="AA23" s="603"/>
      <c r="AB23" s="603"/>
      <c r="AC23" s="603"/>
      <c r="AD23" s="603"/>
      <c r="AE23" s="604">
        <v>46150</v>
      </c>
      <c r="AF23" s="604"/>
      <c r="AG23" s="604"/>
      <c r="AH23" s="604"/>
      <c r="AI23" s="604"/>
      <c r="AJ23" s="605">
        <v>46151</v>
      </c>
      <c r="AK23" s="606"/>
      <c r="AL23" s="606"/>
      <c r="AM23" s="606"/>
      <c r="AN23" s="607"/>
      <c r="AO23" s="604">
        <v>46152</v>
      </c>
      <c r="AP23" s="604"/>
      <c r="AQ23" s="604"/>
      <c r="AR23" s="604"/>
      <c r="AS23" s="604"/>
      <c r="AT23" s="605">
        <v>46153</v>
      </c>
      <c r="AU23" s="606"/>
      <c r="AV23" s="606"/>
      <c r="AW23" s="606"/>
      <c r="AX23" s="607"/>
    </row>
    <row r="24" spans="2:50" ht="14.25" customHeight="1">
      <c r="B24" s="590" t="s">
        <v>162</v>
      </c>
      <c r="C24" s="590" t="s">
        <v>157</v>
      </c>
      <c r="D24" s="590"/>
      <c r="E24" s="590" t="s">
        <v>158</v>
      </c>
      <c r="F24" s="590"/>
      <c r="G24" s="590"/>
      <c r="H24" s="590" t="s">
        <v>163</v>
      </c>
      <c r="I24" s="591" t="s">
        <v>370</v>
      </c>
      <c r="J24" s="591"/>
      <c r="K24" s="591"/>
      <c r="L24" s="591" t="s">
        <v>163</v>
      </c>
      <c r="M24" s="591" t="s">
        <v>165</v>
      </c>
      <c r="N24" s="590"/>
      <c r="O24" s="590" t="s">
        <v>164</v>
      </c>
      <c r="P24" s="590" t="s">
        <v>160</v>
      </c>
      <c r="Q24" s="590"/>
      <c r="R24" s="590"/>
      <c r="S24" s="590"/>
      <c r="T24" s="590" t="s">
        <v>163</v>
      </c>
      <c r="U24" s="590" t="s">
        <v>160</v>
      </c>
      <c r="V24" s="590"/>
      <c r="W24" s="590"/>
      <c r="X24" s="590"/>
      <c r="Y24" s="590" t="s">
        <v>163</v>
      </c>
      <c r="Z24" s="590" t="s">
        <v>160</v>
      </c>
      <c r="AA24" s="590"/>
      <c r="AB24" s="590"/>
      <c r="AC24" s="590"/>
      <c r="AD24" s="590" t="s">
        <v>163</v>
      </c>
      <c r="AE24" s="590" t="s">
        <v>160</v>
      </c>
      <c r="AF24" s="590"/>
      <c r="AG24" s="590"/>
      <c r="AH24" s="590"/>
      <c r="AI24" s="590" t="s">
        <v>163</v>
      </c>
      <c r="AJ24" s="590" t="s">
        <v>160</v>
      </c>
      <c r="AK24" s="590"/>
      <c r="AL24" s="590"/>
      <c r="AM24" s="590"/>
      <c r="AN24" s="590" t="s">
        <v>163</v>
      </c>
      <c r="AO24" s="590" t="s">
        <v>160</v>
      </c>
      <c r="AP24" s="590"/>
      <c r="AQ24" s="590"/>
      <c r="AR24" s="590"/>
      <c r="AS24" s="590" t="s">
        <v>163</v>
      </c>
      <c r="AT24" s="590" t="s">
        <v>160</v>
      </c>
      <c r="AU24" s="590"/>
      <c r="AV24" s="590"/>
      <c r="AW24" s="590"/>
      <c r="AX24" s="590" t="s">
        <v>163</v>
      </c>
    </row>
    <row r="25" spans="2:50" ht="14.25" customHeight="1">
      <c r="B25" s="590"/>
      <c r="C25" s="590"/>
      <c r="D25" s="590"/>
      <c r="E25" s="590" t="s">
        <v>371</v>
      </c>
      <c r="F25" s="590"/>
      <c r="G25" s="590"/>
      <c r="H25" s="590"/>
      <c r="I25" s="591" t="s">
        <v>371</v>
      </c>
      <c r="J25" s="591"/>
      <c r="K25" s="591"/>
      <c r="L25" s="591"/>
      <c r="M25" s="591"/>
      <c r="N25" s="590"/>
      <c r="O25" s="590"/>
      <c r="P25" s="590" t="s">
        <v>372</v>
      </c>
      <c r="Q25" s="590"/>
      <c r="R25" s="590"/>
      <c r="S25" s="590"/>
      <c r="T25" s="590"/>
      <c r="U25" s="590" t="s">
        <v>372</v>
      </c>
      <c r="V25" s="590"/>
      <c r="W25" s="590"/>
      <c r="X25" s="590"/>
      <c r="Y25" s="590"/>
      <c r="Z25" s="590" t="s">
        <v>372</v>
      </c>
      <c r="AA25" s="590"/>
      <c r="AB25" s="590"/>
      <c r="AC25" s="590"/>
      <c r="AD25" s="590"/>
      <c r="AE25" s="590" t="s">
        <v>372</v>
      </c>
      <c r="AF25" s="590"/>
      <c r="AG25" s="590"/>
      <c r="AH25" s="590"/>
      <c r="AI25" s="590"/>
      <c r="AJ25" s="590" t="s">
        <v>372</v>
      </c>
      <c r="AK25" s="590"/>
      <c r="AL25" s="590"/>
      <c r="AM25" s="590"/>
      <c r="AN25" s="590"/>
      <c r="AO25" s="590" t="s">
        <v>372</v>
      </c>
      <c r="AP25" s="590"/>
      <c r="AQ25" s="590"/>
      <c r="AR25" s="590"/>
      <c r="AS25" s="590"/>
      <c r="AT25" s="590" t="s">
        <v>372</v>
      </c>
      <c r="AU25" s="590"/>
      <c r="AV25" s="590"/>
      <c r="AW25" s="590"/>
      <c r="AX25" s="590"/>
    </row>
    <row r="26" spans="2:50" ht="14.25" customHeight="1">
      <c r="B26" s="590"/>
      <c r="C26" s="590"/>
      <c r="D26" s="590"/>
      <c r="E26" s="180" t="s">
        <v>159</v>
      </c>
      <c r="F26" s="180" t="s">
        <v>373</v>
      </c>
      <c r="G26" s="180" t="s">
        <v>161</v>
      </c>
      <c r="H26" s="590"/>
      <c r="I26" s="181" t="s">
        <v>159</v>
      </c>
      <c r="J26" s="181" t="s">
        <v>373</v>
      </c>
      <c r="K26" s="181" t="s">
        <v>161</v>
      </c>
      <c r="L26" s="591"/>
      <c r="M26" s="591"/>
      <c r="N26" s="590"/>
      <c r="O26" s="590"/>
      <c r="P26" s="180" t="s">
        <v>159</v>
      </c>
      <c r="Q26" s="180" t="s">
        <v>373</v>
      </c>
      <c r="R26" s="180" t="s">
        <v>161</v>
      </c>
      <c r="S26" s="182" t="s">
        <v>165</v>
      </c>
      <c r="T26" s="590"/>
      <c r="U26" s="180" t="s">
        <v>159</v>
      </c>
      <c r="V26" s="180" t="s">
        <v>373</v>
      </c>
      <c r="W26" s="180" t="s">
        <v>161</v>
      </c>
      <c r="X26" s="182" t="s">
        <v>165</v>
      </c>
      <c r="Y26" s="590"/>
      <c r="Z26" s="180" t="s">
        <v>159</v>
      </c>
      <c r="AA26" s="180" t="s">
        <v>373</v>
      </c>
      <c r="AB26" s="180" t="s">
        <v>161</v>
      </c>
      <c r="AC26" s="182" t="s">
        <v>165</v>
      </c>
      <c r="AD26" s="590"/>
      <c r="AE26" s="180" t="s">
        <v>159</v>
      </c>
      <c r="AF26" s="180" t="s">
        <v>373</v>
      </c>
      <c r="AG26" s="180" t="s">
        <v>161</v>
      </c>
      <c r="AH26" s="182" t="s">
        <v>165</v>
      </c>
      <c r="AI26" s="590"/>
      <c r="AJ26" s="180" t="s">
        <v>159</v>
      </c>
      <c r="AK26" s="180" t="s">
        <v>373</v>
      </c>
      <c r="AL26" s="180" t="s">
        <v>161</v>
      </c>
      <c r="AM26" s="182" t="s">
        <v>165</v>
      </c>
      <c r="AN26" s="590"/>
      <c r="AO26" s="180" t="s">
        <v>159</v>
      </c>
      <c r="AP26" s="180" t="s">
        <v>373</v>
      </c>
      <c r="AQ26" s="180" t="s">
        <v>161</v>
      </c>
      <c r="AR26" s="182" t="s">
        <v>165</v>
      </c>
      <c r="AS26" s="590"/>
      <c r="AT26" s="180" t="s">
        <v>159</v>
      </c>
      <c r="AU26" s="180" t="s">
        <v>373</v>
      </c>
      <c r="AV26" s="180" t="s">
        <v>161</v>
      </c>
      <c r="AW26" s="182" t="s">
        <v>165</v>
      </c>
      <c r="AX26" s="590"/>
    </row>
    <row r="27" spans="2:50" ht="14.25" customHeight="1">
      <c r="B27" s="590" t="s">
        <v>350</v>
      </c>
      <c r="C27" s="180">
        <v>1</v>
      </c>
      <c r="D27" s="183" t="s">
        <v>344</v>
      </c>
      <c r="E27" s="180">
        <v>24</v>
      </c>
      <c r="F27" s="180">
        <v>2000</v>
      </c>
      <c r="G27" s="185">
        <f t="shared" ref="G27:G35" si="16">F27/E27</f>
        <v>83.333333333333329</v>
      </c>
      <c r="H27" s="595">
        <f>AVERAGE(G27:G41)</f>
        <v>96.810161474539811</v>
      </c>
      <c r="I27" s="186">
        <f>AVERAGE(P27,U27,Z27,AE27,AJ27,AO27,AT27)</f>
        <v>24</v>
      </c>
      <c r="J27" s="186">
        <f>AVERAGE(Q27,V27,AA27,AF27,AK27,AP27,AU27)</f>
        <v>1788.1307885357041</v>
      </c>
      <c r="K27" s="187">
        <f>AVERAGE(R27,W27,AB27,AG27,AL27,AQ27,AV27)</f>
        <v>74.505449522321001</v>
      </c>
      <c r="L27" s="596">
        <f>IFERROR(AVERAGE(K27:K41),"-")</f>
        <v>85.681574152812331</v>
      </c>
      <c r="M27" s="186">
        <f>RANK(K27, K$27:$K$41)</f>
        <v>9</v>
      </c>
      <c r="N27" s="590"/>
      <c r="O27" s="590"/>
      <c r="P27" s="188">
        <v>24</v>
      </c>
      <c r="Q27" s="188">
        <v>1788.6185531321162</v>
      </c>
      <c r="R27" s="185">
        <f>IFERROR(Q27/P27,"")</f>
        <v>74.525773047171512</v>
      </c>
      <c r="S27" s="182">
        <f>RANK(R27, R$27:R$41)</f>
        <v>8</v>
      </c>
      <c r="T27" s="595">
        <f>AVERAGE(R27:R41)</f>
        <v>84.32770510796864</v>
      </c>
      <c r="U27" s="188">
        <v>24</v>
      </c>
      <c r="V27" s="188">
        <v>1788.0185531321165</v>
      </c>
      <c r="W27" s="185">
        <f t="shared" ref="W27:W34" si="17">IFERROR(V27/U27,"")</f>
        <v>74.500773047171521</v>
      </c>
      <c r="X27" s="182">
        <f>RANK(W27, W$27:W$41)</f>
        <v>8</v>
      </c>
      <c r="Y27" s="595">
        <f>AVERAGE(W27:W41)</f>
        <v>84.33322917629161</v>
      </c>
      <c r="Z27" s="188">
        <v>24</v>
      </c>
      <c r="AA27" s="188">
        <v>1787.6185531321166</v>
      </c>
      <c r="AB27" s="185">
        <f t="shared" ref="AB27:AB34" si="18">IFERROR(AA27/Z27,"")</f>
        <v>74.484106380504855</v>
      </c>
      <c r="AC27" s="182">
        <f>RANK(AB27, AB$27:AB$41)</f>
        <v>8</v>
      </c>
      <c r="AD27" s="595">
        <f>AVERAGE(AB27:AB41)</f>
        <v>84.331695144200523</v>
      </c>
      <c r="AE27" s="188">
        <v>24</v>
      </c>
      <c r="AF27" s="188">
        <v>1789.064965088395</v>
      </c>
      <c r="AG27" s="185">
        <f>IFERROR(AF27/AE27,"")</f>
        <v>74.544373545349785</v>
      </c>
      <c r="AH27" s="182">
        <f>RANK(AG27, AG$27:AG$41)</f>
        <v>8</v>
      </c>
      <c r="AI27" s="595">
        <f>AVERAGE(AG27:AG41)</f>
        <v>84.328094999433475</v>
      </c>
      <c r="AJ27" s="188">
        <v>24</v>
      </c>
      <c r="AK27" s="188">
        <v>1788.0649650883952</v>
      </c>
      <c r="AL27" s="185">
        <f t="shared" ref="AL27:AL34" si="19">IFERROR(AK27/AJ27,"")</f>
        <v>74.502706878683128</v>
      </c>
      <c r="AM27" s="182">
        <f>RANK(AL27, AL$27:AL$41)</f>
        <v>8</v>
      </c>
      <c r="AN27" s="595">
        <f>AVERAGE(AL27:AL41)</f>
        <v>86.375288275355842</v>
      </c>
      <c r="AO27" s="188">
        <v>24</v>
      </c>
      <c r="AP27" s="188">
        <v>1787.4649650883948</v>
      </c>
      <c r="AQ27" s="185">
        <f t="shared" ref="AQ27:AQ33" si="20">IFERROR(AP27/AO27,"")</f>
        <v>74.477706878683122</v>
      </c>
      <c r="AR27" s="182">
        <f>RANK(AQ27, AQ$27:AQ$41)</f>
        <v>7</v>
      </c>
      <c r="AS27" s="595">
        <f>AVERAGE(AQ27:AQ41)</f>
        <v>81.716355781122459</v>
      </c>
      <c r="AT27" s="188">
        <v>24</v>
      </c>
      <c r="AU27" s="188">
        <v>1788.064965088395</v>
      </c>
      <c r="AV27" s="185">
        <f t="shared" ref="AV27:AV35" si="21">IFERROR(AU27/AT27,"")</f>
        <v>74.502706878683128</v>
      </c>
      <c r="AW27" s="182">
        <f>RANK(AV27, AV$27:AV$41)</f>
        <v>8</v>
      </c>
      <c r="AX27" s="595">
        <f>AVERAGE(AV27:AV41)</f>
        <v>82.896030166315143</v>
      </c>
    </row>
    <row r="28" spans="2:50" ht="14.25" customHeight="1">
      <c r="B28" s="590"/>
      <c r="C28" s="180">
        <v>2</v>
      </c>
      <c r="D28" s="183" t="s">
        <v>343</v>
      </c>
      <c r="E28" s="180">
        <v>23</v>
      </c>
      <c r="F28" s="180">
        <v>2000</v>
      </c>
      <c r="G28" s="185">
        <f t="shared" si="16"/>
        <v>86.956521739130437</v>
      </c>
      <c r="H28" s="595"/>
      <c r="I28" s="186">
        <f t="shared" ref="I28:K35" si="22">AVERAGE(P28,U28,Z28,AE28,AJ28,AO28,AT28)</f>
        <v>23</v>
      </c>
      <c r="J28" s="186">
        <f t="shared" si="22"/>
        <v>1786.8285714285714</v>
      </c>
      <c r="K28" s="187">
        <f t="shared" si="22"/>
        <v>77.688198757763971</v>
      </c>
      <c r="L28" s="596"/>
      <c r="M28" s="186">
        <f>RANK(K28, K$27:$K$41)</f>
        <v>6</v>
      </c>
      <c r="N28" s="590"/>
      <c r="O28" s="590"/>
      <c r="P28" s="188">
        <v>23</v>
      </c>
      <c r="Q28" s="188">
        <v>1786</v>
      </c>
      <c r="R28" s="185">
        <f t="shared" ref="R28:R34" si="23">IFERROR(Q28/P28,"")</f>
        <v>77.652173913043484</v>
      </c>
      <c r="S28" s="182">
        <f t="shared" ref="S28:S34" si="24">RANK(R28, R$27:R$41)</f>
        <v>6</v>
      </c>
      <c r="T28" s="595"/>
      <c r="U28" s="188">
        <v>23</v>
      </c>
      <c r="V28" s="188">
        <v>1787</v>
      </c>
      <c r="W28" s="185">
        <f t="shared" si="17"/>
        <v>77.695652173913047</v>
      </c>
      <c r="X28" s="182">
        <f t="shared" ref="X28:X34" si="25">RANK(W28, W$27:W$41)</f>
        <v>5</v>
      </c>
      <c r="Y28" s="595"/>
      <c r="Z28" s="188">
        <v>23</v>
      </c>
      <c r="AA28" s="188">
        <v>1786.6</v>
      </c>
      <c r="AB28" s="185">
        <f t="shared" si="18"/>
        <v>77.678260869565207</v>
      </c>
      <c r="AC28" s="182">
        <f t="shared" ref="AC28:AC34" si="26">RANK(AB28, AB$27:AB$41)</f>
        <v>5</v>
      </c>
      <c r="AD28" s="595"/>
      <c r="AE28" s="188">
        <v>23</v>
      </c>
      <c r="AF28" s="188">
        <v>1786.7999999999997</v>
      </c>
      <c r="AG28" s="185">
        <f t="shared" ref="AG28:AG34" si="27">IFERROR(AF28/AE28,"")</f>
        <v>77.68695652173912</v>
      </c>
      <c r="AH28" s="182">
        <f t="shared" ref="AH28:AH34" si="28">RANK(AG28, AG$27:AG$41)</f>
        <v>5</v>
      </c>
      <c r="AI28" s="595"/>
      <c r="AJ28" s="188">
        <v>23</v>
      </c>
      <c r="AK28" s="188">
        <v>1786.7999999999997</v>
      </c>
      <c r="AL28" s="185">
        <f t="shared" si="19"/>
        <v>77.68695652173912</v>
      </c>
      <c r="AM28" s="182">
        <f t="shared" ref="AM28:AM34" si="29">RANK(AL28, AL$27:AL$41)</f>
        <v>4</v>
      </c>
      <c r="AN28" s="595"/>
      <c r="AO28" s="188">
        <v>23</v>
      </c>
      <c r="AP28" s="188">
        <v>1787.5999999999997</v>
      </c>
      <c r="AQ28" s="185">
        <f t="shared" si="20"/>
        <v>77.72173913043477</v>
      </c>
      <c r="AR28" s="182">
        <f t="shared" ref="AR28:AR33" si="30">RANK(AQ28, AQ$27:AQ$41)</f>
        <v>3</v>
      </c>
      <c r="AS28" s="595"/>
      <c r="AT28" s="188">
        <v>23</v>
      </c>
      <c r="AU28" s="188">
        <v>1787</v>
      </c>
      <c r="AV28" s="185">
        <f t="shared" si="21"/>
        <v>77.695652173913047</v>
      </c>
      <c r="AW28" s="182">
        <f t="shared" ref="AW28:AW35" si="31">RANK(AV28, AV$27:AV$41)</f>
        <v>5</v>
      </c>
      <c r="AX28" s="595"/>
    </row>
    <row r="29" spans="2:50" ht="14.25" customHeight="1">
      <c r="B29" s="590"/>
      <c r="C29" s="180">
        <v>3</v>
      </c>
      <c r="D29" s="183" t="s">
        <v>351</v>
      </c>
      <c r="E29" s="180">
        <v>23</v>
      </c>
      <c r="F29" s="180">
        <v>2000</v>
      </c>
      <c r="G29" s="185">
        <f t="shared" si="16"/>
        <v>86.956521739130437</v>
      </c>
      <c r="H29" s="595"/>
      <c r="I29" s="186">
        <f t="shared" si="22"/>
        <v>23</v>
      </c>
      <c r="J29" s="186">
        <f t="shared" si="22"/>
        <v>1784.9142857142858</v>
      </c>
      <c r="K29" s="187">
        <f t="shared" si="22"/>
        <v>77.604968944099383</v>
      </c>
      <c r="L29" s="596"/>
      <c r="M29" s="186">
        <f>RANK(K29, K$27:$K$41)</f>
        <v>7</v>
      </c>
      <c r="N29" s="590"/>
      <c r="O29" s="590"/>
      <c r="P29" s="188">
        <v>23</v>
      </c>
      <c r="Q29" s="188">
        <v>1786.2</v>
      </c>
      <c r="R29" s="185">
        <f t="shared" si="23"/>
        <v>77.660869565217396</v>
      </c>
      <c r="S29" s="182">
        <f t="shared" si="24"/>
        <v>5</v>
      </c>
      <c r="T29" s="595"/>
      <c r="U29" s="188">
        <v>23</v>
      </c>
      <c r="V29" s="188">
        <v>1785.4</v>
      </c>
      <c r="W29" s="185">
        <f t="shared" si="17"/>
        <v>77.626086956521746</v>
      </c>
      <c r="X29" s="182">
        <f t="shared" si="25"/>
        <v>6</v>
      </c>
      <c r="Y29" s="595"/>
      <c r="Z29" s="188">
        <v>23</v>
      </c>
      <c r="AA29" s="188">
        <v>1785.4000000000003</v>
      </c>
      <c r="AB29" s="185">
        <f t="shared" si="18"/>
        <v>77.626086956521746</v>
      </c>
      <c r="AC29" s="182">
        <f t="shared" si="26"/>
        <v>6</v>
      </c>
      <c r="AD29" s="595"/>
      <c r="AE29" s="188">
        <v>23</v>
      </c>
      <c r="AF29" s="188">
        <v>1784.6000000000004</v>
      </c>
      <c r="AG29" s="185">
        <f t="shared" si="27"/>
        <v>77.591304347826096</v>
      </c>
      <c r="AH29" s="182">
        <f t="shared" si="28"/>
        <v>6</v>
      </c>
      <c r="AI29" s="595"/>
      <c r="AJ29" s="188">
        <v>23</v>
      </c>
      <c r="AK29" s="188">
        <v>1784.2000000000003</v>
      </c>
      <c r="AL29" s="185">
        <f t="shared" si="19"/>
        <v>77.573913043478271</v>
      </c>
      <c r="AM29" s="182">
        <f t="shared" si="29"/>
        <v>6</v>
      </c>
      <c r="AN29" s="595"/>
      <c r="AO29" s="188">
        <v>23</v>
      </c>
      <c r="AP29" s="188">
        <v>1784.0000000000002</v>
      </c>
      <c r="AQ29" s="185">
        <f t="shared" si="20"/>
        <v>77.565217391304358</v>
      </c>
      <c r="AR29" s="182">
        <f t="shared" si="30"/>
        <v>5</v>
      </c>
      <c r="AS29" s="595"/>
      <c r="AT29" s="188">
        <v>23</v>
      </c>
      <c r="AU29" s="188">
        <v>1784.6000000000001</v>
      </c>
      <c r="AV29" s="185">
        <f t="shared" si="21"/>
        <v>77.591304347826096</v>
      </c>
      <c r="AW29" s="182">
        <f t="shared" si="31"/>
        <v>6</v>
      </c>
      <c r="AX29" s="595"/>
    </row>
    <row r="30" spans="2:50" ht="14.25" customHeight="1">
      <c r="B30" s="590"/>
      <c r="C30" s="180">
        <v>4</v>
      </c>
      <c r="D30" s="183" t="s">
        <v>345</v>
      </c>
      <c r="E30" s="180">
        <v>23</v>
      </c>
      <c r="F30" s="180">
        <v>2000</v>
      </c>
      <c r="G30" s="185">
        <f t="shared" si="16"/>
        <v>86.956521739130437</v>
      </c>
      <c r="H30" s="595"/>
      <c r="I30" s="186">
        <f t="shared" si="22"/>
        <v>23</v>
      </c>
      <c r="J30" s="186">
        <f t="shared" si="22"/>
        <v>1787.1428571428569</v>
      </c>
      <c r="K30" s="187">
        <f t="shared" si="22"/>
        <v>77.701863354037229</v>
      </c>
      <c r="L30" s="596"/>
      <c r="M30" s="186">
        <f>RANK(K30, K$27:$K$41)</f>
        <v>5</v>
      </c>
      <c r="N30" s="590"/>
      <c r="O30" s="590"/>
      <c r="P30" s="188">
        <v>23</v>
      </c>
      <c r="Q30" s="188">
        <v>1786.5999999999995</v>
      </c>
      <c r="R30" s="185">
        <f t="shared" si="23"/>
        <v>77.678260869565193</v>
      </c>
      <c r="S30" s="182">
        <f t="shared" si="24"/>
        <v>4</v>
      </c>
      <c r="T30" s="595"/>
      <c r="U30" s="188">
        <v>23</v>
      </c>
      <c r="V30" s="188">
        <v>1787.3999999999994</v>
      </c>
      <c r="W30" s="185">
        <f t="shared" si="17"/>
        <v>77.713043478260843</v>
      </c>
      <c r="X30" s="182">
        <f t="shared" si="25"/>
        <v>4</v>
      </c>
      <c r="Y30" s="595"/>
      <c r="Z30" s="188">
        <v>23</v>
      </c>
      <c r="AA30" s="188">
        <v>1787.3999999999996</v>
      </c>
      <c r="AB30" s="185">
        <f t="shared" si="18"/>
        <v>77.713043478260857</v>
      </c>
      <c r="AC30" s="182">
        <f t="shared" si="26"/>
        <v>4</v>
      </c>
      <c r="AD30" s="595"/>
      <c r="AE30" s="188">
        <v>23</v>
      </c>
      <c r="AF30" s="188">
        <v>1787.1999999999998</v>
      </c>
      <c r="AG30" s="185">
        <f t="shared" si="27"/>
        <v>77.704347826086945</v>
      </c>
      <c r="AH30" s="182">
        <f t="shared" si="28"/>
        <v>4</v>
      </c>
      <c r="AI30" s="595"/>
      <c r="AJ30" s="188">
        <v>23</v>
      </c>
      <c r="AK30" s="188">
        <v>1786.1999999999998</v>
      </c>
      <c r="AL30" s="185">
        <f t="shared" si="19"/>
        <v>77.660869565217382</v>
      </c>
      <c r="AM30" s="182">
        <f t="shared" si="29"/>
        <v>5</v>
      </c>
      <c r="AN30" s="595"/>
      <c r="AO30" s="188">
        <v>23</v>
      </c>
      <c r="AP30" s="188">
        <v>1787.1999999999994</v>
      </c>
      <c r="AQ30" s="185">
        <f t="shared" si="20"/>
        <v>77.704347826086931</v>
      </c>
      <c r="AR30" s="182">
        <f t="shared" si="30"/>
        <v>4</v>
      </c>
      <c r="AS30" s="595"/>
      <c r="AT30" s="188">
        <v>23</v>
      </c>
      <c r="AU30" s="188">
        <v>1787.9999999999993</v>
      </c>
      <c r="AV30" s="185">
        <f t="shared" si="21"/>
        <v>77.739130434782581</v>
      </c>
      <c r="AW30" s="182">
        <f t="shared" si="31"/>
        <v>4</v>
      </c>
      <c r="AX30" s="595"/>
    </row>
    <row r="31" spans="2:50" ht="14.25" customHeight="1">
      <c r="B31" s="590"/>
      <c r="C31" s="180">
        <v>5</v>
      </c>
      <c r="D31" s="183" t="s">
        <v>451</v>
      </c>
      <c r="E31" s="180">
        <v>19</v>
      </c>
      <c r="F31" s="180">
        <v>2000</v>
      </c>
      <c r="G31" s="185">
        <f t="shared" si="16"/>
        <v>105.26315789473684</v>
      </c>
      <c r="H31" s="595"/>
      <c r="I31" s="186">
        <f t="shared" si="22"/>
        <v>19.571428571428573</v>
      </c>
      <c r="J31" s="186">
        <f t="shared" si="22"/>
        <v>1786</v>
      </c>
      <c r="K31" s="187">
        <f t="shared" si="22"/>
        <v>91.314285714285717</v>
      </c>
      <c r="L31" s="596"/>
      <c r="M31" s="186">
        <f>RANK(K31, K$27:$K$41)</f>
        <v>3</v>
      </c>
      <c r="N31" s="590"/>
      <c r="O31" s="590"/>
      <c r="P31" s="188">
        <v>20</v>
      </c>
      <c r="Q31" s="188">
        <v>1785.9999999999998</v>
      </c>
      <c r="R31" s="185">
        <f t="shared" si="23"/>
        <v>89.299999999999983</v>
      </c>
      <c r="S31" s="182">
        <f t="shared" si="24"/>
        <v>3</v>
      </c>
      <c r="T31" s="595"/>
      <c r="U31" s="188">
        <v>20</v>
      </c>
      <c r="V31" s="188">
        <v>1786.0000000000002</v>
      </c>
      <c r="W31" s="185">
        <f t="shared" si="17"/>
        <v>89.300000000000011</v>
      </c>
      <c r="X31" s="182">
        <f t="shared" si="25"/>
        <v>3</v>
      </c>
      <c r="Y31" s="595"/>
      <c r="Z31" s="188">
        <v>20</v>
      </c>
      <c r="AA31" s="188">
        <v>1786.0000000000002</v>
      </c>
      <c r="AB31" s="185">
        <f t="shared" si="18"/>
        <v>89.300000000000011</v>
      </c>
      <c r="AC31" s="182">
        <f t="shared" si="26"/>
        <v>3</v>
      </c>
      <c r="AD31" s="595"/>
      <c r="AE31" s="188">
        <v>20</v>
      </c>
      <c r="AF31" s="188">
        <v>1786</v>
      </c>
      <c r="AG31" s="185">
        <f t="shared" si="27"/>
        <v>89.3</v>
      </c>
      <c r="AH31" s="182">
        <f t="shared" si="28"/>
        <v>3</v>
      </c>
      <c r="AI31" s="595"/>
      <c r="AJ31" s="188">
        <v>19</v>
      </c>
      <c r="AK31" s="188">
        <v>1786.0000000000002</v>
      </c>
      <c r="AL31" s="185">
        <f t="shared" si="19"/>
        <v>94.000000000000014</v>
      </c>
      <c r="AM31" s="182">
        <f t="shared" si="29"/>
        <v>2</v>
      </c>
      <c r="AN31" s="595"/>
      <c r="AO31" s="188">
        <v>19</v>
      </c>
      <c r="AP31" s="188">
        <v>1786</v>
      </c>
      <c r="AQ31" s="185">
        <f t="shared" si="20"/>
        <v>94</v>
      </c>
      <c r="AR31" s="182">
        <f t="shared" si="30"/>
        <v>2</v>
      </c>
      <c r="AS31" s="595"/>
      <c r="AT31" s="188">
        <v>19</v>
      </c>
      <c r="AU31" s="188">
        <v>1786</v>
      </c>
      <c r="AV31" s="185">
        <f t="shared" si="21"/>
        <v>94</v>
      </c>
      <c r="AW31" s="182">
        <f t="shared" si="31"/>
        <v>2</v>
      </c>
      <c r="AX31" s="595"/>
    </row>
    <row r="32" spans="2:50" ht="14.25" customHeight="1">
      <c r="B32" s="590"/>
      <c r="C32" s="180">
        <v>6</v>
      </c>
      <c r="D32" s="183" t="s">
        <v>497</v>
      </c>
      <c r="E32" s="180">
        <v>21</v>
      </c>
      <c r="F32" s="180">
        <v>1800</v>
      </c>
      <c r="G32" s="185">
        <f t="shared" si="16"/>
        <v>85.714285714285708</v>
      </c>
      <c r="H32" s="595"/>
      <c r="I32" s="186">
        <f t="shared" si="22"/>
        <v>21</v>
      </c>
      <c r="J32" s="186">
        <f t="shared" si="22"/>
        <v>1606.5036354968786</v>
      </c>
      <c r="K32" s="187">
        <f t="shared" si="22"/>
        <v>76.500173118898985</v>
      </c>
      <c r="L32" s="596"/>
      <c r="M32" s="186">
        <f>RANK(K32, K$27:$K$41)</f>
        <v>8</v>
      </c>
      <c r="N32" s="590"/>
      <c r="O32" s="590"/>
      <c r="P32" s="188">
        <v>21</v>
      </c>
      <c r="Q32" s="188">
        <v>1605.4750640683073</v>
      </c>
      <c r="R32" s="185">
        <f t="shared" si="23"/>
        <v>76.451193527062259</v>
      </c>
      <c r="S32" s="182">
        <f t="shared" si="24"/>
        <v>7</v>
      </c>
      <c r="T32" s="595"/>
      <c r="U32" s="188">
        <v>21</v>
      </c>
      <c r="V32" s="188">
        <v>1606.0150640683073</v>
      </c>
      <c r="W32" s="185">
        <f t="shared" si="17"/>
        <v>76.476907812776545</v>
      </c>
      <c r="X32" s="182">
        <f t="shared" si="25"/>
        <v>7</v>
      </c>
      <c r="Y32" s="595"/>
      <c r="Z32" s="188">
        <v>21</v>
      </c>
      <c r="AA32" s="188">
        <v>1606.7350640683076</v>
      </c>
      <c r="AB32" s="185">
        <f t="shared" si="18"/>
        <v>76.511193527062261</v>
      </c>
      <c r="AC32" s="182">
        <f t="shared" si="26"/>
        <v>7</v>
      </c>
      <c r="AD32" s="595"/>
      <c r="AE32" s="188">
        <v>21</v>
      </c>
      <c r="AF32" s="188">
        <v>1606.0150640683073</v>
      </c>
      <c r="AG32" s="185">
        <f t="shared" si="27"/>
        <v>76.476907812776545</v>
      </c>
      <c r="AH32" s="182">
        <f t="shared" si="28"/>
        <v>7</v>
      </c>
      <c r="AI32" s="595"/>
      <c r="AJ32" s="188">
        <v>21</v>
      </c>
      <c r="AK32" s="188">
        <v>1606.7350640683073</v>
      </c>
      <c r="AL32" s="185">
        <f t="shared" si="19"/>
        <v>76.511193527062261</v>
      </c>
      <c r="AM32" s="182">
        <f t="shared" si="29"/>
        <v>7</v>
      </c>
      <c r="AN32" s="595"/>
      <c r="AO32" s="188">
        <v>21</v>
      </c>
      <c r="AP32" s="188">
        <v>1607.4550640683074</v>
      </c>
      <c r="AQ32" s="185">
        <f t="shared" si="20"/>
        <v>76.545479241347977</v>
      </c>
      <c r="AR32" s="182">
        <f t="shared" si="30"/>
        <v>6</v>
      </c>
      <c r="AS32" s="595"/>
      <c r="AT32" s="188">
        <v>21</v>
      </c>
      <c r="AU32" s="188">
        <v>1607.0950640683079</v>
      </c>
      <c r="AV32" s="185">
        <f t="shared" si="21"/>
        <v>76.528336384205133</v>
      </c>
      <c r="AW32" s="182">
        <f t="shared" si="31"/>
        <v>7</v>
      </c>
      <c r="AX32" s="595"/>
    </row>
    <row r="33" spans="2:50" ht="14.25" customHeight="1">
      <c r="B33" s="590"/>
      <c r="C33" s="180">
        <v>7</v>
      </c>
      <c r="D33" s="183" t="s">
        <v>498</v>
      </c>
      <c r="E33" s="180">
        <v>20</v>
      </c>
      <c r="F33" s="180">
        <v>2000</v>
      </c>
      <c r="G33" s="185">
        <f t="shared" si="16"/>
        <v>100</v>
      </c>
      <c r="H33" s="595"/>
      <c r="I33" s="186">
        <f t="shared" si="22"/>
        <v>19.571428571428573</v>
      </c>
      <c r="J33" s="186">
        <f t="shared" si="22"/>
        <v>1788.6599074088469</v>
      </c>
      <c r="K33" s="187">
        <f t="shared" si="22"/>
        <v>91.447281084728061</v>
      </c>
      <c r="L33" s="596"/>
      <c r="M33" s="186">
        <f>RANK(K33, K$27:$K$41)</f>
        <v>2</v>
      </c>
      <c r="N33" s="590"/>
      <c r="O33" s="590"/>
      <c r="P33" s="188">
        <v>20</v>
      </c>
      <c r="Q33" s="188">
        <v>1790.0048379654822</v>
      </c>
      <c r="R33" s="185">
        <f t="shared" si="23"/>
        <v>89.500241898274112</v>
      </c>
      <c r="S33" s="182">
        <f t="shared" si="24"/>
        <v>2</v>
      </c>
      <c r="T33" s="595"/>
      <c r="U33" s="188">
        <v>20</v>
      </c>
      <c r="V33" s="188">
        <v>1791.0048379654822</v>
      </c>
      <c r="W33" s="185">
        <f t="shared" si="17"/>
        <v>89.550241898274109</v>
      </c>
      <c r="X33" s="182">
        <f t="shared" si="25"/>
        <v>2</v>
      </c>
      <c r="Y33" s="595"/>
      <c r="Z33" s="188">
        <v>20</v>
      </c>
      <c r="AA33" s="188">
        <v>1791.0048379654825</v>
      </c>
      <c r="AB33" s="185">
        <f t="shared" si="18"/>
        <v>89.550241898274123</v>
      </c>
      <c r="AC33" s="182">
        <f t="shared" si="26"/>
        <v>2</v>
      </c>
      <c r="AD33" s="595"/>
      <c r="AE33" s="188">
        <v>20</v>
      </c>
      <c r="AF33" s="188">
        <v>1790.6048379654824</v>
      </c>
      <c r="AG33" s="185">
        <f t="shared" si="27"/>
        <v>89.530241898274113</v>
      </c>
      <c r="AH33" s="182">
        <f t="shared" si="28"/>
        <v>2</v>
      </c>
      <c r="AI33" s="595"/>
      <c r="AJ33" s="188">
        <v>19</v>
      </c>
      <c r="AK33" s="188">
        <v>1786</v>
      </c>
      <c r="AL33" s="185">
        <f t="shared" si="19"/>
        <v>94</v>
      </c>
      <c r="AM33" s="182">
        <f t="shared" si="29"/>
        <v>3</v>
      </c>
      <c r="AN33" s="595"/>
      <c r="AO33" s="188">
        <v>19</v>
      </c>
      <c r="AP33" s="188">
        <v>1786.0000000000002</v>
      </c>
      <c r="AQ33" s="185">
        <f t="shared" si="20"/>
        <v>94.000000000000014</v>
      </c>
      <c r="AR33" s="182">
        <f t="shared" si="30"/>
        <v>1</v>
      </c>
      <c r="AS33" s="595"/>
      <c r="AT33" s="188">
        <v>19</v>
      </c>
      <c r="AU33" s="188">
        <v>1786.0000000000002</v>
      </c>
      <c r="AV33" s="185">
        <f t="shared" si="21"/>
        <v>94.000000000000014</v>
      </c>
      <c r="AW33" s="182">
        <f t="shared" si="31"/>
        <v>1</v>
      </c>
      <c r="AX33" s="595"/>
    </row>
    <row r="34" spans="2:50" ht="14.25" customHeight="1">
      <c r="B34" s="590"/>
      <c r="C34" s="180">
        <v>8</v>
      </c>
      <c r="D34" s="183" t="s">
        <v>615</v>
      </c>
      <c r="E34" s="180">
        <v>16</v>
      </c>
      <c r="F34" s="180">
        <v>2000</v>
      </c>
      <c r="G34" s="185">
        <f t="shared" si="16"/>
        <v>125</v>
      </c>
      <c r="H34" s="595"/>
      <c r="I34" s="186">
        <f t="shared" si="22"/>
        <v>15.8</v>
      </c>
      <c r="J34" s="186">
        <f t="shared" si="22"/>
        <v>1788.3600389557141</v>
      </c>
      <c r="K34" s="187">
        <f t="shared" si="22"/>
        <v>113.26083576806545</v>
      </c>
      <c r="L34" s="596"/>
      <c r="M34" s="186">
        <f>RANK(K34, K$27:$K$41)</f>
        <v>1</v>
      </c>
      <c r="N34" s="590"/>
      <c r="O34" s="590"/>
      <c r="P34" s="188">
        <v>16</v>
      </c>
      <c r="Q34" s="188">
        <v>1789.6500486946422</v>
      </c>
      <c r="R34" s="185">
        <f t="shared" si="23"/>
        <v>111.85312804341514</v>
      </c>
      <c r="S34" s="182">
        <f t="shared" si="24"/>
        <v>1</v>
      </c>
      <c r="T34" s="595"/>
      <c r="U34" s="188">
        <v>16</v>
      </c>
      <c r="V34" s="188">
        <v>1788.8500486946423</v>
      </c>
      <c r="W34" s="185">
        <f t="shared" si="17"/>
        <v>111.80312804341514</v>
      </c>
      <c r="X34" s="182">
        <f t="shared" si="25"/>
        <v>1</v>
      </c>
      <c r="Y34" s="595"/>
      <c r="Z34" s="188">
        <v>16</v>
      </c>
      <c r="AA34" s="188">
        <v>1788.6500486946425</v>
      </c>
      <c r="AB34" s="185">
        <f t="shared" si="18"/>
        <v>111.79062804341515</v>
      </c>
      <c r="AC34" s="182">
        <f t="shared" si="26"/>
        <v>1</v>
      </c>
      <c r="AD34" s="595"/>
      <c r="AE34" s="188">
        <v>16</v>
      </c>
      <c r="AF34" s="188">
        <v>1788.6500486946425</v>
      </c>
      <c r="AG34" s="185">
        <f t="shared" si="27"/>
        <v>111.79062804341515</v>
      </c>
      <c r="AH34" s="182">
        <f t="shared" si="28"/>
        <v>1</v>
      </c>
      <c r="AI34" s="595"/>
      <c r="AJ34" s="188">
        <v>15</v>
      </c>
      <c r="AK34" s="188">
        <v>1786</v>
      </c>
      <c r="AL34" s="185">
        <f t="shared" si="19"/>
        <v>119.06666666666666</v>
      </c>
      <c r="AM34" s="182">
        <f t="shared" si="29"/>
        <v>1</v>
      </c>
      <c r="AN34" s="595"/>
      <c r="AO34" s="188"/>
      <c r="AP34" s="188"/>
      <c r="AQ34" s="185"/>
      <c r="AR34" s="182"/>
      <c r="AS34" s="595"/>
      <c r="AT34" s="188"/>
      <c r="AU34" s="188"/>
      <c r="AV34" s="185"/>
      <c r="AW34" s="182"/>
      <c r="AX34" s="595"/>
    </row>
    <row r="35" spans="2:50" ht="14.25" customHeight="1">
      <c r="B35" s="590"/>
      <c r="C35" s="180">
        <v>9</v>
      </c>
      <c r="D35" s="183" t="s">
        <v>739</v>
      </c>
      <c r="E35" s="180">
        <v>18</v>
      </c>
      <c r="F35" s="180">
        <v>2000</v>
      </c>
      <c r="G35" s="185">
        <f t="shared" si="16"/>
        <v>111.11111111111111</v>
      </c>
      <c r="H35" s="595"/>
      <c r="I35" s="186">
        <f t="shared" si="22"/>
        <v>18</v>
      </c>
      <c r="J35" s="186">
        <f t="shared" si="22"/>
        <v>1640.0000000000002</v>
      </c>
      <c r="K35" s="187">
        <f t="shared" si="22"/>
        <v>91.111111111111128</v>
      </c>
      <c r="L35" s="596"/>
      <c r="M35" s="186">
        <f>RANK(K35, K$27:$K$41)</f>
        <v>4</v>
      </c>
      <c r="N35" s="590"/>
      <c r="O35" s="590"/>
      <c r="P35" s="188"/>
      <c r="Q35" s="188"/>
      <c r="R35" s="185"/>
      <c r="S35" s="182"/>
      <c r="T35" s="595"/>
      <c r="U35" s="188"/>
      <c r="V35" s="188"/>
      <c r="W35" s="185"/>
      <c r="X35" s="182"/>
      <c r="Y35" s="595"/>
      <c r="Z35" s="188"/>
      <c r="AA35" s="188"/>
      <c r="AB35" s="185"/>
      <c r="AC35" s="182"/>
      <c r="AD35" s="595"/>
      <c r="AE35" s="188"/>
      <c r="AF35" s="188"/>
      <c r="AG35" s="185"/>
      <c r="AH35" s="182"/>
      <c r="AI35" s="595"/>
      <c r="AJ35" s="188"/>
      <c r="AK35" s="188"/>
      <c r="AL35" s="185"/>
      <c r="AM35" s="182"/>
      <c r="AN35" s="595"/>
      <c r="AO35" s="188"/>
      <c r="AP35" s="188"/>
      <c r="AQ35" s="185"/>
      <c r="AR35" s="182"/>
      <c r="AS35" s="595"/>
      <c r="AT35" s="188">
        <v>18</v>
      </c>
      <c r="AU35" s="188">
        <v>1640.0000000000002</v>
      </c>
      <c r="AV35" s="185">
        <f t="shared" si="21"/>
        <v>91.111111111111128</v>
      </c>
      <c r="AW35" s="182">
        <f t="shared" si="31"/>
        <v>3</v>
      </c>
      <c r="AX35" s="595"/>
    </row>
    <row r="36" spans="2:50" ht="14.25" customHeight="1">
      <c r="B36" s="590"/>
      <c r="C36" s="180">
        <v>10</v>
      </c>
      <c r="D36" s="183"/>
      <c r="E36" s="180"/>
      <c r="F36" s="180"/>
      <c r="G36" s="185"/>
      <c r="H36" s="595"/>
      <c r="I36" s="186"/>
      <c r="J36" s="186"/>
      <c r="K36" s="187"/>
      <c r="L36" s="596"/>
      <c r="M36" s="186"/>
      <c r="N36" s="590"/>
      <c r="O36" s="590"/>
      <c r="P36" s="188"/>
      <c r="Q36" s="188"/>
      <c r="R36" s="185"/>
      <c r="S36" s="182"/>
      <c r="T36" s="595"/>
      <c r="U36" s="188"/>
      <c r="V36" s="188"/>
      <c r="W36" s="185"/>
      <c r="X36" s="182"/>
      <c r="Y36" s="595"/>
      <c r="Z36" s="188"/>
      <c r="AA36" s="188"/>
      <c r="AB36" s="185"/>
      <c r="AC36" s="182"/>
      <c r="AD36" s="595"/>
      <c r="AE36" s="188"/>
      <c r="AF36" s="188"/>
      <c r="AG36" s="185"/>
      <c r="AH36" s="182"/>
      <c r="AI36" s="595"/>
      <c r="AJ36" s="188"/>
      <c r="AK36" s="188"/>
      <c r="AL36" s="185"/>
      <c r="AM36" s="182"/>
      <c r="AN36" s="595"/>
      <c r="AO36" s="188"/>
      <c r="AP36" s="188"/>
      <c r="AQ36" s="185"/>
      <c r="AR36" s="182"/>
      <c r="AS36" s="595"/>
      <c r="AT36" s="188"/>
      <c r="AU36" s="188"/>
      <c r="AV36" s="185"/>
      <c r="AW36" s="182"/>
      <c r="AX36" s="595"/>
    </row>
    <row r="37" spans="2:50" ht="14.25" customHeight="1">
      <c r="B37" s="590"/>
      <c r="C37" s="180">
        <v>11</v>
      </c>
      <c r="D37" s="183"/>
      <c r="E37" s="180"/>
      <c r="F37" s="180"/>
      <c r="G37" s="185"/>
      <c r="H37" s="595"/>
      <c r="I37" s="186"/>
      <c r="J37" s="186"/>
      <c r="K37" s="187"/>
      <c r="L37" s="596"/>
      <c r="M37" s="186"/>
      <c r="N37" s="590"/>
      <c r="O37" s="590"/>
      <c r="P37" s="188"/>
      <c r="Q37" s="188"/>
      <c r="R37" s="185"/>
      <c r="S37" s="182"/>
      <c r="T37" s="595"/>
      <c r="U37" s="188"/>
      <c r="V37" s="188"/>
      <c r="W37" s="185"/>
      <c r="X37" s="182"/>
      <c r="Y37" s="595"/>
      <c r="Z37" s="188"/>
      <c r="AA37" s="188"/>
      <c r="AB37" s="185"/>
      <c r="AC37" s="182"/>
      <c r="AD37" s="595"/>
      <c r="AE37" s="188"/>
      <c r="AF37" s="188"/>
      <c r="AG37" s="185"/>
      <c r="AH37" s="182"/>
      <c r="AI37" s="595"/>
      <c r="AJ37" s="188"/>
      <c r="AK37" s="188"/>
      <c r="AL37" s="185"/>
      <c r="AM37" s="182"/>
      <c r="AN37" s="595"/>
      <c r="AO37" s="188"/>
      <c r="AP37" s="188"/>
      <c r="AQ37" s="185"/>
      <c r="AR37" s="182"/>
      <c r="AS37" s="595"/>
      <c r="AT37" s="188"/>
      <c r="AU37" s="188"/>
      <c r="AV37" s="185"/>
      <c r="AW37" s="182"/>
      <c r="AX37" s="595"/>
    </row>
    <row r="38" spans="2:50" ht="14.25" customHeight="1">
      <c r="B38" s="590"/>
      <c r="C38" s="180">
        <v>12</v>
      </c>
      <c r="D38" s="183"/>
      <c r="E38" s="180"/>
      <c r="F38" s="180"/>
      <c r="G38" s="185"/>
      <c r="H38" s="595"/>
      <c r="I38" s="186"/>
      <c r="J38" s="186"/>
      <c r="K38" s="187"/>
      <c r="L38" s="596"/>
      <c r="M38" s="186"/>
      <c r="N38" s="590"/>
      <c r="O38" s="590"/>
      <c r="P38" s="188"/>
      <c r="Q38" s="188"/>
      <c r="R38" s="185"/>
      <c r="S38" s="182"/>
      <c r="T38" s="595"/>
      <c r="U38" s="188"/>
      <c r="V38" s="188"/>
      <c r="W38" s="185"/>
      <c r="X38" s="182"/>
      <c r="Y38" s="595"/>
      <c r="Z38" s="188"/>
      <c r="AA38" s="188"/>
      <c r="AB38" s="185"/>
      <c r="AC38" s="182"/>
      <c r="AD38" s="595"/>
      <c r="AE38" s="188"/>
      <c r="AF38" s="188"/>
      <c r="AG38" s="185"/>
      <c r="AH38" s="182"/>
      <c r="AI38" s="595"/>
      <c r="AJ38" s="188"/>
      <c r="AK38" s="188"/>
      <c r="AL38" s="185"/>
      <c r="AM38" s="182"/>
      <c r="AN38" s="595"/>
      <c r="AO38" s="188"/>
      <c r="AP38" s="188"/>
      <c r="AQ38" s="185"/>
      <c r="AR38" s="182"/>
      <c r="AS38" s="595"/>
      <c r="AT38" s="188"/>
      <c r="AU38" s="188"/>
      <c r="AV38" s="185"/>
      <c r="AW38" s="182"/>
      <c r="AX38" s="595"/>
    </row>
    <row r="39" spans="2:50" ht="14.25" customHeight="1">
      <c r="B39" s="590"/>
      <c r="C39" s="180">
        <v>13</v>
      </c>
      <c r="D39" s="183"/>
      <c r="E39" s="180"/>
      <c r="F39" s="180"/>
      <c r="G39" s="185"/>
      <c r="H39" s="595"/>
      <c r="I39" s="186"/>
      <c r="J39" s="186"/>
      <c r="K39" s="187"/>
      <c r="L39" s="596"/>
      <c r="M39" s="186"/>
      <c r="N39" s="590"/>
      <c r="O39" s="590"/>
      <c r="P39" s="188"/>
      <c r="Q39" s="188"/>
      <c r="R39" s="185"/>
      <c r="S39" s="182"/>
      <c r="T39" s="595"/>
      <c r="U39" s="188"/>
      <c r="V39" s="188"/>
      <c r="W39" s="185"/>
      <c r="X39" s="182"/>
      <c r="Y39" s="595"/>
      <c r="Z39" s="188"/>
      <c r="AA39" s="188"/>
      <c r="AB39" s="185"/>
      <c r="AC39" s="182"/>
      <c r="AD39" s="595"/>
      <c r="AE39" s="188"/>
      <c r="AF39" s="188"/>
      <c r="AG39" s="185"/>
      <c r="AH39" s="182"/>
      <c r="AI39" s="595"/>
      <c r="AJ39" s="188"/>
      <c r="AK39" s="188"/>
      <c r="AL39" s="185"/>
      <c r="AM39" s="182"/>
      <c r="AN39" s="595"/>
      <c r="AO39" s="188"/>
      <c r="AP39" s="188"/>
      <c r="AQ39" s="185"/>
      <c r="AR39" s="182"/>
      <c r="AS39" s="595"/>
      <c r="AT39" s="188"/>
      <c r="AU39" s="188"/>
      <c r="AV39" s="185"/>
      <c r="AW39" s="182"/>
      <c r="AX39" s="595"/>
    </row>
    <row r="40" spans="2:50" ht="14.25" customHeight="1">
      <c r="B40" s="590"/>
      <c r="C40" s="180">
        <v>14</v>
      </c>
      <c r="D40" s="183"/>
      <c r="E40" s="180"/>
      <c r="F40" s="180"/>
      <c r="G40" s="185"/>
      <c r="H40" s="595"/>
      <c r="I40" s="186"/>
      <c r="J40" s="186"/>
      <c r="K40" s="187"/>
      <c r="L40" s="596"/>
      <c r="M40" s="186"/>
      <c r="N40" s="590"/>
      <c r="O40" s="590"/>
      <c r="P40" s="188"/>
      <c r="Q40" s="188"/>
      <c r="R40" s="185"/>
      <c r="S40" s="182"/>
      <c r="T40" s="595"/>
      <c r="U40" s="188"/>
      <c r="V40" s="188"/>
      <c r="W40" s="185"/>
      <c r="X40" s="182"/>
      <c r="Y40" s="595"/>
      <c r="Z40" s="188"/>
      <c r="AA40" s="188"/>
      <c r="AB40" s="185"/>
      <c r="AC40" s="182"/>
      <c r="AD40" s="595"/>
      <c r="AE40" s="188"/>
      <c r="AF40" s="188"/>
      <c r="AG40" s="185"/>
      <c r="AH40" s="182"/>
      <c r="AI40" s="595"/>
      <c r="AJ40" s="188"/>
      <c r="AK40" s="188"/>
      <c r="AL40" s="185"/>
      <c r="AM40" s="182"/>
      <c r="AN40" s="595"/>
      <c r="AO40" s="188"/>
      <c r="AP40" s="188"/>
      <c r="AQ40" s="185"/>
      <c r="AR40" s="182"/>
      <c r="AS40" s="595"/>
      <c r="AT40" s="188"/>
      <c r="AU40" s="188"/>
      <c r="AV40" s="185"/>
      <c r="AW40" s="182"/>
      <c r="AX40" s="595"/>
    </row>
    <row r="41" spans="2:50" ht="14.25" customHeight="1">
      <c r="B41" s="590"/>
      <c r="C41" s="180">
        <v>15</v>
      </c>
      <c r="D41" s="183"/>
      <c r="E41" s="180"/>
      <c r="F41" s="180"/>
      <c r="G41" s="185"/>
      <c r="H41" s="595"/>
      <c r="I41" s="186"/>
      <c r="J41" s="186"/>
      <c r="K41" s="187"/>
      <c r="L41" s="596"/>
      <c r="M41" s="186"/>
      <c r="N41" s="590"/>
      <c r="O41" s="590"/>
      <c r="P41" s="188"/>
      <c r="Q41" s="188"/>
      <c r="R41" s="185"/>
      <c r="S41" s="182"/>
      <c r="T41" s="595"/>
      <c r="U41" s="188"/>
      <c r="V41" s="188"/>
      <c r="W41" s="185"/>
      <c r="X41" s="182"/>
      <c r="Y41" s="595"/>
      <c r="Z41" s="188"/>
      <c r="AA41" s="188"/>
      <c r="AB41" s="185"/>
      <c r="AC41" s="182"/>
      <c r="AD41" s="595"/>
      <c r="AE41" s="188"/>
      <c r="AF41" s="188"/>
      <c r="AG41" s="185"/>
      <c r="AH41" s="182"/>
      <c r="AI41" s="595"/>
      <c r="AJ41" s="188"/>
      <c r="AK41" s="188"/>
      <c r="AL41" s="185"/>
      <c r="AM41" s="182"/>
      <c r="AN41" s="595"/>
      <c r="AO41" s="188"/>
      <c r="AP41" s="188"/>
      <c r="AQ41" s="185"/>
      <c r="AR41" s="182"/>
      <c r="AS41" s="595"/>
      <c r="AT41" s="188"/>
      <c r="AU41" s="188"/>
      <c r="AV41" s="185"/>
      <c r="AW41" s="182"/>
      <c r="AX41" s="595"/>
    </row>
  </sheetData>
  <mergeCells count="118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41"/>
  <sheetViews>
    <sheetView zoomScaleNormal="100" workbookViewId="0">
      <pane xSplit="13" ySplit="1" topLeftCell="AI26" activePane="bottomRight" state="frozen"/>
      <selection activeCell="L95" sqref="L95"/>
      <selection pane="topRight" activeCell="L95" sqref="L95"/>
      <selection pane="bottomLeft" activeCell="L95" sqref="L95"/>
      <selection pane="bottomRight" activeCell="L7" sqref="L7:L2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498" t="s">
        <v>738</v>
      </c>
      <c r="C1" s="175">
        <f>AVERAGE(L7,L27)</f>
        <v>78.576001609187784</v>
      </c>
    </row>
    <row r="2" spans="1:50" ht="14.25" customHeight="1">
      <c r="B2" s="572" t="s">
        <v>660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  <c r="N2" s="608" t="s">
        <v>369</v>
      </c>
      <c r="O2" s="608" t="s">
        <v>105</v>
      </c>
      <c r="P2" s="610">
        <v>46140</v>
      </c>
      <c r="Q2" s="611"/>
      <c r="R2" s="611"/>
      <c r="S2" s="611"/>
      <c r="T2" s="611"/>
      <c r="U2" s="612">
        <v>46141</v>
      </c>
      <c r="V2" s="613"/>
      <c r="W2" s="613"/>
      <c r="X2" s="613"/>
      <c r="Y2" s="613"/>
      <c r="Z2" s="610">
        <v>46142</v>
      </c>
      <c r="AA2" s="611"/>
      <c r="AB2" s="611"/>
      <c r="AC2" s="611"/>
      <c r="AD2" s="611"/>
      <c r="AE2" s="612">
        <v>46143</v>
      </c>
      <c r="AF2" s="613"/>
      <c r="AG2" s="613"/>
      <c r="AH2" s="613"/>
      <c r="AI2" s="613"/>
      <c r="AJ2" s="600">
        <v>46144</v>
      </c>
      <c r="AK2" s="601"/>
      <c r="AL2" s="601"/>
      <c r="AM2" s="601"/>
      <c r="AN2" s="602"/>
      <c r="AO2" s="612">
        <v>46145</v>
      </c>
      <c r="AP2" s="613"/>
      <c r="AQ2" s="613"/>
      <c r="AR2" s="613"/>
      <c r="AS2" s="613"/>
      <c r="AT2" s="600">
        <v>46146</v>
      </c>
      <c r="AU2" s="601"/>
      <c r="AV2" s="601"/>
      <c r="AW2" s="601"/>
      <c r="AX2" s="602"/>
    </row>
    <row r="3" spans="1:50" ht="14.25" customHeight="1"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5"/>
      <c r="N3" s="609"/>
      <c r="O3" s="609"/>
      <c r="P3" s="603">
        <v>46140</v>
      </c>
      <c r="Q3" s="603"/>
      <c r="R3" s="603"/>
      <c r="S3" s="603"/>
      <c r="T3" s="603"/>
      <c r="U3" s="604">
        <v>46141</v>
      </c>
      <c r="V3" s="604"/>
      <c r="W3" s="604"/>
      <c r="X3" s="604"/>
      <c r="Y3" s="604"/>
      <c r="Z3" s="603">
        <v>46142</v>
      </c>
      <c r="AA3" s="603"/>
      <c r="AB3" s="603"/>
      <c r="AC3" s="603"/>
      <c r="AD3" s="603"/>
      <c r="AE3" s="604">
        <v>46143</v>
      </c>
      <c r="AF3" s="604"/>
      <c r="AG3" s="604"/>
      <c r="AH3" s="604"/>
      <c r="AI3" s="604"/>
      <c r="AJ3" s="605">
        <v>46144</v>
      </c>
      <c r="AK3" s="606"/>
      <c r="AL3" s="606"/>
      <c r="AM3" s="606"/>
      <c r="AN3" s="607"/>
      <c r="AO3" s="604">
        <v>46145</v>
      </c>
      <c r="AP3" s="604"/>
      <c r="AQ3" s="604"/>
      <c r="AR3" s="604"/>
      <c r="AS3" s="604"/>
      <c r="AT3" s="605">
        <v>46146</v>
      </c>
      <c r="AU3" s="606"/>
      <c r="AV3" s="606"/>
      <c r="AW3" s="606"/>
      <c r="AX3" s="607"/>
    </row>
    <row r="4" spans="1:50" ht="14.25" customHeight="1">
      <c r="B4" s="590" t="s">
        <v>162</v>
      </c>
      <c r="C4" s="590" t="s">
        <v>157</v>
      </c>
      <c r="D4" s="590"/>
      <c r="E4" s="590" t="s">
        <v>158</v>
      </c>
      <c r="F4" s="590"/>
      <c r="G4" s="590"/>
      <c r="H4" s="590" t="s">
        <v>163</v>
      </c>
      <c r="I4" s="591" t="s">
        <v>370</v>
      </c>
      <c r="J4" s="591"/>
      <c r="K4" s="591"/>
      <c r="L4" s="591" t="s">
        <v>163</v>
      </c>
      <c r="M4" s="591" t="s">
        <v>165</v>
      </c>
      <c r="N4" s="590"/>
      <c r="O4" s="590" t="s">
        <v>164</v>
      </c>
      <c r="P4" s="590" t="s">
        <v>160</v>
      </c>
      <c r="Q4" s="590"/>
      <c r="R4" s="590"/>
      <c r="S4" s="590"/>
      <c r="T4" s="590" t="s">
        <v>163</v>
      </c>
      <c r="U4" s="590" t="s">
        <v>160</v>
      </c>
      <c r="V4" s="590"/>
      <c r="W4" s="590"/>
      <c r="X4" s="590"/>
      <c r="Y4" s="590" t="s">
        <v>163</v>
      </c>
      <c r="Z4" s="590" t="s">
        <v>160</v>
      </c>
      <c r="AA4" s="590"/>
      <c r="AB4" s="590"/>
      <c r="AC4" s="590"/>
      <c r="AD4" s="590" t="s">
        <v>163</v>
      </c>
      <c r="AE4" s="590" t="s">
        <v>160</v>
      </c>
      <c r="AF4" s="590"/>
      <c r="AG4" s="590"/>
      <c r="AH4" s="590"/>
      <c r="AI4" s="590" t="s">
        <v>163</v>
      </c>
      <c r="AJ4" s="590" t="s">
        <v>160</v>
      </c>
      <c r="AK4" s="590"/>
      <c r="AL4" s="590"/>
      <c r="AM4" s="590"/>
      <c r="AN4" s="590" t="s">
        <v>163</v>
      </c>
      <c r="AO4" s="590" t="s">
        <v>160</v>
      </c>
      <c r="AP4" s="590"/>
      <c r="AQ4" s="590"/>
      <c r="AR4" s="590"/>
      <c r="AS4" s="590" t="s">
        <v>163</v>
      </c>
      <c r="AT4" s="590" t="s">
        <v>160</v>
      </c>
      <c r="AU4" s="590"/>
      <c r="AV4" s="590"/>
      <c r="AW4" s="590"/>
      <c r="AX4" s="590" t="s">
        <v>163</v>
      </c>
    </row>
    <row r="5" spans="1:50" ht="14.25" customHeight="1">
      <c r="B5" s="590"/>
      <c r="C5" s="590"/>
      <c r="D5" s="590"/>
      <c r="E5" s="590" t="s">
        <v>371</v>
      </c>
      <c r="F5" s="590"/>
      <c r="G5" s="590"/>
      <c r="H5" s="590"/>
      <c r="I5" s="591" t="s">
        <v>371</v>
      </c>
      <c r="J5" s="591"/>
      <c r="K5" s="591"/>
      <c r="L5" s="591"/>
      <c r="M5" s="591"/>
      <c r="N5" s="590"/>
      <c r="O5" s="590"/>
      <c r="P5" s="590" t="s">
        <v>372</v>
      </c>
      <c r="Q5" s="590"/>
      <c r="R5" s="590"/>
      <c r="S5" s="590"/>
      <c r="T5" s="590"/>
      <c r="U5" s="590" t="s">
        <v>372</v>
      </c>
      <c r="V5" s="590"/>
      <c r="W5" s="590"/>
      <c r="X5" s="590"/>
      <c r="Y5" s="590"/>
      <c r="Z5" s="590" t="s">
        <v>372</v>
      </c>
      <c r="AA5" s="590"/>
      <c r="AB5" s="590"/>
      <c r="AC5" s="590"/>
      <c r="AD5" s="590"/>
      <c r="AE5" s="590" t="s">
        <v>372</v>
      </c>
      <c r="AF5" s="590"/>
      <c r="AG5" s="590"/>
      <c r="AH5" s="590"/>
      <c r="AI5" s="590"/>
      <c r="AJ5" s="590" t="s">
        <v>372</v>
      </c>
      <c r="AK5" s="590"/>
      <c r="AL5" s="590"/>
      <c r="AM5" s="590"/>
      <c r="AN5" s="590"/>
      <c r="AO5" s="590" t="s">
        <v>372</v>
      </c>
      <c r="AP5" s="590"/>
      <c r="AQ5" s="590"/>
      <c r="AR5" s="590"/>
      <c r="AS5" s="590"/>
      <c r="AT5" s="590" t="s">
        <v>372</v>
      </c>
      <c r="AU5" s="590"/>
      <c r="AV5" s="590"/>
      <c r="AW5" s="590"/>
      <c r="AX5" s="590"/>
    </row>
    <row r="6" spans="1:50" ht="14.25" customHeight="1">
      <c r="B6" s="590"/>
      <c r="C6" s="590"/>
      <c r="D6" s="590"/>
      <c r="E6" s="180" t="s">
        <v>159</v>
      </c>
      <c r="F6" s="180" t="s">
        <v>373</v>
      </c>
      <c r="G6" s="180" t="s">
        <v>161</v>
      </c>
      <c r="H6" s="590"/>
      <c r="I6" s="181" t="s">
        <v>159</v>
      </c>
      <c r="J6" s="181" t="s">
        <v>373</v>
      </c>
      <c r="K6" s="181" t="s">
        <v>161</v>
      </c>
      <c r="L6" s="591"/>
      <c r="M6" s="591"/>
      <c r="N6" s="590"/>
      <c r="O6" s="590"/>
      <c r="P6" s="180" t="s">
        <v>159</v>
      </c>
      <c r="Q6" s="180" t="s">
        <v>373</v>
      </c>
      <c r="R6" s="180" t="s">
        <v>161</v>
      </c>
      <c r="S6" s="182" t="s">
        <v>165</v>
      </c>
      <c r="T6" s="590"/>
      <c r="U6" s="180" t="s">
        <v>159</v>
      </c>
      <c r="V6" s="180" t="s">
        <v>373</v>
      </c>
      <c r="W6" s="180" t="s">
        <v>161</v>
      </c>
      <c r="X6" s="182" t="s">
        <v>165</v>
      </c>
      <c r="Y6" s="590"/>
      <c r="Z6" s="180" t="s">
        <v>159</v>
      </c>
      <c r="AA6" s="180" t="s">
        <v>373</v>
      </c>
      <c r="AB6" s="180" t="s">
        <v>161</v>
      </c>
      <c r="AC6" s="182" t="s">
        <v>165</v>
      </c>
      <c r="AD6" s="590"/>
      <c r="AE6" s="180" t="s">
        <v>159</v>
      </c>
      <c r="AF6" s="180" t="s">
        <v>373</v>
      </c>
      <c r="AG6" s="180" t="s">
        <v>161</v>
      </c>
      <c r="AH6" s="182" t="s">
        <v>165</v>
      </c>
      <c r="AI6" s="590"/>
      <c r="AJ6" s="180" t="s">
        <v>159</v>
      </c>
      <c r="AK6" s="180" t="s">
        <v>373</v>
      </c>
      <c r="AL6" s="180" t="s">
        <v>161</v>
      </c>
      <c r="AM6" s="182" t="s">
        <v>165</v>
      </c>
      <c r="AN6" s="590"/>
      <c r="AO6" s="180" t="s">
        <v>159</v>
      </c>
      <c r="AP6" s="180" t="s">
        <v>373</v>
      </c>
      <c r="AQ6" s="180" t="s">
        <v>161</v>
      </c>
      <c r="AR6" s="182" t="s">
        <v>165</v>
      </c>
      <c r="AS6" s="590"/>
      <c r="AT6" s="180" t="s">
        <v>159</v>
      </c>
      <c r="AU6" s="180" t="s">
        <v>373</v>
      </c>
      <c r="AV6" s="180" t="s">
        <v>161</v>
      </c>
      <c r="AW6" s="182" t="s">
        <v>165</v>
      </c>
      <c r="AX6" s="590"/>
    </row>
    <row r="7" spans="1:50" ht="14.25" customHeight="1">
      <c r="B7" s="590" t="s">
        <v>137</v>
      </c>
      <c r="C7" s="180">
        <v>1</v>
      </c>
      <c r="D7" s="183" t="s">
        <v>353</v>
      </c>
      <c r="E7" s="180">
        <v>21</v>
      </c>
      <c r="F7" s="180">
        <v>2000</v>
      </c>
      <c r="G7" s="185">
        <f t="shared" ref="G7:G15" si="0">F7/E7</f>
        <v>95.238095238095241</v>
      </c>
      <c r="H7" s="595">
        <f>AVERAGE(G7:G21)</f>
        <v>87.845166106035677</v>
      </c>
      <c r="I7" s="186">
        <f>AVERAGE(P7,U7,Z7,AE7,AJ7,AO7,AT7)</f>
        <v>21</v>
      </c>
      <c r="J7" s="186">
        <f>AVERAGE(Q7,V7,AA7,AF7,AK7,AP7,AU7)</f>
        <v>1787.0571428571423</v>
      </c>
      <c r="K7" s="187">
        <f>AVERAGE(R7,W7,AB7,AG7,AL7,AQ7,AV7)</f>
        <v>85.097959183673439</v>
      </c>
      <c r="L7" s="596">
        <f>IFERROR(AVERAGE(K7:K21),"-")</f>
        <v>78.556988347293995</v>
      </c>
      <c r="M7" s="186">
        <f>RANK(K7, K$7:$K$21)</f>
        <v>2</v>
      </c>
      <c r="N7" s="590"/>
      <c r="O7" s="590"/>
      <c r="P7" s="188">
        <v>21</v>
      </c>
      <c r="Q7" s="188">
        <v>1786.399999999999</v>
      </c>
      <c r="R7" s="185">
        <f>IFERROR(Q7/P7,"")</f>
        <v>85.06666666666662</v>
      </c>
      <c r="S7" s="182">
        <f>RANK(R7, R$7:R$21)</f>
        <v>2</v>
      </c>
      <c r="T7" s="595">
        <f>AVERAGE(R7:R21)</f>
        <v>78.547127777785192</v>
      </c>
      <c r="U7" s="188">
        <v>21</v>
      </c>
      <c r="V7" s="188">
        <v>1786.799999999999</v>
      </c>
      <c r="W7" s="185">
        <f t="shared" ref="W7:W15" si="1">IFERROR(V7/U7,"")</f>
        <v>85.085714285714246</v>
      </c>
      <c r="X7" s="182">
        <f>RANK(W7, W$7:W$21)</f>
        <v>2</v>
      </c>
      <c r="Y7" s="595">
        <f>AVERAGE(W7:W21)</f>
        <v>78.539549124554341</v>
      </c>
      <c r="Z7" s="188">
        <v>21</v>
      </c>
      <c r="AA7" s="188">
        <v>1787.7999999999993</v>
      </c>
      <c r="AB7" s="185">
        <f t="shared" ref="AB7:AB15" si="2">IFERROR(AA7/Z7,"")</f>
        <v>85.133333333333297</v>
      </c>
      <c r="AC7" s="182">
        <f>RANK(AB7, AB$7:AB$21)</f>
        <v>2</v>
      </c>
      <c r="AD7" s="595">
        <f>AVERAGE(AB7:AB21)</f>
        <v>78.555327453970648</v>
      </c>
      <c r="AE7" s="188">
        <v>21</v>
      </c>
      <c r="AF7" s="188">
        <v>1787.5999999999995</v>
      </c>
      <c r="AG7" s="185">
        <f>IFERROR(AF7/AE7,"")</f>
        <v>85.123809523809499</v>
      </c>
      <c r="AH7" s="182">
        <f>RANK(AG7, AG$7:AG$21)</f>
        <v>2</v>
      </c>
      <c r="AI7" s="595">
        <f>AVERAGE(AG7:AG21)</f>
        <v>78.554652235469376</v>
      </c>
      <c r="AJ7" s="188">
        <v>21</v>
      </c>
      <c r="AK7" s="188">
        <v>1786.9999999999995</v>
      </c>
      <c r="AL7" s="185">
        <f t="shared" ref="AL7:AL15" si="3">IFERROR(AK7/AJ7,"")</f>
        <v>85.095238095238074</v>
      </c>
      <c r="AM7" s="182">
        <f>RANK(AL7, AL$7:AL$21)</f>
        <v>2</v>
      </c>
      <c r="AN7" s="595">
        <f>AVERAGE(AL7:AL21)</f>
        <v>78.567960859212775</v>
      </c>
      <c r="AO7" s="188">
        <v>21</v>
      </c>
      <c r="AP7" s="188">
        <v>1786.7999999999995</v>
      </c>
      <c r="AQ7" s="185">
        <f t="shared" ref="AQ7:AQ15" si="4">IFERROR(AP7/AO7,"")</f>
        <v>85.085714285714261</v>
      </c>
      <c r="AR7" s="182">
        <f>RANK(AQ7, AQ$7:AQ$21)</f>
        <v>2</v>
      </c>
      <c r="AS7" s="595">
        <f>AVERAGE(AQ7:AQ21)</f>
        <v>78.562299041159648</v>
      </c>
      <c r="AT7" s="188">
        <v>21</v>
      </c>
      <c r="AU7" s="188">
        <v>1786.9999999999995</v>
      </c>
      <c r="AV7" s="185">
        <f t="shared" ref="AV7:AV15" si="5">IFERROR(AU7/AT7,"")</f>
        <v>85.095238095238074</v>
      </c>
      <c r="AW7" s="182">
        <f>RANK(AV7, AV$7:AV$21)</f>
        <v>2</v>
      </c>
      <c r="AX7" s="595">
        <f>AVERAGE(AV7:AV21)</f>
        <v>78.572001938906027</v>
      </c>
    </row>
    <row r="8" spans="1:50" ht="14.25" customHeight="1">
      <c r="B8" s="590"/>
      <c r="C8" s="180">
        <v>2</v>
      </c>
      <c r="D8" s="183" t="s">
        <v>354</v>
      </c>
      <c r="E8" s="180">
        <v>24</v>
      </c>
      <c r="F8" s="180">
        <v>2000</v>
      </c>
      <c r="G8" s="185">
        <f t="shared" si="0"/>
        <v>83.333333333333329</v>
      </c>
      <c r="H8" s="595"/>
      <c r="I8" s="186">
        <f t="shared" ref="I8:K15" si="6">AVERAGE(P8,U8,Z8,AE8,AJ8,AO8,AT8)</f>
        <v>24</v>
      </c>
      <c r="J8" s="186">
        <f t="shared" si="6"/>
        <v>1790.9140502123737</v>
      </c>
      <c r="K8" s="187">
        <f t="shared" si="6"/>
        <v>74.621418758848904</v>
      </c>
      <c r="L8" s="596"/>
      <c r="M8" s="186">
        <f>RANK(K8, K$7:$K$21)</f>
        <v>7</v>
      </c>
      <c r="N8" s="590"/>
      <c r="O8" s="590"/>
      <c r="P8" s="188">
        <v>24</v>
      </c>
      <c r="Q8" s="188">
        <v>1790.1997644980881</v>
      </c>
      <c r="R8" s="185">
        <f t="shared" ref="R8:R15" si="7">IFERROR(Q8/P8,"")</f>
        <v>74.591656854087006</v>
      </c>
      <c r="S8" s="182">
        <f t="shared" ref="S8:S15" si="8">RANK(R8, R$7:R$21)</f>
        <v>7</v>
      </c>
      <c r="T8" s="595"/>
      <c r="U8" s="188">
        <v>24</v>
      </c>
      <c r="V8" s="188">
        <v>1789.9997644980881</v>
      </c>
      <c r="W8" s="185">
        <f t="shared" si="1"/>
        <v>74.583323520753666</v>
      </c>
      <c r="X8" s="182">
        <f t="shared" ref="X8:X15" si="9">RANK(W8, W$7:W$21)</f>
        <v>7</v>
      </c>
      <c r="Y8" s="595"/>
      <c r="Z8" s="188">
        <v>24</v>
      </c>
      <c r="AA8" s="188">
        <v>1790.1997644980879</v>
      </c>
      <c r="AB8" s="185">
        <f t="shared" si="2"/>
        <v>74.591656854086992</v>
      </c>
      <c r="AC8" s="182">
        <f t="shared" ref="AC8:AC15" si="10">RANK(AB8, AB$7:AB$21)</f>
        <v>7</v>
      </c>
      <c r="AD8" s="595"/>
      <c r="AE8" s="188">
        <v>24</v>
      </c>
      <c r="AF8" s="188">
        <v>1790.7997644980876</v>
      </c>
      <c r="AG8" s="185">
        <f t="shared" ref="AG8:AG15" si="11">IFERROR(AF8/AE8,"")</f>
        <v>74.616656854086983</v>
      </c>
      <c r="AH8" s="182">
        <f t="shared" ref="AH8:AH15" si="12">RANK(AG8, AG$7:AG$21)</f>
        <v>7</v>
      </c>
      <c r="AI8" s="595"/>
      <c r="AJ8" s="188">
        <v>24</v>
      </c>
      <c r="AK8" s="188">
        <v>1791.7997644980876</v>
      </c>
      <c r="AL8" s="185">
        <f t="shared" si="3"/>
        <v>74.658323520753655</v>
      </c>
      <c r="AM8" s="182">
        <f t="shared" ref="AM8:AM15" si="13">RANK(AL8, AL$7:AL$21)</f>
        <v>7</v>
      </c>
      <c r="AN8" s="595"/>
      <c r="AO8" s="188">
        <v>24</v>
      </c>
      <c r="AP8" s="188">
        <v>1791.399764498088</v>
      </c>
      <c r="AQ8" s="185">
        <f t="shared" si="4"/>
        <v>74.641656854087003</v>
      </c>
      <c r="AR8" s="182">
        <f t="shared" ref="AR8:AR15" si="14">RANK(AQ8, AQ$7:AQ$21)</f>
        <v>7</v>
      </c>
      <c r="AS8" s="595"/>
      <c r="AT8" s="188">
        <v>24</v>
      </c>
      <c r="AU8" s="188">
        <v>1791.9997644980881</v>
      </c>
      <c r="AV8" s="185">
        <f t="shared" si="5"/>
        <v>74.666656854087009</v>
      </c>
      <c r="AW8" s="182">
        <f t="shared" ref="AW8:AW15" si="15">RANK(AV8, AV$7:AV$21)</f>
        <v>7</v>
      </c>
      <c r="AX8" s="595"/>
    </row>
    <row r="9" spans="1:50" ht="14.25" customHeight="1">
      <c r="B9" s="590"/>
      <c r="C9" s="180">
        <v>3</v>
      </c>
      <c r="D9" s="183" t="s">
        <v>355</v>
      </c>
      <c r="E9" s="180">
        <v>23</v>
      </c>
      <c r="F9" s="180">
        <v>2000</v>
      </c>
      <c r="G9" s="185">
        <f t="shared" si="0"/>
        <v>86.956521739130437</v>
      </c>
      <c r="H9" s="595"/>
      <c r="I9" s="186">
        <f t="shared" si="6"/>
        <v>23</v>
      </c>
      <c r="J9" s="186">
        <f t="shared" si="6"/>
        <v>1787.1670773791141</v>
      </c>
      <c r="K9" s="187">
        <f t="shared" si="6"/>
        <v>77.702916407787569</v>
      </c>
      <c r="L9" s="596"/>
      <c r="M9" s="186">
        <f>RANK(K9, K$7:$K$21)</f>
        <v>6</v>
      </c>
      <c r="N9" s="590"/>
      <c r="O9" s="590"/>
      <c r="P9" s="188">
        <v>23</v>
      </c>
      <c r="Q9" s="188">
        <v>1786.1770659833439</v>
      </c>
      <c r="R9" s="185">
        <f t="shared" si="7"/>
        <v>77.659872434058428</v>
      </c>
      <c r="S9" s="182">
        <f t="shared" si="8"/>
        <v>6</v>
      </c>
      <c r="T9" s="595"/>
      <c r="U9" s="188">
        <v>23</v>
      </c>
      <c r="V9" s="188">
        <v>1785.7770659833438</v>
      </c>
      <c r="W9" s="185">
        <f t="shared" si="1"/>
        <v>77.642481129710603</v>
      </c>
      <c r="X9" s="182">
        <f t="shared" si="9"/>
        <v>6</v>
      </c>
      <c r="Y9" s="595"/>
      <c r="Z9" s="188">
        <v>23</v>
      </c>
      <c r="AA9" s="188">
        <v>1787.0030819374222</v>
      </c>
      <c r="AB9" s="185">
        <f t="shared" si="2"/>
        <v>77.695786171192267</v>
      </c>
      <c r="AC9" s="182">
        <f t="shared" si="10"/>
        <v>6</v>
      </c>
      <c r="AD9" s="595"/>
      <c r="AE9" s="188">
        <v>23</v>
      </c>
      <c r="AF9" s="188">
        <v>1787.203081937422</v>
      </c>
      <c r="AG9" s="185">
        <f t="shared" si="11"/>
        <v>77.70448182336618</v>
      </c>
      <c r="AH9" s="182">
        <f t="shared" si="12"/>
        <v>6</v>
      </c>
      <c r="AI9" s="595"/>
      <c r="AJ9" s="188">
        <v>23</v>
      </c>
      <c r="AK9" s="188">
        <v>1787.203081937422</v>
      </c>
      <c r="AL9" s="185">
        <f t="shared" si="3"/>
        <v>77.70448182336618</v>
      </c>
      <c r="AM9" s="182">
        <f t="shared" si="13"/>
        <v>6</v>
      </c>
      <c r="AN9" s="595"/>
      <c r="AO9" s="188">
        <v>23</v>
      </c>
      <c r="AP9" s="188">
        <v>1788.0030819374219</v>
      </c>
      <c r="AQ9" s="185">
        <f t="shared" si="4"/>
        <v>77.73926443206183</v>
      </c>
      <c r="AR9" s="182">
        <f t="shared" si="14"/>
        <v>6</v>
      </c>
      <c r="AS9" s="595"/>
      <c r="AT9" s="188">
        <v>23</v>
      </c>
      <c r="AU9" s="188">
        <v>1788.8030819374221</v>
      </c>
      <c r="AV9" s="185">
        <f t="shared" si="5"/>
        <v>77.77404704075748</v>
      </c>
      <c r="AW9" s="182">
        <f t="shared" si="15"/>
        <v>5</v>
      </c>
      <c r="AX9" s="595"/>
    </row>
    <row r="10" spans="1:50" ht="14.25" customHeight="1">
      <c r="B10" s="590"/>
      <c r="C10" s="180">
        <v>4</v>
      </c>
      <c r="D10" s="183" t="s">
        <v>352</v>
      </c>
      <c r="E10" s="180">
        <v>23</v>
      </c>
      <c r="F10" s="180">
        <v>2000</v>
      </c>
      <c r="G10" s="185">
        <f t="shared" si="0"/>
        <v>86.956521739130437</v>
      </c>
      <c r="H10" s="595"/>
      <c r="I10" s="186">
        <f t="shared" si="6"/>
        <v>23</v>
      </c>
      <c r="J10" s="186">
        <f t="shared" si="6"/>
        <v>1789.2355996944241</v>
      </c>
      <c r="K10" s="187">
        <f t="shared" si="6"/>
        <v>77.792852160627135</v>
      </c>
      <c r="L10" s="596"/>
      <c r="M10" s="186">
        <f>RANK(K10, K$7:$K$21)</f>
        <v>5</v>
      </c>
      <c r="N10" s="590"/>
      <c r="O10" s="590"/>
      <c r="P10" s="188">
        <v>23</v>
      </c>
      <c r="Q10" s="188">
        <v>1789.8641711229952</v>
      </c>
      <c r="R10" s="185">
        <f t="shared" si="7"/>
        <v>77.820181353173709</v>
      </c>
      <c r="S10" s="182">
        <f t="shared" si="8"/>
        <v>5</v>
      </c>
      <c r="T10" s="595"/>
      <c r="U10" s="188">
        <v>23</v>
      </c>
      <c r="V10" s="188">
        <v>1789.8641711229952</v>
      </c>
      <c r="W10" s="185">
        <f t="shared" si="1"/>
        <v>77.820181353173709</v>
      </c>
      <c r="X10" s="182">
        <f t="shared" si="9"/>
        <v>5</v>
      </c>
      <c r="Y10" s="595"/>
      <c r="Z10" s="188">
        <v>23</v>
      </c>
      <c r="AA10" s="188">
        <v>1789.2641711229953</v>
      </c>
      <c r="AB10" s="185">
        <f t="shared" si="2"/>
        <v>77.794094396651971</v>
      </c>
      <c r="AC10" s="182">
        <f t="shared" si="10"/>
        <v>5</v>
      </c>
      <c r="AD10" s="595"/>
      <c r="AE10" s="188">
        <v>23</v>
      </c>
      <c r="AF10" s="188">
        <v>1789.0641711229953</v>
      </c>
      <c r="AG10" s="185">
        <f t="shared" si="11"/>
        <v>77.785398744478059</v>
      </c>
      <c r="AH10" s="182">
        <f t="shared" si="12"/>
        <v>5</v>
      </c>
      <c r="AI10" s="595"/>
      <c r="AJ10" s="188">
        <v>23</v>
      </c>
      <c r="AK10" s="188">
        <v>1789.2641711229955</v>
      </c>
      <c r="AL10" s="185">
        <f t="shared" si="3"/>
        <v>77.794094396651985</v>
      </c>
      <c r="AM10" s="182">
        <f t="shared" si="13"/>
        <v>5</v>
      </c>
      <c r="AN10" s="595"/>
      <c r="AO10" s="188">
        <v>23</v>
      </c>
      <c r="AP10" s="188">
        <v>1788.8641711229955</v>
      </c>
      <c r="AQ10" s="185">
        <f t="shared" si="4"/>
        <v>77.776703092304146</v>
      </c>
      <c r="AR10" s="182">
        <f t="shared" si="14"/>
        <v>5</v>
      </c>
      <c r="AS10" s="595"/>
      <c r="AT10" s="188">
        <v>23</v>
      </c>
      <c r="AU10" s="188">
        <v>1788.4641711229954</v>
      </c>
      <c r="AV10" s="185">
        <f t="shared" si="5"/>
        <v>77.759311787956321</v>
      </c>
      <c r="AW10" s="182">
        <f t="shared" si="15"/>
        <v>6</v>
      </c>
      <c r="AX10" s="595"/>
    </row>
    <row r="11" spans="1:50" ht="14.25" customHeight="1">
      <c r="B11" s="590"/>
      <c r="C11" s="180">
        <v>5</v>
      </c>
      <c r="D11" s="183" t="s">
        <v>441</v>
      </c>
      <c r="E11" s="180">
        <v>23</v>
      </c>
      <c r="F11" s="180">
        <v>2000</v>
      </c>
      <c r="G11" s="185">
        <f t="shared" si="0"/>
        <v>86.956521739130437</v>
      </c>
      <c r="H11" s="595"/>
      <c r="I11" s="186">
        <f t="shared" si="6"/>
        <v>23</v>
      </c>
      <c r="J11" s="186">
        <f t="shared" si="6"/>
        <v>1790.5066107707155</v>
      </c>
      <c r="K11" s="187">
        <f t="shared" si="6"/>
        <v>77.848113511770222</v>
      </c>
      <c r="L11" s="596"/>
      <c r="M11" s="186">
        <f>RANK(K11, K$7:$K$21)</f>
        <v>4</v>
      </c>
      <c r="N11" s="590"/>
      <c r="O11" s="590"/>
      <c r="P11" s="188">
        <v>23</v>
      </c>
      <c r="Q11" s="188">
        <v>1791.2494679135723</v>
      </c>
      <c r="R11" s="185">
        <f t="shared" si="7"/>
        <v>77.880411648416185</v>
      </c>
      <c r="S11" s="182">
        <f t="shared" si="8"/>
        <v>4</v>
      </c>
      <c r="T11" s="595"/>
      <c r="U11" s="188">
        <v>23</v>
      </c>
      <c r="V11" s="188">
        <v>1790.4494679135723</v>
      </c>
      <c r="W11" s="185">
        <f t="shared" si="1"/>
        <v>77.845629039720535</v>
      </c>
      <c r="X11" s="182">
        <f t="shared" si="9"/>
        <v>4</v>
      </c>
      <c r="Y11" s="595"/>
      <c r="Z11" s="188">
        <v>23</v>
      </c>
      <c r="AA11" s="188">
        <v>1790.4494679135723</v>
      </c>
      <c r="AB11" s="185">
        <f t="shared" si="2"/>
        <v>77.845629039720535</v>
      </c>
      <c r="AC11" s="182">
        <f t="shared" si="10"/>
        <v>4</v>
      </c>
      <c r="AD11" s="595"/>
      <c r="AE11" s="188">
        <v>23</v>
      </c>
      <c r="AF11" s="188">
        <v>1789.8494679135727</v>
      </c>
      <c r="AG11" s="185">
        <f t="shared" si="11"/>
        <v>77.819542083198812</v>
      </c>
      <c r="AH11" s="182">
        <f t="shared" si="12"/>
        <v>4</v>
      </c>
      <c r="AI11" s="595"/>
      <c r="AJ11" s="188">
        <v>23</v>
      </c>
      <c r="AK11" s="188">
        <v>1790.4494679135726</v>
      </c>
      <c r="AL11" s="185">
        <f t="shared" si="3"/>
        <v>77.845629039720549</v>
      </c>
      <c r="AM11" s="182">
        <f t="shared" si="13"/>
        <v>4</v>
      </c>
      <c r="AN11" s="595"/>
      <c r="AO11" s="188">
        <v>23</v>
      </c>
      <c r="AP11" s="188">
        <v>1790.2494679135725</v>
      </c>
      <c r="AQ11" s="185">
        <f t="shared" si="4"/>
        <v>77.836933387546637</v>
      </c>
      <c r="AR11" s="182">
        <f t="shared" si="14"/>
        <v>4</v>
      </c>
      <c r="AS11" s="595"/>
      <c r="AT11" s="188">
        <v>23</v>
      </c>
      <c r="AU11" s="188">
        <v>1790.8494679135724</v>
      </c>
      <c r="AV11" s="185">
        <f t="shared" si="5"/>
        <v>77.86302034406836</v>
      </c>
      <c r="AW11" s="182">
        <f t="shared" si="15"/>
        <v>4</v>
      </c>
      <c r="AX11" s="595"/>
    </row>
    <row r="12" spans="1:50" ht="14.25" customHeight="1">
      <c r="B12" s="590"/>
      <c r="C12" s="180">
        <v>6</v>
      </c>
      <c r="D12" s="183" t="s">
        <v>444</v>
      </c>
      <c r="E12" s="180">
        <v>22</v>
      </c>
      <c r="F12" s="180">
        <v>2000</v>
      </c>
      <c r="G12" s="185">
        <f t="shared" si="0"/>
        <v>90.909090909090907</v>
      </c>
      <c r="H12" s="595"/>
      <c r="I12" s="186">
        <f t="shared" si="6"/>
        <v>22</v>
      </c>
      <c r="J12" s="186">
        <f t="shared" si="6"/>
        <v>1786.8898179020273</v>
      </c>
      <c r="K12" s="187">
        <f t="shared" si="6"/>
        <v>81.22226445009214</v>
      </c>
      <c r="L12" s="596"/>
      <c r="M12" s="186">
        <f>RANK(K12, K$7:$K$21)</f>
        <v>3</v>
      </c>
      <c r="N12" s="590"/>
      <c r="O12" s="590"/>
      <c r="P12" s="188">
        <v>22</v>
      </c>
      <c r="Q12" s="188">
        <v>1787.6326750448841</v>
      </c>
      <c r="R12" s="185">
        <f t="shared" si="7"/>
        <v>81.25603068385837</v>
      </c>
      <c r="S12" s="182">
        <f t="shared" si="8"/>
        <v>3</v>
      </c>
      <c r="T12" s="595"/>
      <c r="U12" s="188">
        <v>22</v>
      </c>
      <c r="V12" s="188">
        <v>1786.8326750448844</v>
      </c>
      <c r="W12" s="185">
        <f t="shared" si="1"/>
        <v>81.219667047494738</v>
      </c>
      <c r="X12" s="182">
        <f t="shared" si="9"/>
        <v>3</v>
      </c>
      <c r="Y12" s="595"/>
      <c r="Z12" s="188">
        <v>22</v>
      </c>
      <c r="AA12" s="188">
        <v>1787.0326750448844</v>
      </c>
      <c r="AB12" s="185">
        <f t="shared" si="2"/>
        <v>81.228757956585653</v>
      </c>
      <c r="AC12" s="182">
        <f t="shared" si="10"/>
        <v>3</v>
      </c>
      <c r="AD12" s="595"/>
      <c r="AE12" s="188">
        <v>22</v>
      </c>
      <c r="AF12" s="188">
        <v>1786.2326750448844</v>
      </c>
      <c r="AG12" s="185">
        <f t="shared" si="11"/>
        <v>81.192394320222022</v>
      </c>
      <c r="AH12" s="182">
        <f t="shared" si="12"/>
        <v>3</v>
      </c>
      <c r="AI12" s="595"/>
      <c r="AJ12" s="188">
        <v>22</v>
      </c>
      <c r="AK12" s="188">
        <v>1786.6326750448845</v>
      </c>
      <c r="AL12" s="185">
        <f t="shared" si="3"/>
        <v>81.210576138403837</v>
      </c>
      <c r="AM12" s="182">
        <f t="shared" si="13"/>
        <v>3</v>
      </c>
      <c r="AN12" s="595"/>
      <c r="AO12" s="188">
        <v>22</v>
      </c>
      <c r="AP12" s="188">
        <v>1786.6326750448845</v>
      </c>
      <c r="AQ12" s="185">
        <f t="shared" si="4"/>
        <v>81.210576138403837</v>
      </c>
      <c r="AR12" s="182">
        <f t="shared" si="14"/>
        <v>3</v>
      </c>
      <c r="AS12" s="595"/>
      <c r="AT12" s="188">
        <v>22</v>
      </c>
      <c r="AU12" s="188">
        <v>1787.2326750448842</v>
      </c>
      <c r="AV12" s="185">
        <f t="shared" si="5"/>
        <v>81.237848865676554</v>
      </c>
      <c r="AW12" s="182">
        <f t="shared" si="15"/>
        <v>3</v>
      </c>
      <c r="AX12" s="595"/>
    </row>
    <row r="13" spans="1:50" ht="14.25" customHeight="1">
      <c r="B13" s="590"/>
      <c r="C13" s="180">
        <v>7</v>
      </c>
      <c r="D13" s="183" t="s">
        <v>447</v>
      </c>
      <c r="E13" s="180">
        <v>20</v>
      </c>
      <c r="F13" s="180">
        <v>2000</v>
      </c>
      <c r="G13" s="185">
        <f t="shared" si="0"/>
        <v>100</v>
      </c>
      <c r="H13" s="595"/>
      <c r="I13" s="186">
        <f t="shared" si="6"/>
        <v>20</v>
      </c>
      <c r="J13" s="186">
        <f t="shared" si="6"/>
        <v>1787.4351228030155</v>
      </c>
      <c r="K13" s="187">
        <f t="shared" si="6"/>
        <v>89.371756140150765</v>
      </c>
      <c r="L13" s="596"/>
      <c r="M13" s="186">
        <f>RANK(K13, K$7:$K$21)</f>
        <v>1</v>
      </c>
      <c r="N13" s="590"/>
      <c r="O13" s="590"/>
      <c r="P13" s="188">
        <v>20</v>
      </c>
      <c r="Q13" s="188">
        <v>1786.8065513744446</v>
      </c>
      <c r="R13" s="185">
        <f t="shared" si="7"/>
        <v>89.34032756872223</v>
      </c>
      <c r="S13" s="182">
        <f t="shared" si="8"/>
        <v>1</v>
      </c>
      <c r="T13" s="595"/>
      <c r="U13" s="188">
        <v>20</v>
      </c>
      <c r="V13" s="188">
        <v>1786.8065513744443</v>
      </c>
      <c r="W13" s="185">
        <f t="shared" si="1"/>
        <v>89.340327568722216</v>
      </c>
      <c r="X13" s="182">
        <f t="shared" si="9"/>
        <v>1</v>
      </c>
      <c r="Y13" s="595"/>
      <c r="Z13" s="188">
        <v>20</v>
      </c>
      <c r="AA13" s="188">
        <v>1787.0065513744439</v>
      </c>
      <c r="AB13" s="185">
        <f t="shared" si="2"/>
        <v>89.350327568722193</v>
      </c>
      <c r="AC13" s="182">
        <f t="shared" si="10"/>
        <v>1</v>
      </c>
      <c r="AD13" s="595"/>
      <c r="AE13" s="188">
        <v>20</v>
      </c>
      <c r="AF13" s="188">
        <v>1787.6065513744436</v>
      </c>
      <c r="AG13" s="185">
        <f t="shared" si="11"/>
        <v>89.38032756872218</v>
      </c>
      <c r="AH13" s="182">
        <f t="shared" si="12"/>
        <v>1</v>
      </c>
      <c r="AI13" s="595"/>
      <c r="AJ13" s="188">
        <v>20</v>
      </c>
      <c r="AK13" s="188">
        <v>1788.2065513744437</v>
      </c>
      <c r="AL13" s="185">
        <f t="shared" si="3"/>
        <v>89.410327568722181</v>
      </c>
      <c r="AM13" s="182">
        <f t="shared" si="13"/>
        <v>1</v>
      </c>
      <c r="AN13" s="595"/>
      <c r="AO13" s="188">
        <v>20</v>
      </c>
      <c r="AP13" s="188">
        <v>1787.8065513744434</v>
      </c>
      <c r="AQ13" s="185">
        <f t="shared" si="4"/>
        <v>89.390327568722171</v>
      </c>
      <c r="AR13" s="182">
        <f t="shared" si="14"/>
        <v>1</v>
      </c>
      <c r="AS13" s="595"/>
      <c r="AT13" s="188">
        <v>20</v>
      </c>
      <c r="AU13" s="188">
        <v>1787.8065513744434</v>
      </c>
      <c r="AV13" s="185">
        <f t="shared" si="5"/>
        <v>89.390327568722171</v>
      </c>
      <c r="AW13" s="182">
        <f t="shared" si="15"/>
        <v>1</v>
      </c>
      <c r="AX13" s="595"/>
    </row>
    <row r="14" spans="1:50" ht="14.25" customHeight="1">
      <c r="B14" s="590"/>
      <c r="C14" s="180">
        <v>8</v>
      </c>
      <c r="D14" s="183" t="s">
        <v>356</v>
      </c>
      <c r="E14" s="180">
        <v>24</v>
      </c>
      <c r="F14" s="180">
        <v>2000</v>
      </c>
      <c r="G14" s="185">
        <f t="shared" si="0"/>
        <v>83.333333333333329</v>
      </c>
      <c r="H14" s="595"/>
      <c r="I14" s="186">
        <f t="shared" si="6"/>
        <v>24</v>
      </c>
      <c r="J14" s="186">
        <f t="shared" si="6"/>
        <v>1787.730781076536</v>
      </c>
      <c r="K14" s="187">
        <f t="shared" si="6"/>
        <v>74.488782544855681</v>
      </c>
      <c r="L14" s="596"/>
      <c r="M14" s="186">
        <f>RANK(K14, K$7:$K$21)</f>
        <v>8</v>
      </c>
      <c r="N14" s="590"/>
      <c r="O14" s="590"/>
      <c r="P14" s="188">
        <v>24</v>
      </c>
      <c r="Q14" s="188">
        <v>1786.2164953622505</v>
      </c>
      <c r="R14" s="185">
        <f t="shared" si="7"/>
        <v>74.425687306760437</v>
      </c>
      <c r="S14" s="182">
        <f t="shared" si="8"/>
        <v>8</v>
      </c>
      <c r="T14" s="595"/>
      <c r="U14" s="188">
        <v>24</v>
      </c>
      <c r="V14" s="188">
        <v>1786.8164953622504</v>
      </c>
      <c r="W14" s="185">
        <f t="shared" si="1"/>
        <v>74.450687306760429</v>
      </c>
      <c r="X14" s="182">
        <f t="shared" si="9"/>
        <v>8</v>
      </c>
      <c r="Y14" s="595"/>
      <c r="Z14" s="188">
        <v>24</v>
      </c>
      <c r="AA14" s="188">
        <v>1787.2164953622503</v>
      </c>
      <c r="AB14" s="185">
        <f t="shared" si="2"/>
        <v>74.467353973427095</v>
      </c>
      <c r="AC14" s="182">
        <f t="shared" si="10"/>
        <v>8</v>
      </c>
      <c r="AD14" s="595"/>
      <c r="AE14" s="188">
        <v>24</v>
      </c>
      <c r="AF14" s="188">
        <v>1788.2164953622503</v>
      </c>
      <c r="AG14" s="185">
        <f t="shared" si="11"/>
        <v>74.509020640093766</v>
      </c>
      <c r="AH14" s="182">
        <f t="shared" si="12"/>
        <v>8</v>
      </c>
      <c r="AI14" s="595"/>
      <c r="AJ14" s="188">
        <v>24</v>
      </c>
      <c r="AK14" s="188">
        <v>1788.4164953622505</v>
      </c>
      <c r="AL14" s="185">
        <f t="shared" si="3"/>
        <v>74.517353973427106</v>
      </c>
      <c r="AM14" s="182">
        <f t="shared" si="13"/>
        <v>8</v>
      </c>
      <c r="AN14" s="595"/>
      <c r="AO14" s="188">
        <v>24</v>
      </c>
      <c r="AP14" s="188">
        <v>1789.0164953622505</v>
      </c>
      <c r="AQ14" s="185">
        <f t="shared" si="4"/>
        <v>74.542353973427097</v>
      </c>
      <c r="AR14" s="182">
        <f t="shared" si="14"/>
        <v>8</v>
      </c>
      <c r="AS14" s="595"/>
      <c r="AT14" s="188">
        <v>24</v>
      </c>
      <c r="AU14" s="188">
        <v>1788.2164953622505</v>
      </c>
      <c r="AV14" s="185">
        <f t="shared" si="5"/>
        <v>74.509020640093766</v>
      </c>
      <c r="AW14" s="182">
        <f t="shared" si="15"/>
        <v>8</v>
      </c>
      <c r="AX14" s="595"/>
    </row>
    <row r="15" spans="1:50" ht="14.25" customHeight="1">
      <c r="B15" s="590"/>
      <c r="C15" s="180">
        <v>9</v>
      </c>
      <c r="D15" s="183" t="s">
        <v>553</v>
      </c>
      <c r="E15" s="180">
        <v>26</v>
      </c>
      <c r="F15" s="180">
        <v>2000</v>
      </c>
      <c r="G15" s="185">
        <f t="shared" si="0"/>
        <v>76.92307692307692</v>
      </c>
      <c r="H15" s="595"/>
      <c r="I15" s="186">
        <f t="shared" si="6"/>
        <v>26</v>
      </c>
      <c r="J15" s="186">
        <f t="shared" si="6"/>
        <v>1790.5376311638433</v>
      </c>
      <c r="K15" s="187">
        <f t="shared" si="6"/>
        <v>68.866831967840128</v>
      </c>
      <c r="L15" s="596"/>
      <c r="M15" s="186">
        <f>RANK(K15, K$7:$K$21)</f>
        <v>9</v>
      </c>
      <c r="N15" s="590"/>
      <c r="O15" s="590"/>
      <c r="P15" s="188">
        <v>26</v>
      </c>
      <c r="Q15" s="188">
        <v>1790.9662025924147</v>
      </c>
      <c r="R15" s="185">
        <f t="shared" si="7"/>
        <v>68.883315484323646</v>
      </c>
      <c r="S15" s="182">
        <f t="shared" si="8"/>
        <v>9</v>
      </c>
      <c r="T15" s="595"/>
      <c r="U15" s="188">
        <v>26</v>
      </c>
      <c r="V15" s="188">
        <v>1790.5662025924148</v>
      </c>
      <c r="W15" s="185">
        <f t="shared" si="1"/>
        <v>68.867930868939027</v>
      </c>
      <c r="X15" s="182">
        <f t="shared" si="9"/>
        <v>9</v>
      </c>
      <c r="Y15" s="595"/>
      <c r="Z15" s="188">
        <v>26</v>
      </c>
      <c r="AA15" s="188">
        <v>1791.1662025924147</v>
      </c>
      <c r="AB15" s="185">
        <f t="shared" si="2"/>
        <v>68.891007792015955</v>
      </c>
      <c r="AC15" s="182">
        <f t="shared" si="10"/>
        <v>9</v>
      </c>
      <c r="AD15" s="595"/>
      <c r="AE15" s="188">
        <v>26</v>
      </c>
      <c r="AF15" s="188">
        <v>1790.366202592415</v>
      </c>
      <c r="AG15" s="185">
        <f t="shared" si="11"/>
        <v>68.860238561246732</v>
      </c>
      <c r="AH15" s="182">
        <f t="shared" si="12"/>
        <v>9</v>
      </c>
      <c r="AI15" s="595"/>
      <c r="AJ15" s="188">
        <v>26</v>
      </c>
      <c r="AK15" s="188">
        <v>1790.7662025924151</v>
      </c>
      <c r="AL15" s="185">
        <f t="shared" si="3"/>
        <v>68.87562317663135</v>
      </c>
      <c r="AM15" s="182">
        <f t="shared" si="13"/>
        <v>9</v>
      </c>
      <c r="AN15" s="595"/>
      <c r="AO15" s="188">
        <v>26</v>
      </c>
      <c r="AP15" s="188">
        <v>1789.7662025924153</v>
      </c>
      <c r="AQ15" s="185">
        <f t="shared" si="4"/>
        <v>68.837161638169817</v>
      </c>
      <c r="AR15" s="182">
        <f t="shared" si="14"/>
        <v>9</v>
      </c>
      <c r="AS15" s="595"/>
      <c r="AT15" s="188">
        <v>26</v>
      </c>
      <c r="AU15" s="188">
        <v>1790.1662025924152</v>
      </c>
      <c r="AV15" s="185">
        <f t="shared" si="5"/>
        <v>68.852546253554436</v>
      </c>
      <c r="AW15" s="182">
        <f t="shared" si="15"/>
        <v>9</v>
      </c>
      <c r="AX15" s="595"/>
    </row>
    <row r="16" spans="1:50" ht="14.25" customHeight="1">
      <c r="B16" s="590"/>
      <c r="C16" s="180">
        <v>10</v>
      </c>
      <c r="D16" s="183"/>
      <c r="E16" s="180"/>
      <c r="F16" s="180"/>
      <c r="G16" s="185"/>
      <c r="H16" s="595"/>
      <c r="I16" s="186"/>
      <c r="J16" s="186"/>
      <c r="K16" s="187"/>
      <c r="L16" s="596"/>
      <c r="M16" s="186"/>
      <c r="N16" s="590"/>
      <c r="O16" s="590"/>
      <c r="P16" s="188"/>
      <c r="Q16" s="188"/>
      <c r="R16" s="185"/>
      <c r="S16" s="182"/>
      <c r="T16" s="595"/>
      <c r="U16" s="188"/>
      <c r="V16" s="188"/>
      <c r="W16" s="185"/>
      <c r="X16" s="182"/>
      <c r="Y16" s="595"/>
      <c r="Z16" s="188"/>
      <c r="AA16" s="188"/>
      <c r="AB16" s="185"/>
      <c r="AC16" s="182"/>
      <c r="AD16" s="595"/>
      <c r="AE16" s="188"/>
      <c r="AF16" s="188"/>
      <c r="AG16" s="185"/>
      <c r="AH16" s="182"/>
      <c r="AI16" s="595"/>
      <c r="AJ16" s="188"/>
      <c r="AK16" s="188"/>
      <c r="AL16" s="185"/>
      <c r="AM16" s="182"/>
      <c r="AN16" s="595"/>
      <c r="AO16" s="188"/>
      <c r="AP16" s="188"/>
      <c r="AQ16" s="185"/>
      <c r="AR16" s="182"/>
      <c r="AS16" s="595"/>
      <c r="AT16" s="188"/>
      <c r="AU16" s="188"/>
      <c r="AV16" s="185"/>
      <c r="AW16" s="182"/>
      <c r="AX16" s="595"/>
    </row>
    <row r="17" spans="2:50" ht="14.25" customHeight="1">
      <c r="B17" s="590"/>
      <c r="C17" s="180">
        <v>11</v>
      </c>
      <c r="D17" s="183"/>
      <c r="E17" s="180"/>
      <c r="F17" s="180"/>
      <c r="G17" s="185"/>
      <c r="H17" s="595"/>
      <c r="I17" s="186"/>
      <c r="J17" s="186"/>
      <c r="K17" s="187"/>
      <c r="L17" s="596"/>
      <c r="M17" s="186"/>
      <c r="N17" s="590"/>
      <c r="O17" s="590"/>
      <c r="P17" s="188"/>
      <c r="Q17" s="188"/>
      <c r="R17" s="185"/>
      <c r="S17" s="182"/>
      <c r="T17" s="595"/>
      <c r="U17" s="188"/>
      <c r="V17" s="188"/>
      <c r="W17" s="185"/>
      <c r="X17" s="182"/>
      <c r="Y17" s="595"/>
      <c r="Z17" s="188"/>
      <c r="AA17" s="188"/>
      <c r="AB17" s="185"/>
      <c r="AC17" s="182"/>
      <c r="AD17" s="595"/>
      <c r="AE17" s="188"/>
      <c r="AF17" s="188"/>
      <c r="AG17" s="185"/>
      <c r="AH17" s="182"/>
      <c r="AI17" s="595"/>
      <c r="AJ17" s="188"/>
      <c r="AK17" s="188"/>
      <c r="AL17" s="185"/>
      <c r="AM17" s="182"/>
      <c r="AN17" s="595"/>
      <c r="AO17" s="188"/>
      <c r="AP17" s="188"/>
      <c r="AQ17" s="185"/>
      <c r="AR17" s="182"/>
      <c r="AS17" s="595"/>
      <c r="AT17" s="188"/>
      <c r="AU17" s="188"/>
      <c r="AV17" s="185"/>
      <c r="AW17" s="182"/>
      <c r="AX17" s="595"/>
    </row>
    <row r="18" spans="2:50" ht="14.25" customHeight="1">
      <c r="B18" s="590"/>
      <c r="C18" s="180">
        <v>12</v>
      </c>
      <c r="D18" s="183"/>
      <c r="E18" s="180"/>
      <c r="F18" s="180"/>
      <c r="G18" s="185"/>
      <c r="H18" s="595"/>
      <c r="I18" s="186"/>
      <c r="J18" s="186"/>
      <c r="K18" s="187"/>
      <c r="L18" s="596"/>
      <c r="M18" s="186"/>
      <c r="N18" s="590"/>
      <c r="O18" s="590"/>
      <c r="P18" s="188"/>
      <c r="Q18" s="188"/>
      <c r="R18" s="185"/>
      <c r="S18" s="182"/>
      <c r="T18" s="595"/>
      <c r="U18" s="188"/>
      <c r="V18" s="188"/>
      <c r="W18" s="185"/>
      <c r="X18" s="182"/>
      <c r="Y18" s="595"/>
      <c r="Z18" s="188"/>
      <c r="AA18" s="188"/>
      <c r="AB18" s="185"/>
      <c r="AC18" s="182"/>
      <c r="AD18" s="595"/>
      <c r="AE18" s="188"/>
      <c r="AF18" s="188"/>
      <c r="AG18" s="185"/>
      <c r="AH18" s="182"/>
      <c r="AI18" s="595"/>
      <c r="AJ18" s="188"/>
      <c r="AK18" s="188"/>
      <c r="AL18" s="185"/>
      <c r="AM18" s="182"/>
      <c r="AN18" s="595"/>
      <c r="AO18" s="188"/>
      <c r="AP18" s="188"/>
      <c r="AQ18" s="185"/>
      <c r="AR18" s="182"/>
      <c r="AS18" s="595"/>
      <c r="AT18" s="188"/>
      <c r="AU18" s="188"/>
      <c r="AV18" s="185"/>
      <c r="AW18" s="182"/>
      <c r="AX18" s="595"/>
    </row>
    <row r="19" spans="2:50" ht="14.25" customHeight="1">
      <c r="B19" s="590"/>
      <c r="C19" s="180">
        <v>13</v>
      </c>
      <c r="D19" s="183"/>
      <c r="E19" s="180"/>
      <c r="F19" s="180"/>
      <c r="G19" s="185"/>
      <c r="H19" s="595"/>
      <c r="I19" s="186"/>
      <c r="J19" s="186"/>
      <c r="K19" s="187"/>
      <c r="L19" s="596"/>
      <c r="M19" s="186"/>
      <c r="N19" s="590"/>
      <c r="O19" s="590"/>
      <c r="P19" s="188"/>
      <c r="Q19" s="188"/>
      <c r="R19" s="185"/>
      <c r="S19" s="182"/>
      <c r="T19" s="595"/>
      <c r="U19" s="188"/>
      <c r="V19" s="188"/>
      <c r="W19" s="185"/>
      <c r="X19" s="182"/>
      <c r="Y19" s="595"/>
      <c r="Z19" s="188"/>
      <c r="AA19" s="188"/>
      <c r="AB19" s="185"/>
      <c r="AC19" s="182"/>
      <c r="AD19" s="595"/>
      <c r="AE19" s="188"/>
      <c r="AF19" s="188"/>
      <c r="AG19" s="185"/>
      <c r="AH19" s="182"/>
      <c r="AI19" s="595"/>
      <c r="AJ19" s="188"/>
      <c r="AK19" s="188"/>
      <c r="AL19" s="185"/>
      <c r="AM19" s="182"/>
      <c r="AN19" s="595"/>
      <c r="AO19" s="188"/>
      <c r="AP19" s="188"/>
      <c r="AQ19" s="185"/>
      <c r="AR19" s="182"/>
      <c r="AS19" s="595"/>
      <c r="AT19" s="188"/>
      <c r="AU19" s="188"/>
      <c r="AV19" s="185"/>
      <c r="AW19" s="182"/>
      <c r="AX19" s="595"/>
    </row>
    <row r="20" spans="2:50" ht="14.25" customHeight="1">
      <c r="B20" s="590"/>
      <c r="C20" s="180">
        <v>14</v>
      </c>
      <c r="D20" s="183"/>
      <c r="E20" s="180"/>
      <c r="F20" s="180"/>
      <c r="G20" s="185"/>
      <c r="H20" s="595"/>
      <c r="I20" s="186"/>
      <c r="J20" s="186"/>
      <c r="K20" s="187"/>
      <c r="L20" s="596"/>
      <c r="M20" s="186"/>
      <c r="N20" s="590"/>
      <c r="O20" s="590"/>
      <c r="P20" s="188"/>
      <c r="Q20" s="188"/>
      <c r="R20" s="185"/>
      <c r="S20" s="182"/>
      <c r="T20" s="595"/>
      <c r="U20" s="188"/>
      <c r="V20" s="188"/>
      <c r="W20" s="185"/>
      <c r="X20" s="182"/>
      <c r="Y20" s="595"/>
      <c r="Z20" s="188"/>
      <c r="AA20" s="188"/>
      <c r="AB20" s="185"/>
      <c r="AC20" s="182"/>
      <c r="AD20" s="595"/>
      <c r="AE20" s="188"/>
      <c r="AF20" s="188"/>
      <c r="AG20" s="185"/>
      <c r="AH20" s="182"/>
      <c r="AI20" s="595"/>
      <c r="AJ20" s="188"/>
      <c r="AK20" s="188"/>
      <c r="AL20" s="185"/>
      <c r="AM20" s="182"/>
      <c r="AN20" s="595"/>
      <c r="AO20" s="188"/>
      <c r="AP20" s="188"/>
      <c r="AQ20" s="185"/>
      <c r="AR20" s="182"/>
      <c r="AS20" s="595"/>
      <c r="AT20" s="188"/>
      <c r="AU20" s="188"/>
      <c r="AV20" s="185"/>
      <c r="AW20" s="182"/>
      <c r="AX20" s="595"/>
    </row>
    <row r="21" spans="2:50" ht="14.25" customHeight="1">
      <c r="B21" s="590"/>
      <c r="C21" s="180">
        <v>15</v>
      </c>
      <c r="D21" s="183"/>
      <c r="E21" s="180"/>
      <c r="F21" s="180"/>
      <c r="G21" s="185"/>
      <c r="H21" s="595"/>
      <c r="I21" s="186"/>
      <c r="J21" s="186"/>
      <c r="K21" s="187"/>
      <c r="L21" s="596"/>
      <c r="M21" s="186"/>
      <c r="N21" s="590"/>
      <c r="O21" s="590"/>
      <c r="P21" s="188"/>
      <c r="Q21" s="188"/>
      <c r="R21" s="185"/>
      <c r="S21" s="182"/>
      <c r="T21" s="595"/>
      <c r="U21" s="188"/>
      <c r="V21" s="188"/>
      <c r="W21" s="185"/>
      <c r="X21" s="182"/>
      <c r="Y21" s="595"/>
      <c r="Z21" s="188"/>
      <c r="AA21" s="188"/>
      <c r="AB21" s="185"/>
      <c r="AC21" s="182"/>
      <c r="AD21" s="595"/>
      <c r="AE21" s="188"/>
      <c r="AF21" s="188"/>
      <c r="AG21" s="185"/>
      <c r="AH21" s="182"/>
      <c r="AI21" s="595"/>
      <c r="AJ21" s="188"/>
      <c r="AK21" s="188"/>
      <c r="AL21" s="185"/>
      <c r="AM21" s="182"/>
      <c r="AN21" s="595"/>
      <c r="AO21" s="188"/>
      <c r="AP21" s="188"/>
      <c r="AQ21" s="185"/>
      <c r="AR21" s="182"/>
      <c r="AS21" s="595"/>
      <c r="AT21" s="188"/>
      <c r="AU21" s="188"/>
      <c r="AV21" s="185"/>
      <c r="AW21" s="182"/>
      <c r="AX21" s="595"/>
    </row>
    <row r="22" spans="2:50" ht="14.25" customHeight="1">
      <c r="B22" s="572" t="s">
        <v>737</v>
      </c>
      <c r="C22" s="572"/>
      <c r="D22" s="572"/>
      <c r="E22" s="572"/>
      <c r="F22" s="572"/>
      <c r="G22" s="572"/>
      <c r="H22" s="572"/>
      <c r="I22" s="572"/>
      <c r="J22" s="572"/>
      <c r="K22" s="572"/>
      <c r="L22" s="572"/>
      <c r="M22" s="573"/>
      <c r="N22" s="608" t="s">
        <v>369</v>
      </c>
      <c r="O22" s="608" t="s">
        <v>105</v>
      </c>
      <c r="P22" s="610">
        <v>46147</v>
      </c>
      <c r="Q22" s="611"/>
      <c r="R22" s="611"/>
      <c r="S22" s="611"/>
      <c r="T22" s="611"/>
      <c r="U22" s="612">
        <v>46148</v>
      </c>
      <c r="V22" s="613"/>
      <c r="W22" s="613"/>
      <c r="X22" s="613"/>
      <c r="Y22" s="613"/>
      <c r="Z22" s="610">
        <v>46149</v>
      </c>
      <c r="AA22" s="611"/>
      <c r="AB22" s="611"/>
      <c r="AC22" s="611"/>
      <c r="AD22" s="611"/>
      <c r="AE22" s="612">
        <v>46150</v>
      </c>
      <c r="AF22" s="613"/>
      <c r="AG22" s="613"/>
      <c r="AH22" s="613"/>
      <c r="AI22" s="613"/>
      <c r="AJ22" s="600">
        <v>46151</v>
      </c>
      <c r="AK22" s="601"/>
      <c r="AL22" s="601"/>
      <c r="AM22" s="601"/>
      <c r="AN22" s="602"/>
      <c r="AO22" s="612">
        <v>46152</v>
      </c>
      <c r="AP22" s="613"/>
      <c r="AQ22" s="613"/>
      <c r="AR22" s="613"/>
      <c r="AS22" s="613"/>
      <c r="AT22" s="600">
        <v>46153</v>
      </c>
      <c r="AU22" s="601"/>
      <c r="AV22" s="601"/>
      <c r="AW22" s="601"/>
      <c r="AX22" s="602"/>
    </row>
    <row r="23" spans="2:50" ht="14.25" customHeight="1">
      <c r="B23" s="574"/>
      <c r="C23" s="574"/>
      <c r="D23" s="574"/>
      <c r="E23" s="574"/>
      <c r="F23" s="574"/>
      <c r="G23" s="574"/>
      <c r="H23" s="574"/>
      <c r="I23" s="574"/>
      <c r="J23" s="574"/>
      <c r="K23" s="574"/>
      <c r="L23" s="574"/>
      <c r="M23" s="575"/>
      <c r="N23" s="609"/>
      <c r="O23" s="609"/>
      <c r="P23" s="603">
        <v>46147</v>
      </c>
      <c r="Q23" s="603"/>
      <c r="R23" s="603"/>
      <c r="S23" s="603"/>
      <c r="T23" s="603"/>
      <c r="U23" s="604">
        <v>46148</v>
      </c>
      <c r="V23" s="604"/>
      <c r="W23" s="604"/>
      <c r="X23" s="604"/>
      <c r="Y23" s="604"/>
      <c r="Z23" s="603">
        <v>46149</v>
      </c>
      <c r="AA23" s="603"/>
      <c r="AB23" s="603"/>
      <c r="AC23" s="603"/>
      <c r="AD23" s="603"/>
      <c r="AE23" s="604">
        <v>46150</v>
      </c>
      <c r="AF23" s="604"/>
      <c r="AG23" s="604"/>
      <c r="AH23" s="604"/>
      <c r="AI23" s="604"/>
      <c r="AJ23" s="605">
        <v>46151</v>
      </c>
      <c r="AK23" s="606"/>
      <c r="AL23" s="606"/>
      <c r="AM23" s="606"/>
      <c r="AN23" s="607"/>
      <c r="AO23" s="604">
        <v>46152</v>
      </c>
      <c r="AP23" s="604"/>
      <c r="AQ23" s="604"/>
      <c r="AR23" s="604"/>
      <c r="AS23" s="604"/>
      <c r="AT23" s="605">
        <v>46153</v>
      </c>
      <c r="AU23" s="606"/>
      <c r="AV23" s="606"/>
      <c r="AW23" s="606"/>
      <c r="AX23" s="607"/>
    </row>
    <row r="24" spans="2:50" ht="14.25" customHeight="1">
      <c r="B24" s="590" t="s">
        <v>162</v>
      </c>
      <c r="C24" s="590" t="s">
        <v>157</v>
      </c>
      <c r="D24" s="590"/>
      <c r="E24" s="590" t="s">
        <v>158</v>
      </c>
      <c r="F24" s="590"/>
      <c r="G24" s="590"/>
      <c r="H24" s="590" t="s">
        <v>163</v>
      </c>
      <c r="I24" s="591" t="s">
        <v>370</v>
      </c>
      <c r="J24" s="591"/>
      <c r="K24" s="591"/>
      <c r="L24" s="591" t="s">
        <v>163</v>
      </c>
      <c r="M24" s="591" t="s">
        <v>165</v>
      </c>
      <c r="N24" s="590"/>
      <c r="O24" s="590" t="s">
        <v>164</v>
      </c>
      <c r="P24" s="590" t="s">
        <v>160</v>
      </c>
      <c r="Q24" s="590"/>
      <c r="R24" s="590"/>
      <c r="S24" s="590"/>
      <c r="T24" s="590" t="s">
        <v>163</v>
      </c>
      <c r="U24" s="590" t="s">
        <v>160</v>
      </c>
      <c r="V24" s="590"/>
      <c r="W24" s="590"/>
      <c r="X24" s="590"/>
      <c r="Y24" s="590" t="s">
        <v>163</v>
      </c>
      <c r="Z24" s="590" t="s">
        <v>160</v>
      </c>
      <c r="AA24" s="590"/>
      <c r="AB24" s="590"/>
      <c r="AC24" s="590"/>
      <c r="AD24" s="590" t="s">
        <v>163</v>
      </c>
      <c r="AE24" s="590" t="s">
        <v>160</v>
      </c>
      <c r="AF24" s="590"/>
      <c r="AG24" s="590"/>
      <c r="AH24" s="590"/>
      <c r="AI24" s="590" t="s">
        <v>163</v>
      </c>
      <c r="AJ24" s="590" t="s">
        <v>160</v>
      </c>
      <c r="AK24" s="590"/>
      <c r="AL24" s="590"/>
      <c r="AM24" s="590"/>
      <c r="AN24" s="590" t="s">
        <v>163</v>
      </c>
      <c r="AO24" s="590" t="s">
        <v>160</v>
      </c>
      <c r="AP24" s="590"/>
      <c r="AQ24" s="590"/>
      <c r="AR24" s="590"/>
      <c r="AS24" s="590" t="s">
        <v>163</v>
      </c>
      <c r="AT24" s="590" t="s">
        <v>160</v>
      </c>
      <c r="AU24" s="590"/>
      <c r="AV24" s="590"/>
      <c r="AW24" s="590"/>
      <c r="AX24" s="590" t="s">
        <v>163</v>
      </c>
    </row>
    <row r="25" spans="2:50" ht="14.25" customHeight="1">
      <c r="B25" s="590"/>
      <c r="C25" s="590"/>
      <c r="D25" s="590"/>
      <c r="E25" s="590" t="s">
        <v>371</v>
      </c>
      <c r="F25" s="590"/>
      <c r="G25" s="590"/>
      <c r="H25" s="590"/>
      <c r="I25" s="591" t="s">
        <v>371</v>
      </c>
      <c r="J25" s="591"/>
      <c r="K25" s="591"/>
      <c r="L25" s="591"/>
      <c r="M25" s="591"/>
      <c r="N25" s="590"/>
      <c r="O25" s="590"/>
      <c r="P25" s="590" t="s">
        <v>372</v>
      </c>
      <c r="Q25" s="590"/>
      <c r="R25" s="590"/>
      <c r="S25" s="590"/>
      <c r="T25" s="590"/>
      <c r="U25" s="590" t="s">
        <v>372</v>
      </c>
      <c r="V25" s="590"/>
      <c r="W25" s="590"/>
      <c r="X25" s="590"/>
      <c r="Y25" s="590"/>
      <c r="Z25" s="590" t="s">
        <v>372</v>
      </c>
      <c r="AA25" s="590"/>
      <c r="AB25" s="590"/>
      <c r="AC25" s="590"/>
      <c r="AD25" s="590"/>
      <c r="AE25" s="590" t="s">
        <v>372</v>
      </c>
      <c r="AF25" s="590"/>
      <c r="AG25" s="590"/>
      <c r="AH25" s="590"/>
      <c r="AI25" s="590"/>
      <c r="AJ25" s="590" t="s">
        <v>372</v>
      </c>
      <c r="AK25" s="590"/>
      <c r="AL25" s="590"/>
      <c r="AM25" s="590"/>
      <c r="AN25" s="590"/>
      <c r="AO25" s="590" t="s">
        <v>372</v>
      </c>
      <c r="AP25" s="590"/>
      <c r="AQ25" s="590"/>
      <c r="AR25" s="590"/>
      <c r="AS25" s="590"/>
      <c r="AT25" s="590" t="s">
        <v>372</v>
      </c>
      <c r="AU25" s="590"/>
      <c r="AV25" s="590"/>
      <c r="AW25" s="590"/>
      <c r="AX25" s="590"/>
    </row>
    <row r="26" spans="2:50" ht="14.25" customHeight="1">
      <c r="B26" s="590"/>
      <c r="C26" s="590"/>
      <c r="D26" s="590"/>
      <c r="E26" s="180" t="s">
        <v>159</v>
      </c>
      <c r="F26" s="180" t="s">
        <v>373</v>
      </c>
      <c r="G26" s="180" t="s">
        <v>161</v>
      </c>
      <c r="H26" s="590"/>
      <c r="I26" s="181" t="s">
        <v>159</v>
      </c>
      <c r="J26" s="181" t="s">
        <v>373</v>
      </c>
      <c r="K26" s="181" t="s">
        <v>161</v>
      </c>
      <c r="L26" s="591"/>
      <c r="M26" s="591"/>
      <c r="N26" s="590"/>
      <c r="O26" s="590"/>
      <c r="P26" s="180" t="s">
        <v>159</v>
      </c>
      <c r="Q26" s="180" t="s">
        <v>373</v>
      </c>
      <c r="R26" s="180" t="s">
        <v>161</v>
      </c>
      <c r="S26" s="182" t="s">
        <v>165</v>
      </c>
      <c r="T26" s="590"/>
      <c r="U26" s="180" t="s">
        <v>159</v>
      </c>
      <c r="V26" s="180" t="s">
        <v>373</v>
      </c>
      <c r="W26" s="180" t="s">
        <v>161</v>
      </c>
      <c r="X26" s="182" t="s">
        <v>165</v>
      </c>
      <c r="Y26" s="590"/>
      <c r="Z26" s="180" t="s">
        <v>159</v>
      </c>
      <c r="AA26" s="180" t="s">
        <v>373</v>
      </c>
      <c r="AB26" s="180" t="s">
        <v>161</v>
      </c>
      <c r="AC26" s="182" t="s">
        <v>165</v>
      </c>
      <c r="AD26" s="590"/>
      <c r="AE26" s="180" t="s">
        <v>159</v>
      </c>
      <c r="AF26" s="180" t="s">
        <v>373</v>
      </c>
      <c r="AG26" s="180" t="s">
        <v>161</v>
      </c>
      <c r="AH26" s="182" t="s">
        <v>165</v>
      </c>
      <c r="AI26" s="590"/>
      <c r="AJ26" s="180" t="s">
        <v>159</v>
      </c>
      <c r="AK26" s="180" t="s">
        <v>373</v>
      </c>
      <c r="AL26" s="180" t="s">
        <v>161</v>
      </c>
      <c r="AM26" s="182" t="s">
        <v>165</v>
      </c>
      <c r="AN26" s="590"/>
      <c r="AO26" s="180" t="s">
        <v>159</v>
      </c>
      <c r="AP26" s="180" t="s">
        <v>373</v>
      </c>
      <c r="AQ26" s="180" t="s">
        <v>161</v>
      </c>
      <c r="AR26" s="182" t="s">
        <v>165</v>
      </c>
      <c r="AS26" s="590"/>
      <c r="AT26" s="180" t="s">
        <v>159</v>
      </c>
      <c r="AU26" s="180" t="s">
        <v>373</v>
      </c>
      <c r="AV26" s="180" t="s">
        <v>161</v>
      </c>
      <c r="AW26" s="182" t="s">
        <v>165</v>
      </c>
      <c r="AX26" s="590"/>
    </row>
    <row r="27" spans="2:50" ht="14.25" customHeight="1">
      <c r="B27" s="590" t="s">
        <v>137</v>
      </c>
      <c r="C27" s="180">
        <v>1</v>
      </c>
      <c r="D27" s="183" t="s">
        <v>353</v>
      </c>
      <c r="E27" s="180">
        <v>21</v>
      </c>
      <c r="F27" s="180">
        <v>2000</v>
      </c>
      <c r="G27" s="185">
        <f t="shared" ref="G27:G35" si="16">F27/E27</f>
        <v>95.238095238095241</v>
      </c>
      <c r="H27" s="595">
        <f>AVERAGE(G27:G41)</f>
        <v>87.845166106035677</v>
      </c>
      <c r="I27" s="186">
        <f>AVERAGE(P27,U27,Z27,AE27,AJ27,AO27,AT27)</f>
        <v>21</v>
      </c>
      <c r="J27" s="186">
        <f>AVERAGE(Q27,V27,AA27,AF27,AK27,AP27,AU27)</f>
        <v>1787.8877248447784</v>
      </c>
      <c r="K27" s="187">
        <f>AVERAGE(R27,W27,AB27,AG27,AL27,AQ27,AV27)</f>
        <v>85.137510706894219</v>
      </c>
      <c r="L27" s="596">
        <f>IFERROR(AVERAGE(K27:K41),"-")</f>
        <v>78.595014871081574</v>
      </c>
      <c r="M27" s="186">
        <f>RANK(K27, K$27:$K$41)</f>
        <v>2</v>
      </c>
      <c r="N27" s="590"/>
      <c r="O27" s="590"/>
      <c r="P27" s="188">
        <v>21</v>
      </c>
      <c r="Q27" s="188">
        <v>1786.1999999999996</v>
      </c>
      <c r="R27" s="185">
        <f>IFERROR(Q27/P27,"")</f>
        <v>85.057142857142836</v>
      </c>
      <c r="S27" s="182">
        <f>RANK(R27, R$27:R$41)</f>
        <v>2</v>
      </c>
      <c r="T27" s="595">
        <f>AVERAGE(R27:R41)</f>
        <v>78.573228634915324</v>
      </c>
      <c r="U27" s="188">
        <v>21</v>
      </c>
      <c r="V27" s="188">
        <v>1786.9999999999995</v>
      </c>
      <c r="W27" s="185">
        <f t="shared" ref="W27:W35" si="17">IFERROR(V27/U27,"")</f>
        <v>85.095238095238074</v>
      </c>
      <c r="X27" s="182">
        <f>RANK(W27, W$27:W$41)</f>
        <v>2</v>
      </c>
      <c r="Y27" s="595">
        <f>AVERAGE(W27:W41)</f>
        <v>78.584224048519445</v>
      </c>
      <c r="Z27" s="188">
        <v>21</v>
      </c>
      <c r="AA27" s="188">
        <v>1786.7999999999997</v>
      </c>
      <c r="AB27" s="185">
        <f t="shared" ref="AB27:AB35" si="18">IFERROR(AA27/Z27,"")</f>
        <v>85.085714285714275</v>
      </c>
      <c r="AC27" s="182">
        <f>RANK(AB27, AB$27:AB$41)</f>
        <v>2</v>
      </c>
      <c r="AD27" s="595">
        <f>AVERAGE(AB27:AB41)</f>
        <v>78.585733384593993</v>
      </c>
      <c r="AE27" s="188">
        <v>21</v>
      </c>
      <c r="AF27" s="188">
        <v>1788.5535184783625</v>
      </c>
      <c r="AG27" s="185">
        <f>IFERROR(AF27/AE27,"")</f>
        <v>85.169215165636317</v>
      </c>
      <c r="AH27" s="182">
        <f>RANK(AG27, AG$27:AG$41)</f>
        <v>2</v>
      </c>
      <c r="AI27" s="595">
        <f>AVERAGE(AG27:AG41)</f>
        <v>78.60756110332585</v>
      </c>
      <c r="AJ27" s="188">
        <v>21</v>
      </c>
      <c r="AK27" s="188">
        <v>1789.1535184783625</v>
      </c>
      <c r="AL27" s="185">
        <f t="shared" ref="AL27:AL35" si="19">IFERROR(AK27/AJ27,"")</f>
        <v>85.197786594207741</v>
      </c>
      <c r="AM27" s="182">
        <f>RANK(AL27, AL$27:AL$41)</f>
        <v>2</v>
      </c>
      <c r="AN27" s="595">
        <f>AVERAGE(AL27:AL41)</f>
        <v>78.609539350521487</v>
      </c>
      <c r="AO27" s="188">
        <v>21</v>
      </c>
      <c r="AP27" s="188">
        <v>1788.3535184783625</v>
      </c>
      <c r="AQ27" s="185">
        <f t="shared" ref="AQ27:AQ35" si="20">IFERROR(AP27/AO27,"")</f>
        <v>85.159691356112504</v>
      </c>
      <c r="AR27" s="182">
        <f>RANK(AQ27, AQ$27:AQ$41)</f>
        <v>2</v>
      </c>
      <c r="AS27" s="595">
        <f>AVERAGE(AQ27:AQ41)</f>
        <v>78.597411148610675</v>
      </c>
      <c r="AT27" s="188">
        <v>21</v>
      </c>
      <c r="AU27" s="188">
        <v>1789.1535184783625</v>
      </c>
      <c r="AV27" s="185">
        <f t="shared" ref="AV27:AV35" si="21">IFERROR(AU27/AT27,"")</f>
        <v>85.197786594207741</v>
      </c>
      <c r="AW27" s="182">
        <f>RANK(AV27, AV$27:AV$41)</f>
        <v>2</v>
      </c>
      <c r="AX27" s="595">
        <f>AVERAGE(AV27:AV41)</f>
        <v>78.607406427084214</v>
      </c>
    </row>
    <row r="28" spans="2:50" ht="14.25" customHeight="1">
      <c r="B28" s="590"/>
      <c r="C28" s="180">
        <v>2</v>
      </c>
      <c r="D28" s="183" t="s">
        <v>354</v>
      </c>
      <c r="E28" s="180">
        <v>24</v>
      </c>
      <c r="F28" s="180">
        <v>2000</v>
      </c>
      <c r="G28" s="185">
        <f t="shared" si="16"/>
        <v>83.333333333333329</v>
      </c>
      <c r="H28" s="595"/>
      <c r="I28" s="186">
        <f t="shared" ref="I28:K35" si="22">AVERAGE(P28,U28,Z28,AE28,AJ28,AO28,AT28)</f>
        <v>24</v>
      </c>
      <c r="J28" s="186">
        <f t="shared" si="22"/>
        <v>1792.5711930695174</v>
      </c>
      <c r="K28" s="187">
        <f t="shared" si="22"/>
        <v>74.690466377896556</v>
      </c>
      <c r="L28" s="596"/>
      <c r="M28" s="186">
        <f>RANK(K28, K$27:$K$41)</f>
        <v>7</v>
      </c>
      <c r="N28" s="590"/>
      <c r="O28" s="590"/>
      <c r="P28" s="188">
        <v>24</v>
      </c>
      <c r="Q28" s="188">
        <v>1792.7997644980883</v>
      </c>
      <c r="R28" s="185">
        <f t="shared" ref="R28:R35" si="23">IFERROR(Q28/P28,"")</f>
        <v>74.69999018742034</v>
      </c>
      <c r="S28" s="182">
        <f t="shared" ref="S28:S35" si="24">RANK(R28, R$27:R$41)</f>
        <v>7</v>
      </c>
      <c r="T28" s="595"/>
      <c r="U28" s="188">
        <v>24</v>
      </c>
      <c r="V28" s="188">
        <v>1792.7997644980883</v>
      </c>
      <c r="W28" s="185">
        <f t="shared" si="17"/>
        <v>74.69999018742034</v>
      </c>
      <c r="X28" s="182">
        <f t="shared" ref="X28:X35" si="25">RANK(W28, W$27:W$41)</f>
        <v>7</v>
      </c>
      <c r="Y28" s="595"/>
      <c r="Z28" s="188">
        <v>24</v>
      </c>
      <c r="AA28" s="188">
        <v>1791.9997644980886</v>
      </c>
      <c r="AB28" s="185">
        <f t="shared" si="18"/>
        <v>74.666656854087023</v>
      </c>
      <c r="AC28" s="182">
        <f t="shared" ref="AC28:AC35" si="26">RANK(AB28, AB$27:AB$41)</f>
        <v>7</v>
      </c>
      <c r="AD28" s="595"/>
      <c r="AE28" s="188">
        <v>24</v>
      </c>
      <c r="AF28" s="188">
        <v>1792.3997644980889</v>
      </c>
      <c r="AG28" s="185">
        <f t="shared" ref="AG28:AG35" si="27">IFERROR(AF28/AE28,"")</f>
        <v>74.683323520753703</v>
      </c>
      <c r="AH28" s="182">
        <f t="shared" ref="AH28:AH35" si="28">RANK(AG28, AG$27:AG$41)</f>
        <v>7</v>
      </c>
      <c r="AI28" s="595"/>
      <c r="AJ28" s="188">
        <v>24</v>
      </c>
      <c r="AK28" s="188">
        <v>1793.1997644980888</v>
      </c>
      <c r="AL28" s="185">
        <f t="shared" si="19"/>
        <v>74.716656854087034</v>
      </c>
      <c r="AM28" s="182">
        <f t="shared" ref="AM28:AM35" si="29">RANK(AL28, AL$27:AL$41)</f>
        <v>7</v>
      </c>
      <c r="AN28" s="595"/>
      <c r="AO28" s="188">
        <v>24</v>
      </c>
      <c r="AP28" s="188">
        <v>1792.5997644980889</v>
      </c>
      <c r="AQ28" s="185">
        <f t="shared" si="20"/>
        <v>74.691656854087043</v>
      </c>
      <c r="AR28" s="182">
        <f t="shared" ref="AR28:AR35" si="30">RANK(AQ28, AQ$27:AQ$41)</f>
        <v>7</v>
      </c>
      <c r="AS28" s="595"/>
      <c r="AT28" s="188">
        <v>24</v>
      </c>
      <c r="AU28" s="188">
        <v>1792.1997644980893</v>
      </c>
      <c r="AV28" s="185">
        <f t="shared" si="21"/>
        <v>74.674990187420391</v>
      </c>
      <c r="AW28" s="182">
        <f t="shared" ref="AW28:AW35" si="31">RANK(AV28, AV$27:AV$41)</f>
        <v>7</v>
      </c>
      <c r="AX28" s="595"/>
    </row>
    <row r="29" spans="2:50" ht="14.25" customHeight="1">
      <c r="B29" s="590"/>
      <c r="C29" s="180">
        <v>3</v>
      </c>
      <c r="D29" s="183" t="s">
        <v>355</v>
      </c>
      <c r="E29" s="180">
        <v>23</v>
      </c>
      <c r="F29" s="180">
        <v>2000</v>
      </c>
      <c r="G29" s="185">
        <f t="shared" si="16"/>
        <v>86.956521739130437</v>
      </c>
      <c r="H29" s="595"/>
      <c r="I29" s="186">
        <f t="shared" si="22"/>
        <v>23</v>
      </c>
      <c r="J29" s="186">
        <f t="shared" si="22"/>
        <v>1788.5024666906731</v>
      </c>
      <c r="K29" s="187">
        <f t="shared" si="22"/>
        <v>77.760976812637978</v>
      </c>
      <c r="L29" s="596"/>
      <c r="M29" s="186">
        <f>RANK(K29, K$27:$K$41)</f>
        <v>5</v>
      </c>
      <c r="N29" s="590"/>
      <c r="O29" s="590"/>
      <c r="P29" s="188">
        <v>23</v>
      </c>
      <c r="Q29" s="188">
        <v>1788.8030819374221</v>
      </c>
      <c r="R29" s="185">
        <f t="shared" si="23"/>
        <v>77.77404704075748</v>
      </c>
      <c r="S29" s="182">
        <f t="shared" si="24"/>
        <v>5</v>
      </c>
      <c r="T29" s="595"/>
      <c r="U29" s="188">
        <v>23</v>
      </c>
      <c r="V29" s="188">
        <v>1788.4030819374225</v>
      </c>
      <c r="W29" s="185">
        <f t="shared" si="17"/>
        <v>77.75665573640967</v>
      </c>
      <c r="X29" s="182">
        <f t="shared" si="25"/>
        <v>5</v>
      </c>
      <c r="Y29" s="595"/>
      <c r="Z29" s="188">
        <v>23</v>
      </c>
      <c r="AA29" s="188">
        <v>1788.0030819374226</v>
      </c>
      <c r="AB29" s="185">
        <f t="shared" si="18"/>
        <v>77.739264432061859</v>
      </c>
      <c r="AC29" s="182">
        <f t="shared" si="26"/>
        <v>5</v>
      </c>
      <c r="AD29" s="595"/>
      <c r="AE29" s="188">
        <v>23</v>
      </c>
      <c r="AF29" s="188">
        <v>1788.5270052556109</v>
      </c>
      <c r="AG29" s="185">
        <f t="shared" si="27"/>
        <v>77.762043706765695</v>
      </c>
      <c r="AH29" s="182">
        <f t="shared" si="28"/>
        <v>6</v>
      </c>
      <c r="AI29" s="595"/>
      <c r="AJ29" s="188">
        <v>23</v>
      </c>
      <c r="AK29" s="188">
        <v>1788.3270052556111</v>
      </c>
      <c r="AL29" s="185">
        <f t="shared" si="19"/>
        <v>77.753348054591783</v>
      </c>
      <c r="AM29" s="182">
        <f t="shared" si="29"/>
        <v>6</v>
      </c>
      <c r="AN29" s="595"/>
      <c r="AO29" s="188">
        <v>23</v>
      </c>
      <c r="AP29" s="188">
        <v>1788.3270052556113</v>
      </c>
      <c r="AQ29" s="185">
        <f t="shared" si="20"/>
        <v>77.753348054591797</v>
      </c>
      <c r="AR29" s="182">
        <f t="shared" si="30"/>
        <v>6</v>
      </c>
      <c r="AS29" s="595"/>
      <c r="AT29" s="188">
        <v>23</v>
      </c>
      <c r="AU29" s="188">
        <v>1789.127005255611</v>
      </c>
      <c r="AV29" s="185">
        <f t="shared" si="21"/>
        <v>77.788130663287433</v>
      </c>
      <c r="AW29" s="182">
        <f t="shared" si="31"/>
        <v>5</v>
      </c>
      <c r="AX29" s="595"/>
    </row>
    <row r="30" spans="2:50" ht="14.25" customHeight="1">
      <c r="B30" s="590"/>
      <c r="C30" s="180">
        <v>4</v>
      </c>
      <c r="D30" s="183" t="s">
        <v>352</v>
      </c>
      <c r="E30" s="180">
        <v>23</v>
      </c>
      <c r="F30" s="180">
        <v>2000</v>
      </c>
      <c r="G30" s="185">
        <f t="shared" si="16"/>
        <v>86.956521739130437</v>
      </c>
      <c r="H30" s="595"/>
      <c r="I30" s="186">
        <f t="shared" si="22"/>
        <v>23</v>
      </c>
      <c r="J30" s="186">
        <f t="shared" si="22"/>
        <v>1788.4300192484495</v>
      </c>
      <c r="K30" s="187">
        <f t="shared" si="22"/>
        <v>77.757826923845627</v>
      </c>
      <c r="L30" s="596"/>
      <c r="M30" s="186">
        <f>RANK(K30, K$27:$K$41)</f>
        <v>6</v>
      </c>
      <c r="N30" s="590"/>
      <c r="O30" s="590"/>
      <c r="P30" s="188">
        <v>23</v>
      </c>
      <c r="Q30" s="188">
        <v>1787.4641711229954</v>
      </c>
      <c r="R30" s="185">
        <f t="shared" si="23"/>
        <v>77.715833527086758</v>
      </c>
      <c r="S30" s="182">
        <f t="shared" si="24"/>
        <v>6</v>
      </c>
      <c r="T30" s="595"/>
      <c r="U30" s="188">
        <v>23</v>
      </c>
      <c r="V30" s="188">
        <v>1788.0641711229957</v>
      </c>
      <c r="W30" s="185">
        <f t="shared" si="17"/>
        <v>77.74192048360851</v>
      </c>
      <c r="X30" s="182">
        <f t="shared" si="25"/>
        <v>6</v>
      </c>
      <c r="Y30" s="595"/>
      <c r="Z30" s="188">
        <v>23</v>
      </c>
      <c r="AA30" s="188">
        <v>1787.8641711229959</v>
      </c>
      <c r="AB30" s="185">
        <f t="shared" si="18"/>
        <v>77.733224831434612</v>
      </c>
      <c r="AC30" s="182">
        <f t="shared" si="26"/>
        <v>6</v>
      </c>
      <c r="AD30" s="595"/>
      <c r="AE30" s="188">
        <v>23</v>
      </c>
      <c r="AF30" s="188">
        <v>1789.0544053425394</v>
      </c>
      <c r="AG30" s="185">
        <f t="shared" si="27"/>
        <v>77.784974145327809</v>
      </c>
      <c r="AH30" s="182">
        <f t="shared" si="28"/>
        <v>5</v>
      </c>
      <c r="AI30" s="595"/>
      <c r="AJ30" s="188">
        <v>23</v>
      </c>
      <c r="AK30" s="188">
        <v>1789.0544053425397</v>
      </c>
      <c r="AL30" s="185">
        <f t="shared" si="19"/>
        <v>77.784974145327809</v>
      </c>
      <c r="AM30" s="182">
        <f t="shared" si="29"/>
        <v>5</v>
      </c>
      <c r="AN30" s="595"/>
      <c r="AO30" s="188">
        <v>23</v>
      </c>
      <c r="AP30" s="188">
        <v>1788.6544053425396</v>
      </c>
      <c r="AQ30" s="185">
        <f t="shared" si="20"/>
        <v>77.767582840979983</v>
      </c>
      <c r="AR30" s="182">
        <f t="shared" si="30"/>
        <v>5</v>
      </c>
      <c r="AS30" s="595"/>
      <c r="AT30" s="188">
        <v>23</v>
      </c>
      <c r="AU30" s="188">
        <v>1788.8544053425396</v>
      </c>
      <c r="AV30" s="185">
        <f t="shared" si="21"/>
        <v>77.776278493153896</v>
      </c>
      <c r="AW30" s="182">
        <f t="shared" si="31"/>
        <v>6</v>
      </c>
      <c r="AX30" s="595"/>
    </row>
    <row r="31" spans="2:50" ht="14.25" customHeight="1">
      <c r="B31" s="590"/>
      <c r="C31" s="180">
        <v>5</v>
      </c>
      <c r="D31" s="183" t="s">
        <v>441</v>
      </c>
      <c r="E31" s="180">
        <v>23</v>
      </c>
      <c r="F31" s="180">
        <v>2000</v>
      </c>
      <c r="G31" s="185">
        <f t="shared" si="16"/>
        <v>86.956521739130437</v>
      </c>
      <c r="H31" s="595"/>
      <c r="I31" s="186">
        <f t="shared" si="22"/>
        <v>23</v>
      </c>
      <c r="J31" s="186">
        <f t="shared" si="22"/>
        <v>1792.020896485001</v>
      </c>
      <c r="K31" s="187">
        <f t="shared" si="22"/>
        <v>77.913952021086985</v>
      </c>
      <c r="L31" s="596"/>
      <c r="M31" s="186">
        <f>RANK(K31, K$27:$K$41)</f>
        <v>4</v>
      </c>
      <c r="N31" s="590"/>
      <c r="O31" s="590"/>
      <c r="P31" s="188">
        <v>23</v>
      </c>
      <c r="Q31" s="188">
        <v>1791.4494679135721</v>
      </c>
      <c r="R31" s="185">
        <f t="shared" si="23"/>
        <v>77.889107300590098</v>
      </c>
      <c r="S31" s="182">
        <f t="shared" si="24"/>
        <v>4</v>
      </c>
      <c r="T31" s="595"/>
      <c r="U31" s="188">
        <v>23</v>
      </c>
      <c r="V31" s="188">
        <v>1791.4494679135723</v>
      </c>
      <c r="W31" s="185">
        <f t="shared" si="17"/>
        <v>77.889107300590098</v>
      </c>
      <c r="X31" s="182">
        <f t="shared" si="25"/>
        <v>4</v>
      </c>
      <c r="Y31" s="595"/>
      <c r="Z31" s="188">
        <v>23</v>
      </c>
      <c r="AA31" s="188">
        <v>1791.2494679135723</v>
      </c>
      <c r="AB31" s="185">
        <f t="shared" si="18"/>
        <v>77.880411648416185</v>
      </c>
      <c r="AC31" s="182">
        <f t="shared" si="26"/>
        <v>4</v>
      </c>
      <c r="AD31" s="595"/>
      <c r="AE31" s="188">
        <v>23</v>
      </c>
      <c r="AF31" s="188">
        <v>1791.4494679135723</v>
      </c>
      <c r="AG31" s="185">
        <f t="shared" si="27"/>
        <v>77.889107300590098</v>
      </c>
      <c r="AH31" s="182">
        <f t="shared" si="28"/>
        <v>4</v>
      </c>
      <c r="AI31" s="595"/>
      <c r="AJ31" s="188">
        <v>23</v>
      </c>
      <c r="AK31" s="188">
        <v>1792.049467913572</v>
      </c>
      <c r="AL31" s="185">
        <f t="shared" si="19"/>
        <v>77.915194257111821</v>
      </c>
      <c r="AM31" s="182">
        <f t="shared" si="29"/>
        <v>4</v>
      </c>
      <c r="AN31" s="595"/>
      <c r="AO31" s="188">
        <v>23</v>
      </c>
      <c r="AP31" s="188">
        <v>1792.849467913572</v>
      </c>
      <c r="AQ31" s="185">
        <f t="shared" si="20"/>
        <v>77.949976865807471</v>
      </c>
      <c r="AR31" s="182">
        <f t="shared" si="30"/>
        <v>4</v>
      </c>
      <c r="AS31" s="595"/>
      <c r="AT31" s="188">
        <v>23</v>
      </c>
      <c r="AU31" s="188">
        <v>1793.6494679135717</v>
      </c>
      <c r="AV31" s="185">
        <f t="shared" si="21"/>
        <v>77.984759474503122</v>
      </c>
      <c r="AW31" s="182">
        <f t="shared" si="31"/>
        <v>4</v>
      </c>
      <c r="AX31" s="595"/>
    </row>
    <row r="32" spans="2:50" ht="14.25" customHeight="1">
      <c r="B32" s="590"/>
      <c r="C32" s="180">
        <v>6</v>
      </c>
      <c r="D32" s="183" t="s">
        <v>444</v>
      </c>
      <c r="E32" s="180">
        <v>22</v>
      </c>
      <c r="F32" s="180">
        <v>2000</v>
      </c>
      <c r="G32" s="185">
        <f t="shared" si="16"/>
        <v>90.909090909090907</v>
      </c>
      <c r="H32" s="595"/>
      <c r="I32" s="186">
        <f t="shared" si="22"/>
        <v>22</v>
      </c>
      <c r="J32" s="186">
        <f t="shared" si="22"/>
        <v>1787.5469607591699</v>
      </c>
      <c r="K32" s="187">
        <f t="shared" si="22"/>
        <v>81.252134579962259</v>
      </c>
      <c r="L32" s="596"/>
      <c r="M32" s="186">
        <f>RANK(K32, K$27:$K$41)</f>
        <v>3</v>
      </c>
      <c r="N32" s="590"/>
      <c r="O32" s="590"/>
      <c r="P32" s="188">
        <v>22</v>
      </c>
      <c r="Q32" s="188">
        <v>1787.432675044884</v>
      </c>
      <c r="R32" s="185">
        <f t="shared" si="23"/>
        <v>81.246939774767455</v>
      </c>
      <c r="S32" s="182">
        <f t="shared" si="24"/>
        <v>3</v>
      </c>
      <c r="T32" s="595"/>
      <c r="U32" s="188">
        <v>22</v>
      </c>
      <c r="V32" s="188">
        <v>1787.6326750448839</v>
      </c>
      <c r="W32" s="185">
        <f t="shared" si="17"/>
        <v>81.256030683858356</v>
      </c>
      <c r="X32" s="182">
        <f t="shared" si="25"/>
        <v>3</v>
      </c>
      <c r="Y32" s="595"/>
      <c r="Z32" s="188">
        <v>22</v>
      </c>
      <c r="AA32" s="188">
        <v>1788.6326750448839</v>
      </c>
      <c r="AB32" s="185">
        <f t="shared" si="18"/>
        <v>81.301485229312902</v>
      </c>
      <c r="AC32" s="182">
        <f t="shared" si="26"/>
        <v>3</v>
      </c>
      <c r="AD32" s="595"/>
      <c r="AE32" s="188">
        <v>22</v>
      </c>
      <c r="AF32" s="188">
        <v>1788.0326750448839</v>
      </c>
      <c r="AG32" s="185">
        <f t="shared" si="27"/>
        <v>81.274212502040186</v>
      </c>
      <c r="AH32" s="182">
        <f t="shared" si="28"/>
        <v>3</v>
      </c>
      <c r="AI32" s="595"/>
      <c r="AJ32" s="188">
        <v>22</v>
      </c>
      <c r="AK32" s="188">
        <v>1787.2326750448842</v>
      </c>
      <c r="AL32" s="185">
        <f t="shared" si="19"/>
        <v>81.237848865676554</v>
      </c>
      <c r="AM32" s="182">
        <f t="shared" si="29"/>
        <v>3</v>
      </c>
      <c r="AN32" s="595"/>
      <c r="AO32" s="188">
        <v>22</v>
      </c>
      <c r="AP32" s="188">
        <v>1787.0326750448842</v>
      </c>
      <c r="AQ32" s="185">
        <f t="shared" si="20"/>
        <v>81.228757956585639</v>
      </c>
      <c r="AR32" s="182">
        <f t="shared" si="30"/>
        <v>3</v>
      </c>
      <c r="AS32" s="595"/>
      <c r="AT32" s="188">
        <v>22</v>
      </c>
      <c r="AU32" s="188">
        <v>1786.8326750448844</v>
      </c>
      <c r="AV32" s="185">
        <f t="shared" si="21"/>
        <v>81.219667047494738</v>
      </c>
      <c r="AW32" s="182">
        <f t="shared" si="31"/>
        <v>3</v>
      </c>
      <c r="AX32" s="595"/>
    </row>
    <row r="33" spans="2:50" ht="14.25" customHeight="1">
      <c r="B33" s="590"/>
      <c r="C33" s="180">
        <v>7</v>
      </c>
      <c r="D33" s="183" t="s">
        <v>447</v>
      </c>
      <c r="E33" s="180">
        <v>20</v>
      </c>
      <c r="F33" s="180">
        <v>2000</v>
      </c>
      <c r="G33" s="185">
        <f t="shared" si="16"/>
        <v>100</v>
      </c>
      <c r="H33" s="595"/>
      <c r="I33" s="186">
        <f t="shared" si="22"/>
        <v>20</v>
      </c>
      <c r="J33" s="186">
        <f t="shared" si="22"/>
        <v>1786.852357968128</v>
      </c>
      <c r="K33" s="187">
        <f t="shared" si="22"/>
        <v>89.342617898406402</v>
      </c>
      <c r="L33" s="596"/>
      <c r="M33" s="186">
        <f>RANK(K33, K$27:$K$41)</f>
        <v>1</v>
      </c>
      <c r="N33" s="590"/>
      <c r="O33" s="590"/>
      <c r="P33" s="188">
        <v>20</v>
      </c>
      <c r="Q33" s="188">
        <v>1787.0065513744435</v>
      </c>
      <c r="R33" s="185">
        <f t="shared" si="23"/>
        <v>89.350327568722179</v>
      </c>
      <c r="S33" s="182">
        <f t="shared" si="24"/>
        <v>1</v>
      </c>
      <c r="T33" s="595"/>
      <c r="U33" s="188">
        <v>20</v>
      </c>
      <c r="V33" s="188">
        <v>1787.4065513744433</v>
      </c>
      <c r="W33" s="185">
        <f t="shared" si="17"/>
        <v>89.370327568722161</v>
      </c>
      <c r="X33" s="182">
        <f t="shared" si="25"/>
        <v>1</v>
      </c>
      <c r="Y33" s="595"/>
      <c r="Z33" s="188">
        <v>20</v>
      </c>
      <c r="AA33" s="188">
        <v>1787.2065513744433</v>
      </c>
      <c r="AB33" s="185">
        <f t="shared" si="18"/>
        <v>89.36032756872217</v>
      </c>
      <c r="AC33" s="182">
        <f t="shared" si="26"/>
        <v>1</v>
      </c>
      <c r="AD33" s="595"/>
      <c r="AE33" s="188">
        <v>20</v>
      </c>
      <c r="AF33" s="188">
        <v>1787.1867129133918</v>
      </c>
      <c r="AG33" s="185">
        <f t="shared" si="27"/>
        <v>89.359335645669589</v>
      </c>
      <c r="AH33" s="182">
        <f t="shared" si="28"/>
        <v>1</v>
      </c>
      <c r="AI33" s="595"/>
      <c r="AJ33" s="188">
        <v>20</v>
      </c>
      <c r="AK33" s="188">
        <v>1786.786712913392</v>
      </c>
      <c r="AL33" s="185">
        <f t="shared" si="19"/>
        <v>89.339335645669593</v>
      </c>
      <c r="AM33" s="182">
        <f t="shared" si="29"/>
        <v>1</v>
      </c>
      <c r="AN33" s="595"/>
      <c r="AO33" s="188">
        <v>20</v>
      </c>
      <c r="AP33" s="188">
        <v>1786.1867129133916</v>
      </c>
      <c r="AQ33" s="185">
        <f t="shared" si="20"/>
        <v>89.309335645669577</v>
      </c>
      <c r="AR33" s="182">
        <f t="shared" si="30"/>
        <v>1</v>
      </c>
      <c r="AS33" s="595"/>
      <c r="AT33" s="188">
        <v>20</v>
      </c>
      <c r="AU33" s="188">
        <v>1786.1867129133911</v>
      </c>
      <c r="AV33" s="185">
        <f t="shared" si="21"/>
        <v>89.309335645669563</v>
      </c>
      <c r="AW33" s="182">
        <f t="shared" si="31"/>
        <v>1</v>
      </c>
      <c r="AX33" s="595"/>
    </row>
    <row r="34" spans="2:50" ht="14.25" customHeight="1">
      <c r="B34" s="590"/>
      <c r="C34" s="180">
        <v>8</v>
      </c>
      <c r="D34" s="183" t="s">
        <v>356</v>
      </c>
      <c r="E34" s="180">
        <v>24</v>
      </c>
      <c r="F34" s="180">
        <v>2000</v>
      </c>
      <c r="G34" s="185">
        <f t="shared" si="16"/>
        <v>83.333333333333329</v>
      </c>
      <c r="H34" s="595"/>
      <c r="I34" s="186">
        <f t="shared" si="22"/>
        <v>24</v>
      </c>
      <c r="J34" s="186">
        <f t="shared" si="22"/>
        <v>1790.2117730521111</v>
      </c>
      <c r="K34" s="187">
        <f t="shared" si="22"/>
        <v>74.592157210504624</v>
      </c>
      <c r="L34" s="596"/>
      <c r="M34" s="186">
        <f>RANK(K34, K$27:$K$41)</f>
        <v>8</v>
      </c>
      <c r="N34" s="590"/>
      <c r="O34" s="590"/>
      <c r="P34" s="188">
        <v>24</v>
      </c>
      <c r="Q34" s="188">
        <v>1789.0164953622505</v>
      </c>
      <c r="R34" s="185">
        <f t="shared" si="23"/>
        <v>74.542353973427097</v>
      </c>
      <c r="S34" s="182">
        <f t="shared" si="24"/>
        <v>8</v>
      </c>
      <c r="T34" s="595"/>
      <c r="U34" s="188">
        <v>24</v>
      </c>
      <c r="V34" s="188">
        <v>1789.0164953622505</v>
      </c>
      <c r="W34" s="185">
        <f t="shared" si="17"/>
        <v>74.542353973427097</v>
      </c>
      <c r="X34" s="182">
        <f t="shared" si="25"/>
        <v>8</v>
      </c>
      <c r="Y34" s="595"/>
      <c r="Z34" s="188">
        <v>24</v>
      </c>
      <c r="AA34" s="188">
        <v>1789.6164953622501</v>
      </c>
      <c r="AB34" s="185">
        <f t="shared" si="18"/>
        <v>74.567353973427089</v>
      </c>
      <c r="AC34" s="182">
        <f t="shared" si="26"/>
        <v>8</v>
      </c>
      <c r="AD34" s="595"/>
      <c r="AE34" s="188">
        <v>24</v>
      </c>
      <c r="AF34" s="188">
        <v>1790.6082313195061</v>
      </c>
      <c r="AG34" s="185">
        <f t="shared" si="27"/>
        <v>74.608676304979426</v>
      </c>
      <c r="AH34" s="182">
        <f t="shared" si="28"/>
        <v>8</v>
      </c>
      <c r="AI34" s="595"/>
      <c r="AJ34" s="188">
        <v>24</v>
      </c>
      <c r="AK34" s="188">
        <v>1791.4082313195065</v>
      </c>
      <c r="AL34" s="185">
        <f t="shared" si="19"/>
        <v>74.642009638312771</v>
      </c>
      <c r="AM34" s="182">
        <f t="shared" si="29"/>
        <v>8</v>
      </c>
      <c r="AN34" s="595"/>
      <c r="AO34" s="188">
        <v>24</v>
      </c>
      <c r="AP34" s="188">
        <v>1791.0082313195066</v>
      </c>
      <c r="AQ34" s="185">
        <f t="shared" si="20"/>
        <v>74.625342971646106</v>
      </c>
      <c r="AR34" s="182">
        <f t="shared" si="30"/>
        <v>8</v>
      </c>
      <c r="AS34" s="595"/>
      <c r="AT34" s="188">
        <v>24</v>
      </c>
      <c r="AU34" s="188">
        <v>1790.8082313195066</v>
      </c>
      <c r="AV34" s="185">
        <f t="shared" si="21"/>
        <v>74.61700963831278</v>
      </c>
      <c r="AW34" s="182">
        <f t="shared" si="31"/>
        <v>8</v>
      </c>
      <c r="AX34" s="595"/>
    </row>
    <row r="35" spans="2:50" ht="14.25" customHeight="1">
      <c r="B35" s="590"/>
      <c r="C35" s="180">
        <v>9</v>
      </c>
      <c r="D35" s="183" t="s">
        <v>553</v>
      </c>
      <c r="E35" s="180">
        <v>26</v>
      </c>
      <c r="F35" s="180">
        <v>2000</v>
      </c>
      <c r="G35" s="185">
        <f t="shared" si="16"/>
        <v>76.92307692307692</v>
      </c>
      <c r="H35" s="595"/>
      <c r="I35" s="186">
        <f t="shared" si="22"/>
        <v>26</v>
      </c>
      <c r="J35" s="186">
        <f t="shared" si="22"/>
        <v>1791.5947740209867</v>
      </c>
      <c r="K35" s="187">
        <f t="shared" si="22"/>
        <v>68.907491308499488</v>
      </c>
      <c r="L35" s="596"/>
      <c r="M35" s="186">
        <f>RANK(K35, K$27:$K$41)</f>
        <v>9</v>
      </c>
      <c r="N35" s="590"/>
      <c r="O35" s="590"/>
      <c r="P35" s="188">
        <v>26</v>
      </c>
      <c r="Q35" s="188">
        <v>1790.9662025924151</v>
      </c>
      <c r="R35" s="185">
        <f t="shared" si="23"/>
        <v>68.88331548432366</v>
      </c>
      <c r="S35" s="182">
        <f t="shared" si="24"/>
        <v>9</v>
      </c>
      <c r="T35" s="595"/>
      <c r="U35" s="188">
        <v>26</v>
      </c>
      <c r="V35" s="188">
        <v>1791.5662025924153</v>
      </c>
      <c r="W35" s="185">
        <f t="shared" si="17"/>
        <v>68.906392407400588</v>
      </c>
      <c r="X35" s="182">
        <f t="shared" si="25"/>
        <v>9</v>
      </c>
      <c r="Y35" s="595"/>
      <c r="Z35" s="188">
        <v>26</v>
      </c>
      <c r="AA35" s="188">
        <v>1792.3662025924152</v>
      </c>
      <c r="AB35" s="185">
        <f t="shared" si="18"/>
        <v>68.937161638169812</v>
      </c>
      <c r="AC35" s="182">
        <f t="shared" si="26"/>
        <v>9</v>
      </c>
      <c r="AD35" s="595"/>
      <c r="AE35" s="188">
        <v>26</v>
      </c>
      <c r="AF35" s="188">
        <v>1792.366202592415</v>
      </c>
      <c r="AG35" s="185">
        <f t="shared" si="27"/>
        <v>68.937161638169812</v>
      </c>
      <c r="AH35" s="182">
        <f t="shared" si="28"/>
        <v>9</v>
      </c>
      <c r="AI35" s="595"/>
      <c r="AJ35" s="188">
        <v>26</v>
      </c>
      <c r="AK35" s="188">
        <v>1791.3662025924152</v>
      </c>
      <c r="AL35" s="185">
        <f t="shared" si="19"/>
        <v>68.898700099708279</v>
      </c>
      <c r="AM35" s="182">
        <f t="shared" si="29"/>
        <v>9</v>
      </c>
      <c r="AN35" s="595"/>
      <c r="AO35" s="188">
        <v>26</v>
      </c>
      <c r="AP35" s="188">
        <v>1791.1662025924154</v>
      </c>
      <c r="AQ35" s="185">
        <f t="shared" si="20"/>
        <v>68.891007792015984</v>
      </c>
      <c r="AR35" s="182">
        <f t="shared" si="30"/>
        <v>9</v>
      </c>
      <c r="AS35" s="595"/>
      <c r="AT35" s="188">
        <v>26</v>
      </c>
      <c r="AU35" s="188">
        <v>1791.3662025924157</v>
      </c>
      <c r="AV35" s="185">
        <f t="shared" si="21"/>
        <v>68.898700099708293</v>
      </c>
      <c r="AW35" s="182">
        <f t="shared" si="31"/>
        <v>9</v>
      </c>
      <c r="AX35" s="595"/>
    </row>
    <row r="36" spans="2:50" ht="14.25" customHeight="1">
      <c r="B36" s="590"/>
      <c r="C36" s="180">
        <v>10</v>
      </c>
      <c r="D36" s="183"/>
      <c r="E36" s="180"/>
      <c r="F36" s="180"/>
      <c r="G36" s="185"/>
      <c r="H36" s="595"/>
      <c r="I36" s="186"/>
      <c r="J36" s="186"/>
      <c r="K36" s="187"/>
      <c r="L36" s="596"/>
      <c r="M36" s="186"/>
      <c r="N36" s="590"/>
      <c r="O36" s="590"/>
      <c r="P36" s="188"/>
      <c r="Q36" s="188"/>
      <c r="R36" s="185"/>
      <c r="S36" s="182"/>
      <c r="T36" s="595"/>
      <c r="U36" s="188"/>
      <c r="V36" s="188"/>
      <c r="W36" s="185"/>
      <c r="X36" s="182"/>
      <c r="Y36" s="595"/>
      <c r="Z36" s="188"/>
      <c r="AA36" s="188"/>
      <c r="AB36" s="185"/>
      <c r="AC36" s="182"/>
      <c r="AD36" s="595"/>
      <c r="AE36" s="188"/>
      <c r="AF36" s="188"/>
      <c r="AG36" s="185"/>
      <c r="AH36" s="182"/>
      <c r="AI36" s="595"/>
      <c r="AJ36" s="188"/>
      <c r="AK36" s="188"/>
      <c r="AL36" s="185"/>
      <c r="AM36" s="182"/>
      <c r="AN36" s="595"/>
      <c r="AO36" s="188"/>
      <c r="AP36" s="188"/>
      <c r="AQ36" s="185"/>
      <c r="AR36" s="182"/>
      <c r="AS36" s="595"/>
      <c r="AT36" s="188"/>
      <c r="AU36" s="188"/>
      <c r="AV36" s="185"/>
      <c r="AW36" s="182"/>
      <c r="AX36" s="595"/>
    </row>
    <row r="37" spans="2:50" ht="14.25" customHeight="1">
      <c r="B37" s="590"/>
      <c r="C37" s="180">
        <v>11</v>
      </c>
      <c r="D37" s="183"/>
      <c r="E37" s="180"/>
      <c r="F37" s="180"/>
      <c r="G37" s="185"/>
      <c r="H37" s="595"/>
      <c r="I37" s="186"/>
      <c r="J37" s="186"/>
      <c r="K37" s="187"/>
      <c r="L37" s="596"/>
      <c r="M37" s="186"/>
      <c r="N37" s="590"/>
      <c r="O37" s="590"/>
      <c r="P37" s="188"/>
      <c r="Q37" s="188"/>
      <c r="R37" s="185"/>
      <c r="S37" s="182"/>
      <c r="T37" s="595"/>
      <c r="U37" s="188"/>
      <c r="V37" s="188"/>
      <c r="W37" s="185"/>
      <c r="X37" s="182"/>
      <c r="Y37" s="595"/>
      <c r="Z37" s="188"/>
      <c r="AA37" s="188"/>
      <c r="AB37" s="185"/>
      <c r="AC37" s="182"/>
      <c r="AD37" s="595"/>
      <c r="AE37" s="188"/>
      <c r="AF37" s="188"/>
      <c r="AG37" s="185"/>
      <c r="AH37" s="182"/>
      <c r="AI37" s="595"/>
      <c r="AJ37" s="188"/>
      <c r="AK37" s="188"/>
      <c r="AL37" s="185"/>
      <c r="AM37" s="182"/>
      <c r="AN37" s="595"/>
      <c r="AO37" s="188"/>
      <c r="AP37" s="188"/>
      <c r="AQ37" s="185"/>
      <c r="AR37" s="182"/>
      <c r="AS37" s="595"/>
      <c r="AT37" s="188"/>
      <c r="AU37" s="188"/>
      <c r="AV37" s="185"/>
      <c r="AW37" s="182"/>
      <c r="AX37" s="595"/>
    </row>
    <row r="38" spans="2:50" ht="14.25" customHeight="1">
      <c r="B38" s="590"/>
      <c r="C38" s="180">
        <v>12</v>
      </c>
      <c r="D38" s="183"/>
      <c r="E38" s="180"/>
      <c r="F38" s="180"/>
      <c r="G38" s="185"/>
      <c r="H38" s="595"/>
      <c r="I38" s="186"/>
      <c r="J38" s="186"/>
      <c r="K38" s="187"/>
      <c r="L38" s="596"/>
      <c r="M38" s="186"/>
      <c r="N38" s="590"/>
      <c r="O38" s="590"/>
      <c r="P38" s="188"/>
      <c r="Q38" s="188"/>
      <c r="R38" s="185"/>
      <c r="S38" s="182"/>
      <c r="T38" s="595"/>
      <c r="U38" s="188"/>
      <c r="V38" s="188"/>
      <c r="W38" s="185"/>
      <c r="X38" s="182"/>
      <c r="Y38" s="595"/>
      <c r="Z38" s="188"/>
      <c r="AA38" s="188"/>
      <c r="AB38" s="185"/>
      <c r="AC38" s="182"/>
      <c r="AD38" s="595"/>
      <c r="AE38" s="188"/>
      <c r="AF38" s="188"/>
      <c r="AG38" s="185"/>
      <c r="AH38" s="182"/>
      <c r="AI38" s="595"/>
      <c r="AJ38" s="188"/>
      <c r="AK38" s="188"/>
      <c r="AL38" s="185"/>
      <c r="AM38" s="182"/>
      <c r="AN38" s="595"/>
      <c r="AO38" s="188"/>
      <c r="AP38" s="188"/>
      <c r="AQ38" s="185"/>
      <c r="AR38" s="182"/>
      <c r="AS38" s="595"/>
      <c r="AT38" s="188"/>
      <c r="AU38" s="188"/>
      <c r="AV38" s="185"/>
      <c r="AW38" s="182"/>
      <c r="AX38" s="595"/>
    </row>
    <row r="39" spans="2:50" ht="14.25" customHeight="1">
      <c r="B39" s="590"/>
      <c r="C39" s="180">
        <v>13</v>
      </c>
      <c r="D39" s="183"/>
      <c r="E39" s="180"/>
      <c r="F39" s="180"/>
      <c r="G39" s="185"/>
      <c r="H39" s="595"/>
      <c r="I39" s="186"/>
      <c r="J39" s="186"/>
      <c r="K39" s="187"/>
      <c r="L39" s="596"/>
      <c r="M39" s="186"/>
      <c r="N39" s="590"/>
      <c r="O39" s="590"/>
      <c r="P39" s="188"/>
      <c r="Q39" s="188"/>
      <c r="R39" s="185"/>
      <c r="S39" s="182"/>
      <c r="T39" s="595"/>
      <c r="U39" s="188"/>
      <c r="V39" s="188"/>
      <c r="W39" s="185"/>
      <c r="X39" s="182"/>
      <c r="Y39" s="595"/>
      <c r="Z39" s="188"/>
      <c r="AA39" s="188"/>
      <c r="AB39" s="185"/>
      <c r="AC39" s="182"/>
      <c r="AD39" s="595"/>
      <c r="AE39" s="188"/>
      <c r="AF39" s="188"/>
      <c r="AG39" s="185"/>
      <c r="AH39" s="182"/>
      <c r="AI39" s="595"/>
      <c r="AJ39" s="188"/>
      <c r="AK39" s="188"/>
      <c r="AL39" s="185"/>
      <c r="AM39" s="182"/>
      <c r="AN39" s="595"/>
      <c r="AO39" s="188"/>
      <c r="AP39" s="188"/>
      <c r="AQ39" s="185"/>
      <c r="AR39" s="182"/>
      <c r="AS39" s="595"/>
      <c r="AT39" s="188"/>
      <c r="AU39" s="188"/>
      <c r="AV39" s="185"/>
      <c r="AW39" s="182"/>
      <c r="AX39" s="595"/>
    </row>
    <row r="40" spans="2:50" ht="14.25" customHeight="1">
      <c r="B40" s="590"/>
      <c r="C40" s="180">
        <v>14</v>
      </c>
      <c r="D40" s="183"/>
      <c r="E40" s="180"/>
      <c r="F40" s="180"/>
      <c r="G40" s="185"/>
      <c r="H40" s="595"/>
      <c r="I40" s="186"/>
      <c r="J40" s="186"/>
      <c r="K40" s="187"/>
      <c r="L40" s="596"/>
      <c r="M40" s="186"/>
      <c r="N40" s="590"/>
      <c r="O40" s="590"/>
      <c r="P40" s="188"/>
      <c r="Q40" s="188"/>
      <c r="R40" s="185"/>
      <c r="S40" s="182"/>
      <c r="T40" s="595"/>
      <c r="U40" s="188"/>
      <c r="V40" s="188"/>
      <c r="W40" s="185"/>
      <c r="X40" s="182"/>
      <c r="Y40" s="595"/>
      <c r="Z40" s="188"/>
      <c r="AA40" s="188"/>
      <c r="AB40" s="185"/>
      <c r="AC40" s="182"/>
      <c r="AD40" s="595"/>
      <c r="AE40" s="188"/>
      <c r="AF40" s="188"/>
      <c r="AG40" s="185"/>
      <c r="AH40" s="182"/>
      <c r="AI40" s="595"/>
      <c r="AJ40" s="188"/>
      <c r="AK40" s="188"/>
      <c r="AL40" s="185"/>
      <c r="AM40" s="182"/>
      <c r="AN40" s="595"/>
      <c r="AO40" s="188"/>
      <c r="AP40" s="188"/>
      <c r="AQ40" s="185"/>
      <c r="AR40" s="182"/>
      <c r="AS40" s="595"/>
      <c r="AT40" s="188"/>
      <c r="AU40" s="188"/>
      <c r="AV40" s="185"/>
      <c r="AW40" s="182"/>
      <c r="AX40" s="595"/>
    </row>
    <row r="41" spans="2:50" ht="14.25" customHeight="1">
      <c r="B41" s="590"/>
      <c r="C41" s="180">
        <v>15</v>
      </c>
      <c r="D41" s="183"/>
      <c r="E41" s="180"/>
      <c r="F41" s="180"/>
      <c r="G41" s="185"/>
      <c r="H41" s="595"/>
      <c r="I41" s="186"/>
      <c r="J41" s="186"/>
      <c r="K41" s="187"/>
      <c r="L41" s="596"/>
      <c r="M41" s="186"/>
      <c r="N41" s="590"/>
      <c r="O41" s="590"/>
      <c r="P41" s="188"/>
      <c r="Q41" s="188"/>
      <c r="R41" s="185"/>
      <c r="S41" s="182"/>
      <c r="T41" s="595"/>
      <c r="U41" s="188"/>
      <c r="V41" s="188"/>
      <c r="W41" s="185"/>
      <c r="X41" s="182"/>
      <c r="Y41" s="595"/>
      <c r="Z41" s="188"/>
      <c r="AA41" s="188"/>
      <c r="AB41" s="185"/>
      <c r="AC41" s="182"/>
      <c r="AD41" s="595"/>
      <c r="AE41" s="188"/>
      <c r="AF41" s="188"/>
      <c r="AG41" s="185"/>
      <c r="AH41" s="182"/>
      <c r="AI41" s="595"/>
      <c r="AJ41" s="188"/>
      <c r="AK41" s="188"/>
      <c r="AL41" s="185"/>
      <c r="AM41" s="182"/>
      <c r="AN41" s="595"/>
      <c r="AO41" s="188"/>
      <c r="AP41" s="188"/>
      <c r="AQ41" s="185"/>
      <c r="AR41" s="182"/>
      <c r="AS41" s="595"/>
      <c r="AT41" s="188"/>
      <c r="AU41" s="188"/>
      <c r="AV41" s="185"/>
      <c r="AW41" s="182"/>
      <c r="AX41" s="595"/>
    </row>
  </sheetData>
  <mergeCells count="118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AS24:AS26"/>
    <mergeCell ref="AT24:AW24"/>
    <mergeCell ref="AX24:AX26"/>
    <mergeCell ref="AX27:AX41"/>
    <mergeCell ref="AT25:AW25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N27:AN41"/>
    <mergeCell ref="AS27:AS41"/>
    <mergeCell ref="AJ25:AM25"/>
    <mergeCell ref="AO25:AR25"/>
    <mergeCell ref="T24:T26"/>
    <mergeCell ref="U24:X24"/>
    <mergeCell ref="Y24:Y26"/>
    <mergeCell ref="Z24:AC24"/>
    <mergeCell ref="AD24:AD26"/>
    <mergeCell ref="AE24:AH24"/>
    <mergeCell ref="AI24:AI26"/>
    <mergeCell ref="AJ24:AM24"/>
    <mergeCell ref="AN24:AN26"/>
    <mergeCell ref="AO24:AR24"/>
    <mergeCell ref="T27:T41"/>
    <mergeCell ref="Y27:Y41"/>
    <mergeCell ref="AD27:AD41"/>
    <mergeCell ref="AI27:AI41"/>
    <mergeCell ref="L24:L26"/>
    <mergeCell ref="M24:M26"/>
    <mergeCell ref="N24:N41"/>
    <mergeCell ref="O24:O41"/>
    <mergeCell ref="B27:B41"/>
    <mergeCell ref="H27:H41"/>
    <mergeCell ref="L27:L41"/>
    <mergeCell ref="B24:B26"/>
    <mergeCell ref="C24:D26"/>
    <mergeCell ref="E25:G25"/>
    <mergeCell ref="I25:K25"/>
    <mergeCell ref="P25:S25"/>
    <mergeCell ref="U25:X25"/>
    <mergeCell ref="Z25:AC25"/>
    <mergeCell ref="AE25:AH25"/>
    <mergeCell ref="P24:S24"/>
    <mergeCell ref="E24:G24"/>
    <mergeCell ref="H24:H26"/>
    <mergeCell ref="I24:K2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FFFFCC"/>
  </sheetPr>
  <dimension ref="A1:AX41"/>
  <sheetViews>
    <sheetView zoomScaleNormal="100" workbookViewId="0">
      <pane xSplit="13" ySplit="1" topLeftCell="N20" activePane="bottomRight" state="frozen"/>
      <selection activeCell="L95" sqref="L95"/>
      <selection pane="topRight" activeCell="L95" sqref="L95"/>
      <selection pane="bottomLeft" activeCell="L95" sqref="L95"/>
      <selection pane="bottomRight" activeCell="B22" sqref="B22:M2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498" t="s">
        <v>738</v>
      </c>
      <c r="C1" s="175"/>
    </row>
    <row r="2" spans="1:50" ht="14.25" customHeight="1">
      <c r="B2" s="572" t="s">
        <v>660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  <c r="N2" s="608" t="s">
        <v>369</v>
      </c>
      <c r="O2" s="608" t="s">
        <v>105</v>
      </c>
      <c r="P2" s="610">
        <f>'[2]（５-1）品群別人時生產性(18℃-飯糰)'!P82:T82</f>
        <v>0</v>
      </c>
      <c r="Q2" s="611"/>
      <c r="R2" s="611"/>
      <c r="S2" s="611"/>
      <c r="T2" s="611"/>
      <c r="U2" s="612">
        <f>P2+1</f>
        <v>1</v>
      </c>
      <c r="V2" s="613"/>
      <c r="W2" s="613"/>
      <c r="X2" s="613"/>
      <c r="Y2" s="613"/>
      <c r="Z2" s="610">
        <f t="shared" ref="Z2" si="0">U2+1</f>
        <v>2</v>
      </c>
      <c r="AA2" s="611"/>
      <c r="AB2" s="611"/>
      <c r="AC2" s="611"/>
      <c r="AD2" s="611"/>
      <c r="AE2" s="612">
        <f t="shared" ref="AE2" si="1">Z2+1</f>
        <v>3</v>
      </c>
      <c r="AF2" s="613"/>
      <c r="AG2" s="613"/>
      <c r="AH2" s="613"/>
      <c r="AI2" s="613"/>
      <c r="AJ2" s="600">
        <f t="shared" ref="AJ2" si="2">AE2+1</f>
        <v>4</v>
      </c>
      <c r="AK2" s="601"/>
      <c r="AL2" s="601"/>
      <c r="AM2" s="601"/>
      <c r="AN2" s="602"/>
      <c r="AO2" s="612">
        <f t="shared" ref="AO2" si="3">AJ2+1</f>
        <v>5</v>
      </c>
      <c r="AP2" s="613"/>
      <c r="AQ2" s="613"/>
      <c r="AR2" s="613"/>
      <c r="AS2" s="613"/>
      <c r="AT2" s="600">
        <f t="shared" ref="AT2" si="4">AO2+1</f>
        <v>6</v>
      </c>
      <c r="AU2" s="601"/>
      <c r="AV2" s="601"/>
      <c r="AW2" s="601"/>
      <c r="AX2" s="602"/>
    </row>
    <row r="3" spans="1:50" ht="14.25" customHeight="1"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5"/>
      <c r="N3" s="609"/>
      <c r="O3" s="609"/>
      <c r="P3" s="603">
        <f>P2</f>
        <v>0</v>
      </c>
      <c r="Q3" s="603"/>
      <c r="R3" s="603"/>
      <c r="S3" s="603"/>
      <c r="T3" s="603"/>
      <c r="U3" s="604">
        <f>U2</f>
        <v>1</v>
      </c>
      <c r="V3" s="604"/>
      <c r="W3" s="604"/>
      <c r="X3" s="604"/>
      <c r="Y3" s="604"/>
      <c r="Z3" s="603">
        <f t="shared" ref="Z3" si="5">Z2</f>
        <v>2</v>
      </c>
      <c r="AA3" s="603"/>
      <c r="AB3" s="603"/>
      <c r="AC3" s="603"/>
      <c r="AD3" s="603"/>
      <c r="AE3" s="604">
        <f t="shared" ref="AE3" si="6">AE2</f>
        <v>3</v>
      </c>
      <c r="AF3" s="604"/>
      <c r="AG3" s="604"/>
      <c r="AH3" s="604"/>
      <c r="AI3" s="604"/>
      <c r="AJ3" s="605">
        <f t="shared" ref="AJ3" si="7">AJ2</f>
        <v>4</v>
      </c>
      <c r="AK3" s="606"/>
      <c r="AL3" s="606"/>
      <c r="AM3" s="606"/>
      <c r="AN3" s="607"/>
      <c r="AO3" s="604">
        <f t="shared" ref="AO3" si="8">AO2</f>
        <v>5</v>
      </c>
      <c r="AP3" s="604"/>
      <c r="AQ3" s="604"/>
      <c r="AR3" s="604"/>
      <c r="AS3" s="604"/>
      <c r="AT3" s="605">
        <f t="shared" ref="AT3" si="9">AT2</f>
        <v>6</v>
      </c>
      <c r="AU3" s="606"/>
      <c r="AV3" s="606"/>
      <c r="AW3" s="606"/>
      <c r="AX3" s="607"/>
    </row>
    <row r="4" spans="1:50" ht="14.25" customHeight="1">
      <c r="B4" s="590" t="s">
        <v>162</v>
      </c>
      <c r="C4" s="590" t="s">
        <v>157</v>
      </c>
      <c r="D4" s="590"/>
      <c r="E4" s="590" t="s">
        <v>158</v>
      </c>
      <c r="F4" s="590"/>
      <c r="G4" s="590"/>
      <c r="H4" s="590" t="s">
        <v>163</v>
      </c>
      <c r="I4" s="591" t="s">
        <v>370</v>
      </c>
      <c r="J4" s="591"/>
      <c r="K4" s="591"/>
      <c r="L4" s="591" t="s">
        <v>163</v>
      </c>
      <c r="M4" s="591" t="s">
        <v>165</v>
      </c>
      <c r="N4" s="590"/>
      <c r="O4" s="590" t="s">
        <v>164</v>
      </c>
      <c r="P4" s="590" t="s">
        <v>160</v>
      </c>
      <c r="Q4" s="590"/>
      <c r="R4" s="590"/>
      <c r="S4" s="590"/>
      <c r="T4" s="590" t="s">
        <v>163</v>
      </c>
      <c r="U4" s="590" t="s">
        <v>160</v>
      </c>
      <c r="V4" s="590"/>
      <c r="W4" s="590"/>
      <c r="X4" s="590"/>
      <c r="Y4" s="590" t="s">
        <v>163</v>
      </c>
      <c r="Z4" s="590" t="s">
        <v>160</v>
      </c>
      <c r="AA4" s="590"/>
      <c r="AB4" s="590"/>
      <c r="AC4" s="590"/>
      <c r="AD4" s="590" t="s">
        <v>163</v>
      </c>
      <c r="AE4" s="590" t="s">
        <v>160</v>
      </c>
      <c r="AF4" s="590"/>
      <c r="AG4" s="590"/>
      <c r="AH4" s="590"/>
      <c r="AI4" s="590" t="s">
        <v>163</v>
      </c>
      <c r="AJ4" s="590" t="s">
        <v>160</v>
      </c>
      <c r="AK4" s="590"/>
      <c r="AL4" s="590"/>
      <c r="AM4" s="590"/>
      <c r="AN4" s="590" t="s">
        <v>163</v>
      </c>
      <c r="AO4" s="590" t="s">
        <v>160</v>
      </c>
      <c r="AP4" s="590"/>
      <c r="AQ4" s="590"/>
      <c r="AR4" s="590"/>
      <c r="AS4" s="590" t="s">
        <v>163</v>
      </c>
      <c r="AT4" s="590" t="s">
        <v>160</v>
      </c>
      <c r="AU4" s="590"/>
      <c r="AV4" s="590"/>
      <c r="AW4" s="590"/>
      <c r="AX4" s="590" t="s">
        <v>163</v>
      </c>
    </row>
    <row r="5" spans="1:50" ht="14.25" customHeight="1">
      <c r="B5" s="590"/>
      <c r="C5" s="590"/>
      <c r="D5" s="590"/>
      <c r="E5" s="590" t="s">
        <v>371</v>
      </c>
      <c r="F5" s="590"/>
      <c r="G5" s="590"/>
      <c r="H5" s="590"/>
      <c r="I5" s="591" t="s">
        <v>371</v>
      </c>
      <c r="J5" s="591"/>
      <c r="K5" s="591"/>
      <c r="L5" s="591"/>
      <c r="M5" s="591"/>
      <c r="N5" s="590"/>
      <c r="O5" s="590"/>
      <c r="P5" s="590" t="s">
        <v>372</v>
      </c>
      <c r="Q5" s="590"/>
      <c r="R5" s="590"/>
      <c r="S5" s="590"/>
      <c r="T5" s="590"/>
      <c r="U5" s="590" t="s">
        <v>372</v>
      </c>
      <c r="V5" s="590"/>
      <c r="W5" s="590"/>
      <c r="X5" s="590"/>
      <c r="Y5" s="590"/>
      <c r="Z5" s="590" t="s">
        <v>372</v>
      </c>
      <c r="AA5" s="590"/>
      <c r="AB5" s="590"/>
      <c r="AC5" s="590"/>
      <c r="AD5" s="590"/>
      <c r="AE5" s="590" t="s">
        <v>372</v>
      </c>
      <c r="AF5" s="590"/>
      <c r="AG5" s="590"/>
      <c r="AH5" s="590"/>
      <c r="AI5" s="590"/>
      <c r="AJ5" s="590" t="s">
        <v>372</v>
      </c>
      <c r="AK5" s="590"/>
      <c r="AL5" s="590"/>
      <c r="AM5" s="590"/>
      <c r="AN5" s="590"/>
      <c r="AO5" s="590" t="s">
        <v>372</v>
      </c>
      <c r="AP5" s="590"/>
      <c r="AQ5" s="590"/>
      <c r="AR5" s="590"/>
      <c r="AS5" s="590"/>
      <c r="AT5" s="590" t="s">
        <v>372</v>
      </c>
      <c r="AU5" s="590"/>
      <c r="AV5" s="590"/>
      <c r="AW5" s="590"/>
      <c r="AX5" s="590"/>
    </row>
    <row r="6" spans="1:50" ht="14.25" customHeight="1">
      <c r="B6" s="590"/>
      <c r="C6" s="590"/>
      <c r="D6" s="590"/>
      <c r="E6" s="180" t="s">
        <v>159</v>
      </c>
      <c r="F6" s="180" t="s">
        <v>373</v>
      </c>
      <c r="G6" s="180" t="s">
        <v>161</v>
      </c>
      <c r="H6" s="590"/>
      <c r="I6" s="181" t="s">
        <v>159</v>
      </c>
      <c r="J6" s="181" t="s">
        <v>373</v>
      </c>
      <c r="K6" s="181" t="s">
        <v>161</v>
      </c>
      <c r="L6" s="591"/>
      <c r="M6" s="591"/>
      <c r="N6" s="590"/>
      <c r="O6" s="590"/>
      <c r="P6" s="180" t="s">
        <v>159</v>
      </c>
      <c r="Q6" s="180" t="s">
        <v>373</v>
      </c>
      <c r="R6" s="180" t="s">
        <v>161</v>
      </c>
      <c r="S6" s="182" t="s">
        <v>165</v>
      </c>
      <c r="T6" s="590"/>
      <c r="U6" s="180" t="s">
        <v>159</v>
      </c>
      <c r="V6" s="180" t="s">
        <v>373</v>
      </c>
      <c r="W6" s="180" t="s">
        <v>161</v>
      </c>
      <c r="X6" s="182" t="s">
        <v>165</v>
      </c>
      <c r="Y6" s="590"/>
      <c r="Z6" s="180" t="s">
        <v>159</v>
      </c>
      <c r="AA6" s="180" t="s">
        <v>373</v>
      </c>
      <c r="AB6" s="180" t="s">
        <v>161</v>
      </c>
      <c r="AC6" s="182" t="s">
        <v>165</v>
      </c>
      <c r="AD6" s="590"/>
      <c r="AE6" s="180" t="s">
        <v>159</v>
      </c>
      <c r="AF6" s="180" t="s">
        <v>373</v>
      </c>
      <c r="AG6" s="180" t="s">
        <v>161</v>
      </c>
      <c r="AH6" s="182" t="s">
        <v>165</v>
      </c>
      <c r="AI6" s="590"/>
      <c r="AJ6" s="180" t="s">
        <v>159</v>
      </c>
      <c r="AK6" s="180" t="s">
        <v>373</v>
      </c>
      <c r="AL6" s="180" t="s">
        <v>161</v>
      </c>
      <c r="AM6" s="182" t="s">
        <v>165</v>
      </c>
      <c r="AN6" s="590"/>
      <c r="AO6" s="180" t="s">
        <v>159</v>
      </c>
      <c r="AP6" s="180" t="s">
        <v>373</v>
      </c>
      <c r="AQ6" s="180" t="s">
        <v>161</v>
      </c>
      <c r="AR6" s="182" t="s">
        <v>165</v>
      </c>
      <c r="AS6" s="590"/>
      <c r="AT6" s="180" t="s">
        <v>159</v>
      </c>
      <c r="AU6" s="180" t="s">
        <v>373</v>
      </c>
      <c r="AV6" s="180" t="s">
        <v>161</v>
      </c>
      <c r="AW6" s="182" t="s">
        <v>165</v>
      </c>
      <c r="AX6" s="590"/>
    </row>
    <row r="7" spans="1:50" ht="14.25" customHeight="1">
      <c r="B7" s="590" t="s">
        <v>433</v>
      </c>
      <c r="C7" s="180">
        <v>1</v>
      </c>
      <c r="D7" s="183"/>
      <c r="E7" s="180"/>
      <c r="F7" s="180"/>
      <c r="G7" s="185"/>
      <c r="H7" s="595"/>
      <c r="I7" s="186"/>
      <c r="J7" s="186"/>
      <c r="K7" s="187"/>
      <c r="L7" s="596"/>
      <c r="M7" s="186"/>
      <c r="N7" s="590"/>
      <c r="O7" s="590"/>
      <c r="P7" s="188"/>
      <c r="Q7" s="188"/>
      <c r="R7" s="185"/>
      <c r="S7" s="182"/>
      <c r="T7" s="595"/>
      <c r="U7" s="188"/>
      <c r="V7" s="188"/>
      <c r="W7" s="185"/>
      <c r="X7" s="182"/>
      <c r="Y7" s="595"/>
      <c r="Z7" s="188"/>
      <c r="AA7" s="188"/>
      <c r="AB7" s="185"/>
      <c r="AC7" s="182"/>
      <c r="AD7" s="595"/>
      <c r="AE7" s="188"/>
      <c r="AF7" s="188"/>
      <c r="AG7" s="185"/>
      <c r="AH7" s="182"/>
      <c r="AI7" s="595"/>
      <c r="AJ7" s="188"/>
      <c r="AK7" s="188"/>
      <c r="AL7" s="185"/>
      <c r="AM7" s="182"/>
      <c r="AN7" s="595"/>
      <c r="AO7" s="188"/>
      <c r="AP7" s="188"/>
      <c r="AQ7" s="185"/>
      <c r="AR7" s="182"/>
      <c r="AS7" s="595"/>
      <c r="AT7" s="188"/>
      <c r="AU7" s="188"/>
      <c r="AV7" s="185"/>
      <c r="AW7" s="182"/>
      <c r="AX7" s="595"/>
    </row>
    <row r="8" spans="1:50" ht="14.25" customHeight="1">
      <c r="B8" s="590"/>
      <c r="C8" s="180">
        <v>2</v>
      </c>
      <c r="D8" s="183"/>
      <c r="E8" s="180"/>
      <c r="F8" s="180"/>
      <c r="G8" s="185"/>
      <c r="H8" s="595"/>
      <c r="I8" s="186"/>
      <c r="J8" s="186"/>
      <c r="K8" s="187"/>
      <c r="L8" s="596"/>
      <c r="M8" s="186"/>
      <c r="N8" s="590"/>
      <c r="O8" s="590"/>
      <c r="P8" s="188"/>
      <c r="Q8" s="188"/>
      <c r="R8" s="185"/>
      <c r="S8" s="182"/>
      <c r="T8" s="595"/>
      <c r="U8" s="188"/>
      <c r="V8" s="188"/>
      <c r="W8" s="185"/>
      <c r="X8" s="182"/>
      <c r="Y8" s="595"/>
      <c r="Z8" s="188"/>
      <c r="AA8" s="188"/>
      <c r="AB8" s="185"/>
      <c r="AC8" s="182"/>
      <c r="AD8" s="595"/>
      <c r="AE8" s="188"/>
      <c r="AF8" s="188"/>
      <c r="AG8" s="185"/>
      <c r="AH8" s="182"/>
      <c r="AI8" s="595"/>
      <c r="AJ8" s="188"/>
      <c r="AK8" s="188"/>
      <c r="AL8" s="185"/>
      <c r="AM8" s="182"/>
      <c r="AN8" s="595"/>
      <c r="AO8" s="188"/>
      <c r="AP8" s="188"/>
      <c r="AQ8" s="185"/>
      <c r="AR8" s="182"/>
      <c r="AS8" s="595"/>
      <c r="AT8" s="188"/>
      <c r="AU8" s="188"/>
      <c r="AV8" s="185"/>
      <c r="AW8" s="182"/>
      <c r="AX8" s="595"/>
    </row>
    <row r="9" spans="1:50" ht="14.25" customHeight="1">
      <c r="B9" s="590"/>
      <c r="C9" s="180">
        <v>3</v>
      </c>
      <c r="D9" s="183"/>
      <c r="E9" s="180"/>
      <c r="F9" s="180"/>
      <c r="G9" s="185"/>
      <c r="H9" s="595"/>
      <c r="I9" s="186"/>
      <c r="J9" s="186"/>
      <c r="K9" s="187"/>
      <c r="L9" s="596"/>
      <c r="M9" s="186"/>
      <c r="N9" s="590"/>
      <c r="O9" s="590"/>
      <c r="P9" s="188"/>
      <c r="Q9" s="188"/>
      <c r="R9" s="185"/>
      <c r="S9" s="182"/>
      <c r="T9" s="595"/>
      <c r="U9" s="188"/>
      <c r="V9" s="188"/>
      <c r="W9" s="185"/>
      <c r="X9" s="182"/>
      <c r="Y9" s="595"/>
      <c r="Z9" s="188"/>
      <c r="AA9" s="188"/>
      <c r="AB9" s="185"/>
      <c r="AC9" s="182"/>
      <c r="AD9" s="595"/>
      <c r="AE9" s="188"/>
      <c r="AF9" s="188"/>
      <c r="AG9" s="185"/>
      <c r="AH9" s="182"/>
      <c r="AI9" s="595"/>
      <c r="AJ9" s="188"/>
      <c r="AK9" s="188"/>
      <c r="AL9" s="185"/>
      <c r="AM9" s="182"/>
      <c r="AN9" s="595"/>
      <c r="AO9" s="188"/>
      <c r="AP9" s="188"/>
      <c r="AQ9" s="185"/>
      <c r="AR9" s="182"/>
      <c r="AS9" s="595"/>
      <c r="AT9" s="188"/>
      <c r="AU9" s="188"/>
      <c r="AV9" s="185"/>
      <c r="AW9" s="182"/>
      <c r="AX9" s="595"/>
    </row>
    <row r="10" spans="1:50" ht="14.25" customHeight="1">
      <c r="B10" s="590"/>
      <c r="C10" s="180">
        <v>4</v>
      </c>
      <c r="D10" s="183"/>
      <c r="E10" s="180"/>
      <c r="F10" s="180"/>
      <c r="G10" s="185"/>
      <c r="H10" s="595"/>
      <c r="I10" s="186"/>
      <c r="J10" s="186"/>
      <c r="K10" s="187"/>
      <c r="L10" s="596"/>
      <c r="M10" s="186"/>
      <c r="N10" s="590"/>
      <c r="O10" s="590"/>
      <c r="P10" s="188"/>
      <c r="Q10" s="188"/>
      <c r="R10" s="185"/>
      <c r="S10" s="182"/>
      <c r="T10" s="595"/>
      <c r="U10" s="188"/>
      <c r="V10" s="188"/>
      <c r="W10" s="185"/>
      <c r="X10" s="182"/>
      <c r="Y10" s="595"/>
      <c r="Z10" s="188"/>
      <c r="AA10" s="188"/>
      <c r="AB10" s="185"/>
      <c r="AC10" s="182"/>
      <c r="AD10" s="595"/>
      <c r="AE10" s="188"/>
      <c r="AF10" s="188"/>
      <c r="AG10" s="185"/>
      <c r="AH10" s="182"/>
      <c r="AI10" s="595"/>
      <c r="AJ10" s="188"/>
      <c r="AK10" s="188"/>
      <c r="AL10" s="185"/>
      <c r="AM10" s="182"/>
      <c r="AN10" s="595"/>
      <c r="AO10" s="188"/>
      <c r="AP10" s="188"/>
      <c r="AQ10" s="185"/>
      <c r="AR10" s="182"/>
      <c r="AS10" s="595"/>
      <c r="AT10" s="188"/>
      <c r="AU10" s="188"/>
      <c r="AV10" s="185"/>
      <c r="AW10" s="182"/>
      <c r="AX10" s="595"/>
    </row>
    <row r="11" spans="1:50" ht="14.25" customHeight="1">
      <c r="B11" s="590"/>
      <c r="C11" s="180">
        <v>5</v>
      </c>
      <c r="D11" s="183"/>
      <c r="E11" s="180"/>
      <c r="F11" s="180"/>
      <c r="G11" s="185"/>
      <c r="H11" s="595"/>
      <c r="I11" s="186"/>
      <c r="J11" s="186"/>
      <c r="K11" s="187"/>
      <c r="L11" s="596"/>
      <c r="M11" s="186"/>
      <c r="N11" s="590"/>
      <c r="O11" s="590"/>
      <c r="P11" s="188"/>
      <c r="Q11" s="188"/>
      <c r="R11" s="185"/>
      <c r="S11" s="182"/>
      <c r="T11" s="595"/>
      <c r="U11" s="188"/>
      <c r="V11" s="188"/>
      <c r="W11" s="185"/>
      <c r="X11" s="182"/>
      <c r="Y11" s="595"/>
      <c r="Z11" s="188"/>
      <c r="AA11" s="188"/>
      <c r="AB11" s="185"/>
      <c r="AC11" s="182"/>
      <c r="AD11" s="595"/>
      <c r="AE11" s="188"/>
      <c r="AF11" s="188"/>
      <c r="AG11" s="185"/>
      <c r="AH11" s="182"/>
      <c r="AI11" s="595"/>
      <c r="AJ11" s="188"/>
      <c r="AK11" s="188"/>
      <c r="AL11" s="185"/>
      <c r="AM11" s="182"/>
      <c r="AN11" s="595"/>
      <c r="AO11" s="188"/>
      <c r="AP11" s="188"/>
      <c r="AQ11" s="185"/>
      <c r="AR11" s="182"/>
      <c r="AS11" s="595"/>
      <c r="AT11" s="188"/>
      <c r="AU11" s="188"/>
      <c r="AV11" s="185"/>
      <c r="AW11" s="182"/>
      <c r="AX11" s="595"/>
    </row>
    <row r="12" spans="1:50" ht="14.25" customHeight="1">
      <c r="B12" s="590"/>
      <c r="C12" s="180">
        <v>6</v>
      </c>
      <c r="D12" s="183"/>
      <c r="E12" s="180"/>
      <c r="F12" s="180"/>
      <c r="G12" s="185"/>
      <c r="H12" s="595"/>
      <c r="I12" s="186"/>
      <c r="J12" s="186"/>
      <c r="K12" s="187"/>
      <c r="L12" s="596"/>
      <c r="M12" s="186"/>
      <c r="N12" s="590"/>
      <c r="O12" s="590"/>
      <c r="P12" s="188"/>
      <c r="Q12" s="188"/>
      <c r="R12" s="185"/>
      <c r="S12" s="182"/>
      <c r="T12" s="595"/>
      <c r="U12" s="188"/>
      <c r="V12" s="188"/>
      <c r="W12" s="185"/>
      <c r="X12" s="182"/>
      <c r="Y12" s="595"/>
      <c r="Z12" s="188"/>
      <c r="AA12" s="188"/>
      <c r="AB12" s="185"/>
      <c r="AC12" s="182"/>
      <c r="AD12" s="595"/>
      <c r="AE12" s="188"/>
      <c r="AF12" s="188"/>
      <c r="AG12" s="185"/>
      <c r="AH12" s="182"/>
      <c r="AI12" s="595"/>
      <c r="AJ12" s="188"/>
      <c r="AK12" s="188"/>
      <c r="AL12" s="185"/>
      <c r="AM12" s="182"/>
      <c r="AN12" s="595"/>
      <c r="AO12" s="188"/>
      <c r="AP12" s="188"/>
      <c r="AQ12" s="185"/>
      <c r="AR12" s="182"/>
      <c r="AS12" s="595"/>
      <c r="AT12" s="188"/>
      <c r="AU12" s="188"/>
      <c r="AV12" s="185"/>
      <c r="AW12" s="182"/>
      <c r="AX12" s="595"/>
    </row>
    <row r="13" spans="1:50" ht="14.25" customHeight="1">
      <c r="B13" s="590"/>
      <c r="C13" s="180">
        <v>7</v>
      </c>
      <c r="D13" s="183"/>
      <c r="E13" s="180"/>
      <c r="F13" s="180"/>
      <c r="G13" s="185"/>
      <c r="H13" s="595"/>
      <c r="I13" s="186"/>
      <c r="J13" s="186"/>
      <c r="K13" s="187"/>
      <c r="L13" s="596"/>
      <c r="M13" s="186"/>
      <c r="N13" s="590"/>
      <c r="O13" s="590"/>
      <c r="P13" s="188"/>
      <c r="Q13" s="188"/>
      <c r="R13" s="185"/>
      <c r="S13" s="182"/>
      <c r="T13" s="595"/>
      <c r="U13" s="188"/>
      <c r="V13" s="188"/>
      <c r="W13" s="185"/>
      <c r="X13" s="182"/>
      <c r="Y13" s="595"/>
      <c r="Z13" s="188"/>
      <c r="AA13" s="188"/>
      <c r="AB13" s="185"/>
      <c r="AC13" s="182"/>
      <c r="AD13" s="595"/>
      <c r="AE13" s="188"/>
      <c r="AF13" s="188"/>
      <c r="AG13" s="185"/>
      <c r="AH13" s="182"/>
      <c r="AI13" s="595"/>
      <c r="AJ13" s="188"/>
      <c r="AK13" s="188"/>
      <c r="AL13" s="185"/>
      <c r="AM13" s="182"/>
      <c r="AN13" s="595"/>
      <c r="AO13" s="188"/>
      <c r="AP13" s="188"/>
      <c r="AQ13" s="185"/>
      <c r="AR13" s="182"/>
      <c r="AS13" s="595"/>
      <c r="AT13" s="188"/>
      <c r="AU13" s="188"/>
      <c r="AV13" s="185"/>
      <c r="AW13" s="182"/>
      <c r="AX13" s="595"/>
    </row>
    <row r="14" spans="1:50" ht="14.25" customHeight="1">
      <c r="B14" s="590"/>
      <c r="C14" s="180">
        <v>8</v>
      </c>
      <c r="D14" s="183"/>
      <c r="E14" s="180"/>
      <c r="F14" s="180"/>
      <c r="G14" s="185"/>
      <c r="H14" s="595"/>
      <c r="I14" s="186"/>
      <c r="J14" s="186"/>
      <c r="K14" s="187"/>
      <c r="L14" s="596"/>
      <c r="M14" s="186"/>
      <c r="N14" s="590"/>
      <c r="O14" s="590"/>
      <c r="P14" s="188"/>
      <c r="Q14" s="188"/>
      <c r="R14" s="185"/>
      <c r="S14" s="182"/>
      <c r="T14" s="595"/>
      <c r="U14" s="188"/>
      <c r="V14" s="188"/>
      <c r="W14" s="185"/>
      <c r="X14" s="182"/>
      <c r="Y14" s="595"/>
      <c r="Z14" s="188"/>
      <c r="AA14" s="188"/>
      <c r="AB14" s="185"/>
      <c r="AC14" s="182"/>
      <c r="AD14" s="595"/>
      <c r="AE14" s="188"/>
      <c r="AF14" s="188"/>
      <c r="AG14" s="185"/>
      <c r="AH14" s="182"/>
      <c r="AI14" s="595"/>
      <c r="AJ14" s="188"/>
      <c r="AK14" s="188"/>
      <c r="AL14" s="185"/>
      <c r="AM14" s="182"/>
      <c r="AN14" s="595"/>
      <c r="AO14" s="188"/>
      <c r="AP14" s="188"/>
      <c r="AQ14" s="185"/>
      <c r="AR14" s="182"/>
      <c r="AS14" s="595"/>
      <c r="AT14" s="188"/>
      <c r="AU14" s="188"/>
      <c r="AV14" s="185"/>
      <c r="AW14" s="182"/>
      <c r="AX14" s="595"/>
    </row>
    <row r="15" spans="1:50" ht="14.25" customHeight="1">
      <c r="B15" s="590"/>
      <c r="C15" s="180">
        <v>9</v>
      </c>
      <c r="D15" s="183"/>
      <c r="E15" s="180"/>
      <c r="F15" s="180"/>
      <c r="G15" s="185"/>
      <c r="H15" s="595"/>
      <c r="I15" s="186"/>
      <c r="J15" s="186"/>
      <c r="K15" s="187"/>
      <c r="L15" s="596"/>
      <c r="M15" s="186"/>
      <c r="N15" s="590"/>
      <c r="O15" s="590"/>
      <c r="P15" s="188"/>
      <c r="Q15" s="188"/>
      <c r="R15" s="185"/>
      <c r="S15" s="182"/>
      <c r="T15" s="595"/>
      <c r="U15" s="188"/>
      <c r="V15" s="188"/>
      <c r="W15" s="185"/>
      <c r="X15" s="182"/>
      <c r="Y15" s="595"/>
      <c r="Z15" s="188"/>
      <c r="AA15" s="188"/>
      <c r="AB15" s="185"/>
      <c r="AC15" s="182"/>
      <c r="AD15" s="595"/>
      <c r="AE15" s="188"/>
      <c r="AF15" s="188"/>
      <c r="AG15" s="185"/>
      <c r="AH15" s="182"/>
      <c r="AI15" s="595"/>
      <c r="AJ15" s="188"/>
      <c r="AK15" s="188"/>
      <c r="AL15" s="185"/>
      <c r="AM15" s="182"/>
      <c r="AN15" s="595"/>
      <c r="AO15" s="188"/>
      <c r="AP15" s="188"/>
      <c r="AQ15" s="185"/>
      <c r="AR15" s="182"/>
      <c r="AS15" s="595"/>
      <c r="AT15" s="188"/>
      <c r="AU15" s="188"/>
      <c r="AV15" s="185"/>
      <c r="AW15" s="182"/>
      <c r="AX15" s="595"/>
    </row>
    <row r="16" spans="1:50" ht="14.25" customHeight="1">
      <c r="B16" s="590"/>
      <c r="C16" s="180">
        <v>10</v>
      </c>
      <c r="D16" s="183"/>
      <c r="E16" s="180"/>
      <c r="F16" s="180"/>
      <c r="G16" s="185"/>
      <c r="H16" s="595"/>
      <c r="I16" s="186"/>
      <c r="J16" s="186"/>
      <c r="K16" s="187"/>
      <c r="L16" s="596"/>
      <c r="M16" s="186"/>
      <c r="N16" s="590"/>
      <c r="O16" s="590"/>
      <c r="P16" s="188"/>
      <c r="Q16" s="188"/>
      <c r="R16" s="185"/>
      <c r="S16" s="182"/>
      <c r="T16" s="595"/>
      <c r="U16" s="188"/>
      <c r="V16" s="188"/>
      <c r="W16" s="185"/>
      <c r="X16" s="182"/>
      <c r="Y16" s="595"/>
      <c r="Z16" s="188"/>
      <c r="AA16" s="188"/>
      <c r="AB16" s="185"/>
      <c r="AC16" s="182"/>
      <c r="AD16" s="595"/>
      <c r="AE16" s="188"/>
      <c r="AF16" s="188"/>
      <c r="AG16" s="185"/>
      <c r="AH16" s="182"/>
      <c r="AI16" s="595"/>
      <c r="AJ16" s="188"/>
      <c r="AK16" s="188"/>
      <c r="AL16" s="185"/>
      <c r="AM16" s="182"/>
      <c r="AN16" s="595"/>
      <c r="AO16" s="188"/>
      <c r="AP16" s="188"/>
      <c r="AQ16" s="185"/>
      <c r="AR16" s="182"/>
      <c r="AS16" s="595"/>
      <c r="AT16" s="188"/>
      <c r="AU16" s="188"/>
      <c r="AV16" s="185"/>
      <c r="AW16" s="182"/>
      <c r="AX16" s="595"/>
    </row>
    <row r="17" spans="2:50" ht="14.25" customHeight="1">
      <c r="B17" s="590"/>
      <c r="C17" s="180">
        <v>11</v>
      </c>
      <c r="D17" s="183"/>
      <c r="E17" s="180"/>
      <c r="F17" s="180"/>
      <c r="G17" s="185"/>
      <c r="H17" s="595"/>
      <c r="I17" s="186"/>
      <c r="J17" s="186"/>
      <c r="K17" s="187"/>
      <c r="L17" s="596"/>
      <c r="M17" s="186"/>
      <c r="N17" s="590"/>
      <c r="O17" s="590"/>
      <c r="P17" s="188"/>
      <c r="Q17" s="188"/>
      <c r="R17" s="185"/>
      <c r="S17" s="182"/>
      <c r="T17" s="595"/>
      <c r="U17" s="188"/>
      <c r="V17" s="188"/>
      <c r="W17" s="185"/>
      <c r="X17" s="182"/>
      <c r="Y17" s="595"/>
      <c r="Z17" s="188"/>
      <c r="AA17" s="188"/>
      <c r="AB17" s="185"/>
      <c r="AC17" s="182"/>
      <c r="AD17" s="595"/>
      <c r="AE17" s="188"/>
      <c r="AF17" s="188"/>
      <c r="AG17" s="185"/>
      <c r="AH17" s="182"/>
      <c r="AI17" s="595"/>
      <c r="AJ17" s="188"/>
      <c r="AK17" s="188"/>
      <c r="AL17" s="185"/>
      <c r="AM17" s="182"/>
      <c r="AN17" s="595"/>
      <c r="AO17" s="188"/>
      <c r="AP17" s="188"/>
      <c r="AQ17" s="185"/>
      <c r="AR17" s="182"/>
      <c r="AS17" s="595"/>
      <c r="AT17" s="188"/>
      <c r="AU17" s="188"/>
      <c r="AV17" s="185"/>
      <c r="AW17" s="182"/>
      <c r="AX17" s="595"/>
    </row>
    <row r="18" spans="2:50" ht="14.25" customHeight="1">
      <c r="B18" s="590"/>
      <c r="C18" s="180">
        <v>12</v>
      </c>
      <c r="D18" s="183"/>
      <c r="E18" s="180"/>
      <c r="F18" s="180"/>
      <c r="G18" s="185"/>
      <c r="H18" s="595"/>
      <c r="I18" s="186"/>
      <c r="J18" s="186"/>
      <c r="K18" s="187"/>
      <c r="L18" s="596"/>
      <c r="M18" s="186"/>
      <c r="N18" s="590"/>
      <c r="O18" s="590"/>
      <c r="P18" s="188"/>
      <c r="Q18" s="188"/>
      <c r="R18" s="185"/>
      <c r="S18" s="182"/>
      <c r="T18" s="595"/>
      <c r="U18" s="188"/>
      <c r="V18" s="188"/>
      <c r="W18" s="185"/>
      <c r="X18" s="182"/>
      <c r="Y18" s="595"/>
      <c r="Z18" s="188"/>
      <c r="AA18" s="188"/>
      <c r="AB18" s="185"/>
      <c r="AC18" s="182"/>
      <c r="AD18" s="595"/>
      <c r="AE18" s="188"/>
      <c r="AF18" s="188"/>
      <c r="AG18" s="185"/>
      <c r="AH18" s="182"/>
      <c r="AI18" s="595"/>
      <c r="AJ18" s="188"/>
      <c r="AK18" s="188"/>
      <c r="AL18" s="185"/>
      <c r="AM18" s="182"/>
      <c r="AN18" s="595"/>
      <c r="AO18" s="188"/>
      <c r="AP18" s="188"/>
      <c r="AQ18" s="185"/>
      <c r="AR18" s="182"/>
      <c r="AS18" s="595"/>
      <c r="AT18" s="188"/>
      <c r="AU18" s="188"/>
      <c r="AV18" s="185"/>
      <c r="AW18" s="182"/>
      <c r="AX18" s="595"/>
    </row>
    <row r="19" spans="2:50" ht="14.25" customHeight="1">
      <c r="B19" s="590"/>
      <c r="C19" s="180">
        <v>13</v>
      </c>
      <c r="D19" s="183"/>
      <c r="E19" s="180"/>
      <c r="F19" s="180"/>
      <c r="G19" s="185"/>
      <c r="H19" s="595"/>
      <c r="I19" s="186"/>
      <c r="J19" s="186"/>
      <c r="K19" s="187"/>
      <c r="L19" s="596"/>
      <c r="M19" s="186"/>
      <c r="N19" s="590"/>
      <c r="O19" s="590"/>
      <c r="P19" s="188"/>
      <c r="Q19" s="188"/>
      <c r="R19" s="185"/>
      <c r="S19" s="182"/>
      <c r="T19" s="595"/>
      <c r="U19" s="188"/>
      <c r="V19" s="188"/>
      <c r="W19" s="185"/>
      <c r="X19" s="182"/>
      <c r="Y19" s="595"/>
      <c r="Z19" s="188"/>
      <c r="AA19" s="188"/>
      <c r="AB19" s="185"/>
      <c r="AC19" s="182"/>
      <c r="AD19" s="595"/>
      <c r="AE19" s="188"/>
      <c r="AF19" s="188"/>
      <c r="AG19" s="185"/>
      <c r="AH19" s="182"/>
      <c r="AI19" s="595"/>
      <c r="AJ19" s="188"/>
      <c r="AK19" s="188"/>
      <c r="AL19" s="185"/>
      <c r="AM19" s="182"/>
      <c r="AN19" s="595"/>
      <c r="AO19" s="188"/>
      <c r="AP19" s="188"/>
      <c r="AQ19" s="185"/>
      <c r="AR19" s="182"/>
      <c r="AS19" s="595"/>
      <c r="AT19" s="188"/>
      <c r="AU19" s="188"/>
      <c r="AV19" s="185"/>
      <c r="AW19" s="182"/>
      <c r="AX19" s="595"/>
    </row>
    <row r="20" spans="2:50" ht="14.25" customHeight="1">
      <c r="B20" s="590"/>
      <c r="C20" s="180">
        <v>14</v>
      </c>
      <c r="D20" s="183"/>
      <c r="E20" s="180"/>
      <c r="F20" s="180"/>
      <c r="G20" s="185"/>
      <c r="H20" s="595"/>
      <c r="I20" s="186"/>
      <c r="J20" s="186"/>
      <c r="K20" s="187"/>
      <c r="L20" s="596"/>
      <c r="M20" s="186"/>
      <c r="N20" s="590"/>
      <c r="O20" s="590"/>
      <c r="P20" s="188"/>
      <c r="Q20" s="188"/>
      <c r="R20" s="185"/>
      <c r="S20" s="182"/>
      <c r="T20" s="595"/>
      <c r="U20" s="188"/>
      <c r="V20" s="188"/>
      <c r="W20" s="185"/>
      <c r="X20" s="182"/>
      <c r="Y20" s="595"/>
      <c r="Z20" s="188"/>
      <c r="AA20" s="188"/>
      <c r="AB20" s="185"/>
      <c r="AC20" s="182"/>
      <c r="AD20" s="595"/>
      <c r="AE20" s="188"/>
      <c r="AF20" s="188"/>
      <c r="AG20" s="185"/>
      <c r="AH20" s="182"/>
      <c r="AI20" s="595"/>
      <c r="AJ20" s="188"/>
      <c r="AK20" s="188"/>
      <c r="AL20" s="185"/>
      <c r="AM20" s="182"/>
      <c r="AN20" s="595"/>
      <c r="AO20" s="188"/>
      <c r="AP20" s="188"/>
      <c r="AQ20" s="185"/>
      <c r="AR20" s="182"/>
      <c r="AS20" s="595"/>
      <c r="AT20" s="188"/>
      <c r="AU20" s="188"/>
      <c r="AV20" s="185"/>
      <c r="AW20" s="182"/>
      <c r="AX20" s="595"/>
    </row>
    <row r="21" spans="2:50" ht="14.25" customHeight="1">
      <c r="B21" s="590"/>
      <c r="C21" s="180">
        <v>15</v>
      </c>
      <c r="D21" s="183"/>
      <c r="E21" s="180"/>
      <c r="F21" s="180"/>
      <c r="G21" s="185"/>
      <c r="H21" s="595"/>
      <c r="I21" s="186"/>
      <c r="J21" s="186"/>
      <c r="K21" s="187"/>
      <c r="L21" s="596"/>
      <c r="M21" s="186"/>
      <c r="N21" s="590"/>
      <c r="O21" s="590"/>
      <c r="P21" s="188"/>
      <c r="Q21" s="188"/>
      <c r="R21" s="185"/>
      <c r="S21" s="182"/>
      <c r="T21" s="595"/>
      <c r="U21" s="188"/>
      <c r="V21" s="188"/>
      <c r="W21" s="185"/>
      <c r="X21" s="182"/>
      <c r="Y21" s="595"/>
      <c r="Z21" s="188"/>
      <c r="AA21" s="188"/>
      <c r="AB21" s="185"/>
      <c r="AC21" s="182"/>
      <c r="AD21" s="595"/>
      <c r="AE21" s="188"/>
      <c r="AF21" s="188"/>
      <c r="AG21" s="185"/>
      <c r="AH21" s="182"/>
      <c r="AI21" s="595"/>
      <c r="AJ21" s="188"/>
      <c r="AK21" s="188"/>
      <c r="AL21" s="185"/>
      <c r="AM21" s="182"/>
      <c r="AN21" s="595"/>
      <c r="AO21" s="188"/>
      <c r="AP21" s="188"/>
      <c r="AQ21" s="185"/>
      <c r="AR21" s="182"/>
      <c r="AS21" s="595"/>
      <c r="AT21" s="188"/>
      <c r="AU21" s="188"/>
      <c r="AV21" s="185"/>
      <c r="AW21" s="182"/>
      <c r="AX21" s="595"/>
    </row>
    <row r="22" spans="2:50" ht="14.25" customHeight="1">
      <c r="B22" s="572" t="s">
        <v>737</v>
      </c>
      <c r="C22" s="572"/>
      <c r="D22" s="572"/>
      <c r="E22" s="572"/>
      <c r="F22" s="572"/>
      <c r="G22" s="572"/>
      <c r="H22" s="572"/>
      <c r="I22" s="572"/>
      <c r="J22" s="572"/>
      <c r="K22" s="572"/>
      <c r="L22" s="572"/>
      <c r="M22" s="573"/>
      <c r="N22" s="608" t="s">
        <v>369</v>
      </c>
      <c r="O22" s="608" t="s">
        <v>105</v>
      </c>
      <c r="P22" s="610">
        <f>'[3]（５-1）品群別人時生產性(18℃-飯糰)'!P22:T22</f>
        <v>5</v>
      </c>
      <c r="Q22" s="611"/>
      <c r="R22" s="611"/>
      <c r="S22" s="611"/>
      <c r="T22" s="611"/>
      <c r="U22" s="612">
        <f>P22+1</f>
        <v>6</v>
      </c>
      <c r="V22" s="613"/>
      <c r="W22" s="613"/>
      <c r="X22" s="613"/>
      <c r="Y22" s="613"/>
      <c r="Z22" s="610">
        <f t="shared" ref="Z22" si="10">U22+1</f>
        <v>7</v>
      </c>
      <c r="AA22" s="611"/>
      <c r="AB22" s="611"/>
      <c r="AC22" s="611"/>
      <c r="AD22" s="611"/>
      <c r="AE22" s="612">
        <f t="shared" ref="AE22" si="11">Z22+1</f>
        <v>8</v>
      </c>
      <c r="AF22" s="613"/>
      <c r="AG22" s="613"/>
      <c r="AH22" s="613"/>
      <c r="AI22" s="613"/>
      <c r="AJ22" s="600">
        <f t="shared" ref="AJ22" si="12">AE22+1</f>
        <v>9</v>
      </c>
      <c r="AK22" s="601"/>
      <c r="AL22" s="601"/>
      <c r="AM22" s="601"/>
      <c r="AN22" s="602"/>
      <c r="AO22" s="612">
        <f t="shared" ref="AO22" si="13">AJ22+1</f>
        <v>10</v>
      </c>
      <c r="AP22" s="613"/>
      <c r="AQ22" s="613"/>
      <c r="AR22" s="613"/>
      <c r="AS22" s="613"/>
      <c r="AT22" s="600">
        <f t="shared" ref="AT22" si="14">AO22+1</f>
        <v>11</v>
      </c>
      <c r="AU22" s="601"/>
      <c r="AV22" s="601"/>
      <c r="AW22" s="601"/>
      <c r="AX22" s="602"/>
    </row>
    <row r="23" spans="2:50" ht="14.25" customHeight="1">
      <c r="B23" s="574"/>
      <c r="C23" s="574"/>
      <c r="D23" s="574"/>
      <c r="E23" s="574"/>
      <c r="F23" s="574"/>
      <c r="G23" s="574"/>
      <c r="H23" s="574"/>
      <c r="I23" s="574"/>
      <c r="J23" s="574"/>
      <c r="K23" s="574"/>
      <c r="L23" s="574"/>
      <c r="M23" s="575"/>
      <c r="N23" s="609"/>
      <c r="O23" s="609"/>
      <c r="P23" s="603">
        <f>P22</f>
        <v>5</v>
      </c>
      <c r="Q23" s="603"/>
      <c r="R23" s="603"/>
      <c r="S23" s="603"/>
      <c r="T23" s="603"/>
      <c r="U23" s="604">
        <f>U22</f>
        <v>6</v>
      </c>
      <c r="V23" s="604"/>
      <c r="W23" s="604"/>
      <c r="X23" s="604"/>
      <c r="Y23" s="604"/>
      <c r="Z23" s="603">
        <f t="shared" ref="Z23" si="15">Z22</f>
        <v>7</v>
      </c>
      <c r="AA23" s="603"/>
      <c r="AB23" s="603"/>
      <c r="AC23" s="603"/>
      <c r="AD23" s="603"/>
      <c r="AE23" s="604">
        <f t="shared" ref="AE23" si="16">AE22</f>
        <v>8</v>
      </c>
      <c r="AF23" s="604"/>
      <c r="AG23" s="604"/>
      <c r="AH23" s="604"/>
      <c r="AI23" s="604"/>
      <c r="AJ23" s="605">
        <f t="shared" ref="AJ23" si="17">AJ22</f>
        <v>9</v>
      </c>
      <c r="AK23" s="606"/>
      <c r="AL23" s="606"/>
      <c r="AM23" s="606"/>
      <c r="AN23" s="607"/>
      <c r="AO23" s="604">
        <f t="shared" ref="AO23" si="18">AO22</f>
        <v>10</v>
      </c>
      <c r="AP23" s="604"/>
      <c r="AQ23" s="604"/>
      <c r="AR23" s="604"/>
      <c r="AS23" s="604"/>
      <c r="AT23" s="605">
        <f t="shared" ref="AT23" si="19">AT22</f>
        <v>11</v>
      </c>
      <c r="AU23" s="606"/>
      <c r="AV23" s="606"/>
      <c r="AW23" s="606"/>
      <c r="AX23" s="607"/>
    </row>
    <row r="24" spans="2:50" ht="14.25" customHeight="1">
      <c r="B24" s="590" t="s">
        <v>162</v>
      </c>
      <c r="C24" s="590" t="s">
        <v>157</v>
      </c>
      <c r="D24" s="590"/>
      <c r="E24" s="590" t="s">
        <v>158</v>
      </c>
      <c r="F24" s="590"/>
      <c r="G24" s="590"/>
      <c r="H24" s="590" t="s">
        <v>163</v>
      </c>
      <c r="I24" s="591" t="s">
        <v>370</v>
      </c>
      <c r="J24" s="591"/>
      <c r="K24" s="591"/>
      <c r="L24" s="591" t="s">
        <v>163</v>
      </c>
      <c r="M24" s="591" t="s">
        <v>165</v>
      </c>
      <c r="N24" s="590"/>
      <c r="O24" s="590" t="s">
        <v>164</v>
      </c>
      <c r="P24" s="590" t="s">
        <v>160</v>
      </c>
      <c r="Q24" s="590"/>
      <c r="R24" s="590"/>
      <c r="S24" s="590"/>
      <c r="T24" s="590" t="s">
        <v>163</v>
      </c>
      <c r="U24" s="590" t="s">
        <v>160</v>
      </c>
      <c r="V24" s="590"/>
      <c r="W24" s="590"/>
      <c r="X24" s="590"/>
      <c r="Y24" s="590" t="s">
        <v>163</v>
      </c>
      <c r="Z24" s="590" t="s">
        <v>160</v>
      </c>
      <c r="AA24" s="590"/>
      <c r="AB24" s="590"/>
      <c r="AC24" s="590"/>
      <c r="AD24" s="590" t="s">
        <v>163</v>
      </c>
      <c r="AE24" s="590" t="s">
        <v>160</v>
      </c>
      <c r="AF24" s="590"/>
      <c r="AG24" s="590"/>
      <c r="AH24" s="590"/>
      <c r="AI24" s="590" t="s">
        <v>163</v>
      </c>
      <c r="AJ24" s="590" t="s">
        <v>160</v>
      </c>
      <c r="AK24" s="590"/>
      <c r="AL24" s="590"/>
      <c r="AM24" s="590"/>
      <c r="AN24" s="590" t="s">
        <v>163</v>
      </c>
      <c r="AO24" s="590" t="s">
        <v>160</v>
      </c>
      <c r="AP24" s="590"/>
      <c r="AQ24" s="590"/>
      <c r="AR24" s="590"/>
      <c r="AS24" s="590" t="s">
        <v>163</v>
      </c>
      <c r="AT24" s="590" t="s">
        <v>160</v>
      </c>
      <c r="AU24" s="590"/>
      <c r="AV24" s="590"/>
      <c r="AW24" s="590"/>
      <c r="AX24" s="590" t="s">
        <v>163</v>
      </c>
    </row>
    <row r="25" spans="2:50" ht="14.25" customHeight="1">
      <c r="B25" s="590"/>
      <c r="C25" s="590"/>
      <c r="D25" s="590"/>
      <c r="E25" s="590" t="s">
        <v>371</v>
      </c>
      <c r="F25" s="590"/>
      <c r="G25" s="590"/>
      <c r="H25" s="590"/>
      <c r="I25" s="591" t="s">
        <v>371</v>
      </c>
      <c r="J25" s="591"/>
      <c r="K25" s="591"/>
      <c r="L25" s="591"/>
      <c r="M25" s="591"/>
      <c r="N25" s="590"/>
      <c r="O25" s="590"/>
      <c r="P25" s="590" t="s">
        <v>372</v>
      </c>
      <c r="Q25" s="590"/>
      <c r="R25" s="590"/>
      <c r="S25" s="590"/>
      <c r="T25" s="590"/>
      <c r="U25" s="590" t="s">
        <v>372</v>
      </c>
      <c r="V25" s="590"/>
      <c r="W25" s="590"/>
      <c r="X25" s="590"/>
      <c r="Y25" s="590"/>
      <c r="Z25" s="590" t="s">
        <v>372</v>
      </c>
      <c r="AA25" s="590"/>
      <c r="AB25" s="590"/>
      <c r="AC25" s="590"/>
      <c r="AD25" s="590"/>
      <c r="AE25" s="590" t="s">
        <v>372</v>
      </c>
      <c r="AF25" s="590"/>
      <c r="AG25" s="590"/>
      <c r="AH25" s="590"/>
      <c r="AI25" s="590"/>
      <c r="AJ25" s="590" t="s">
        <v>372</v>
      </c>
      <c r="AK25" s="590"/>
      <c r="AL25" s="590"/>
      <c r="AM25" s="590"/>
      <c r="AN25" s="590"/>
      <c r="AO25" s="590" t="s">
        <v>372</v>
      </c>
      <c r="AP25" s="590"/>
      <c r="AQ25" s="590"/>
      <c r="AR25" s="590"/>
      <c r="AS25" s="590"/>
      <c r="AT25" s="590" t="s">
        <v>372</v>
      </c>
      <c r="AU25" s="590"/>
      <c r="AV25" s="590"/>
      <c r="AW25" s="590"/>
      <c r="AX25" s="590"/>
    </row>
    <row r="26" spans="2:50" ht="14.25" customHeight="1">
      <c r="B26" s="590"/>
      <c r="C26" s="590"/>
      <c r="D26" s="590"/>
      <c r="E26" s="180" t="s">
        <v>159</v>
      </c>
      <c r="F26" s="180" t="s">
        <v>373</v>
      </c>
      <c r="G26" s="180" t="s">
        <v>161</v>
      </c>
      <c r="H26" s="590"/>
      <c r="I26" s="181" t="s">
        <v>159</v>
      </c>
      <c r="J26" s="181" t="s">
        <v>373</v>
      </c>
      <c r="K26" s="181" t="s">
        <v>161</v>
      </c>
      <c r="L26" s="591"/>
      <c r="M26" s="591"/>
      <c r="N26" s="590"/>
      <c r="O26" s="590"/>
      <c r="P26" s="180" t="s">
        <v>159</v>
      </c>
      <c r="Q26" s="180" t="s">
        <v>373</v>
      </c>
      <c r="R26" s="180" t="s">
        <v>161</v>
      </c>
      <c r="S26" s="182" t="s">
        <v>165</v>
      </c>
      <c r="T26" s="590"/>
      <c r="U26" s="180" t="s">
        <v>159</v>
      </c>
      <c r="V26" s="180" t="s">
        <v>373</v>
      </c>
      <c r="W26" s="180" t="s">
        <v>161</v>
      </c>
      <c r="X26" s="182" t="s">
        <v>165</v>
      </c>
      <c r="Y26" s="590"/>
      <c r="Z26" s="180" t="s">
        <v>159</v>
      </c>
      <c r="AA26" s="180" t="s">
        <v>373</v>
      </c>
      <c r="AB26" s="180" t="s">
        <v>161</v>
      </c>
      <c r="AC26" s="182" t="s">
        <v>165</v>
      </c>
      <c r="AD26" s="590"/>
      <c r="AE26" s="180" t="s">
        <v>159</v>
      </c>
      <c r="AF26" s="180" t="s">
        <v>373</v>
      </c>
      <c r="AG26" s="180" t="s">
        <v>161</v>
      </c>
      <c r="AH26" s="182" t="s">
        <v>165</v>
      </c>
      <c r="AI26" s="590"/>
      <c r="AJ26" s="180" t="s">
        <v>159</v>
      </c>
      <c r="AK26" s="180" t="s">
        <v>373</v>
      </c>
      <c r="AL26" s="180" t="s">
        <v>161</v>
      </c>
      <c r="AM26" s="182" t="s">
        <v>165</v>
      </c>
      <c r="AN26" s="590"/>
      <c r="AO26" s="180" t="s">
        <v>159</v>
      </c>
      <c r="AP26" s="180" t="s">
        <v>373</v>
      </c>
      <c r="AQ26" s="180" t="s">
        <v>161</v>
      </c>
      <c r="AR26" s="182" t="s">
        <v>165</v>
      </c>
      <c r="AS26" s="590"/>
      <c r="AT26" s="180" t="s">
        <v>159</v>
      </c>
      <c r="AU26" s="180" t="s">
        <v>373</v>
      </c>
      <c r="AV26" s="180" t="s">
        <v>161</v>
      </c>
      <c r="AW26" s="182" t="s">
        <v>165</v>
      </c>
      <c r="AX26" s="590"/>
    </row>
    <row r="27" spans="2:50" ht="14.25" customHeight="1">
      <c r="B27" s="590" t="s">
        <v>433</v>
      </c>
      <c r="C27" s="180">
        <v>1</v>
      </c>
      <c r="D27" s="183"/>
      <c r="E27" s="180"/>
      <c r="F27" s="180"/>
      <c r="G27" s="185"/>
      <c r="H27" s="595"/>
      <c r="I27" s="186"/>
      <c r="J27" s="186"/>
      <c r="K27" s="187"/>
      <c r="L27" s="596"/>
      <c r="M27" s="186"/>
      <c r="N27" s="590"/>
      <c r="O27" s="590"/>
      <c r="P27" s="188"/>
      <c r="Q27" s="188"/>
      <c r="R27" s="185"/>
      <c r="S27" s="182"/>
      <c r="T27" s="595"/>
      <c r="U27" s="188"/>
      <c r="V27" s="188"/>
      <c r="W27" s="185"/>
      <c r="X27" s="182"/>
      <c r="Y27" s="595"/>
      <c r="Z27" s="188"/>
      <c r="AA27" s="188"/>
      <c r="AB27" s="185"/>
      <c r="AC27" s="182"/>
      <c r="AD27" s="595"/>
      <c r="AE27" s="188"/>
      <c r="AF27" s="188"/>
      <c r="AG27" s="185"/>
      <c r="AH27" s="182"/>
      <c r="AI27" s="595"/>
      <c r="AJ27" s="188"/>
      <c r="AK27" s="188"/>
      <c r="AL27" s="185"/>
      <c r="AM27" s="182"/>
      <c r="AN27" s="595"/>
      <c r="AO27" s="188"/>
      <c r="AP27" s="188"/>
      <c r="AQ27" s="185"/>
      <c r="AR27" s="182"/>
      <c r="AS27" s="595"/>
      <c r="AT27" s="188"/>
      <c r="AU27" s="188"/>
      <c r="AV27" s="185"/>
      <c r="AW27" s="182"/>
      <c r="AX27" s="595"/>
    </row>
    <row r="28" spans="2:50" ht="14.25" customHeight="1">
      <c r="B28" s="590"/>
      <c r="C28" s="180">
        <v>2</v>
      </c>
      <c r="D28" s="183"/>
      <c r="E28" s="180"/>
      <c r="F28" s="180"/>
      <c r="G28" s="185"/>
      <c r="H28" s="595"/>
      <c r="I28" s="186"/>
      <c r="J28" s="186"/>
      <c r="K28" s="187"/>
      <c r="L28" s="596"/>
      <c r="M28" s="186"/>
      <c r="N28" s="590"/>
      <c r="O28" s="590"/>
      <c r="P28" s="188"/>
      <c r="Q28" s="188"/>
      <c r="R28" s="185"/>
      <c r="S28" s="182"/>
      <c r="T28" s="595"/>
      <c r="U28" s="188"/>
      <c r="V28" s="188"/>
      <c r="W28" s="185"/>
      <c r="X28" s="182"/>
      <c r="Y28" s="595"/>
      <c r="Z28" s="188"/>
      <c r="AA28" s="188"/>
      <c r="AB28" s="185"/>
      <c r="AC28" s="182"/>
      <c r="AD28" s="595"/>
      <c r="AE28" s="188"/>
      <c r="AF28" s="188"/>
      <c r="AG28" s="185"/>
      <c r="AH28" s="182"/>
      <c r="AI28" s="595"/>
      <c r="AJ28" s="188"/>
      <c r="AK28" s="188"/>
      <c r="AL28" s="185"/>
      <c r="AM28" s="182"/>
      <c r="AN28" s="595"/>
      <c r="AO28" s="188"/>
      <c r="AP28" s="188"/>
      <c r="AQ28" s="185"/>
      <c r="AR28" s="182"/>
      <c r="AS28" s="595"/>
      <c r="AT28" s="188"/>
      <c r="AU28" s="188"/>
      <c r="AV28" s="185"/>
      <c r="AW28" s="182"/>
      <c r="AX28" s="595"/>
    </row>
    <row r="29" spans="2:50" ht="14.25" customHeight="1">
      <c r="B29" s="590"/>
      <c r="C29" s="180">
        <v>3</v>
      </c>
      <c r="D29" s="183"/>
      <c r="E29" s="180"/>
      <c r="F29" s="180"/>
      <c r="G29" s="185"/>
      <c r="H29" s="595"/>
      <c r="I29" s="186"/>
      <c r="J29" s="186"/>
      <c r="K29" s="187"/>
      <c r="L29" s="596"/>
      <c r="M29" s="186"/>
      <c r="N29" s="590"/>
      <c r="O29" s="590"/>
      <c r="P29" s="188"/>
      <c r="Q29" s="188"/>
      <c r="R29" s="185"/>
      <c r="S29" s="182"/>
      <c r="T29" s="595"/>
      <c r="U29" s="188"/>
      <c r="V29" s="188"/>
      <c r="W29" s="185"/>
      <c r="X29" s="182"/>
      <c r="Y29" s="595"/>
      <c r="Z29" s="188"/>
      <c r="AA29" s="188"/>
      <c r="AB29" s="185"/>
      <c r="AC29" s="182"/>
      <c r="AD29" s="595"/>
      <c r="AE29" s="188"/>
      <c r="AF29" s="188"/>
      <c r="AG29" s="185"/>
      <c r="AH29" s="182"/>
      <c r="AI29" s="595"/>
      <c r="AJ29" s="188"/>
      <c r="AK29" s="188"/>
      <c r="AL29" s="185"/>
      <c r="AM29" s="182"/>
      <c r="AN29" s="595"/>
      <c r="AO29" s="188"/>
      <c r="AP29" s="188"/>
      <c r="AQ29" s="185"/>
      <c r="AR29" s="182"/>
      <c r="AS29" s="595"/>
      <c r="AT29" s="188"/>
      <c r="AU29" s="188"/>
      <c r="AV29" s="185"/>
      <c r="AW29" s="182"/>
      <c r="AX29" s="595"/>
    </row>
    <row r="30" spans="2:50" ht="14.25" customHeight="1">
      <c r="B30" s="590"/>
      <c r="C30" s="180">
        <v>4</v>
      </c>
      <c r="D30" s="183"/>
      <c r="E30" s="180"/>
      <c r="F30" s="180"/>
      <c r="G30" s="185"/>
      <c r="H30" s="595"/>
      <c r="I30" s="186"/>
      <c r="J30" s="186"/>
      <c r="K30" s="187"/>
      <c r="L30" s="596"/>
      <c r="M30" s="186"/>
      <c r="N30" s="590"/>
      <c r="O30" s="590"/>
      <c r="P30" s="188"/>
      <c r="Q30" s="188"/>
      <c r="R30" s="185"/>
      <c r="S30" s="182"/>
      <c r="T30" s="595"/>
      <c r="U30" s="188"/>
      <c r="V30" s="188"/>
      <c r="W30" s="185"/>
      <c r="X30" s="182"/>
      <c r="Y30" s="595"/>
      <c r="Z30" s="188"/>
      <c r="AA30" s="188"/>
      <c r="AB30" s="185"/>
      <c r="AC30" s="182"/>
      <c r="AD30" s="595"/>
      <c r="AE30" s="188"/>
      <c r="AF30" s="188"/>
      <c r="AG30" s="185"/>
      <c r="AH30" s="182"/>
      <c r="AI30" s="595"/>
      <c r="AJ30" s="188"/>
      <c r="AK30" s="188"/>
      <c r="AL30" s="185"/>
      <c r="AM30" s="182"/>
      <c r="AN30" s="595"/>
      <c r="AO30" s="188"/>
      <c r="AP30" s="188"/>
      <c r="AQ30" s="185"/>
      <c r="AR30" s="182"/>
      <c r="AS30" s="595"/>
      <c r="AT30" s="188"/>
      <c r="AU30" s="188"/>
      <c r="AV30" s="185"/>
      <c r="AW30" s="182"/>
      <c r="AX30" s="595"/>
    </row>
    <row r="31" spans="2:50" ht="14.25" customHeight="1">
      <c r="B31" s="590"/>
      <c r="C31" s="180">
        <v>5</v>
      </c>
      <c r="D31" s="183"/>
      <c r="E31" s="180"/>
      <c r="F31" s="180"/>
      <c r="G31" s="185"/>
      <c r="H31" s="595"/>
      <c r="I31" s="186"/>
      <c r="J31" s="186"/>
      <c r="K31" s="187"/>
      <c r="L31" s="596"/>
      <c r="M31" s="186"/>
      <c r="N31" s="590"/>
      <c r="O31" s="590"/>
      <c r="P31" s="188"/>
      <c r="Q31" s="188"/>
      <c r="R31" s="185"/>
      <c r="S31" s="182"/>
      <c r="T31" s="595"/>
      <c r="U31" s="188"/>
      <c r="V31" s="188"/>
      <c r="W31" s="185"/>
      <c r="X31" s="182"/>
      <c r="Y31" s="595"/>
      <c r="Z31" s="188"/>
      <c r="AA31" s="188"/>
      <c r="AB31" s="185"/>
      <c r="AC31" s="182"/>
      <c r="AD31" s="595"/>
      <c r="AE31" s="188"/>
      <c r="AF31" s="188"/>
      <c r="AG31" s="185"/>
      <c r="AH31" s="182"/>
      <c r="AI31" s="595"/>
      <c r="AJ31" s="188"/>
      <c r="AK31" s="188"/>
      <c r="AL31" s="185"/>
      <c r="AM31" s="182"/>
      <c r="AN31" s="595"/>
      <c r="AO31" s="188"/>
      <c r="AP31" s="188"/>
      <c r="AQ31" s="185"/>
      <c r="AR31" s="182"/>
      <c r="AS31" s="595"/>
      <c r="AT31" s="188"/>
      <c r="AU31" s="188"/>
      <c r="AV31" s="185"/>
      <c r="AW31" s="182"/>
      <c r="AX31" s="595"/>
    </row>
    <row r="32" spans="2:50" ht="14.25" customHeight="1">
      <c r="B32" s="590"/>
      <c r="C32" s="180">
        <v>6</v>
      </c>
      <c r="D32" s="183"/>
      <c r="E32" s="180"/>
      <c r="F32" s="180"/>
      <c r="G32" s="185"/>
      <c r="H32" s="595"/>
      <c r="I32" s="186"/>
      <c r="J32" s="186"/>
      <c r="K32" s="187"/>
      <c r="L32" s="596"/>
      <c r="M32" s="186"/>
      <c r="N32" s="590"/>
      <c r="O32" s="590"/>
      <c r="P32" s="188"/>
      <c r="Q32" s="188"/>
      <c r="R32" s="185"/>
      <c r="S32" s="182"/>
      <c r="T32" s="595"/>
      <c r="U32" s="188"/>
      <c r="V32" s="188"/>
      <c r="W32" s="185"/>
      <c r="X32" s="182"/>
      <c r="Y32" s="595"/>
      <c r="Z32" s="188"/>
      <c r="AA32" s="188"/>
      <c r="AB32" s="185"/>
      <c r="AC32" s="182"/>
      <c r="AD32" s="595"/>
      <c r="AE32" s="188"/>
      <c r="AF32" s="188"/>
      <c r="AG32" s="185"/>
      <c r="AH32" s="182"/>
      <c r="AI32" s="595"/>
      <c r="AJ32" s="188"/>
      <c r="AK32" s="188"/>
      <c r="AL32" s="185"/>
      <c r="AM32" s="182"/>
      <c r="AN32" s="595"/>
      <c r="AO32" s="188"/>
      <c r="AP32" s="188"/>
      <c r="AQ32" s="185"/>
      <c r="AR32" s="182"/>
      <c r="AS32" s="595"/>
      <c r="AT32" s="188"/>
      <c r="AU32" s="188"/>
      <c r="AV32" s="185"/>
      <c r="AW32" s="182"/>
      <c r="AX32" s="595"/>
    </row>
    <row r="33" spans="2:50" ht="14.25" customHeight="1">
      <c r="B33" s="590"/>
      <c r="C33" s="180">
        <v>7</v>
      </c>
      <c r="D33" s="183"/>
      <c r="E33" s="180"/>
      <c r="F33" s="180"/>
      <c r="G33" s="185"/>
      <c r="H33" s="595"/>
      <c r="I33" s="186"/>
      <c r="J33" s="186"/>
      <c r="K33" s="187"/>
      <c r="L33" s="596"/>
      <c r="M33" s="186"/>
      <c r="N33" s="590"/>
      <c r="O33" s="590"/>
      <c r="P33" s="188"/>
      <c r="Q33" s="188"/>
      <c r="R33" s="185"/>
      <c r="S33" s="182"/>
      <c r="T33" s="595"/>
      <c r="U33" s="188"/>
      <c r="V33" s="188"/>
      <c r="W33" s="185"/>
      <c r="X33" s="182"/>
      <c r="Y33" s="595"/>
      <c r="Z33" s="188"/>
      <c r="AA33" s="188"/>
      <c r="AB33" s="185"/>
      <c r="AC33" s="182"/>
      <c r="AD33" s="595"/>
      <c r="AE33" s="188"/>
      <c r="AF33" s="188"/>
      <c r="AG33" s="185"/>
      <c r="AH33" s="182"/>
      <c r="AI33" s="595"/>
      <c r="AJ33" s="188"/>
      <c r="AK33" s="188"/>
      <c r="AL33" s="185"/>
      <c r="AM33" s="182"/>
      <c r="AN33" s="595"/>
      <c r="AO33" s="188"/>
      <c r="AP33" s="188"/>
      <c r="AQ33" s="185"/>
      <c r="AR33" s="182"/>
      <c r="AS33" s="595"/>
      <c r="AT33" s="188"/>
      <c r="AU33" s="188"/>
      <c r="AV33" s="185"/>
      <c r="AW33" s="182"/>
      <c r="AX33" s="595"/>
    </row>
    <row r="34" spans="2:50" ht="14.25" customHeight="1">
      <c r="B34" s="590"/>
      <c r="C34" s="180">
        <v>8</v>
      </c>
      <c r="D34" s="183"/>
      <c r="E34" s="180"/>
      <c r="F34" s="180"/>
      <c r="G34" s="185"/>
      <c r="H34" s="595"/>
      <c r="I34" s="186"/>
      <c r="J34" s="186"/>
      <c r="K34" s="187"/>
      <c r="L34" s="596"/>
      <c r="M34" s="186"/>
      <c r="N34" s="590"/>
      <c r="O34" s="590"/>
      <c r="P34" s="188"/>
      <c r="Q34" s="188"/>
      <c r="R34" s="185"/>
      <c r="S34" s="182"/>
      <c r="T34" s="595"/>
      <c r="U34" s="188"/>
      <c r="V34" s="188"/>
      <c r="W34" s="185"/>
      <c r="X34" s="182"/>
      <c r="Y34" s="595"/>
      <c r="Z34" s="188"/>
      <c r="AA34" s="188"/>
      <c r="AB34" s="185"/>
      <c r="AC34" s="182"/>
      <c r="AD34" s="595"/>
      <c r="AE34" s="188"/>
      <c r="AF34" s="188"/>
      <c r="AG34" s="185"/>
      <c r="AH34" s="182"/>
      <c r="AI34" s="595"/>
      <c r="AJ34" s="188"/>
      <c r="AK34" s="188"/>
      <c r="AL34" s="185"/>
      <c r="AM34" s="182"/>
      <c r="AN34" s="595"/>
      <c r="AO34" s="188"/>
      <c r="AP34" s="188"/>
      <c r="AQ34" s="185"/>
      <c r="AR34" s="182"/>
      <c r="AS34" s="595"/>
      <c r="AT34" s="188"/>
      <c r="AU34" s="188"/>
      <c r="AV34" s="185"/>
      <c r="AW34" s="182"/>
      <c r="AX34" s="595"/>
    </row>
    <row r="35" spans="2:50" ht="14.25" customHeight="1">
      <c r="B35" s="590"/>
      <c r="C35" s="180">
        <v>9</v>
      </c>
      <c r="D35" s="183"/>
      <c r="E35" s="180"/>
      <c r="F35" s="180"/>
      <c r="G35" s="185"/>
      <c r="H35" s="595"/>
      <c r="I35" s="186"/>
      <c r="J35" s="186"/>
      <c r="K35" s="187"/>
      <c r="L35" s="596"/>
      <c r="M35" s="186"/>
      <c r="N35" s="590"/>
      <c r="O35" s="590"/>
      <c r="P35" s="188"/>
      <c r="Q35" s="188"/>
      <c r="R35" s="185"/>
      <c r="S35" s="182"/>
      <c r="T35" s="595"/>
      <c r="U35" s="188"/>
      <c r="V35" s="188"/>
      <c r="W35" s="185"/>
      <c r="X35" s="182"/>
      <c r="Y35" s="595"/>
      <c r="Z35" s="188"/>
      <c r="AA35" s="188"/>
      <c r="AB35" s="185"/>
      <c r="AC35" s="182"/>
      <c r="AD35" s="595"/>
      <c r="AE35" s="188"/>
      <c r="AF35" s="188"/>
      <c r="AG35" s="185"/>
      <c r="AH35" s="182"/>
      <c r="AI35" s="595"/>
      <c r="AJ35" s="188"/>
      <c r="AK35" s="188"/>
      <c r="AL35" s="185"/>
      <c r="AM35" s="182"/>
      <c r="AN35" s="595"/>
      <c r="AO35" s="188"/>
      <c r="AP35" s="188"/>
      <c r="AQ35" s="185"/>
      <c r="AR35" s="182"/>
      <c r="AS35" s="595"/>
      <c r="AT35" s="188"/>
      <c r="AU35" s="188"/>
      <c r="AV35" s="185"/>
      <c r="AW35" s="182"/>
      <c r="AX35" s="595"/>
    </row>
    <row r="36" spans="2:50" ht="14.25" customHeight="1">
      <c r="B36" s="590"/>
      <c r="C36" s="180">
        <v>10</v>
      </c>
      <c r="D36" s="183"/>
      <c r="E36" s="180"/>
      <c r="F36" s="180"/>
      <c r="G36" s="185"/>
      <c r="H36" s="595"/>
      <c r="I36" s="186"/>
      <c r="J36" s="186"/>
      <c r="K36" s="187"/>
      <c r="L36" s="596"/>
      <c r="M36" s="186"/>
      <c r="N36" s="590"/>
      <c r="O36" s="590"/>
      <c r="P36" s="188"/>
      <c r="Q36" s="188"/>
      <c r="R36" s="185"/>
      <c r="S36" s="182"/>
      <c r="T36" s="595"/>
      <c r="U36" s="188"/>
      <c r="V36" s="188"/>
      <c r="W36" s="185"/>
      <c r="X36" s="182"/>
      <c r="Y36" s="595"/>
      <c r="Z36" s="188"/>
      <c r="AA36" s="188"/>
      <c r="AB36" s="185"/>
      <c r="AC36" s="182"/>
      <c r="AD36" s="595"/>
      <c r="AE36" s="188"/>
      <c r="AF36" s="188"/>
      <c r="AG36" s="185"/>
      <c r="AH36" s="182"/>
      <c r="AI36" s="595"/>
      <c r="AJ36" s="188"/>
      <c r="AK36" s="188"/>
      <c r="AL36" s="185"/>
      <c r="AM36" s="182"/>
      <c r="AN36" s="595"/>
      <c r="AO36" s="188"/>
      <c r="AP36" s="188"/>
      <c r="AQ36" s="185"/>
      <c r="AR36" s="182"/>
      <c r="AS36" s="595"/>
      <c r="AT36" s="188"/>
      <c r="AU36" s="188"/>
      <c r="AV36" s="185"/>
      <c r="AW36" s="182"/>
      <c r="AX36" s="595"/>
    </row>
    <row r="37" spans="2:50" ht="14.25" customHeight="1">
      <c r="B37" s="590"/>
      <c r="C37" s="180">
        <v>11</v>
      </c>
      <c r="D37" s="183"/>
      <c r="E37" s="180"/>
      <c r="F37" s="180"/>
      <c r="G37" s="185"/>
      <c r="H37" s="595"/>
      <c r="I37" s="186"/>
      <c r="J37" s="186"/>
      <c r="K37" s="187"/>
      <c r="L37" s="596"/>
      <c r="M37" s="186"/>
      <c r="N37" s="590"/>
      <c r="O37" s="590"/>
      <c r="P37" s="188"/>
      <c r="Q37" s="188"/>
      <c r="R37" s="185"/>
      <c r="S37" s="182"/>
      <c r="T37" s="595"/>
      <c r="U37" s="188"/>
      <c r="V37" s="188"/>
      <c r="W37" s="185"/>
      <c r="X37" s="182"/>
      <c r="Y37" s="595"/>
      <c r="Z37" s="188"/>
      <c r="AA37" s="188"/>
      <c r="AB37" s="185"/>
      <c r="AC37" s="182"/>
      <c r="AD37" s="595"/>
      <c r="AE37" s="188"/>
      <c r="AF37" s="188"/>
      <c r="AG37" s="185"/>
      <c r="AH37" s="182"/>
      <c r="AI37" s="595"/>
      <c r="AJ37" s="188"/>
      <c r="AK37" s="188"/>
      <c r="AL37" s="185"/>
      <c r="AM37" s="182"/>
      <c r="AN37" s="595"/>
      <c r="AO37" s="188"/>
      <c r="AP37" s="188"/>
      <c r="AQ37" s="185"/>
      <c r="AR37" s="182"/>
      <c r="AS37" s="595"/>
      <c r="AT37" s="188"/>
      <c r="AU37" s="188"/>
      <c r="AV37" s="185"/>
      <c r="AW37" s="182"/>
      <c r="AX37" s="595"/>
    </row>
    <row r="38" spans="2:50" ht="14.25" customHeight="1">
      <c r="B38" s="590"/>
      <c r="C38" s="180">
        <v>12</v>
      </c>
      <c r="D38" s="183"/>
      <c r="E38" s="180"/>
      <c r="F38" s="180"/>
      <c r="G38" s="185"/>
      <c r="H38" s="595"/>
      <c r="I38" s="186"/>
      <c r="J38" s="186"/>
      <c r="K38" s="187"/>
      <c r="L38" s="596"/>
      <c r="M38" s="186"/>
      <c r="N38" s="590"/>
      <c r="O38" s="590"/>
      <c r="P38" s="188"/>
      <c r="Q38" s="188"/>
      <c r="R38" s="185"/>
      <c r="S38" s="182"/>
      <c r="T38" s="595"/>
      <c r="U38" s="188"/>
      <c r="V38" s="188"/>
      <c r="W38" s="185"/>
      <c r="X38" s="182"/>
      <c r="Y38" s="595"/>
      <c r="Z38" s="188"/>
      <c r="AA38" s="188"/>
      <c r="AB38" s="185"/>
      <c r="AC38" s="182"/>
      <c r="AD38" s="595"/>
      <c r="AE38" s="188"/>
      <c r="AF38" s="188"/>
      <c r="AG38" s="185"/>
      <c r="AH38" s="182"/>
      <c r="AI38" s="595"/>
      <c r="AJ38" s="188"/>
      <c r="AK38" s="188"/>
      <c r="AL38" s="185"/>
      <c r="AM38" s="182"/>
      <c r="AN38" s="595"/>
      <c r="AO38" s="188"/>
      <c r="AP38" s="188"/>
      <c r="AQ38" s="185"/>
      <c r="AR38" s="182"/>
      <c r="AS38" s="595"/>
      <c r="AT38" s="188"/>
      <c r="AU38" s="188"/>
      <c r="AV38" s="185"/>
      <c r="AW38" s="182"/>
      <c r="AX38" s="595"/>
    </row>
    <row r="39" spans="2:50" ht="14.25" customHeight="1">
      <c r="B39" s="590"/>
      <c r="C39" s="180">
        <v>13</v>
      </c>
      <c r="D39" s="183"/>
      <c r="E39" s="180"/>
      <c r="F39" s="180"/>
      <c r="G39" s="185"/>
      <c r="H39" s="595"/>
      <c r="I39" s="186"/>
      <c r="J39" s="186"/>
      <c r="K39" s="187"/>
      <c r="L39" s="596"/>
      <c r="M39" s="186"/>
      <c r="N39" s="590"/>
      <c r="O39" s="590"/>
      <c r="P39" s="188"/>
      <c r="Q39" s="188"/>
      <c r="R39" s="185"/>
      <c r="S39" s="182"/>
      <c r="T39" s="595"/>
      <c r="U39" s="188"/>
      <c r="V39" s="188"/>
      <c r="W39" s="185"/>
      <c r="X39" s="182"/>
      <c r="Y39" s="595"/>
      <c r="Z39" s="188"/>
      <c r="AA39" s="188"/>
      <c r="AB39" s="185"/>
      <c r="AC39" s="182"/>
      <c r="AD39" s="595"/>
      <c r="AE39" s="188"/>
      <c r="AF39" s="188"/>
      <c r="AG39" s="185"/>
      <c r="AH39" s="182"/>
      <c r="AI39" s="595"/>
      <c r="AJ39" s="188"/>
      <c r="AK39" s="188"/>
      <c r="AL39" s="185"/>
      <c r="AM39" s="182"/>
      <c r="AN39" s="595"/>
      <c r="AO39" s="188"/>
      <c r="AP39" s="188"/>
      <c r="AQ39" s="185"/>
      <c r="AR39" s="182"/>
      <c r="AS39" s="595"/>
      <c r="AT39" s="188"/>
      <c r="AU39" s="188"/>
      <c r="AV39" s="185"/>
      <c r="AW39" s="182"/>
      <c r="AX39" s="595"/>
    </row>
    <row r="40" spans="2:50" ht="14.25" customHeight="1">
      <c r="B40" s="590"/>
      <c r="C40" s="180">
        <v>14</v>
      </c>
      <c r="D40" s="183"/>
      <c r="E40" s="180"/>
      <c r="F40" s="180"/>
      <c r="G40" s="185"/>
      <c r="H40" s="595"/>
      <c r="I40" s="186"/>
      <c r="J40" s="186"/>
      <c r="K40" s="187"/>
      <c r="L40" s="596"/>
      <c r="M40" s="186"/>
      <c r="N40" s="590"/>
      <c r="O40" s="590"/>
      <c r="P40" s="188"/>
      <c r="Q40" s="188"/>
      <c r="R40" s="185"/>
      <c r="S40" s="182"/>
      <c r="T40" s="595"/>
      <c r="U40" s="188"/>
      <c r="V40" s="188"/>
      <c r="W40" s="185"/>
      <c r="X40" s="182"/>
      <c r="Y40" s="595"/>
      <c r="Z40" s="188"/>
      <c r="AA40" s="188"/>
      <c r="AB40" s="185"/>
      <c r="AC40" s="182"/>
      <c r="AD40" s="595"/>
      <c r="AE40" s="188"/>
      <c r="AF40" s="188"/>
      <c r="AG40" s="185"/>
      <c r="AH40" s="182"/>
      <c r="AI40" s="595"/>
      <c r="AJ40" s="188"/>
      <c r="AK40" s="188"/>
      <c r="AL40" s="185"/>
      <c r="AM40" s="182"/>
      <c r="AN40" s="595"/>
      <c r="AO40" s="188"/>
      <c r="AP40" s="188"/>
      <c r="AQ40" s="185"/>
      <c r="AR40" s="182"/>
      <c r="AS40" s="595"/>
      <c r="AT40" s="188"/>
      <c r="AU40" s="188"/>
      <c r="AV40" s="185"/>
      <c r="AW40" s="182"/>
      <c r="AX40" s="595"/>
    </row>
    <row r="41" spans="2:50" ht="14.25" customHeight="1">
      <c r="B41" s="590"/>
      <c r="C41" s="180">
        <v>15</v>
      </c>
      <c r="D41" s="183"/>
      <c r="E41" s="180"/>
      <c r="F41" s="180"/>
      <c r="G41" s="185"/>
      <c r="H41" s="595"/>
      <c r="I41" s="186"/>
      <c r="J41" s="186"/>
      <c r="K41" s="187"/>
      <c r="L41" s="596"/>
      <c r="M41" s="186"/>
      <c r="N41" s="590"/>
      <c r="O41" s="590"/>
      <c r="P41" s="188"/>
      <c r="Q41" s="188"/>
      <c r="R41" s="185"/>
      <c r="S41" s="182"/>
      <c r="T41" s="595"/>
      <c r="U41" s="188"/>
      <c r="V41" s="188"/>
      <c r="W41" s="185"/>
      <c r="X41" s="182"/>
      <c r="Y41" s="595"/>
      <c r="Z41" s="188"/>
      <c r="AA41" s="188"/>
      <c r="AB41" s="185"/>
      <c r="AC41" s="182"/>
      <c r="AD41" s="595"/>
      <c r="AE41" s="188"/>
      <c r="AF41" s="188"/>
      <c r="AG41" s="185"/>
      <c r="AH41" s="182"/>
      <c r="AI41" s="595"/>
      <c r="AJ41" s="188"/>
      <c r="AK41" s="188"/>
      <c r="AL41" s="185"/>
      <c r="AM41" s="182"/>
      <c r="AN41" s="595"/>
      <c r="AO41" s="188"/>
      <c r="AP41" s="188"/>
      <c r="AQ41" s="185"/>
      <c r="AR41" s="182"/>
      <c r="AS41" s="595"/>
      <c r="AT41" s="188"/>
      <c r="AU41" s="188"/>
      <c r="AV41" s="185"/>
      <c r="AW41" s="182"/>
      <c r="AX41" s="595"/>
    </row>
  </sheetData>
  <mergeCells count="118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FFFFCC"/>
  </sheetPr>
  <dimension ref="A1:AX41"/>
  <sheetViews>
    <sheetView zoomScaleNormal="100" workbookViewId="0">
      <pane xSplit="13" ySplit="1" topLeftCell="N10" activePane="bottomRight" state="frozen"/>
      <selection activeCell="L95" sqref="L95"/>
      <selection pane="topRight" activeCell="L95" sqref="L95"/>
      <selection pane="bottomLeft" activeCell="L95" sqref="L95"/>
      <selection pane="bottomRight" activeCell="L7" sqref="L7:L2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498" t="s">
        <v>738</v>
      </c>
      <c r="C1" s="175">
        <f>AVERAGE(L7,L27)</f>
        <v>163.41538100277251</v>
      </c>
    </row>
    <row r="2" spans="1:50" ht="14.25" customHeight="1">
      <c r="B2" s="572" t="s">
        <v>660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  <c r="N2" s="608" t="s">
        <v>369</v>
      </c>
      <c r="O2" s="608" t="s">
        <v>105</v>
      </c>
      <c r="P2" s="610">
        <v>46140</v>
      </c>
      <c r="Q2" s="611"/>
      <c r="R2" s="611"/>
      <c r="S2" s="611"/>
      <c r="T2" s="611"/>
      <c r="U2" s="612">
        <v>46141</v>
      </c>
      <c r="V2" s="613"/>
      <c r="W2" s="613"/>
      <c r="X2" s="613"/>
      <c r="Y2" s="613"/>
      <c r="Z2" s="610">
        <v>46142</v>
      </c>
      <c r="AA2" s="611"/>
      <c r="AB2" s="611"/>
      <c r="AC2" s="611"/>
      <c r="AD2" s="611"/>
      <c r="AE2" s="612">
        <v>46143</v>
      </c>
      <c r="AF2" s="613"/>
      <c r="AG2" s="613"/>
      <c r="AH2" s="613"/>
      <c r="AI2" s="613"/>
      <c r="AJ2" s="600">
        <v>46144</v>
      </c>
      <c r="AK2" s="601"/>
      <c r="AL2" s="601"/>
      <c r="AM2" s="601"/>
      <c r="AN2" s="602"/>
      <c r="AO2" s="612">
        <v>46145</v>
      </c>
      <c r="AP2" s="613"/>
      <c r="AQ2" s="613"/>
      <c r="AR2" s="613"/>
      <c r="AS2" s="613"/>
      <c r="AT2" s="600">
        <v>46146</v>
      </c>
      <c r="AU2" s="601"/>
      <c r="AV2" s="601"/>
      <c r="AW2" s="601"/>
      <c r="AX2" s="602"/>
    </row>
    <row r="3" spans="1:50" ht="14.25" customHeight="1"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5"/>
      <c r="N3" s="609"/>
      <c r="O3" s="609"/>
      <c r="P3" s="603">
        <v>46140</v>
      </c>
      <c r="Q3" s="603"/>
      <c r="R3" s="603"/>
      <c r="S3" s="603"/>
      <c r="T3" s="603"/>
      <c r="U3" s="604">
        <v>46141</v>
      </c>
      <c r="V3" s="604"/>
      <c r="W3" s="604"/>
      <c r="X3" s="604"/>
      <c r="Y3" s="604"/>
      <c r="Z3" s="603">
        <v>46142</v>
      </c>
      <c r="AA3" s="603"/>
      <c r="AB3" s="603"/>
      <c r="AC3" s="603"/>
      <c r="AD3" s="603"/>
      <c r="AE3" s="604">
        <v>46143</v>
      </c>
      <c r="AF3" s="604"/>
      <c r="AG3" s="604"/>
      <c r="AH3" s="604"/>
      <c r="AI3" s="604"/>
      <c r="AJ3" s="605">
        <v>46144</v>
      </c>
      <c r="AK3" s="606"/>
      <c r="AL3" s="606"/>
      <c r="AM3" s="606"/>
      <c r="AN3" s="607"/>
      <c r="AO3" s="604">
        <v>46145</v>
      </c>
      <c r="AP3" s="604"/>
      <c r="AQ3" s="604"/>
      <c r="AR3" s="604"/>
      <c r="AS3" s="604"/>
      <c r="AT3" s="605">
        <v>46146</v>
      </c>
      <c r="AU3" s="606"/>
      <c r="AV3" s="606"/>
      <c r="AW3" s="606"/>
      <c r="AX3" s="607"/>
    </row>
    <row r="4" spans="1:50" ht="14.25" customHeight="1">
      <c r="B4" s="590" t="s">
        <v>162</v>
      </c>
      <c r="C4" s="590" t="s">
        <v>157</v>
      </c>
      <c r="D4" s="590"/>
      <c r="E4" s="590" t="s">
        <v>158</v>
      </c>
      <c r="F4" s="590"/>
      <c r="G4" s="590"/>
      <c r="H4" s="590" t="s">
        <v>163</v>
      </c>
      <c r="I4" s="591" t="s">
        <v>370</v>
      </c>
      <c r="J4" s="591"/>
      <c r="K4" s="591"/>
      <c r="L4" s="591" t="s">
        <v>163</v>
      </c>
      <c r="M4" s="591" t="s">
        <v>165</v>
      </c>
      <c r="N4" s="590"/>
      <c r="O4" s="590" t="s">
        <v>164</v>
      </c>
      <c r="P4" s="590" t="s">
        <v>160</v>
      </c>
      <c r="Q4" s="590"/>
      <c r="R4" s="590"/>
      <c r="S4" s="590"/>
      <c r="T4" s="590" t="s">
        <v>163</v>
      </c>
      <c r="U4" s="590" t="s">
        <v>160</v>
      </c>
      <c r="V4" s="590"/>
      <c r="W4" s="590"/>
      <c r="X4" s="590"/>
      <c r="Y4" s="590" t="s">
        <v>163</v>
      </c>
      <c r="Z4" s="590" t="s">
        <v>160</v>
      </c>
      <c r="AA4" s="590"/>
      <c r="AB4" s="590"/>
      <c r="AC4" s="590"/>
      <c r="AD4" s="590" t="s">
        <v>163</v>
      </c>
      <c r="AE4" s="590" t="s">
        <v>160</v>
      </c>
      <c r="AF4" s="590"/>
      <c r="AG4" s="590"/>
      <c r="AH4" s="590"/>
      <c r="AI4" s="590" t="s">
        <v>163</v>
      </c>
      <c r="AJ4" s="590" t="s">
        <v>160</v>
      </c>
      <c r="AK4" s="590"/>
      <c r="AL4" s="590"/>
      <c r="AM4" s="590"/>
      <c r="AN4" s="590" t="s">
        <v>163</v>
      </c>
      <c r="AO4" s="590" t="s">
        <v>160</v>
      </c>
      <c r="AP4" s="590"/>
      <c r="AQ4" s="590"/>
      <c r="AR4" s="590"/>
      <c r="AS4" s="590" t="s">
        <v>163</v>
      </c>
      <c r="AT4" s="590" t="s">
        <v>160</v>
      </c>
      <c r="AU4" s="590"/>
      <c r="AV4" s="590"/>
      <c r="AW4" s="590"/>
      <c r="AX4" s="590" t="s">
        <v>163</v>
      </c>
    </row>
    <row r="5" spans="1:50" ht="14.25" customHeight="1">
      <c r="B5" s="590"/>
      <c r="C5" s="590"/>
      <c r="D5" s="590"/>
      <c r="E5" s="590" t="s">
        <v>371</v>
      </c>
      <c r="F5" s="590"/>
      <c r="G5" s="590"/>
      <c r="H5" s="590"/>
      <c r="I5" s="591" t="s">
        <v>371</v>
      </c>
      <c r="J5" s="591"/>
      <c r="K5" s="591"/>
      <c r="L5" s="591"/>
      <c r="M5" s="591"/>
      <c r="N5" s="590"/>
      <c r="O5" s="590"/>
      <c r="P5" s="590" t="s">
        <v>372</v>
      </c>
      <c r="Q5" s="590"/>
      <c r="R5" s="590"/>
      <c r="S5" s="590"/>
      <c r="T5" s="590"/>
      <c r="U5" s="590" t="s">
        <v>372</v>
      </c>
      <c r="V5" s="590"/>
      <c r="W5" s="590"/>
      <c r="X5" s="590"/>
      <c r="Y5" s="590"/>
      <c r="Z5" s="590" t="s">
        <v>372</v>
      </c>
      <c r="AA5" s="590"/>
      <c r="AB5" s="590"/>
      <c r="AC5" s="590"/>
      <c r="AD5" s="590"/>
      <c r="AE5" s="590" t="s">
        <v>372</v>
      </c>
      <c r="AF5" s="590"/>
      <c r="AG5" s="590"/>
      <c r="AH5" s="590"/>
      <c r="AI5" s="590"/>
      <c r="AJ5" s="590" t="s">
        <v>372</v>
      </c>
      <c r="AK5" s="590"/>
      <c r="AL5" s="590"/>
      <c r="AM5" s="590"/>
      <c r="AN5" s="590"/>
      <c r="AO5" s="590" t="s">
        <v>372</v>
      </c>
      <c r="AP5" s="590"/>
      <c r="AQ5" s="590"/>
      <c r="AR5" s="590"/>
      <c r="AS5" s="590"/>
      <c r="AT5" s="590" t="s">
        <v>372</v>
      </c>
      <c r="AU5" s="590"/>
      <c r="AV5" s="590"/>
      <c r="AW5" s="590"/>
      <c r="AX5" s="590"/>
    </row>
    <row r="6" spans="1:50" ht="14.25" customHeight="1">
      <c r="B6" s="590"/>
      <c r="C6" s="590"/>
      <c r="D6" s="590"/>
      <c r="E6" s="180" t="s">
        <v>159</v>
      </c>
      <c r="F6" s="180" t="s">
        <v>373</v>
      </c>
      <c r="G6" s="180" t="s">
        <v>161</v>
      </c>
      <c r="H6" s="590"/>
      <c r="I6" s="181" t="s">
        <v>159</v>
      </c>
      <c r="J6" s="181" t="s">
        <v>373</v>
      </c>
      <c r="K6" s="181" t="s">
        <v>161</v>
      </c>
      <c r="L6" s="591"/>
      <c r="M6" s="591"/>
      <c r="N6" s="590"/>
      <c r="O6" s="590"/>
      <c r="P6" s="180" t="s">
        <v>159</v>
      </c>
      <c r="Q6" s="180" t="s">
        <v>373</v>
      </c>
      <c r="R6" s="180" t="s">
        <v>161</v>
      </c>
      <c r="S6" s="182" t="s">
        <v>165</v>
      </c>
      <c r="T6" s="590"/>
      <c r="U6" s="180" t="s">
        <v>159</v>
      </c>
      <c r="V6" s="180" t="s">
        <v>373</v>
      </c>
      <c r="W6" s="180" t="s">
        <v>161</v>
      </c>
      <c r="X6" s="182" t="s">
        <v>165</v>
      </c>
      <c r="Y6" s="590"/>
      <c r="Z6" s="180" t="s">
        <v>159</v>
      </c>
      <c r="AA6" s="180" t="s">
        <v>373</v>
      </c>
      <c r="AB6" s="180" t="s">
        <v>161</v>
      </c>
      <c r="AC6" s="182" t="s">
        <v>165</v>
      </c>
      <c r="AD6" s="590"/>
      <c r="AE6" s="180" t="s">
        <v>159</v>
      </c>
      <c r="AF6" s="180" t="s">
        <v>373</v>
      </c>
      <c r="AG6" s="180" t="s">
        <v>161</v>
      </c>
      <c r="AH6" s="182" t="s">
        <v>165</v>
      </c>
      <c r="AI6" s="590"/>
      <c r="AJ6" s="180" t="s">
        <v>159</v>
      </c>
      <c r="AK6" s="180" t="s">
        <v>373</v>
      </c>
      <c r="AL6" s="180" t="s">
        <v>161</v>
      </c>
      <c r="AM6" s="182" t="s">
        <v>165</v>
      </c>
      <c r="AN6" s="590"/>
      <c r="AO6" s="180" t="s">
        <v>159</v>
      </c>
      <c r="AP6" s="180" t="s">
        <v>373</v>
      </c>
      <c r="AQ6" s="180" t="s">
        <v>161</v>
      </c>
      <c r="AR6" s="182" t="s">
        <v>165</v>
      </c>
      <c r="AS6" s="590"/>
      <c r="AT6" s="180" t="s">
        <v>159</v>
      </c>
      <c r="AU6" s="180" t="s">
        <v>373</v>
      </c>
      <c r="AV6" s="180" t="s">
        <v>161</v>
      </c>
      <c r="AW6" s="182" t="s">
        <v>165</v>
      </c>
      <c r="AX6" s="590"/>
    </row>
    <row r="7" spans="1:50" ht="14.25" customHeight="1">
      <c r="B7" s="590" t="s">
        <v>377</v>
      </c>
      <c r="C7" s="180">
        <v>1</v>
      </c>
      <c r="D7" s="183" t="s">
        <v>616</v>
      </c>
      <c r="E7" s="180">
        <v>20</v>
      </c>
      <c r="F7" s="180">
        <v>3600</v>
      </c>
      <c r="G7" s="185">
        <f t="shared" ref="G7:G11" si="0">F7/E7</f>
        <v>180</v>
      </c>
      <c r="H7" s="595">
        <f>AVERAGE(G7:G21)</f>
        <v>183.96992481203011</v>
      </c>
      <c r="I7" s="186">
        <f>AVERAGE(P7,U7,Z7,AE7,AJ7,AO7,AT7)</f>
        <v>20</v>
      </c>
      <c r="J7" s="186">
        <f>AVERAGE(Q7,V7,AA7,AF7,AK7,AP7,AU7)</f>
        <v>3257.0218312293314</v>
      </c>
      <c r="K7" s="187">
        <f>AVERAGE(R7,W7,AB7,AG7,AL7,AQ7,AV7)</f>
        <v>162.85109156146657</v>
      </c>
      <c r="L7" s="596">
        <f>IFERROR(AVERAGE(K7:K21),"-")</f>
        <v>163.07026614315444</v>
      </c>
      <c r="M7" s="186">
        <f>RANK(K7, K$7:$K$21)</f>
        <v>4</v>
      </c>
      <c r="N7" s="590"/>
      <c r="O7" s="590"/>
      <c r="P7" s="188">
        <v>20</v>
      </c>
      <c r="Q7" s="188">
        <v>3257.7315802560033</v>
      </c>
      <c r="R7" s="185">
        <f>IFERROR(Q7/P7,"")</f>
        <v>162.88657901280015</v>
      </c>
      <c r="S7" s="182">
        <f>RANK(R7, R$7:R$21)</f>
        <v>3</v>
      </c>
      <c r="T7" s="595">
        <f>AVERAGE(R7:R21)</f>
        <v>161.473679611622</v>
      </c>
      <c r="U7" s="188">
        <v>20</v>
      </c>
      <c r="V7" s="188">
        <v>3255.9315802560041</v>
      </c>
      <c r="W7" s="185">
        <f t="shared" ref="W7:W11" si="1">IFERROR(V7/U7,"")</f>
        <v>162.79657901280021</v>
      </c>
      <c r="X7" s="182">
        <f>RANK(W7, W$7:W$21)</f>
        <v>3</v>
      </c>
      <c r="Y7" s="595">
        <f>AVERAGE(W7:W21)</f>
        <v>162.14278323759945</v>
      </c>
      <c r="Z7" s="188">
        <v>20</v>
      </c>
      <c r="AA7" s="188">
        <v>3257.0500464532588</v>
      </c>
      <c r="AB7" s="185">
        <f t="shared" ref="AB7:AB11" si="2">IFERROR(AA7/Z7,"")</f>
        <v>162.85250232266293</v>
      </c>
      <c r="AC7" s="182">
        <f>RANK(AB7, AB$7:AB$21)</f>
        <v>3</v>
      </c>
      <c r="AD7" s="595">
        <f>AVERAGE(AB7:AB21)</f>
        <v>162.88976558621806</v>
      </c>
      <c r="AE7" s="188">
        <v>20</v>
      </c>
      <c r="AF7" s="188">
        <v>3256.6900464532591</v>
      </c>
      <c r="AG7" s="185">
        <f>IFERROR(AF7/AE7,"")</f>
        <v>162.83450232266296</v>
      </c>
      <c r="AH7" s="182">
        <f>RANK(AG7, AG$7:AG$21)</f>
        <v>4</v>
      </c>
      <c r="AI7" s="595">
        <f>AVERAGE(AG7:AG21)</f>
        <v>163.72155483142674</v>
      </c>
      <c r="AJ7" s="188">
        <v>20</v>
      </c>
      <c r="AK7" s="188">
        <v>3257.7700464532595</v>
      </c>
      <c r="AL7" s="185">
        <f t="shared" ref="AL7:AL11" si="3">IFERROR(AK7/AJ7,"")</f>
        <v>162.88850232266299</v>
      </c>
      <c r="AM7" s="182">
        <f>RANK(AL7, AL$7:AL$21)</f>
        <v>4</v>
      </c>
      <c r="AN7" s="595">
        <f>AVERAGE(AL7:AL21)</f>
        <v>163.76537738781772</v>
      </c>
      <c r="AO7" s="188">
        <v>20</v>
      </c>
      <c r="AP7" s="188">
        <v>3256.3300464532599</v>
      </c>
      <c r="AQ7" s="185">
        <f t="shared" ref="AQ7:AQ11" si="4">IFERROR(AP7/AO7,"")</f>
        <v>162.81650232266298</v>
      </c>
      <c r="AR7" s="182">
        <f>RANK(AQ7, AQ$7:AQ$21)</f>
        <v>4</v>
      </c>
      <c r="AS7" s="595">
        <f>AVERAGE(AQ7:AQ21)</f>
        <v>163.75258863102962</v>
      </c>
      <c r="AT7" s="188">
        <v>20</v>
      </c>
      <c r="AU7" s="188">
        <v>3257.6494722802759</v>
      </c>
      <c r="AV7" s="185">
        <f t="shared" ref="AV7:AV11" si="5">IFERROR(AU7/AT7,"")</f>
        <v>162.8824736140138</v>
      </c>
      <c r="AW7" s="182">
        <f>RANK(AV7, AV$7:AV$21)</f>
        <v>4</v>
      </c>
      <c r="AX7" s="595">
        <f>AVERAGE(AV7:AV21)</f>
        <v>163.74611371636746</v>
      </c>
    </row>
    <row r="8" spans="1:50" ht="14.25" customHeight="1">
      <c r="B8" s="590"/>
      <c r="C8" s="180">
        <v>2</v>
      </c>
      <c r="D8" s="183" t="s">
        <v>617</v>
      </c>
      <c r="E8" s="180">
        <v>21</v>
      </c>
      <c r="F8" s="180">
        <v>3600</v>
      </c>
      <c r="G8" s="185">
        <f t="shared" si="0"/>
        <v>171.42857142857142</v>
      </c>
      <c r="H8" s="595"/>
      <c r="I8" s="186">
        <f t="shared" ref="I8:K11" si="6">AVERAGE(P8,U8,Z8,AE8,AJ8,AO8,AT8)</f>
        <v>21</v>
      </c>
      <c r="J8" s="186">
        <f t="shared" si="6"/>
        <v>3258.2142282390128</v>
      </c>
      <c r="K8" s="187">
        <f t="shared" si="6"/>
        <v>155.15305848757203</v>
      </c>
      <c r="L8" s="596"/>
      <c r="M8" s="186">
        <f>RANK(K8, K$7:$K$21)</f>
        <v>5</v>
      </c>
      <c r="N8" s="590"/>
      <c r="O8" s="590"/>
      <c r="P8" s="188">
        <v>21</v>
      </c>
      <c r="Q8" s="188">
        <v>3259.4998993927506</v>
      </c>
      <c r="R8" s="185">
        <f t="shared" ref="R8:R11" si="7">IFERROR(Q8/P8,"")</f>
        <v>155.21428092346432</v>
      </c>
      <c r="S8" s="182">
        <f t="shared" ref="S8:S11" si="8">RANK(R8, R$7:R$21)</f>
        <v>5</v>
      </c>
      <c r="T8" s="595"/>
      <c r="U8" s="188">
        <v>21</v>
      </c>
      <c r="V8" s="188">
        <v>3259.1398993927505</v>
      </c>
      <c r="W8" s="185">
        <f t="shared" si="1"/>
        <v>155.19713806632146</v>
      </c>
      <c r="X8" s="182">
        <f t="shared" ref="X8:X11" si="9">RANK(W8, W$7:W$21)</f>
        <v>5</v>
      </c>
      <c r="Y8" s="595"/>
      <c r="Z8" s="188">
        <v>21</v>
      </c>
      <c r="AA8" s="188">
        <v>3258.5639597775166</v>
      </c>
      <c r="AB8" s="185">
        <f t="shared" si="2"/>
        <v>155.16971237035793</v>
      </c>
      <c r="AC8" s="182">
        <f t="shared" ref="AC8:AC11" si="10">RANK(AB8, AB$7:AB$21)</f>
        <v>5</v>
      </c>
      <c r="AD8" s="595"/>
      <c r="AE8" s="188">
        <v>21</v>
      </c>
      <c r="AF8" s="188">
        <v>3257.1239597775175</v>
      </c>
      <c r="AG8" s="185">
        <f t="shared" ref="AG8:AG11" si="11">IFERROR(AF8/AE8,"")</f>
        <v>155.10114094178655</v>
      </c>
      <c r="AH8" s="182">
        <f t="shared" ref="AH8:AH11" si="12">RANK(AG8, AG$7:AG$21)</f>
        <v>5</v>
      </c>
      <c r="AI8" s="595"/>
      <c r="AJ8" s="188">
        <v>21</v>
      </c>
      <c r="AK8" s="188">
        <v>3258.2039597775183</v>
      </c>
      <c r="AL8" s="185">
        <f t="shared" si="3"/>
        <v>155.15256951321516</v>
      </c>
      <c r="AM8" s="182">
        <f t="shared" ref="AM8:AM11" si="13">RANK(AL8, AL$7:AL$21)</f>
        <v>5</v>
      </c>
      <c r="AN8" s="595"/>
      <c r="AO8" s="188">
        <v>21</v>
      </c>
      <c r="AP8" s="188">
        <v>3257.1239597775179</v>
      </c>
      <c r="AQ8" s="185">
        <f t="shared" si="4"/>
        <v>155.10114094178658</v>
      </c>
      <c r="AR8" s="182">
        <f t="shared" ref="AR8:AR11" si="14">RANK(AQ8, AQ$7:AQ$21)</f>
        <v>5</v>
      </c>
      <c r="AS8" s="595"/>
      <c r="AT8" s="188">
        <v>21</v>
      </c>
      <c r="AU8" s="188">
        <v>3257.8439597775186</v>
      </c>
      <c r="AV8" s="185">
        <f t="shared" si="5"/>
        <v>155.13542665607233</v>
      </c>
      <c r="AW8" s="182">
        <f t="shared" ref="AW8:AW11" si="15">RANK(AV8, AV$7:AV$21)</f>
        <v>5</v>
      </c>
      <c r="AX8" s="595"/>
    </row>
    <row r="9" spans="1:50" ht="14.25" customHeight="1">
      <c r="B9" s="590"/>
      <c r="C9" s="180">
        <v>3</v>
      </c>
      <c r="D9" s="183" t="s">
        <v>642</v>
      </c>
      <c r="E9" s="180">
        <v>19</v>
      </c>
      <c r="F9" s="180">
        <v>3600</v>
      </c>
      <c r="G9" s="185">
        <f t="shared" si="0"/>
        <v>189.47368421052633</v>
      </c>
      <c r="H9" s="595"/>
      <c r="I9" s="186">
        <f t="shared" si="6"/>
        <v>19</v>
      </c>
      <c r="J9" s="186">
        <f t="shared" si="6"/>
        <v>3170.9267633689415</v>
      </c>
      <c r="K9" s="187">
        <f t="shared" si="6"/>
        <v>166.89088228257586</v>
      </c>
      <c r="L9" s="596"/>
      <c r="M9" s="186">
        <f>RANK(K9, K$7:$K$21)</f>
        <v>2</v>
      </c>
      <c r="N9" s="590"/>
      <c r="O9" s="590"/>
      <c r="P9" s="188">
        <v>19</v>
      </c>
      <c r="Q9" s="188">
        <v>3171.6560903523614</v>
      </c>
      <c r="R9" s="185">
        <f t="shared" si="7"/>
        <v>166.92926791328219</v>
      </c>
      <c r="S9" s="182">
        <f t="shared" si="8"/>
        <v>2</v>
      </c>
      <c r="T9" s="595"/>
      <c r="U9" s="188">
        <v>19</v>
      </c>
      <c r="V9" s="188">
        <v>3170.5760903523615</v>
      </c>
      <c r="W9" s="185">
        <f t="shared" si="1"/>
        <v>166.87242580801902</v>
      </c>
      <c r="X9" s="182">
        <f t="shared" si="9"/>
        <v>2</v>
      </c>
      <c r="Y9" s="595"/>
      <c r="Z9" s="188">
        <v>19</v>
      </c>
      <c r="AA9" s="188">
        <v>3170.7441853969599</v>
      </c>
      <c r="AB9" s="185">
        <f t="shared" si="2"/>
        <v>166.88127291562947</v>
      </c>
      <c r="AC9" s="182">
        <f t="shared" si="10"/>
        <v>2</v>
      </c>
      <c r="AD9" s="595"/>
      <c r="AE9" s="188">
        <v>19</v>
      </c>
      <c r="AF9" s="188">
        <v>3170.0677443702275</v>
      </c>
      <c r="AG9" s="185">
        <f t="shared" si="11"/>
        <v>166.84567075632776</v>
      </c>
      <c r="AH9" s="182">
        <f t="shared" si="12"/>
        <v>3</v>
      </c>
      <c r="AI9" s="595"/>
      <c r="AJ9" s="188">
        <v>19</v>
      </c>
      <c r="AK9" s="188">
        <v>3171.5077443702266</v>
      </c>
      <c r="AL9" s="185">
        <f t="shared" si="3"/>
        <v>166.92146023001192</v>
      </c>
      <c r="AM9" s="182">
        <f t="shared" si="13"/>
        <v>2</v>
      </c>
      <c r="AN9" s="595"/>
      <c r="AO9" s="188">
        <v>19</v>
      </c>
      <c r="AP9" s="188">
        <v>3171.5077443702257</v>
      </c>
      <c r="AQ9" s="185">
        <f t="shared" si="4"/>
        <v>166.92146023001189</v>
      </c>
      <c r="AR9" s="182">
        <f t="shared" si="14"/>
        <v>3</v>
      </c>
      <c r="AS9" s="595"/>
      <c r="AT9" s="188">
        <v>19</v>
      </c>
      <c r="AU9" s="188">
        <v>3170.4277443702254</v>
      </c>
      <c r="AV9" s="185">
        <f t="shared" si="5"/>
        <v>166.86461812474872</v>
      </c>
      <c r="AW9" s="182">
        <f t="shared" si="15"/>
        <v>3</v>
      </c>
      <c r="AX9" s="595"/>
    </row>
    <row r="10" spans="1:50" ht="14.25" customHeight="1">
      <c r="B10" s="590"/>
      <c r="C10" s="180">
        <v>4</v>
      </c>
      <c r="D10" s="183" t="s">
        <v>661</v>
      </c>
      <c r="E10" s="180">
        <v>19</v>
      </c>
      <c r="F10" s="180">
        <v>3600</v>
      </c>
      <c r="G10" s="185">
        <f t="shared" si="0"/>
        <v>189.47368421052633</v>
      </c>
      <c r="H10" s="595"/>
      <c r="I10" s="186">
        <f t="shared" si="6"/>
        <v>19</v>
      </c>
      <c r="J10" s="186">
        <f t="shared" si="6"/>
        <v>3106.4853322042131</v>
      </c>
      <c r="K10" s="187">
        <f t="shared" si="6"/>
        <v>163.49922801074803</v>
      </c>
      <c r="L10" s="596"/>
      <c r="M10" s="186">
        <f>RANK(K10, K$7:$K$21)</f>
        <v>3</v>
      </c>
      <c r="N10" s="590"/>
      <c r="O10" s="590"/>
      <c r="P10" s="188">
        <v>19</v>
      </c>
      <c r="Q10" s="188">
        <v>2951.9999999999995</v>
      </c>
      <c r="R10" s="185">
        <f t="shared" si="7"/>
        <v>155.36842105263156</v>
      </c>
      <c r="S10" s="182">
        <f t="shared" si="8"/>
        <v>4</v>
      </c>
      <c r="T10" s="595"/>
      <c r="U10" s="188">
        <v>19</v>
      </c>
      <c r="V10" s="188">
        <v>3018.6805587535687</v>
      </c>
      <c r="W10" s="185">
        <f t="shared" si="1"/>
        <v>158.87792414492466</v>
      </c>
      <c r="X10" s="182">
        <f t="shared" si="9"/>
        <v>4</v>
      </c>
      <c r="Y10" s="595"/>
      <c r="Z10" s="188">
        <v>19</v>
      </c>
      <c r="AA10" s="188">
        <v>3089.6543321636545</v>
      </c>
      <c r="AB10" s="185">
        <f t="shared" si="2"/>
        <v>162.61338590335023</v>
      </c>
      <c r="AC10" s="182">
        <f t="shared" si="10"/>
        <v>4</v>
      </c>
      <c r="AD10" s="595"/>
      <c r="AE10" s="188">
        <v>19</v>
      </c>
      <c r="AF10" s="188">
        <v>3170.6356086280675</v>
      </c>
      <c r="AG10" s="185">
        <f t="shared" si="11"/>
        <v>166.87555834884566</v>
      </c>
      <c r="AH10" s="182">
        <f t="shared" si="12"/>
        <v>2</v>
      </c>
      <c r="AI10" s="595"/>
      <c r="AJ10" s="188">
        <v>19</v>
      </c>
      <c r="AK10" s="188">
        <v>3170.6356086280666</v>
      </c>
      <c r="AL10" s="185">
        <f t="shared" si="3"/>
        <v>166.8755583488456</v>
      </c>
      <c r="AM10" s="182">
        <f t="shared" si="13"/>
        <v>3</v>
      </c>
      <c r="AN10" s="595"/>
      <c r="AO10" s="188">
        <v>19</v>
      </c>
      <c r="AP10" s="188">
        <v>3172.0756086280653</v>
      </c>
      <c r="AQ10" s="185">
        <f t="shared" si="4"/>
        <v>166.95134782252975</v>
      </c>
      <c r="AR10" s="182">
        <f t="shared" si="14"/>
        <v>2</v>
      </c>
      <c r="AS10" s="595"/>
      <c r="AT10" s="188">
        <v>19</v>
      </c>
      <c r="AU10" s="188">
        <v>3171.7156086280652</v>
      </c>
      <c r="AV10" s="185">
        <f t="shared" si="5"/>
        <v>166.93240045410869</v>
      </c>
      <c r="AW10" s="182">
        <f t="shared" si="15"/>
        <v>1</v>
      </c>
      <c r="AX10" s="595"/>
    </row>
    <row r="11" spans="1:50" ht="14.25" customHeight="1">
      <c r="B11" s="590"/>
      <c r="C11" s="180">
        <v>5</v>
      </c>
      <c r="D11" s="183" t="s">
        <v>618</v>
      </c>
      <c r="E11" s="180">
        <v>19</v>
      </c>
      <c r="F11" s="180">
        <v>3600</v>
      </c>
      <c r="G11" s="185">
        <f t="shared" si="0"/>
        <v>189.47368421052633</v>
      </c>
      <c r="H11" s="595"/>
      <c r="I11" s="186">
        <f t="shared" si="6"/>
        <v>19</v>
      </c>
      <c r="J11" s="186">
        <f t="shared" si="6"/>
        <v>3172.184337094784</v>
      </c>
      <c r="K11" s="187">
        <f t="shared" si="6"/>
        <v>166.95707037340972</v>
      </c>
      <c r="L11" s="596"/>
      <c r="M11" s="186">
        <f>RANK(K11, K$7:$K$21)</f>
        <v>1</v>
      </c>
      <c r="N11" s="590"/>
      <c r="O11" s="590"/>
      <c r="P11" s="188">
        <v>19</v>
      </c>
      <c r="Q11" s="188">
        <v>3172.4271339627066</v>
      </c>
      <c r="R11" s="185">
        <f t="shared" si="7"/>
        <v>166.96984915593194</v>
      </c>
      <c r="S11" s="182">
        <f t="shared" si="8"/>
        <v>1</v>
      </c>
      <c r="T11" s="595"/>
      <c r="U11" s="188">
        <v>19</v>
      </c>
      <c r="V11" s="188">
        <v>3172.4271339627066</v>
      </c>
      <c r="W11" s="185">
        <f t="shared" si="1"/>
        <v>166.96984915593194</v>
      </c>
      <c r="X11" s="182">
        <f t="shared" si="9"/>
        <v>1</v>
      </c>
      <c r="Y11" s="595"/>
      <c r="Z11" s="188">
        <v>19</v>
      </c>
      <c r="AA11" s="188">
        <v>3171.7071339627068</v>
      </c>
      <c r="AB11" s="185">
        <f t="shared" si="2"/>
        <v>166.93195441908983</v>
      </c>
      <c r="AC11" s="182">
        <f t="shared" si="10"/>
        <v>1</v>
      </c>
      <c r="AD11" s="595"/>
      <c r="AE11" s="188">
        <v>19</v>
      </c>
      <c r="AF11" s="188">
        <v>3172.0671339627065</v>
      </c>
      <c r="AG11" s="185">
        <f t="shared" si="11"/>
        <v>166.95090178751087</v>
      </c>
      <c r="AH11" s="182">
        <f t="shared" si="12"/>
        <v>1</v>
      </c>
      <c r="AI11" s="595"/>
      <c r="AJ11" s="188">
        <v>19</v>
      </c>
      <c r="AK11" s="188">
        <v>3172.7871339627059</v>
      </c>
      <c r="AL11" s="185">
        <f t="shared" si="3"/>
        <v>166.98879652435295</v>
      </c>
      <c r="AM11" s="182">
        <f t="shared" si="13"/>
        <v>1</v>
      </c>
      <c r="AN11" s="595"/>
      <c r="AO11" s="188">
        <v>19</v>
      </c>
      <c r="AP11" s="188">
        <v>3172.4773449249806</v>
      </c>
      <c r="AQ11" s="185">
        <f t="shared" si="4"/>
        <v>166.97249183815688</v>
      </c>
      <c r="AR11" s="182">
        <f t="shared" si="14"/>
        <v>1</v>
      </c>
      <c r="AS11" s="595"/>
      <c r="AT11" s="188">
        <v>19</v>
      </c>
      <c r="AU11" s="188">
        <v>3171.3973449249802</v>
      </c>
      <c r="AV11" s="185">
        <f t="shared" si="5"/>
        <v>166.91564973289368</v>
      </c>
      <c r="AW11" s="182">
        <f t="shared" si="15"/>
        <v>2</v>
      </c>
      <c r="AX11" s="595"/>
    </row>
    <row r="12" spans="1:50" ht="14.25" customHeight="1">
      <c r="B12" s="590"/>
      <c r="C12" s="180">
        <v>6</v>
      </c>
      <c r="D12" s="183"/>
      <c r="E12" s="180"/>
      <c r="F12" s="180"/>
      <c r="G12" s="185"/>
      <c r="H12" s="595"/>
      <c r="I12" s="186"/>
      <c r="J12" s="186"/>
      <c r="K12" s="187"/>
      <c r="L12" s="596"/>
      <c r="M12" s="186"/>
      <c r="N12" s="590"/>
      <c r="O12" s="590"/>
      <c r="P12" s="188"/>
      <c r="Q12" s="188"/>
      <c r="R12" s="185"/>
      <c r="S12" s="182"/>
      <c r="T12" s="595"/>
      <c r="U12" s="188"/>
      <c r="V12" s="188"/>
      <c r="W12" s="185"/>
      <c r="X12" s="182"/>
      <c r="Y12" s="595"/>
      <c r="Z12" s="188"/>
      <c r="AA12" s="188"/>
      <c r="AB12" s="185"/>
      <c r="AC12" s="182"/>
      <c r="AD12" s="595"/>
      <c r="AE12" s="188"/>
      <c r="AF12" s="188"/>
      <c r="AG12" s="185"/>
      <c r="AH12" s="182"/>
      <c r="AI12" s="595"/>
      <c r="AJ12" s="188"/>
      <c r="AK12" s="188"/>
      <c r="AL12" s="185"/>
      <c r="AM12" s="182"/>
      <c r="AN12" s="595"/>
      <c r="AO12" s="188"/>
      <c r="AP12" s="188"/>
      <c r="AQ12" s="185"/>
      <c r="AR12" s="182"/>
      <c r="AS12" s="595"/>
      <c r="AT12" s="188"/>
      <c r="AU12" s="188"/>
      <c r="AV12" s="185"/>
      <c r="AW12" s="182"/>
      <c r="AX12" s="595"/>
    </row>
    <row r="13" spans="1:50" ht="14.25" customHeight="1">
      <c r="B13" s="590"/>
      <c r="C13" s="180">
        <v>7</v>
      </c>
      <c r="D13" s="183"/>
      <c r="E13" s="180"/>
      <c r="F13" s="180"/>
      <c r="G13" s="185"/>
      <c r="H13" s="595"/>
      <c r="I13" s="186"/>
      <c r="J13" s="186"/>
      <c r="K13" s="187"/>
      <c r="L13" s="596"/>
      <c r="M13" s="186"/>
      <c r="N13" s="590"/>
      <c r="O13" s="590"/>
      <c r="P13" s="188"/>
      <c r="Q13" s="188"/>
      <c r="R13" s="185"/>
      <c r="S13" s="182"/>
      <c r="T13" s="595"/>
      <c r="U13" s="188"/>
      <c r="V13" s="188"/>
      <c r="W13" s="185"/>
      <c r="X13" s="182"/>
      <c r="Y13" s="595"/>
      <c r="Z13" s="188"/>
      <c r="AA13" s="188"/>
      <c r="AB13" s="185"/>
      <c r="AC13" s="182"/>
      <c r="AD13" s="595"/>
      <c r="AE13" s="188"/>
      <c r="AF13" s="188"/>
      <c r="AG13" s="185"/>
      <c r="AH13" s="182"/>
      <c r="AI13" s="595"/>
      <c r="AJ13" s="188"/>
      <c r="AK13" s="188"/>
      <c r="AL13" s="185"/>
      <c r="AM13" s="182"/>
      <c r="AN13" s="595"/>
      <c r="AO13" s="188"/>
      <c r="AP13" s="188"/>
      <c r="AQ13" s="185"/>
      <c r="AR13" s="182"/>
      <c r="AS13" s="595"/>
      <c r="AT13" s="188"/>
      <c r="AU13" s="188"/>
      <c r="AV13" s="185"/>
      <c r="AW13" s="182"/>
      <c r="AX13" s="595"/>
    </row>
    <row r="14" spans="1:50" ht="14.25" customHeight="1">
      <c r="B14" s="590"/>
      <c r="C14" s="180">
        <v>8</v>
      </c>
      <c r="D14" s="183"/>
      <c r="E14" s="180"/>
      <c r="F14" s="180"/>
      <c r="G14" s="185"/>
      <c r="H14" s="595"/>
      <c r="I14" s="186"/>
      <c r="J14" s="186"/>
      <c r="K14" s="187"/>
      <c r="L14" s="596"/>
      <c r="M14" s="186"/>
      <c r="N14" s="590"/>
      <c r="O14" s="590"/>
      <c r="P14" s="188"/>
      <c r="Q14" s="188"/>
      <c r="R14" s="185"/>
      <c r="S14" s="182"/>
      <c r="T14" s="595"/>
      <c r="U14" s="188"/>
      <c r="V14" s="188"/>
      <c r="W14" s="185"/>
      <c r="X14" s="182"/>
      <c r="Y14" s="595"/>
      <c r="Z14" s="188"/>
      <c r="AA14" s="188"/>
      <c r="AB14" s="185"/>
      <c r="AC14" s="182"/>
      <c r="AD14" s="595"/>
      <c r="AE14" s="188"/>
      <c r="AF14" s="188"/>
      <c r="AG14" s="185"/>
      <c r="AH14" s="182"/>
      <c r="AI14" s="595"/>
      <c r="AJ14" s="188"/>
      <c r="AK14" s="188"/>
      <c r="AL14" s="185"/>
      <c r="AM14" s="182"/>
      <c r="AN14" s="595"/>
      <c r="AO14" s="188"/>
      <c r="AP14" s="188"/>
      <c r="AQ14" s="185"/>
      <c r="AR14" s="182"/>
      <c r="AS14" s="595"/>
      <c r="AT14" s="188"/>
      <c r="AU14" s="188"/>
      <c r="AV14" s="185"/>
      <c r="AW14" s="182"/>
      <c r="AX14" s="595"/>
    </row>
    <row r="15" spans="1:50" ht="14.25" customHeight="1">
      <c r="B15" s="590"/>
      <c r="C15" s="180">
        <v>9</v>
      </c>
      <c r="D15" s="183"/>
      <c r="E15" s="180"/>
      <c r="F15" s="180"/>
      <c r="G15" s="185"/>
      <c r="H15" s="595"/>
      <c r="I15" s="186"/>
      <c r="J15" s="186"/>
      <c r="K15" s="187"/>
      <c r="L15" s="596"/>
      <c r="M15" s="186"/>
      <c r="N15" s="590"/>
      <c r="O15" s="590"/>
      <c r="P15" s="188"/>
      <c r="Q15" s="188"/>
      <c r="R15" s="185"/>
      <c r="S15" s="182"/>
      <c r="T15" s="595"/>
      <c r="U15" s="188"/>
      <c r="V15" s="188"/>
      <c r="W15" s="185"/>
      <c r="X15" s="182"/>
      <c r="Y15" s="595"/>
      <c r="Z15" s="188"/>
      <c r="AA15" s="188"/>
      <c r="AB15" s="185"/>
      <c r="AC15" s="182"/>
      <c r="AD15" s="595"/>
      <c r="AE15" s="188"/>
      <c r="AF15" s="188"/>
      <c r="AG15" s="185"/>
      <c r="AH15" s="182"/>
      <c r="AI15" s="595"/>
      <c r="AJ15" s="188"/>
      <c r="AK15" s="188"/>
      <c r="AL15" s="185"/>
      <c r="AM15" s="182"/>
      <c r="AN15" s="595"/>
      <c r="AO15" s="188"/>
      <c r="AP15" s="188"/>
      <c r="AQ15" s="185"/>
      <c r="AR15" s="182"/>
      <c r="AS15" s="595"/>
      <c r="AT15" s="188"/>
      <c r="AU15" s="188"/>
      <c r="AV15" s="185"/>
      <c r="AW15" s="182"/>
      <c r="AX15" s="595"/>
    </row>
    <row r="16" spans="1:50" ht="14.25" customHeight="1">
      <c r="B16" s="590"/>
      <c r="C16" s="180">
        <v>10</v>
      </c>
      <c r="D16" s="183"/>
      <c r="E16" s="180"/>
      <c r="F16" s="180"/>
      <c r="G16" s="185"/>
      <c r="H16" s="595"/>
      <c r="I16" s="186"/>
      <c r="J16" s="186"/>
      <c r="K16" s="187"/>
      <c r="L16" s="596"/>
      <c r="M16" s="186"/>
      <c r="N16" s="590"/>
      <c r="O16" s="590"/>
      <c r="P16" s="188"/>
      <c r="Q16" s="188"/>
      <c r="R16" s="185"/>
      <c r="S16" s="182"/>
      <c r="T16" s="595"/>
      <c r="U16" s="188"/>
      <c r="V16" s="188"/>
      <c r="W16" s="185"/>
      <c r="X16" s="182"/>
      <c r="Y16" s="595"/>
      <c r="Z16" s="188"/>
      <c r="AA16" s="188"/>
      <c r="AB16" s="185"/>
      <c r="AC16" s="182"/>
      <c r="AD16" s="595"/>
      <c r="AE16" s="188"/>
      <c r="AF16" s="188"/>
      <c r="AG16" s="185"/>
      <c r="AH16" s="182"/>
      <c r="AI16" s="595"/>
      <c r="AJ16" s="188"/>
      <c r="AK16" s="188"/>
      <c r="AL16" s="185"/>
      <c r="AM16" s="182"/>
      <c r="AN16" s="595"/>
      <c r="AO16" s="188"/>
      <c r="AP16" s="188"/>
      <c r="AQ16" s="185"/>
      <c r="AR16" s="182"/>
      <c r="AS16" s="595"/>
      <c r="AT16" s="188"/>
      <c r="AU16" s="188"/>
      <c r="AV16" s="185"/>
      <c r="AW16" s="182"/>
      <c r="AX16" s="595"/>
    </row>
    <row r="17" spans="2:50" ht="14.25" customHeight="1">
      <c r="B17" s="590"/>
      <c r="C17" s="180">
        <v>11</v>
      </c>
      <c r="D17" s="183"/>
      <c r="E17" s="180"/>
      <c r="F17" s="180"/>
      <c r="G17" s="185"/>
      <c r="H17" s="595"/>
      <c r="I17" s="186"/>
      <c r="J17" s="186"/>
      <c r="K17" s="187"/>
      <c r="L17" s="596"/>
      <c r="M17" s="186"/>
      <c r="N17" s="590"/>
      <c r="O17" s="590"/>
      <c r="P17" s="188"/>
      <c r="Q17" s="188"/>
      <c r="R17" s="185"/>
      <c r="S17" s="182"/>
      <c r="T17" s="595"/>
      <c r="U17" s="188"/>
      <c r="V17" s="188"/>
      <c r="W17" s="185"/>
      <c r="X17" s="182"/>
      <c r="Y17" s="595"/>
      <c r="Z17" s="188"/>
      <c r="AA17" s="188"/>
      <c r="AB17" s="185"/>
      <c r="AC17" s="182"/>
      <c r="AD17" s="595"/>
      <c r="AE17" s="188"/>
      <c r="AF17" s="188"/>
      <c r="AG17" s="185"/>
      <c r="AH17" s="182"/>
      <c r="AI17" s="595"/>
      <c r="AJ17" s="188"/>
      <c r="AK17" s="188"/>
      <c r="AL17" s="185"/>
      <c r="AM17" s="182"/>
      <c r="AN17" s="595"/>
      <c r="AO17" s="188"/>
      <c r="AP17" s="188"/>
      <c r="AQ17" s="185"/>
      <c r="AR17" s="182"/>
      <c r="AS17" s="595"/>
      <c r="AT17" s="188"/>
      <c r="AU17" s="188"/>
      <c r="AV17" s="185"/>
      <c r="AW17" s="182"/>
      <c r="AX17" s="595"/>
    </row>
    <row r="18" spans="2:50" ht="14.25" customHeight="1">
      <c r="B18" s="590"/>
      <c r="C18" s="180">
        <v>12</v>
      </c>
      <c r="D18" s="183"/>
      <c r="E18" s="180"/>
      <c r="F18" s="180"/>
      <c r="G18" s="185"/>
      <c r="H18" s="595"/>
      <c r="I18" s="186"/>
      <c r="J18" s="186"/>
      <c r="K18" s="187"/>
      <c r="L18" s="596"/>
      <c r="M18" s="186"/>
      <c r="N18" s="590"/>
      <c r="O18" s="590"/>
      <c r="P18" s="188"/>
      <c r="Q18" s="188"/>
      <c r="R18" s="185"/>
      <c r="S18" s="182"/>
      <c r="T18" s="595"/>
      <c r="U18" s="188"/>
      <c r="V18" s="188"/>
      <c r="W18" s="185"/>
      <c r="X18" s="182"/>
      <c r="Y18" s="595"/>
      <c r="Z18" s="188"/>
      <c r="AA18" s="188"/>
      <c r="AB18" s="185"/>
      <c r="AC18" s="182"/>
      <c r="AD18" s="595"/>
      <c r="AE18" s="188"/>
      <c r="AF18" s="188"/>
      <c r="AG18" s="185"/>
      <c r="AH18" s="182"/>
      <c r="AI18" s="595"/>
      <c r="AJ18" s="188"/>
      <c r="AK18" s="188"/>
      <c r="AL18" s="185"/>
      <c r="AM18" s="182"/>
      <c r="AN18" s="595"/>
      <c r="AO18" s="188"/>
      <c r="AP18" s="188"/>
      <c r="AQ18" s="185"/>
      <c r="AR18" s="182"/>
      <c r="AS18" s="595"/>
      <c r="AT18" s="188"/>
      <c r="AU18" s="188"/>
      <c r="AV18" s="185"/>
      <c r="AW18" s="182"/>
      <c r="AX18" s="595"/>
    </row>
    <row r="19" spans="2:50" ht="14.25" customHeight="1">
      <c r="B19" s="590"/>
      <c r="C19" s="180">
        <v>13</v>
      </c>
      <c r="D19" s="183"/>
      <c r="E19" s="180"/>
      <c r="F19" s="180"/>
      <c r="G19" s="185"/>
      <c r="H19" s="595"/>
      <c r="I19" s="186"/>
      <c r="J19" s="186"/>
      <c r="K19" s="187"/>
      <c r="L19" s="596"/>
      <c r="M19" s="186"/>
      <c r="N19" s="590"/>
      <c r="O19" s="590"/>
      <c r="P19" s="188"/>
      <c r="Q19" s="188"/>
      <c r="R19" s="185"/>
      <c r="S19" s="182"/>
      <c r="T19" s="595"/>
      <c r="U19" s="188"/>
      <c r="V19" s="188"/>
      <c r="W19" s="185"/>
      <c r="X19" s="182"/>
      <c r="Y19" s="595"/>
      <c r="Z19" s="188"/>
      <c r="AA19" s="188"/>
      <c r="AB19" s="185"/>
      <c r="AC19" s="182"/>
      <c r="AD19" s="595"/>
      <c r="AE19" s="188"/>
      <c r="AF19" s="188"/>
      <c r="AG19" s="185"/>
      <c r="AH19" s="182"/>
      <c r="AI19" s="595"/>
      <c r="AJ19" s="188"/>
      <c r="AK19" s="188"/>
      <c r="AL19" s="185"/>
      <c r="AM19" s="182"/>
      <c r="AN19" s="595"/>
      <c r="AO19" s="188"/>
      <c r="AP19" s="188"/>
      <c r="AQ19" s="185"/>
      <c r="AR19" s="182"/>
      <c r="AS19" s="595"/>
      <c r="AT19" s="188"/>
      <c r="AU19" s="188"/>
      <c r="AV19" s="185"/>
      <c r="AW19" s="182"/>
      <c r="AX19" s="595"/>
    </row>
    <row r="20" spans="2:50" ht="14.25" customHeight="1">
      <c r="B20" s="590"/>
      <c r="C20" s="180">
        <v>14</v>
      </c>
      <c r="D20" s="183"/>
      <c r="E20" s="180"/>
      <c r="F20" s="180"/>
      <c r="G20" s="185"/>
      <c r="H20" s="595"/>
      <c r="I20" s="186"/>
      <c r="J20" s="186"/>
      <c r="K20" s="187"/>
      <c r="L20" s="596"/>
      <c r="M20" s="186"/>
      <c r="N20" s="590"/>
      <c r="O20" s="590"/>
      <c r="P20" s="188"/>
      <c r="Q20" s="188"/>
      <c r="R20" s="185"/>
      <c r="S20" s="182"/>
      <c r="T20" s="595"/>
      <c r="U20" s="188"/>
      <c r="V20" s="188"/>
      <c r="W20" s="185"/>
      <c r="X20" s="182"/>
      <c r="Y20" s="595"/>
      <c r="Z20" s="188"/>
      <c r="AA20" s="188"/>
      <c r="AB20" s="185"/>
      <c r="AC20" s="182"/>
      <c r="AD20" s="595"/>
      <c r="AE20" s="188"/>
      <c r="AF20" s="188"/>
      <c r="AG20" s="185"/>
      <c r="AH20" s="182"/>
      <c r="AI20" s="595"/>
      <c r="AJ20" s="188"/>
      <c r="AK20" s="188"/>
      <c r="AL20" s="185"/>
      <c r="AM20" s="182"/>
      <c r="AN20" s="595"/>
      <c r="AO20" s="188"/>
      <c r="AP20" s="188"/>
      <c r="AQ20" s="185"/>
      <c r="AR20" s="182"/>
      <c r="AS20" s="595"/>
      <c r="AT20" s="188"/>
      <c r="AU20" s="188"/>
      <c r="AV20" s="185"/>
      <c r="AW20" s="182"/>
      <c r="AX20" s="595"/>
    </row>
    <row r="21" spans="2:50" ht="14.25" customHeight="1">
      <c r="B21" s="590"/>
      <c r="C21" s="180">
        <v>15</v>
      </c>
      <c r="D21" s="183"/>
      <c r="E21" s="180"/>
      <c r="F21" s="180"/>
      <c r="G21" s="185"/>
      <c r="H21" s="595"/>
      <c r="I21" s="186"/>
      <c r="J21" s="186"/>
      <c r="K21" s="187"/>
      <c r="L21" s="596"/>
      <c r="M21" s="186"/>
      <c r="N21" s="590"/>
      <c r="O21" s="590"/>
      <c r="P21" s="188"/>
      <c r="Q21" s="188"/>
      <c r="R21" s="185"/>
      <c r="S21" s="182"/>
      <c r="T21" s="595"/>
      <c r="U21" s="188"/>
      <c r="V21" s="188"/>
      <c r="W21" s="185"/>
      <c r="X21" s="182"/>
      <c r="Y21" s="595"/>
      <c r="Z21" s="188"/>
      <c r="AA21" s="188"/>
      <c r="AB21" s="185"/>
      <c r="AC21" s="182"/>
      <c r="AD21" s="595"/>
      <c r="AE21" s="188"/>
      <c r="AF21" s="188"/>
      <c r="AG21" s="185"/>
      <c r="AH21" s="182"/>
      <c r="AI21" s="595"/>
      <c r="AJ21" s="188"/>
      <c r="AK21" s="188"/>
      <c r="AL21" s="185"/>
      <c r="AM21" s="182"/>
      <c r="AN21" s="595"/>
      <c r="AO21" s="188"/>
      <c r="AP21" s="188"/>
      <c r="AQ21" s="185"/>
      <c r="AR21" s="182"/>
      <c r="AS21" s="595"/>
      <c r="AT21" s="188"/>
      <c r="AU21" s="188"/>
      <c r="AV21" s="185"/>
      <c r="AW21" s="182"/>
      <c r="AX21" s="595"/>
    </row>
    <row r="22" spans="2:50" ht="14.25" customHeight="1">
      <c r="B22" s="572" t="s">
        <v>737</v>
      </c>
      <c r="C22" s="572"/>
      <c r="D22" s="572"/>
      <c r="E22" s="572"/>
      <c r="F22" s="572"/>
      <c r="G22" s="572"/>
      <c r="H22" s="572"/>
      <c r="I22" s="572"/>
      <c r="J22" s="572"/>
      <c r="K22" s="572"/>
      <c r="L22" s="572"/>
      <c r="M22" s="573"/>
      <c r="N22" s="608" t="s">
        <v>369</v>
      </c>
      <c r="O22" s="608" t="s">
        <v>105</v>
      </c>
      <c r="P22" s="610">
        <v>46147</v>
      </c>
      <c r="Q22" s="611"/>
      <c r="R22" s="611"/>
      <c r="S22" s="611"/>
      <c r="T22" s="611"/>
      <c r="U22" s="612">
        <v>46148</v>
      </c>
      <c r="V22" s="613"/>
      <c r="W22" s="613"/>
      <c r="X22" s="613"/>
      <c r="Y22" s="613"/>
      <c r="Z22" s="610">
        <v>46149</v>
      </c>
      <c r="AA22" s="611"/>
      <c r="AB22" s="611"/>
      <c r="AC22" s="611"/>
      <c r="AD22" s="611"/>
      <c r="AE22" s="612">
        <v>46150</v>
      </c>
      <c r="AF22" s="613"/>
      <c r="AG22" s="613"/>
      <c r="AH22" s="613"/>
      <c r="AI22" s="613"/>
      <c r="AJ22" s="600">
        <v>46151</v>
      </c>
      <c r="AK22" s="601"/>
      <c r="AL22" s="601"/>
      <c r="AM22" s="601"/>
      <c r="AN22" s="602"/>
      <c r="AO22" s="612">
        <v>46152</v>
      </c>
      <c r="AP22" s="613"/>
      <c r="AQ22" s="613"/>
      <c r="AR22" s="613"/>
      <c r="AS22" s="613"/>
      <c r="AT22" s="600">
        <v>46153</v>
      </c>
      <c r="AU22" s="601"/>
      <c r="AV22" s="601"/>
      <c r="AW22" s="601"/>
      <c r="AX22" s="602"/>
    </row>
    <row r="23" spans="2:50" ht="14.25" customHeight="1">
      <c r="B23" s="574"/>
      <c r="C23" s="574"/>
      <c r="D23" s="574"/>
      <c r="E23" s="574"/>
      <c r="F23" s="574"/>
      <c r="G23" s="574"/>
      <c r="H23" s="574"/>
      <c r="I23" s="574"/>
      <c r="J23" s="574"/>
      <c r="K23" s="574"/>
      <c r="L23" s="574"/>
      <c r="M23" s="575"/>
      <c r="N23" s="609"/>
      <c r="O23" s="609"/>
      <c r="P23" s="603">
        <v>46147</v>
      </c>
      <c r="Q23" s="603"/>
      <c r="R23" s="603"/>
      <c r="S23" s="603"/>
      <c r="T23" s="603"/>
      <c r="U23" s="604">
        <v>46148</v>
      </c>
      <c r="V23" s="604"/>
      <c r="W23" s="604"/>
      <c r="X23" s="604"/>
      <c r="Y23" s="604"/>
      <c r="Z23" s="603">
        <v>46149</v>
      </c>
      <c r="AA23" s="603"/>
      <c r="AB23" s="603"/>
      <c r="AC23" s="603"/>
      <c r="AD23" s="603"/>
      <c r="AE23" s="604">
        <v>46150</v>
      </c>
      <c r="AF23" s="604"/>
      <c r="AG23" s="604"/>
      <c r="AH23" s="604"/>
      <c r="AI23" s="604"/>
      <c r="AJ23" s="605">
        <v>46151</v>
      </c>
      <c r="AK23" s="606"/>
      <c r="AL23" s="606"/>
      <c r="AM23" s="606"/>
      <c r="AN23" s="607"/>
      <c r="AO23" s="604">
        <v>46152</v>
      </c>
      <c r="AP23" s="604"/>
      <c r="AQ23" s="604"/>
      <c r="AR23" s="604"/>
      <c r="AS23" s="604"/>
      <c r="AT23" s="605">
        <v>46153</v>
      </c>
      <c r="AU23" s="606"/>
      <c r="AV23" s="606"/>
      <c r="AW23" s="606"/>
      <c r="AX23" s="607"/>
    </row>
    <row r="24" spans="2:50" ht="14.25" customHeight="1">
      <c r="B24" s="590" t="s">
        <v>162</v>
      </c>
      <c r="C24" s="590" t="s">
        <v>157</v>
      </c>
      <c r="D24" s="590"/>
      <c r="E24" s="590" t="s">
        <v>158</v>
      </c>
      <c r="F24" s="590"/>
      <c r="G24" s="590"/>
      <c r="H24" s="590" t="s">
        <v>163</v>
      </c>
      <c r="I24" s="591" t="s">
        <v>370</v>
      </c>
      <c r="J24" s="591"/>
      <c r="K24" s="591"/>
      <c r="L24" s="591" t="s">
        <v>163</v>
      </c>
      <c r="M24" s="591" t="s">
        <v>165</v>
      </c>
      <c r="N24" s="590"/>
      <c r="O24" s="590" t="s">
        <v>164</v>
      </c>
      <c r="P24" s="590" t="s">
        <v>160</v>
      </c>
      <c r="Q24" s="590"/>
      <c r="R24" s="590"/>
      <c r="S24" s="590"/>
      <c r="T24" s="590" t="s">
        <v>163</v>
      </c>
      <c r="U24" s="590" t="s">
        <v>160</v>
      </c>
      <c r="V24" s="590"/>
      <c r="W24" s="590"/>
      <c r="X24" s="590"/>
      <c r="Y24" s="590" t="s">
        <v>163</v>
      </c>
      <c r="Z24" s="590" t="s">
        <v>160</v>
      </c>
      <c r="AA24" s="590"/>
      <c r="AB24" s="590"/>
      <c r="AC24" s="590"/>
      <c r="AD24" s="590" t="s">
        <v>163</v>
      </c>
      <c r="AE24" s="590" t="s">
        <v>160</v>
      </c>
      <c r="AF24" s="590"/>
      <c r="AG24" s="590"/>
      <c r="AH24" s="590"/>
      <c r="AI24" s="590" t="s">
        <v>163</v>
      </c>
      <c r="AJ24" s="590" t="s">
        <v>160</v>
      </c>
      <c r="AK24" s="590"/>
      <c r="AL24" s="590"/>
      <c r="AM24" s="590"/>
      <c r="AN24" s="590" t="s">
        <v>163</v>
      </c>
      <c r="AO24" s="590" t="s">
        <v>160</v>
      </c>
      <c r="AP24" s="590"/>
      <c r="AQ24" s="590"/>
      <c r="AR24" s="590"/>
      <c r="AS24" s="590" t="s">
        <v>163</v>
      </c>
      <c r="AT24" s="590" t="s">
        <v>160</v>
      </c>
      <c r="AU24" s="590"/>
      <c r="AV24" s="590"/>
      <c r="AW24" s="590"/>
      <c r="AX24" s="590" t="s">
        <v>163</v>
      </c>
    </row>
    <row r="25" spans="2:50" ht="14.25" customHeight="1">
      <c r="B25" s="590"/>
      <c r="C25" s="590"/>
      <c r="D25" s="590"/>
      <c r="E25" s="590" t="s">
        <v>371</v>
      </c>
      <c r="F25" s="590"/>
      <c r="G25" s="590"/>
      <c r="H25" s="590"/>
      <c r="I25" s="591" t="s">
        <v>371</v>
      </c>
      <c r="J25" s="591"/>
      <c r="K25" s="591"/>
      <c r="L25" s="591"/>
      <c r="M25" s="591"/>
      <c r="N25" s="590"/>
      <c r="O25" s="590"/>
      <c r="P25" s="590" t="s">
        <v>372</v>
      </c>
      <c r="Q25" s="590"/>
      <c r="R25" s="590"/>
      <c r="S25" s="590"/>
      <c r="T25" s="590"/>
      <c r="U25" s="590" t="s">
        <v>372</v>
      </c>
      <c r="V25" s="590"/>
      <c r="W25" s="590"/>
      <c r="X25" s="590"/>
      <c r="Y25" s="590"/>
      <c r="Z25" s="590" t="s">
        <v>372</v>
      </c>
      <c r="AA25" s="590"/>
      <c r="AB25" s="590"/>
      <c r="AC25" s="590"/>
      <c r="AD25" s="590"/>
      <c r="AE25" s="590" t="s">
        <v>372</v>
      </c>
      <c r="AF25" s="590"/>
      <c r="AG25" s="590"/>
      <c r="AH25" s="590"/>
      <c r="AI25" s="590"/>
      <c r="AJ25" s="590" t="s">
        <v>372</v>
      </c>
      <c r="AK25" s="590"/>
      <c r="AL25" s="590"/>
      <c r="AM25" s="590"/>
      <c r="AN25" s="590"/>
      <c r="AO25" s="590" t="s">
        <v>372</v>
      </c>
      <c r="AP25" s="590"/>
      <c r="AQ25" s="590"/>
      <c r="AR25" s="590"/>
      <c r="AS25" s="590"/>
      <c r="AT25" s="590" t="s">
        <v>372</v>
      </c>
      <c r="AU25" s="590"/>
      <c r="AV25" s="590"/>
      <c r="AW25" s="590"/>
      <c r="AX25" s="590"/>
    </row>
    <row r="26" spans="2:50" ht="14.25" customHeight="1">
      <c r="B26" s="590"/>
      <c r="C26" s="590"/>
      <c r="D26" s="590"/>
      <c r="E26" s="180" t="s">
        <v>159</v>
      </c>
      <c r="F26" s="180" t="s">
        <v>373</v>
      </c>
      <c r="G26" s="180" t="s">
        <v>161</v>
      </c>
      <c r="H26" s="590"/>
      <c r="I26" s="181" t="s">
        <v>159</v>
      </c>
      <c r="J26" s="181" t="s">
        <v>373</v>
      </c>
      <c r="K26" s="181" t="s">
        <v>161</v>
      </c>
      <c r="L26" s="591"/>
      <c r="M26" s="591"/>
      <c r="N26" s="590"/>
      <c r="O26" s="590"/>
      <c r="P26" s="180" t="s">
        <v>159</v>
      </c>
      <c r="Q26" s="180" t="s">
        <v>373</v>
      </c>
      <c r="R26" s="180" t="s">
        <v>161</v>
      </c>
      <c r="S26" s="182" t="s">
        <v>165</v>
      </c>
      <c r="T26" s="590"/>
      <c r="U26" s="180" t="s">
        <v>159</v>
      </c>
      <c r="V26" s="180" t="s">
        <v>373</v>
      </c>
      <c r="W26" s="180" t="s">
        <v>161</v>
      </c>
      <c r="X26" s="182" t="s">
        <v>165</v>
      </c>
      <c r="Y26" s="590"/>
      <c r="Z26" s="180" t="s">
        <v>159</v>
      </c>
      <c r="AA26" s="180" t="s">
        <v>373</v>
      </c>
      <c r="AB26" s="180" t="s">
        <v>161</v>
      </c>
      <c r="AC26" s="182" t="s">
        <v>165</v>
      </c>
      <c r="AD26" s="590"/>
      <c r="AE26" s="180" t="s">
        <v>159</v>
      </c>
      <c r="AF26" s="180" t="s">
        <v>373</v>
      </c>
      <c r="AG26" s="180" t="s">
        <v>161</v>
      </c>
      <c r="AH26" s="182" t="s">
        <v>165</v>
      </c>
      <c r="AI26" s="590"/>
      <c r="AJ26" s="180" t="s">
        <v>159</v>
      </c>
      <c r="AK26" s="180" t="s">
        <v>373</v>
      </c>
      <c r="AL26" s="180" t="s">
        <v>161</v>
      </c>
      <c r="AM26" s="182" t="s">
        <v>165</v>
      </c>
      <c r="AN26" s="590"/>
      <c r="AO26" s="180" t="s">
        <v>159</v>
      </c>
      <c r="AP26" s="180" t="s">
        <v>373</v>
      </c>
      <c r="AQ26" s="180" t="s">
        <v>161</v>
      </c>
      <c r="AR26" s="182" t="s">
        <v>165</v>
      </c>
      <c r="AS26" s="590"/>
      <c r="AT26" s="180" t="s">
        <v>159</v>
      </c>
      <c r="AU26" s="180" t="s">
        <v>373</v>
      </c>
      <c r="AV26" s="180" t="s">
        <v>161</v>
      </c>
      <c r="AW26" s="182" t="s">
        <v>165</v>
      </c>
      <c r="AX26" s="590"/>
    </row>
    <row r="27" spans="2:50" ht="14.25" customHeight="1">
      <c r="B27" s="590" t="s">
        <v>377</v>
      </c>
      <c r="C27" s="180">
        <v>1</v>
      </c>
      <c r="D27" s="183" t="s">
        <v>616</v>
      </c>
      <c r="E27" s="180">
        <v>20</v>
      </c>
      <c r="F27" s="180">
        <v>3600</v>
      </c>
      <c r="G27" s="185">
        <f t="shared" ref="G27:G31" si="16">F27/E27</f>
        <v>180</v>
      </c>
      <c r="H27" s="595">
        <f>AVERAGE(G27:G41)</f>
        <v>183.96992481203011</v>
      </c>
      <c r="I27" s="186">
        <f>AVERAGE(P27,U27,Z27,AE27,AJ27,AO27,AT27)</f>
        <v>20</v>
      </c>
      <c r="J27" s="186">
        <f>AVERAGE(Q27,V27,AA27,AF27,AK27,AP27,AU27)</f>
        <v>3256.0551865659909</v>
      </c>
      <c r="K27" s="187">
        <f>AVERAGE(R27,W27,AB27,AG27,AL27,AQ27,AV27)</f>
        <v>162.80275932829954</v>
      </c>
      <c r="L27" s="596">
        <f>IFERROR(AVERAGE(K27:K41),"-")</f>
        <v>163.76049586239057</v>
      </c>
      <c r="M27" s="186">
        <f>RANK(K27, K$27:$K$41)</f>
        <v>4</v>
      </c>
      <c r="N27" s="590"/>
      <c r="O27" s="590"/>
      <c r="P27" s="188">
        <v>20</v>
      </c>
      <c r="Q27" s="188">
        <v>3258.0094722802764</v>
      </c>
      <c r="R27" s="185">
        <f>IFERROR(Q27/P27,"")</f>
        <v>162.90047361401383</v>
      </c>
      <c r="S27" s="182">
        <f>RANK(R27, R$27:R$41)</f>
        <v>4</v>
      </c>
      <c r="T27" s="595">
        <f>AVERAGE(R27:R41)</f>
        <v>163.76590203874377</v>
      </c>
      <c r="U27" s="188">
        <v>20</v>
      </c>
      <c r="V27" s="188">
        <v>3257.6494722802768</v>
      </c>
      <c r="W27" s="185">
        <f t="shared" ref="W27:W31" si="17">IFERROR(V27/U27,"")</f>
        <v>162.88247361401383</v>
      </c>
      <c r="X27" s="182">
        <f>RANK(W27, W$27:W$41)</f>
        <v>4</v>
      </c>
      <c r="Y27" s="595">
        <f>AVERAGE(W27:W41)</f>
        <v>163.77132459513476</v>
      </c>
      <c r="Z27" s="188">
        <v>20</v>
      </c>
      <c r="AA27" s="188">
        <v>3256.5694722802764</v>
      </c>
      <c r="AB27" s="185">
        <f t="shared" ref="AB27:AB31" si="18">IFERROR(AA27/Z27,"")</f>
        <v>162.82847361401383</v>
      </c>
      <c r="AC27" s="182">
        <f>RANK(AB27, AB$27:AB$41)</f>
        <v>4</v>
      </c>
      <c r="AD27" s="595">
        <f>AVERAGE(AB27:AB41)</f>
        <v>163.73420156559331</v>
      </c>
      <c r="AE27" s="188">
        <v>20</v>
      </c>
      <c r="AF27" s="188">
        <v>3256.929472280277</v>
      </c>
      <c r="AG27" s="185">
        <f>IFERROR(AF27/AE27,"")</f>
        <v>162.84647361401386</v>
      </c>
      <c r="AH27" s="182">
        <f>RANK(AG27, AG$27:AG$41)</f>
        <v>4</v>
      </c>
      <c r="AI27" s="595">
        <f>AVERAGE(AG27:AG41)</f>
        <v>163.75280863874767</v>
      </c>
      <c r="AJ27" s="188">
        <v>20</v>
      </c>
      <c r="AK27" s="188">
        <v>3255.1294722802768</v>
      </c>
      <c r="AL27" s="185">
        <f t="shared" ref="AL27:AL31" si="19">IFERROR(AK27/AJ27,"")</f>
        <v>162.75647361401383</v>
      </c>
      <c r="AM27" s="182">
        <f>RANK(AL27, AL$27:AL$41)</f>
        <v>4</v>
      </c>
      <c r="AN27" s="595">
        <f>AVERAGE(AL27:AL41)</f>
        <v>163.72532281586544</v>
      </c>
      <c r="AO27" s="188">
        <v>20</v>
      </c>
      <c r="AP27" s="188">
        <v>3254.4094722802761</v>
      </c>
      <c r="AQ27" s="185">
        <f t="shared" ref="AQ27:AQ31" si="20">IFERROR(AP27/AO27,"")</f>
        <v>162.7204736140138</v>
      </c>
      <c r="AR27" s="182">
        <f>RANK(AQ27, AQ$27:AQ$41)</f>
        <v>4</v>
      </c>
      <c r="AS27" s="595">
        <f>AVERAGE(AQ27:AQ41)</f>
        <v>163.77665140958595</v>
      </c>
      <c r="AT27" s="188">
        <v>20</v>
      </c>
      <c r="AU27" s="188">
        <v>3253.6894722802758</v>
      </c>
      <c r="AV27" s="185">
        <f t="shared" ref="AV27:AV31" si="21">IFERROR(AU27/AT27,"")</f>
        <v>162.6844736140138</v>
      </c>
      <c r="AW27" s="182">
        <f>RANK(AV27, AV$27:AV$41)</f>
        <v>4</v>
      </c>
      <c r="AX27" s="595">
        <f>AVERAGE(AV27:AV41)</f>
        <v>163.79725997306318</v>
      </c>
    </row>
    <row r="28" spans="2:50" ht="14.25" customHeight="1">
      <c r="B28" s="590"/>
      <c r="C28" s="180">
        <v>2</v>
      </c>
      <c r="D28" s="183" t="s">
        <v>617</v>
      </c>
      <c r="E28" s="180">
        <v>21</v>
      </c>
      <c r="F28" s="180">
        <v>3600</v>
      </c>
      <c r="G28" s="185">
        <f t="shared" si="16"/>
        <v>171.42857142857142</v>
      </c>
      <c r="H28" s="595"/>
      <c r="I28" s="186">
        <f t="shared" ref="I28:K31" si="22">AVERAGE(P28,U28,Z28,AE28,AJ28,AO28,AT28)</f>
        <v>21</v>
      </c>
      <c r="J28" s="186">
        <f t="shared" si="22"/>
        <v>3256.6404036683962</v>
      </c>
      <c r="K28" s="187">
        <f t="shared" si="22"/>
        <v>155.07811446039983</v>
      </c>
      <c r="L28" s="596"/>
      <c r="M28" s="186">
        <f>RANK(K28, K$27:$K$41)</f>
        <v>5</v>
      </c>
      <c r="N28" s="590"/>
      <c r="O28" s="590"/>
      <c r="P28" s="188">
        <v>21</v>
      </c>
      <c r="Q28" s="188">
        <v>3258.5639597775184</v>
      </c>
      <c r="R28" s="185">
        <f t="shared" ref="R28:R31" si="23">IFERROR(Q28/P28,"")</f>
        <v>155.16971237035801</v>
      </c>
      <c r="S28" s="182">
        <f t="shared" ref="S28:S31" si="24">RANK(R28, R$27:R$41)</f>
        <v>5</v>
      </c>
      <c r="T28" s="595"/>
      <c r="U28" s="188">
        <v>21</v>
      </c>
      <c r="V28" s="188">
        <v>3257.1239597775184</v>
      </c>
      <c r="W28" s="185">
        <f t="shared" si="17"/>
        <v>155.10114094178658</v>
      </c>
      <c r="X28" s="182">
        <f t="shared" ref="X28:X31" si="25">RANK(W28, W$27:W$41)</f>
        <v>5</v>
      </c>
      <c r="Y28" s="595"/>
      <c r="Z28" s="188">
        <v>21</v>
      </c>
      <c r="AA28" s="188">
        <v>3257.4839597775185</v>
      </c>
      <c r="AB28" s="185">
        <f t="shared" si="18"/>
        <v>155.11828379892944</v>
      </c>
      <c r="AC28" s="182">
        <f t="shared" ref="AC28:AC31" si="26">RANK(AB28, AB$27:AB$41)</f>
        <v>5</v>
      </c>
      <c r="AD28" s="595"/>
      <c r="AE28" s="188">
        <v>21</v>
      </c>
      <c r="AF28" s="188">
        <v>3257.468123511353</v>
      </c>
      <c r="AG28" s="185">
        <f t="shared" ref="AG28:AG31" si="27">IFERROR(AF28/AE28,"")</f>
        <v>155.11752969101681</v>
      </c>
      <c r="AH28" s="182">
        <f t="shared" ref="AH28:AH31" si="28">RANK(AG28, AG$27:AG$41)</f>
        <v>5</v>
      </c>
      <c r="AI28" s="595"/>
      <c r="AJ28" s="188">
        <v>21</v>
      </c>
      <c r="AK28" s="188">
        <v>3256.0281235113539</v>
      </c>
      <c r="AL28" s="185">
        <f t="shared" si="19"/>
        <v>155.04895826244541</v>
      </c>
      <c r="AM28" s="182">
        <f t="shared" ref="AM28:AM31" si="29">RANK(AL28, AL$27:AL$41)</f>
        <v>5</v>
      </c>
      <c r="AN28" s="595"/>
      <c r="AO28" s="188">
        <v>21</v>
      </c>
      <c r="AP28" s="188">
        <v>3255.4473496617552</v>
      </c>
      <c r="AQ28" s="185">
        <f t="shared" si="20"/>
        <v>155.0213023648455</v>
      </c>
      <c r="AR28" s="182">
        <f t="shared" ref="AR28:AR31" si="30">RANK(AQ28, AQ$27:AQ$41)</f>
        <v>5</v>
      </c>
      <c r="AS28" s="595"/>
      <c r="AT28" s="188">
        <v>21</v>
      </c>
      <c r="AU28" s="188">
        <v>3254.3673496617557</v>
      </c>
      <c r="AV28" s="185">
        <f t="shared" si="21"/>
        <v>154.96987379341695</v>
      </c>
      <c r="AW28" s="182">
        <f t="shared" ref="AW28:AW31" si="31">RANK(AV28, AV$27:AV$41)</f>
        <v>5</v>
      </c>
      <c r="AX28" s="595"/>
    </row>
    <row r="29" spans="2:50" ht="14.25" customHeight="1">
      <c r="B29" s="590"/>
      <c r="C29" s="180">
        <v>3</v>
      </c>
      <c r="D29" s="183" t="s">
        <v>642</v>
      </c>
      <c r="E29" s="180">
        <v>19</v>
      </c>
      <c r="F29" s="180">
        <v>3600</v>
      </c>
      <c r="G29" s="185">
        <f t="shared" si="16"/>
        <v>189.47368421052633</v>
      </c>
      <c r="H29" s="595"/>
      <c r="I29" s="186">
        <f t="shared" si="22"/>
        <v>19</v>
      </c>
      <c r="J29" s="186">
        <f t="shared" si="22"/>
        <v>3172.1023845136951</v>
      </c>
      <c r="K29" s="187">
        <f t="shared" si="22"/>
        <v>166.95275707966817</v>
      </c>
      <c r="L29" s="596"/>
      <c r="M29" s="186">
        <f>RANK(K29, K$27:$K$41)</f>
        <v>3</v>
      </c>
      <c r="N29" s="590"/>
      <c r="O29" s="590"/>
      <c r="P29" s="188">
        <v>19</v>
      </c>
      <c r="Q29" s="188">
        <v>3170.9755260564834</v>
      </c>
      <c r="R29" s="185">
        <f t="shared" si="23"/>
        <v>166.89344873981491</v>
      </c>
      <c r="S29" s="182">
        <f t="shared" si="24"/>
        <v>3</v>
      </c>
      <c r="T29" s="595"/>
      <c r="U29" s="188">
        <v>19</v>
      </c>
      <c r="V29" s="188">
        <v>3172.0555260564829</v>
      </c>
      <c r="W29" s="185">
        <f t="shared" si="17"/>
        <v>166.95029084507806</v>
      </c>
      <c r="X29" s="182">
        <f t="shared" si="25"/>
        <v>2</v>
      </c>
      <c r="Y29" s="595"/>
      <c r="Z29" s="188">
        <v>19</v>
      </c>
      <c r="AA29" s="188">
        <v>3171.3891239643322</v>
      </c>
      <c r="AB29" s="185">
        <f t="shared" si="18"/>
        <v>166.91521705075434</v>
      </c>
      <c r="AC29" s="182">
        <f t="shared" si="26"/>
        <v>1</v>
      </c>
      <c r="AD29" s="595"/>
      <c r="AE29" s="188">
        <v>19</v>
      </c>
      <c r="AF29" s="188">
        <v>3170.6691239643324</v>
      </c>
      <c r="AG29" s="185">
        <f t="shared" si="27"/>
        <v>166.87732231391223</v>
      </c>
      <c r="AH29" s="182">
        <f t="shared" si="28"/>
        <v>3</v>
      </c>
      <c r="AI29" s="595"/>
      <c r="AJ29" s="188">
        <v>19</v>
      </c>
      <c r="AK29" s="188">
        <v>3170.2320115461803</v>
      </c>
      <c r="AL29" s="185">
        <f t="shared" si="19"/>
        <v>166.85431639716739</v>
      </c>
      <c r="AM29" s="182">
        <f t="shared" si="29"/>
        <v>3</v>
      </c>
      <c r="AN29" s="595"/>
      <c r="AO29" s="188">
        <v>19</v>
      </c>
      <c r="AP29" s="188">
        <v>3173.7976900040285</v>
      </c>
      <c r="AQ29" s="185">
        <f t="shared" si="20"/>
        <v>167.04198368442255</v>
      </c>
      <c r="AR29" s="182">
        <f t="shared" si="30"/>
        <v>2</v>
      </c>
      <c r="AS29" s="595"/>
      <c r="AT29" s="188">
        <v>19</v>
      </c>
      <c r="AU29" s="188">
        <v>3175.5976900040278</v>
      </c>
      <c r="AV29" s="185">
        <f t="shared" si="21"/>
        <v>167.13672052652777</v>
      </c>
      <c r="AW29" s="182">
        <f t="shared" si="31"/>
        <v>2</v>
      </c>
      <c r="AX29" s="595"/>
    </row>
    <row r="30" spans="2:50" ht="14.25" customHeight="1">
      <c r="B30" s="590"/>
      <c r="C30" s="180">
        <v>4</v>
      </c>
      <c r="D30" s="183" t="s">
        <v>661</v>
      </c>
      <c r="E30" s="180">
        <v>19</v>
      </c>
      <c r="F30" s="180">
        <v>3600</v>
      </c>
      <c r="G30" s="185">
        <f t="shared" si="16"/>
        <v>189.47368421052633</v>
      </c>
      <c r="H30" s="595"/>
      <c r="I30" s="186">
        <f t="shared" si="22"/>
        <v>19</v>
      </c>
      <c r="J30" s="186">
        <f t="shared" si="22"/>
        <v>3172.5987712216661</v>
      </c>
      <c r="K30" s="187">
        <f t="shared" si="22"/>
        <v>166.97888269587719</v>
      </c>
      <c r="L30" s="596"/>
      <c r="M30" s="186">
        <f>RANK(K30, K$27:$K$41)</f>
        <v>2</v>
      </c>
      <c r="N30" s="590"/>
      <c r="O30" s="590"/>
      <c r="P30" s="188">
        <v>19</v>
      </c>
      <c r="Q30" s="188">
        <v>3170.9956086280649</v>
      </c>
      <c r="R30" s="185">
        <f t="shared" si="23"/>
        <v>166.89450571726658</v>
      </c>
      <c r="S30" s="182">
        <f t="shared" si="24"/>
        <v>2</v>
      </c>
      <c r="T30" s="595"/>
      <c r="U30" s="188">
        <v>19</v>
      </c>
      <c r="V30" s="188">
        <v>3171.3556086280646</v>
      </c>
      <c r="W30" s="185">
        <f t="shared" si="17"/>
        <v>166.91345308568762</v>
      </c>
      <c r="X30" s="182">
        <f t="shared" si="25"/>
        <v>3</v>
      </c>
      <c r="Y30" s="595"/>
      <c r="Z30" s="188">
        <v>19</v>
      </c>
      <c r="AA30" s="188">
        <v>3170.9956086280649</v>
      </c>
      <c r="AB30" s="185">
        <f t="shared" si="18"/>
        <v>166.89450571726658</v>
      </c>
      <c r="AC30" s="182">
        <f t="shared" si="26"/>
        <v>3</v>
      </c>
      <c r="AD30" s="595"/>
      <c r="AE30" s="188">
        <v>19</v>
      </c>
      <c r="AF30" s="188">
        <v>3171.7156086280647</v>
      </c>
      <c r="AG30" s="185">
        <f t="shared" si="27"/>
        <v>166.93240045410866</v>
      </c>
      <c r="AH30" s="182">
        <f t="shared" si="28"/>
        <v>2</v>
      </c>
      <c r="AI30" s="595"/>
      <c r="AJ30" s="188">
        <v>19</v>
      </c>
      <c r="AK30" s="188">
        <v>3173.1556086280643</v>
      </c>
      <c r="AL30" s="185">
        <f t="shared" si="19"/>
        <v>167.00818992779287</v>
      </c>
      <c r="AM30" s="182">
        <f t="shared" si="29"/>
        <v>1</v>
      </c>
      <c r="AN30" s="595"/>
      <c r="AO30" s="188">
        <v>19</v>
      </c>
      <c r="AP30" s="188">
        <v>3174.2356086280638</v>
      </c>
      <c r="AQ30" s="185">
        <f t="shared" si="20"/>
        <v>167.06503203305599</v>
      </c>
      <c r="AR30" s="182">
        <f t="shared" si="30"/>
        <v>1</v>
      </c>
      <c r="AS30" s="595"/>
      <c r="AT30" s="188">
        <v>19</v>
      </c>
      <c r="AU30" s="188">
        <v>3175.7377467832753</v>
      </c>
      <c r="AV30" s="185">
        <f t="shared" si="21"/>
        <v>167.14409193596185</v>
      </c>
      <c r="AW30" s="182">
        <f t="shared" si="31"/>
        <v>1</v>
      </c>
      <c r="AX30" s="595"/>
    </row>
    <row r="31" spans="2:50" ht="14.25" customHeight="1">
      <c r="B31" s="590"/>
      <c r="C31" s="180">
        <v>5</v>
      </c>
      <c r="D31" s="183" t="s">
        <v>618</v>
      </c>
      <c r="E31" s="180">
        <v>19</v>
      </c>
      <c r="F31" s="180">
        <v>3600</v>
      </c>
      <c r="G31" s="185">
        <f t="shared" si="16"/>
        <v>189.47368421052633</v>
      </c>
      <c r="H31" s="595"/>
      <c r="I31" s="186">
        <f t="shared" si="22"/>
        <v>19</v>
      </c>
      <c r="J31" s="186">
        <f t="shared" si="22"/>
        <v>3172.8093492064554</v>
      </c>
      <c r="K31" s="187">
        <f t="shared" si="22"/>
        <v>166.98996574770823</v>
      </c>
      <c r="L31" s="596"/>
      <c r="M31" s="186">
        <f>RANK(K31, K$27:$K$41)</f>
        <v>1</v>
      </c>
      <c r="N31" s="590"/>
      <c r="O31" s="590"/>
      <c r="P31" s="188">
        <v>19</v>
      </c>
      <c r="Q31" s="188">
        <v>3172.4560252930464</v>
      </c>
      <c r="R31" s="185">
        <f t="shared" si="23"/>
        <v>166.97136975226559</v>
      </c>
      <c r="S31" s="182">
        <f t="shared" si="24"/>
        <v>1</v>
      </c>
      <c r="T31" s="595"/>
      <c r="U31" s="188">
        <v>19</v>
      </c>
      <c r="V31" s="188">
        <v>3173.1760252930467</v>
      </c>
      <c r="W31" s="185">
        <f t="shared" si="17"/>
        <v>167.00926448910772</v>
      </c>
      <c r="X31" s="182">
        <f t="shared" si="25"/>
        <v>1</v>
      </c>
      <c r="Y31" s="595"/>
      <c r="Z31" s="188">
        <v>19</v>
      </c>
      <c r="AA31" s="188">
        <v>3171.3760252930465</v>
      </c>
      <c r="AB31" s="185">
        <f t="shared" si="18"/>
        <v>166.91452764700244</v>
      </c>
      <c r="AC31" s="182">
        <f t="shared" si="26"/>
        <v>2</v>
      </c>
      <c r="AD31" s="595"/>
      <c r="AE31" s="188">
        <v>19</v>
      </c>
      <c r="AF31" s="188">
        <v>3172.8160252930466</v>
      </c>
      <c r="AG31" s="185">
        <f t="shared" si="27"/>
        <v>166.99031712068665</v>
      </c>
      <c r="AH31" s="182">
        <f t="shared" si="28"/>
        <v>1</v>
      </c>
      <c r="AI31" s="595"/>
      <c r="AJ31" s="188">
        <v>19</v>
      </c>
      <c r="AK31" s="188">
        <v>3172.2148416802461</v>
      </c>
      <c r="AL31" s="185">
        <f t="shared" si="19"/>
        <v>166.95867587790769</v>
      </c>
      <c r="AM31" s="182">
        <f t="shared" si="29"/>
        <v>2</v>
      </c>
      <c r="AN31" s="595"/>
      <c r="AO31" s="188">
        <v>19</v>
      </c>
      <c r="AP31" s="188">
        <v>3173.6548416802452</v>
      </c>
      <c r="AQ31" s="185">
        <f t="shared" si="20"/>
        <v>167.03446535159185</v>
      </c>
      <c r="AR31" s="182">
        <f t="shared" si="30"/>
        <v>3</v>
      </c>
      <c r="AS31" s="595"/>
      <c r="AT31" s="188">
        <v>19</v>
      </c>
      <c r="AU31" s="188">
        <v>3173.9716599125145</v>
      </c>
      <c r="AV31" s="185">
        <f t="shared" si="21"/>
        <v>167.05113999539549</v>
      </c>
      <c r="AW31" s="182">
        <f t="shared" si="31"/>
        <v>3</v>
      </c>
      <c r="AX31" s="595"/>
    </row>
    <row r="32" spans="2:50" ht="14.25" customHeight="1">
      <c r="B32" s="590"/>
      <c r="C32" s="180">
        <v>6</v>
      </c>
      <c r="D32" s="183"/>
      <c r="E32" s="180"/>
      <c r="F32" s="180"/>
      <c r="G32" s="185"/>
      <c r="H32" s="595"/>
      <c r="I32" s="186"/>
      <c r="J32" s="186"/>
      <c r="K32" s="187"/>
      <c r="L32" s="596"/>
      <c r="M32" s="186"/>
      <c r="N32" s="590"/>
      <c r="O32" s="590"/>
      <c r="P32" s="188"/>
      <c r="Q32" s="188"/>
      <c r="R32" s="185"/>
      <c r="S32" s="182"/>
      <c r="T32" s="595"/>
      <c r="U32" s="188"/>
      <c r="V32" s="188"/>
      <c r="W32" s="185"/>
      <c r="X32" s="182"/>
      <c r="Y32" s="595"/>
      <c r="Z32" s="188"/>
      <c r="AA32" s="188"/>
      <c r="AB32" s="185"/>
      <c r="AC32" s="182"/>
      <c r="AD32" s="595"/>
      <c r="AE32" s="188"/>
      <c r="AF32" s="188"/>
      <c r="AG32" s="185"/>
      <c r="AH32" s="182"/>
      <c r="AI32" s="595"/>
      <c r="AJ32" s="188"/>
      <c r="AK32" s="188"/>
      <c r="AL32" s="185"/>
      <c r="AM32" s="182"/>
      <c r="AN32" s="595"/>
      <c r="AO32" s="188"/>
      <c r="AP32" s="188"/>
      <c r="AQ32" s="185"/>
      <c r="AR32" s="182"/>
      <c r="AS32" s="595"/>
      <c r="AT32" s="188"/>
      <c r="AU32" s="188"/>
      <c r="AV32" s="185"/>
      <c r="AW32" s="182"/>
      <c r="AX32" s="595"/>
    </row>
    <row r="33" spans="2:50" ht="14.25" customHeight="1">
      <c r="B33" s="590"/>
      <c r="C33" s="180">
        <v>7</v>
      </c>
      <c r="D33" s="183"/>
      <c r="E33" s="180"/>
      <c r="F33" s="180"/>
      <c r="G33" s="185"/>
      <c r="H33" s="595"/>
      <c r="I33" s="186"/>
      <c r="J33" s="186"/>
      <c r="K33" s="187"/>
      <c r="L33" s="596"/>
      <c r="M33" s="186"/>
      <c r="N33" s="590"/>
      <c r="O33" s="590"/>
      <c r="P33" s="188"/>
      <c r="Q33" s="188"/>
      <c r="R33" s="185"/>
      <c r="S33" s="182"/>
      <c r="T33" s="595"/>
      <c r="U33" s="188"/>
      <c r="V33" s="188"/>
      <c r="W33" s="185"/>
      <c r="X33" s="182"/>
      <c r="Y33" s="595"/>
      <c r="Z33" s="188"/>
      <c r="AA33" s="188"/>
      <c r="AB33" s="185"/>
      <c r="AC33" s="182"/>
      <c r="AD33" s="595"/>
      <c r="AE33" s="188"/>
      <c r="AF33" s="188"/>
      <c r="AG33" s="185"/>
      <c r="AH33" s="182"/>
      <c r="AI33" s="595"/>
      <c r="AJ33" s="188"/>
      <c r="AK33" s="188"/>
      <c r="AL33" s="185"/>
      <c r="AM33" s="182"/>
      <c r="AN33" s="595"/>
      <c r="AO33" s="188"/>
      <c r="AP33" s="188"/>
      <c r="AQ33" s="185"/>
      <c r="AR33" s="182"/>
      <c r="AS33" s="595"/>
      <c r="AT33" s="188"/>
      <c r="AU33" s="188"/>
      <c r="AV33" s="185"/>
      <c r="AW33" s="182"/>
      <c r="AX33" s="595"/>
    </row>
    <row r="34" spans="2:50" ht="14.25" customHeight="1">
      <c r="B34" s="590"/>
      <c r="C34" s="180">
        <v>8</v>
      </c>
      <c r="D34" s="183"/>
      <c r="E34" s="180"/>
      <c r="F34" s="180"/>
      <c r="G34" s="185"/>
      <c r="H34" s="595"/>
      <c r="I34" s="186"/>
      <c r="J34" s="186"/>
      <c r="K34" s="187"/>
      <c r="L34" s="596"/>
      <c r="M34" s="186"/>
      <c r="N34" s="590"/>
      <c r="O34" s="590"/>
      <c r="P34" s="188"/>
      <c r="Q34" s="188"/>
      <c r="R34" s="185"/>
      <c r="S34" s="182"/>
      <c r="T34" s="595"/>
      <c r="U34" s="188"/>
      <c r="V34" s="188"/>
      <c r="W34" s="185"/>
      <c r="X34" s="182"/>
      <c r="Y34" s="595"/>
      <c r="Z34" s="188"/>
      <c r="AA34" s="188"/>
      <c r="AB34" s="185"/>
      <c r="AC34" s="182"/>
      <c r="AD34" s="595"/>
      <c r="AE34" s="188"/>
      <c r="AF34" s="188"/>
      <c r="AG34" s="185"/>
      <c r="AH34" s="182"/>
      <c r="AI34" s="595"/>
      <c r="AJ34" s="188"/>
      <c r="AK34" s="188"/>
      <c r="AL34" s="185"/>
      <c r="AM34" s="182"/>
      <c r="AN34" s="595"/>
      <c r="AO34" s="188"/>
      <c r="AP34" s="188"/>
      <c r="AQ34" s="185"/>
      <c r="AR34" s="182"/>
      <c r="AS34" s="595"/>
      <c r="AT34" s="188"/>
      <c r="AU34" s="188"/>
      <c r="AV34" s="185"/>
      <c r="AW34" s="182"/>
      <c r="AX34" s="595"/>
    </row>
    <row r="35" spans="2:50" ht="14.25" customHeight="1">
      <c r="B35" s="590"/>
      <c r="C35" s="180">
        <v>9</v>
      </c>
      <c r="D35" s="183"/>
      <c r="E35" s="180"/>
      <c r="F35" s="180"/>
      <c r="G35" s="185"/>
      <c r="H35" s="595"/>
      <c r="I35" s="186"/>
      <c r="J35" s="186"/>
      <c r="K35" s="187"/>
      <c r="L35" s="596"/>
      <c r="M35" s="186"/>
      <c r="N35" s="590"/>
      <c r="O35" s="590"/>
      <c r="P35" s="188"/>
      <c r="Q35" s="188"/>
      <c r="R35" s="185"/>
      <c r="S35" s="182"/>
      <c r="T35" s="595"/>
      <c r="U35" s="188"/>
      <c r="V35" s="188"/>
      <c r="W35" s="185"/>
      <c r="X35" s="182"/>
      <c r="Y35" s="595"/>
      <c r="Z35" s="188"/>
      <c r="AA35" s="188"/>
      <c r="AB35" s="185"/>
      <c r="AC35" s="182"/>
      <c r="AD35" s="595"/>
      <c r="AE35" s="188"/>
      <c r="AF35" s="188"/>
      <c r="AG35" s="185"/>
      <c r="AH35" s="182"/>
      <c r="AI35" s="595"/>
      <c r="AJ35" s="188"/>
      <c r="AK35" s="188"/>
      <c r="AL35" s="185"/>
      <c r="AM35" s="182"/>
      <c r="AN35" s="595"/>
      <c r="AO35" s="188"/>
      <c r="AP35" s="188"/>
      <c r="AQ35" s="185"/>
      <c r="AR35" s="182"/>
      <c r="AS35" s="595"/>
      <c r="AT35" s="188"/>
      <c r="AU35" s="188"/>
      <c r="AV35" s="185"/>
      <c r="AW35" s="182"/>
      <c r="AX35" s="595"/>
    </row>
    <row r="36" spans="2:50" ht="14.25" customHeight="1">
      <c r="B36" s="590"/>
      <c r="C36" s="180">
        <v>10</v>
      </c>
      <c r="D36" s="183"/>
      <c r="E36" s="180"/>
      <c r="F36" s="180"/>
      <c r="G36" s="185"/>
      <c r="H36" s="595"/>
      <c r="I36" s="186"/>
      <c r="J36" s="186"/>
      <c r="K36" s="187"/>
      <c r="L36" s="596"/>
      <c r="M36" s="186"/>
      <c r="N36" s="590"/>
      <c r="O36" s="590"/>
      <c r="P36" s="188"/>
      <c r="Q36" s="188"/>
      <c r="R36" s="185"/>
      <c r="S36" s="182"/>
      <c r="T36" s="595"/>
      <c r="U36" s="188"/>
      <c r="V36" s="188"/>
      <c r="W36" s="185"/>
      <c r="X36" s="182"/>
      <c r="Y36" s="595"/>
      <c r="Z36" s="188"/>
      <c r="AA36" s="188"/>
      <c r="AB36" s="185"/>
      <c r="AC36" s="182"/>
      <c r="AD36" s="595"/>
      <c r="AE36" s="188"/>
      <c r="AF36" s="188"/>
      <c r="AG36" s="185"/>
      <c r="AH36" s="182"/>
      <c r="AI36" s="595"/>
      <c r="AJ36" s="188"/>
      <c r="AK36" s="188"/>
      <c r="AL36" s="185"/>
      <c r="AM36" s="182"/>
      <c r="AN36" s="595"/>
      <c r="AO36" s="188"/>
      <c r="AP36" s="188"/>
      <c r="AQ36" s="185"/>
      <c r="AR36" s="182"/>
      <c r="AS36" s="595"/>
      <c r="AT36" s="188"/>
      <c r="AU36" s="188"/>
      <c r="AV36" s="185"/>
      <c r="AW36" s="182"/>
      <c r="AX36" s="595"/>
    </row>
    <row r="37" spans="2:50" ht="14.25" customHeight="1">
      <c r="B37" s="590"/>
      <c r="C37" s="180">
        <v>11</v>
      </c>
      <c r="D37" s="183"/>
      <c r="E37" s="180"/>
      <c r="F37" s="180"/>
      <c r="G37" s="185"/>
      <c r="H37" s="595"/>
      <c r="I37" s="186"/>
      <c r="J37" s="186"/>
      <c r="K37" s="187"/>
      <c r="L37" s="596"/>
      <c r="M37" s="186"/>
      <c r="N37" s="590"/>
      <c r="O37" s="590"/>
      <c r="P37" s="188"/>
      <c r="Q37" s="188"/>
      <c r="R37" s="185"/>
      <c r="S37" s="182"/>
      <c r="T37" s="595"/>
      <c r="U37" s="188"/>
      <c r="V37" s="188"/>
      <c r="W37" s="185"/>
      <c r="X37" s="182"/>
      <c r="Y37" s="595"/>
      <c r="Z37" s="188"/>
      <c r="AA37" s="188"/>
      <c r="AB37" s="185"/>
      <c r="AC37" s="182"/>
      <c r="AD37" s="595"/>
      <c r="AE37" s="188"/>
      <c r="AF37" s="188"/>
      <c r="AG37" s="185"/>
      <c r="AH37" s="182"/>
      <c r="AI37" s="595"/>
      <c r="AJ37" s="188"/>
      <c r="AK37" s="188"/>
      <c r="AL37" s="185"/>
      <c r="AM37" s="182"/>
      <c r="AN37" s="595"/>
      <c r="AO37" s="188"/>
      <c r="AP37" s="188"/>
      <c r="AQ37" s="185"/>
      <c r="AR37" s="182"/>
      <c r="AS37" s="595"/>
      <c r="AT37" s="188"/>
      <c r="AU37" s="188"/>
      <c r="AV37" s="185"/>
      <c r="AW37" s="182"/>
      <c r="AX37" s="595"/>
    </row>
    <row r="38" spans="2:50" ht="14.25" customHeight="1">
      <c r="B38" s="590"/>
      <c r="C38" s="180">
        <v>12</v>
      </c>
      <c r="D38" s="183"/>
      <c r="E38" s="180"/>
      <c r="F38" s="180"/>
      <c r="G38" s="185"/>
      <c r="H38" s="595"/>
      <c r="I38" s="186"/>
      <c r="J38" s="186"/>
      <c r="K38" s="187"/>
      <c r="L38" s="596"/>
      <c r="M38" s="186"/>
      <c r="N38" s="590"/>
      <c r="O38" s="590"/>
      <c r="P38" s="188"/>
      <c r="Q38" s="188"/>
      <c r="R38" s="185"/>
      <c r="S38" s="182"/>
      <c r="T38" s="595"/>
      <c r="U38" s="188"/>
      <c r="V38" s="188"/>
      <c r="W38" s="185"/>
      <c r="X38" s="182"/>
      <c r="Y38" s="595"/>
      <c r="Z38" s="188"/>
      <c r="AA38" s="188"/>
      <c r="AB38" s="185"/>
      <c r="AC38" s="182"/>
      <c r="AD38" s="595"/>
      <c r="AE38" s="188"/>
      <c r="AF38" s="188"/>
      <c r="AG38" s="185"/>
      <c r="AH38" s="182"/>
      <c r="AI38" s="595"/>
      <c r="AJ38" s="188"/>
      <c r="AK38" s="188"/>
      <c r="AL38" s="185"/>
      <c r="AM38" s="182"/>
      <c r="AN38" s="595"/>
      <c r="AO38" s="188"/>
      <c r="AP38" s="188"/>
      <c r="AQ38" s="185"/>
      <c r="AR38" s="182"/>
      <c r="AS38" s="595"/>
      <c r="AT38" s="188"/>
      <c r="AU38" s="188"/>
      <c r="AV38" s="185"/>
      <c r="AW38" s="182"/>
      <c r="AX38" s="595"/>
    </row>
    <row r="39" spans="2:50" ht="14.25" customHeight="1">
      <c r="B39" s="590"/>
      <c r="C39" s="180">
        <v>13</v>
      </c>
      <c r="D39" s="183"/>
      <c r="E39" s="180"/>
      <c r="F39" s="180"/>
      <c r="G39" s="185"/>
      <c r="H39" s="595"/>
      <c r="I39" s="186"/>
      <c r="J39" s="186"/>
      <c r="K39" s="187"/>
      <c r="L39" s="596"/>
      <c r="M39" s="186"/>
      <c r="N39" s="590"/>
      <c r="O39" s="590"/>
      <c r="P39" s="188"/>
      <c r="Q39" s="188"/>
      <c r="R39" s="185"/>
      <c r="S39" s="182"/>
      <c r="T39" s="595"/>
      <c r="U39" s="188"/>
      <c r="V39" s="188"/>
      <c r="W39" s="185"/>
      <c r="X39" s="182"/>
      <c r="Y39" s="595"/>
      <c r="Z39" s="188"/>
      <c r="AA39" s="188"/>
      <c r="AB39" s="185"/>
      <c r="AC39" s="182"/>
      <c r="AD39" s="595"/>
      <c r="AE39" s="188"/>
      <c r="AF39" s="188"/>
      <c r="AG39" s="185"/>
      <c r="AH39" s="182"/>
      <c r="AI39" s="595"/>
      <c r="AJ39" s="188"/>
      <c r="AK39" s="188"/>
      <c r="AL39" s="185"/>
      <c r="AM39" s="182"/>
      <c r="AN39" s="595"/>
      <c r="AO39" s="188"/>
      <c r="AP39" s="188"/>
      <c r="AQ39" s="185"/>
      <c r="AR39" s="182"/>
      <c r="AS39" s="595"/>
      <c r="AT39" s="188"/>
      <c r="AU39" s="188"/>
      <c r="AV39" s="185"/>
      <c r="AW39" s="182"/>
      <c r="AX39" s="595"/>
    </row>
    <row r="40" spans="2:50" ht="14.25" customHeight="1">
      <c r="B40" s="590"/>
      <c r="C40" s="180">
        <v>14</v>
      </c>
      <c r="D40" s="183"/>
      <c r="E40" s="180"/>
      <c r="F40" s="180"/>
      <c r="G40" s="185"/>
      <c r="H40" s="595"/>
      <c r="I40" s="186"/>
      <c r="J40" s="186"/>
      <c r="K40" s="187"/>
      <c r="L40" s="596"/>
      <c r="M40" s="186"/>
      <c r="N40" s="590"/>
      <c r="O40" s="590"/>
      <c r="P40" s="188"/>
      <c r="Q40" s="188"/>
      <c r="R40" s="185"/>
      <c r="S40" s="182"/>
      <c r="T40" s="595"/>
      <c r="U40" s="188"/>
      <c r="V40" s="188"/>
      <c r="W40" s="185"/>
      <c r="X40" s="182"/>
      <c r="Y40" s="595"/>
      <c r="Z40" s="188"/>
      <c r="AA40" s="188"/>
      <c r="AB40" s="185"/>
      <c r="AC40" s="182"/>
      <c r="AD40" s="595"/>
      <c r="AE40" s="188"/>
      <c r="AF40" s="188"/>
      <c r="AG40" s="185"/>
      <c r="AH40" s="182"/>
      <c r="AI40" s="595"/>
      <c r="AJ40" s="188"/>
      <c r="AK40" s="188"/>
      <c r="AL40" s="185"/>
      <c r="AM40" s="182"/>
      <c r="AN40" s="595"/>
      <c r="AO40" s="188"/>
      <c r="AP40" s="188"/>
      <c r="AQ40" s="185"/>
      <c r="AR40" s="182"/>
      <c r="AS40" s="595"/>
      <c r="AT40" s="188"/>
      <c r="AU40" s="188"/>
      <c r="AV40" s="185"/>
      <c r="AW40" s="182"/>
      <c r="AX40" s="595"/>
    </row>
    <row r="41" spans="2:50" ht="14.25" customHeight="1">
      <c r="B41" s="590"/>
      <c r="C41" s="180">
        <v>15</v>
      </c>
      <c r="D41" s="183"/>
      <c r="E41" s="180"/>
      <c r="F41" s="180"/>
      <c r="G41" s="185"/>
      <c r="H41" s="595"/>
      <c r="I41" s="186"/>
      <c r="J41" s="186"/>
      <c r="K41" s="187"/>
      <c r="L41" s="596"/>
      <c r="M41" s="186"/>
      <c r="N41" s="590"/>
      <c r="O41" s="590"/>
      <c r="P41" s="188"/>
      <c r="Q41" s="188"/>
      <c r="R41" s="185"/>
      <c r="S41" s="182"/>
      <c r="T41" s="595"/>
      <c r="U41" s="188"/>
      <c r="V41" s="188"/>
      <c r="W41" s="185"/>
      <c r="X41" s="182"/>
      <c r="Y41" s="595"/>
      <c r="Z41" s="188"/>
      <c r="AA41" s="188"/>
      <c r="AB41" s="185"/>
      <c r="AC41" s="182"/>
      <c r="AD41" s="595"/>
      <c r="AE41" s="188"/>
      <c r="AF41" s="188"/>
      <c r="AG41" s="185"/>
      <c r="AH41" s="182"/>
      <c r="AI41" s="595"/>
      <c r="AJ41" s="188"/>
      <c r="AK41" s="188"/>
      <c r="AL41" s="185"/>
      <c r="AM41" s="182"/>
      <c r="AN41" s="595"/>
      <c r="AO41" s="188"/>
      <c r="AP41" s="188"/>
      <c r="AQ41" s="185"/>
      <c r="AR41" s="182"/>
      <c r="AS41" s="595"/>
      <c r="AT41" s="188"/>
      <c r="AU41" s="188"/>
      <c r="AV41" s="185"/>
      <c r="AW41" s="182"/>
      <c r="AX41" s="595"/>
    </row>
  </sheetData>
  <mergeCells count="118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FFFFCC"/>
  </sheetPr>
  <dimension ref="A1:AX41"/>
  <sheetViews>
    <sheetView zoomScaleNormal="100" workbookViewId="0">
      <pane xSplit="13" ySplit="1" topLeftCell="N5" activePane="bottomRight" state="frozen"/>
      <selection activeCell="L95" sqref="L95"/>
      <selection pane="topRight" activeCell="L95" sqref="L95"/>
      <selection pane="bottomLeft" activeCell="L95" sqref="L95"/>
      <selection pane="bottomRight" activeCell="AW27" sqref="AW27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51" width="9" style="78" customWidth="1"/>
    <col min="52" max="16384" width="8.81640625" style="78"/>
  </cols>
  <sheetData>
    <row r="1" spans="1:50" ht="24.5">
      <c r="A1" s="74"/>
      <c r="B1" s="498" t="s">
        <v>738</v>
      </c>
      <c r="C1" s="175">
        <f>AVERAGE(L7,L27)</f>
        <v>83.085237287212749</v>
      </c>
    </row>
    <row r="2" spans="1:50" ht="14.25" customHeight="1">
      <c r="B2" s="572" t="s">
        <v>660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  <c r="N2" s="608" t="s">
        <v>369</v>
      </c>
      <c r="O2" s="608" t="s">
        <v>105</v>
      </c>
      <c r="P2" s="610">
        <v>46140</v>
      </c>
      <c r="Q2" s="611"/>
      <c r="R2" s="611"/>
      <c r="S2" s="611"/>
      <c r="T2" s="611"/>
      <c r="U2" s="612">
        <v>46141</v>
      </c>
      <c r="V2" s="613"/>
      <c r="W2" s="613"/>
      <c r="X2" s="613"/>
      <c r="Y2" s="613"/>
      <c r="Z2" s="610">
        <v>46142</v>
      </c>
      <c r="AA2" s="611"/>
      <c r="AB2" s="611"/>
      <c r="AC2" s="611"/>
      <c r="AD2" s="611"/>
      <c r="AE2" s="612">
        <v>46143</v>
      </c>
      <c r="AF2" s="613"/>
      <c r="AG2" s="613"/>
      <c r="AH2" s="613"/>
      <c r="AI2" s="613"/>
      <c r="AJ2" s="600">
        <v>46144</v>
      </c>
      <c r="AK2" s="601"/>
      <c r="AL2" s="601"/>
      <c r="AM2" s="601"/>
      <c r="AN2" s="602"/>
      <c r="AO2" s="612">
        <v>46145</v>
      </c>
      <c r="AP2" s="613"/>
      <c r="AQ2" s="613"/>
      <c r="AR2" s="613"/>
      <c r="AS2" s="613"/>
      <c r="AT2" s="600">
        <v>46146</v>
      </c>
      <c r="AU2" s="601"/>
      <c r="AV2" s="601"/>
      <c r="AW2" s="601"/>
      <c r="AX2" s="602"/>
    </row>
    <row r="3" spans="1:50" ht="14.25" customHeight="1"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5"/>
      <c r="N3" s="609"/>
      <c r="O3" s="609"/>
      <c r="P3" s="603">
        <v>46140</v>
      </c>
      <c r="Q3" s="603"/>
      <c r="R3" s="603"/>
      <c r="S3" s="603"/>
      <c r="T3" s="603"/>
      <c r="U3" s="604">
        <v>46141</v>
      </c>
      <c r="V3" s="604"/>
      <c r="W3" s="604"/>
      <c r="X3" s="604"/>
      <c r="Y3" s="604"/>
      <c r="Z3" s="603">
        <v>46142</v>
      </c>
      <c r="AA3" s="603"/>
      <c r="AB3" s="603"/>
      <c r="AC3" s="603"/>
      <c r="AD3" s="603"/>
      <c r="AE3" s="604">
        <v>46143</v>
      </c>
      <c r="AF3" s="604"/>
      <c r="AG3" s="604"/>
      <c r="AH3" s="604"/>
      <c r="AI3" s="604"/>
      <c r="AJ3" s="605">
        <v>46144</v>
      </c>
      <c r="AK3" s="606"/>
      <c r="AL3" s="606"/>
      <c r="AM3" s="606"/>
      <c r="AN3" s="607"/>
      <c r="AO3" s="604">
        <v>46145</v>
      </c>
      <c r="AP3" s="604"/>
      <c r="AQ3" s="604"/>
      <c r="AR3" s="604"/>
      <c r="AS3" s="604"/>
      <c r="AT3" s="605">
        <v>46146</v>
      </c>
      <c r="AU3" s="606"/>
      <c r="AV3" s="606"/>
      <c r="AW3" s="606"/>
      <c r="AX3" s="607"/>
    </row>
    <row r="4" spans="1:50" ht="14.25" customHeight="1">
      <c r="B4" s="590" t="s">
        <v>162</v>
      </c>
      <c r="C4" s="590" t="s">
        <v>157</v>
      </c>
      <c r="D4" s="590"/>
      <c r="E4" s="590" t="s">
        <v>158</v>
      </c>
      <c r="F4" s="590"/>
      <c r="G4" s="590"/>
      <c r="H4" s="590" t="s">
        <v>163</v>
      </c>
      <c r="I4" s="591" t="s">
        <v>370</v>
      </c>
      <c r="J4" s="591"/>
      <c r="K4" s="591"/>
      <c r="L4" s="591" t="s">
        <v>163</v>
      </c>
      <c r="M4" s="591" t="s">
        <v>165</v>
      </c>
      <c r="N4" s="590"/>
      <c r="O4" s="590" t="s">
        <v>164</v>
      </c>
      <c r="P4" s="590" t="s">
        <v>160</v>
      </c>
      <c r="Q4" s="590"/>
      <c r="R4" s="590"/>
      <c r="S4" s="590"/>
      <c r="T4" s="590" t="s">
        <v>163</v>
      </c>
      <c r="U4" s="590" t="s">
        <v>160</v>
      </c>
      <c r="V4" s="590"/>
      <c r="W4" s="590"/>
      <c r="X4" s="590"/>
      <c r="Y4" s="590" t="s">
        <v>163</v>
      </c>
      <c r="Z4" s="590" t="s">
        <v>160</v>
      </c>
      <c r="AA4" s="590"/>
      <c r="AB4" s="590"/>
      <c r="AC4" s="590"/>
      <c r="AD4" s="590" t="s">
        <v>163</v>
      </c>
      <c r="AE4" s="590" t="s">
        <v>160</v>
      </c>
      <c r="AF4" s="590"/>
      <c r="AG4" s="590"/>
      <c r="AH4" s="590"/>
      <c r="AI4" s="590" t="s">
        <v>163</v>
      </c>
      <c r="AJ4" s="590" t="s">
        <v>160</v>
      </c>
      <c r="AK4" s="590"/>
      <c r="AL4" s="590"/>
      <c r="AM4" s="590"/>
      <c r="AN4" s="590" t="s">
        <v>163</v>
      </c>
      <c r="AO4" s="590" t="s">
        <v>160</v>
      </c>
      <c r="AP4" s="590"/>
      <c r="AQ4" s="590"/>
      <c r="AR4" s="590"/>
      <c r="AS4" s="590" t="s">
        <v>163</v>
      </c>
      <c r="AT4" s="590" t="s">
        <v>160</v>
      </c>
      <c r="AU4" s="590"/>
      <c r="AV4" s="590"/>
      <c r="AW4" s="590"/>
      <c r="AX4" s="590" t="s">
        <v>163</v>
      </c>
    </row>
    <row r="5" spans="1:50" ht="14.25" customHeight="1">
      <c r="B5" s="590"/>
      <c r="C5" s="590"/>
      <c r="D5" s="590"/>
      <c r="E5" s="590" t="s">
        <v>371</v>
      </c>
      <c r="F5" s="590"/>
      <c r="G5" s="590"/>
      <c r="H5" s="590"/>
      <c r="I5" s="591" t="s">
        <v>371</v>
      </c>
      <c r="J5" s="591"/>
      <c r="K5" s="591"/>
      <c r="L5" s="591"/>
      <c r="M5" s="591"/>
      <c r="N5" s="590"/>
      <c r="O5" s="590"/>
      <c r="P5" s="590" t="s">
        <v>372</v>
      </c>
      <c r="Q5" s="590"/>
      <c r="R5" s="590"/>
      <c r="S5" s="590"/>
      <c r="T5" s="590"/>
      <c r="U5" s="590" t="s">
        <v>372</v>
      </c>
      <c r="V5" s="590"/>
      <c r="W5" s="590"/>
      <c r="X5" s="590"/>
      <c r="Y5" s="590"/>
      <c r="Z5" s="590" t="s">
        <v>372</v>
      </c>
      <c r="AA5" s="590"/>
      <c r="AB5" s="590"/>
      <c r="AC5" s="590"/>
      <c r="AD5" s="590"/>
      <c r="AE5" s="590" t="s">
        <v>372</v>
      </c>
      <c r="AF5" s="590"/>
      <c r="AG5" s="590"/>
      <c r="AH5" s="590"/>
      <c r="AI5" s="590"/>
      <c r="AJ5" s="590" t="s">
        <v>372</v>
      </c>
      <c r="AK5" s="590"/>
      <c r="AL5" s="590"/>
      <c r="AM5" s="590"/>
      <c r="AN5" s="590"/>
      <c r="AO5" s="590" t="s">
        <v>372</v>
      </c>
      <c r="AP5" s="590"/>
      <c r="AQ5" s="590"/>
      <c r="AR5" s="590"/>
      <c r="AS5" s="590"/>
      <c r="AT5" s="590" t="s">
        <v>372</v>
      </c>
      <c r="AU5" s="590"/>
      <c r="AV5" s="590"/>
      <c r="AW5" s="590"/>
      <c r="AX5" s="590"/>
    </row>
    <row r="6" spans="1:50" ht="14.25" customHeight="1">
      <c r="B6" s="590"/>
      <c r="C6" s="590"/>
      <c r="D6" s="590"/>
      <c r="E6" s="180" t="s">
        <v>159</v>
      </c>
      <c r="F6" s="180" t="s">
        <v>373</v>
      </c>
      <c r="G6" s="180" t="s">
        <v>161</v>
      </c>
      <c r="H6" s="590"/>
      <c r="I6" s="181" t="s">
        <v>159</v>
      </c>
      <c r="J6" s="181" t="s">
        <v>373</v>
      </c>
      <c r="K6" s="181" t="s">
        <v>161</v>
      </c>
      <c r="L6" s="591"/>
      <c r="M6" s="591"/>
      <c r="N6" s="590"/>
      <c r="O6" s="590"/>
      <c r="P6" s="180" t="s">
        <v>159</v>
      </c>
      <c r="Q6" s="180" t="s">
        <v>373</v>
      </c>
      <c r="R6" s="180" t="s">
        <v>161</v>
      </c>
      <c r="S6" s="182" t="s">
        <v>165</v>
      </c>
      <c r="T6" s="590"/>
      <c r="U6" s="180" t="s">
        <v>159</v>
      </c>
      <c r="V6" s="180" t="s">
        <v>373</v>
      </c>
      <c r="W6" s="180" t="s">
        <v>161</v>
      </c>
      <c r="X6" s="182" t="s">
        <v>165</v>
      </c>
      <c r="Y6" s="590"/>
      <c r="Z6" s="180" t="s">
        <v>159</v>
      </c>
      <c r="AA6" s="180" t="s">
        <v>373</v>
      </c>
      <c r="AB6" s="180" t="s">
        <v>161</v>
      </c>
      <c r="AC6" s="182" t="s">
        <v>165</v>
      </c>
      <c r="AD6" s="590"/>
      <c r="AE6" s="180" t="s">
        <v>159</v>
      </c>
      <c r="AF6" s="180" t="s">
        <v>373</v>
      </c>
      <c r="AG6" s="180" t="s">
        <v>161</v>
      </c>
      <c r="AH6" s="182" t="s">
        <v>165</v>
      </c>
      <c r="AI6" s="590"/>
      <c r="AJ6" s="180" t="s">
        <v>159</v>
      </c>
      <c r="AK6" s="180" t="s">
        <v>373</v>
      </c>
      <c r="AL6" s="180" t="s">
        <v>161</v>
      </c>
      <c r="AM6" s="182" t="s">
        <v>165</v>
      </c>
      <c r="AN6" s="590"/>
      <c r="AO6" s="180" t="s">
        <v>159</v>
      </c>
      <c r="AP6" s="180" t="s">
        <v>373</v>
      </c>
      <c r="AQ6" s="180" t="s">
        <v>161</v>
      </c>
      <c r="AR6" s="182" t="s">
        <v>165</v>
      </c>
      <c r="AS6" s="590"/>
      <c r="AT6" s="180" t="s">
        <v>159</v>
      </c>
      <c r="AU6" s="180" t="s">
        <v>373</v>
      </c>
      <c r="AV6" s="180" t="s">
        <v>161</v>
      </c>
      <c r="AW6" s="182" t="s">
        <v>165</v>
      </c>
      <c r="AX6" s="590"/>
    </row>
    <row r="7" spans="1:50" ht="14.25" customHeight="1">
      <c r="B7" s="590" t="s">
        <v>143</v>
      </c>
      <c r="C7" s="180">
        <v>1</v>
      </c>
      <c r="D7" s="183" t="s">
        <v>357</v>
      </c>
      <c r="E7" s="180">
        <v>13</v>
      </c>
      <c r="F7" s="180">
        <v>1200</v>
      </c>
      <c r="G7" s="185">
        <f t="shared" ref="G7" si="0">F7/E7</f>
        <v>92.307692307692307</v>
      </c>
      <c r="H7" s="595">
        <f>AVERAGE(G7:G21)</f>
        <v>92.307692307692307</v>
      </c>
      <c r="I7" s="186">
        <f>AVERAGE(P7,U7,Z7,AE7,AJ7,AO7,AT7)</f>
        <v>13</v>
      </c>
      <c r="J7" s="186">
        <f>AVERAGE(Q7,V7,AA7,AF7,AK7,AP7,AU7)</f>
        <v>1080.3104812428951</v>
      </c>
      <c r="K7" s="187">
        <f>AVERAGE(R7,W7,AB7,AG7,AL7,AQ7,AV7)</f>
        <v>83.100806249453484</v>
      </c>
      <c r="L7" s="596">
        <f>IFERROR(AVERAGE(K7:K21),"-")</f>
        <v>83.100806249453484</v>
      </c>
      <c r="M7" s="186">
        <f>RANK(K7, K$7:$K$21)</f>
        <v>1</v>
      </c>
      <c r="N7" s="590"/>
      <c r="O7" s="590"/>
      <c r="P7" s="188">
        <v>13</v>
      </c>
      <c r="Q7" s="188">
        <v>1080.3619098143238</v>
      </c>
      <c r="R7" s="185">
        <f>IFERROR(Q7/P7,"")</f>
        <v>83.104762293409522</v>
      </c>
      <c r="S7" s="182">
        <f>RANK(R7, R$7:R$21)</f>
        <v>1</v>
      </c>
      <c r="T7" s="595">
        <f>AVERAGE(R7:R21)</f>
        <v>83.104762293409522</v>
      </c>
      <c r="U7" s="188">
        <v>13</v>
      </c>
      <c r="V7" s="188">
        <v>1080.2419098143237</v>
      </c>
      <c r="W7" s="185">
        <f t="shared" ref="W7" si="1">IFERROR(V7/U7,"")</f>
        <v>83.095531524178739</v>
      </c>
      <c r="X7" s="182">
        <f>RANK(W7, W$7:W$21)</f>
        <v>1</v>
      </c>
      <c r="Y7" s="595">
        <f>AVERAGE(W7:W21)</f>
        <v>83.095531524178739</v>
      </c>
      <c r="Z7" s="188">
        <v>13</v>
      </c>
      <c r="AA7" s="188">
        <v>1080.3619098143236</v>
      </c>
      <c r="AB7" s="185">
        <f t="shared" ref="AB7" si="2">IFERROR(AA7/Z7,"")</f>
        <v>83.104762293409507</v>
      </c>
      <c r="AC7" s="182">
        <f>RANK(AB7, AB$7:AB$21)</f>
        <v>1</v>
      </c>
      <c r="AD7" s="595">
        <f>AVERAGE(AB7:AB21)</f>
        <v>83.104762293409507</v>
      </c>
      <c r="AE7" s="188">
        <v>13</v>
      </c>
      <c r="AF7" s="188">
        <v>1080.3619098143236</v>
      </c>
      <c r="AG7" s="185">
        <f>IFERROR(AF7/AE7,"")</f>
        <v>83.104762293409507</v>
      </c>
      <c r="AH7" s="182">
        <f>RANK(AG7, AG$7:AG$21)</f>
        <v>1</v>
      </c>
      <c r="AI7" s="595">
        <f>AVERAGE(AG7:AG21)</f>
        <v>83.104762293409507</v>
      </c>
      <c r="AJ7" s="188">
        <v>13</v>
      </c>
      <c r="AK7" s="188">
        <v>1080.4819098143237</v>
      </c>
      <c r="AL7" s="185">
        <f t="shared" ref="AL7" si="3">IFERROR(AK7/AJ7,"")</f>
        <v>83.113993062640276</v>
      </c>
      <c r="AM7" s="182">
        <f>RANK(AL7, AL$7:AL$21)</f>
        <v>1</v>
      </c>
      <c r="AN7" s="595">
        <f>AVERAGE(AL7:AL21)</f>
        <v>83.113993062640276</v>
      </c>
      <c r="AO7" s="188">
        <v>13</v>
      </c>
      <c r="AP7" s="188">
        <v>1080.3619098143236</v>
      </c>
      <c r="AQ7" s="185">
        <f t="shared" ref="AQ7" si="4">IFERROR(AP7/AO7,"")</f>
        <v>83.104762293409507</v>
      </c>
      <c r="AR7" s="182">
        <f>RANK(AQ7, AQ$7:AQ$21)</f>
        <v>1</v>
      </c>
      <c r="AS7" s="595">
        <f>AVERAGE(AQ7:AQ21)</f>
        <v>83.104762293409507</v>
      </c>
      <c r="AT7" s="188">
        <v>13</v>
      </c>
      <c r="AU7" s="188">
        <v>1080.0019098143237</v>
      </c>
      <c r="AV7" s="185">
        <f t="shared" ref="AV7" si="5">IFERROR(AU7/AT7,"")</f>
        <v>83.077069985717202</v>
      </c>
      <c r="AW7" s="182">
        <f>RANK(AV7, AV$7:AV$21)</f>
        <v>1</v>
      </c>
      <c r="AX7" s="595">
        <f>AVERAGE(AV7:AV21)</f>
        <v>83.077069985717202</v>
      </c>
    </row>
    <row r="8" spans="1:50" ht="14.25" customHeight="1">
      <c r="B8" s="590"/>
      <c r="C8" s="180">
        <v>2</v>
      </c>
      <c r="D8" s="183"/>
      <c r="E8" s="180"/>
      <c r="F8" s="180"/>
      <c r="G8" s="185"/>
      <c r="H8" s="595"/>
      <c r="I8" s="186"/>
      <c r="J8" s="186"/>
      <c r="K8" s="187"/>
      <c r="L8" s="596"/>
      <c r="M8" s="186"/>
      <c r="N8" s="590"/>
      <c r="O8" s="590"/>
      <c r="P8" s="188"/>
      <c r="Q8" s="188"/>
      <c r="R8" s="185"/>
      <c r="S8" s="182"/>
      <c r="T8" s="595"/>
      <c r="U8" s="188"/>
      <c r="V8" s="188"/>
      <c r="W8" s="185"/>
      <c r="X8" s="182"/>
      <c r="Y8" s="595"/>
      <c r="Z8" s="188"/>
      <c r="AA8" s="188"/>
      <c r="AB8" s="185"/>
      <c r="AC8" s="182"/>
      <c r="AD8" s="595"/>
      <c r="AE8" s="188"/>
      <c r="AF8" s="188"/>
      <c r="AG8" s="185"/>
      <c r="AH8" s="182"/>
      <c r="AI8" s="595"/>
      <c r="AJ8" s="188"/>
      <c r="AK8" s="188"/>
      <c r="AL8" s="185"/>
      <c r="AM8" s="182"/>
      <c r="AN8" s="595"/>
      <c r="AO8" s="188"/>
      <c r="AP8" s="188"/>
      <c r="AQ8" s="185"/>
      <c r="AR8" s="182"/>
      <c r="AS8" s="595"/>
      <c r="AT8" s="188"/>
      <c r="AU8" s="188"/>
      <c r="AV8" s="185"/>
      <c r="AW8" s="182"/>
      <c r="AX8" s="595"/>
    </row>
    <row r="9" spans="1:50" ht="14.25" customHeight="1">
      <c r="B9" s="590"/>
      <c r="C9" s="180">
        <v>3</v>
      </c>
      <c r="D9" s="183"/>
      <c r="E9" s="180"/>
      <c r="F9" s="180"/>
      <c r="G9" s="185"/>
      <c r="H9" s="595"/>
      <c r="I9" s="186"/>
      <c r="J9" s="186"/>
      <c r="K9" s="187"/>
      <c r="L9" s="596"/>
      <c r="M9" s="186"/>
      <c r="N9" s="590"/>
      <c r="O9" s="590"/>
      <c r="P9" s="188"/>
      <c r="Q9" s="188"/>
      <c r="R9" s="185"/>
      <c r="S9" s="182"/>
      <c r="T9" s="595"/>
      <c r="U9" s="188"/>
      <c r="V9" s="188"/>
      <c r="W9" s="185"/>
      <c r="X9" s="182"/>
      <c r="Y9" s="595"/>
      <c r="Z9" s="188"/>
      <c r="AA9" s="188"/>
      <c r="AB9" s="185"/>
      <c r="AC9" s="182"/>
      <c r="AD9" s="595"/>
      <c r="AE9" s="188"/>
      <c r="AF9" s="188"/>
      <c r="AG9" s="185"/>
      <c r="AH9" s="182"/>
      <c r="AI9" s="595"/>
      <c r="AJ9" s="188"/>
      <c r="AK9" s="188"/>
      <c r="AL9" s="185"/>
      <c r="AM9" s="182"/>
      <c r="AN9" s="595"/>
      <c r="AO9" s="188"/>
      <c r="AP9" s="188"/>
      <c r="AQ9" s="185"/>
      <c r="AR9" s="182"/>
      <c r="AS9" s="595"/>
      <c r="AT9" s="188"/>
      <c r="AU9" s="188"/>
      <c r="AV9" s="185"/>
      <c r="AW9" s="182"/>
      <c r="AX9" s="595"/>
    </row>
    <row r="10" spans="1:50" ht="14.25" customHeight="1">
      <c r="B10" s="590"/>
      <c r="C10" s="180">
        <v>4</v>
      </c>
      <c r="D10" s="183"/>
      <c r="E10" s="180"/>
      <c r="F10" s="180"/>
      <c r="G10" s="185"/>
      <c r="H10" s="595"/>
      <c r="I10" s="186"/>
      <c r="J10" s="186"/>
      <c r="K10" s="187"/>
      <c r="L10" s="596"/>
      <c r="M10" s="186"/>
      <c r="N10" s="590"/>
      <c r="O10" s="590"/>
      <c r="P10" s="188"/>
      <c r="Q10" s="188"/>
      <c r="R10" s="185"/>
      <c r="S10" s="182"/>
      <c r="T10" s="595"/>
      <c r="U10" s="188"/>
      <c r="V10" s="188"/>
      <c r="W10" s="185"/>
      <c r="X10" s="182"/>
      <c r="Y10" s="595"/>
      <c r="Z10" s="188"/>
      <c r="AA10" s="188"/>
      <c r="AB10" s="185"/>
      <c r="AC10" s="182"/>
      <c r="AD10" s="595"/>
      <c r="AE10" s="188"/>
      <c r="AF10" s="188"/>
      <c r="AG10" s="185"/>
      <c r="AH10" s="182"/>
      <c r="AI10" s="595"/>
      <c r="AJ10" s="188"/>
      <c r="AK10" s="188"/>
      <c r="AL10" s="185"/>
      <c r="AM10" s="182"/>
      <c r="AN10" s="595"/>
      <c r="AO10" s="188"/>
      <c r="AP10" s="188"/>
      <c r="AQ10" s="185"/>
      <c r="AR10" s="182"/>
      <c r="AS10" s="595"/>
      <c r="AT10" s="188"/>
      <c r="AU10" s="188"/>
      <c r="AV10" s="185"/>
      <c r="AW10" s="182"/>
      <c r="AX10" s="595"/>
    </row>
    <row r="11" spans="1:50" ht="14.25" customHeight="1">
      <c r="B11" s="590"/>
      <c r="C11" s="180">
        <v>5</v>
      </c>
      <c r="D11" s="183"/>
      <c r="E11" s="180"/>
      <c r="F11" s="180"/>
      <c r="G11" s="185"/>
      <c r="H11" s="595"/>
      <c r="I11" s="186"/>
      <c r="J11" s="186"/>
      <c r="K11" s="187"/>
      <c r="L11" s="596"/>
      <c r="M11" s="186"/>
      <c r="N11" s="590"/>
      <c r="O11" s="590"/>
      <c r="P11" s="188"/>
      <c r="Q11" s="188"/>
      <c r="R11" s="185"/>
      <c r="S11" s="182"/>
      <c r="T11" s="595"/>
      <c r="U11" s="188"/>
      <c r="V11" s="188"/>
      <c r="W11" s="185"/>
      <c r="X11" s="182"/>
      <c r="Y11" s="595"/>
      <c r="Z11" s="188"/>
      <c r="AA11" s="188"/>
      <c r="AB11" s="185"/>
      <c r="AC11" s="182"/>
      <c r="AD11" s="595"/>
      <c r="AE11" s="188"/>
      <c r="AF11" s="188"/>
      <c r="AG11" s="185"/>
      <c r="AH11" s="182"/>
      <c r="AI11" s="595"/>
      <c r="AJ11" s="188"/>
      <c r="AK11" s="188"/>
      <c r="AL11" s="185"/>
      <c r="AM11" s="182"/>
      <c r="AN11" s="595"/>
      <c r="AO11" s="188"/>
      <c r="AP11" s="188"/>
      <c r="AQ11" s="185"/>
      <c r="AR11" s="182"/>
      <c r="AS11" s="595"/>
      <c r="AT11" s="188"/>
      <c r="AU11" s="188"/>
      <c r="AV11" s="185"/>
      <c r="AW11" s="182"/>
      <c r="AX11" s="595"/>
    </row>
    <row r="12" spans="1:50" ht="14.25" customHeight="1">
      <c r="B12" s="590"/>
      <c r="C12" s="180">
        <v>6</v>
      </c>
      <c r="D12" s="183"/>
      <c r="E12" s="180"/>
      <c r="F12" s="180"/>
      <c r="G12" s="185"/>
      <c r="H12" s="595"/>
      <c r="I12" s="186"/>
      <c r="J12" s="186"/>
      <c r="K12" s="187"/>
      <c r="L12" s="596"/>
      <c r="M12" s="186"/>
      <c r="N12" s="590"/>
      <c r="O12" s="590"/>
      <c r="P12" s="188"/>
      <c r="Q12" s="188"/>
      <c r="R12" s="185"/>
      <c r="S12" s="182"/>
      <c r="T12" s="595"/>
      <c r="U12" s="188"/>
      <c r="V12" s="188"/>
      <c r="W12" s="185"/>
      <c r="X12" s="182"/>
      <c r="Y12" s="595"/>
      <c r="Z12" s="188"/>
      <c r="AA12" s="188"/>
      <c r="AB12" s="185"/>
      <c r="AC12" s="182"/>
      <c r="AD12" s="595"/>
      <c r="AE12" s="188"/>
      <c r="AF12" s="188"/>
      <c r="AG12" s="185"/>
      <c r="AH12" s="182"/>
      <c r="AI12" s="595"/>
      <c r="AJ12" s="188"/>
      <c r="AK12" s="188"/>
      <c r="AL12" s="185"/>
      <c r="AM12" s="182"/>
      <c r="AN12" s="595"/>
      <c r="AO12" s="188"/>
      <c r="AP12" s="188"/>
      <c r="AQ12" s="185"/>
      <c r="AR12" s="182"/>
      <c r="AS12" s="595"/>
      <c r="AT12" s="188"/>
      <c r="AU12" s="188"/>
      <c r="AV12" s="185"/>
      <c r="AW12" s="182"/>
      <c r="AX12" s="595"/>
    </row>
    <row r="13" spans="1:50" ht="14.25" customHeight="1">
      <c r="B13" s="590"/>
      <c r="C13" s="180">
        <v>7</v>
      </c>
      <c r="D13" s="183"/>
      <c r="E13" s="180"/>
      <c r="F13" s="180"/>
      <c r="G13" s="185"/>
      <c r="H13" s="595"/>
      <c r="I13" s="186"/>
      <c r="J13" s="186"/>
      <c r="K13" s="187"/>
      <c r="L13" s="596"/>
      <c r="M13" s="186"/>
      <c r="N13" s="590"/>
      <c r="O13" s="590"/>
      <c r="P13" s="188"/>
      <c r="Q13" s="188"/>
      <c r="R13" s="185"/>
      <c r="S13" s="182"/>
      <c r="T13" s="595"/>
      <c r="U13" s="188"/>
      <c r="V13" s="188"/>
      <c r="W13" s="185"/>
      <c r="X13" s="182"/>
      <c r="Y13" s="595"/>
      <c r="Z13" s="188"/>
      <c r="AA13" s="188"/>
      <c r="AB13" s="185"/>
      <c r="AC13" s="182"/>
      <c r="AD13" s="595"/>
      <c r="AE13" s="188"/>
      <c r="AF13" s="188"/>
      <c r="AG13" s="185"/>
      <c r="AH13" s="182"/>
      <c r="AI13" s="595"/>
      <c r="AJ13" s="188"/>
      <c r="AK13" s="188"/>
      <c r="AL13" s="185"/>
      <c r="AM13" s="182"/>
      <c r="AN13" s="595"/>
      <c r="AO13" s="188"/>
      <c r="AP13" s="188"/>
      <c r="AQ13" s="185"/>
      <c r="AR13" s="182"/>
      <c r="AS13" s="595"/>
      <c r="AT13" s="188"/>
      <c r="AU13" s="188"/>
      <c r="AV13" s="185"/>
      <c r="AW13" s="182"/>
      <c r="AX13" s="595"/>
    </row>
    <row r="14" spans="1:50" ht="14.25" customHeight="1">
      <c r="B14" s="590"/>
      <c r="C14" s="180">
        <v>8</v>
      </c>
      <c r="D14" s="183"/>
      <c r="E14" s="180"/>
      <c r="F14" s="180"/>
      <c r="G14" s="185"/>
      <c r="H14" s="595"/>
      <c r="I14" s="186"/>
      <c r="J14" s="186"/>
      <c r="K14" s="187"/>
      <c r="L14" s="596"/>
      <c r="M14" s="186"/>
      <c r="N14" s="590"/>
      <c r="O14" s="590"/>
      <c r="P14" s="188"/>
      <c r="Q14" s="188"/>
      <c r="R14" s="185"/>
      <c r="S14" s="182"/>
      <c r="T14" s="595"/>
      <c r="U14" s="188"/>
      <c r="V14" s="188"/>
      <c r="W14" s="185"/>
      <c r="X14" s="182"/>
      <c r="Y14" s="595"/>
      <c r="Z14" s="188"/>
      <c r="AA14" s="188"/>
      <c r="AB14" s="185"/>
      <c r="AC14" s="182"/>
      <c r="AD14" s="595"/>
      <c r="AE14" s="188"/>
      <c r="AF14" s="188"/>
      <c r="AG14" s="185"/>
      <c r="AH14" s="182"/>
      <c r="AI14" s="595"/>
      <c r="AJ14" s="188"/>
      <c r="AK14" s="188"/>
      <c r="AL14" s="185"/>
      <c r="AM14" s="182"/>
      <c r="AN14" s="595"/>
      <c r="AO14" s="188"/>
      <c r="AP14" s="188"/>
      <c r="AQ14" s="185"/>
      <c r="AR14" s="182"/>
      <c r="AS14" s="595"/>
      <c r="AT14" s="188"/>
      <c r="AU14" s="188"/>
      <c r="AV14" s="185"/>
      <c r="AW14" s="182"/>
      <c r="AX14" s="595"/>
    </row>
    <row r="15" spans="1:50" ht="14.25" customHeight="1">
      <c r="B15" s="590"/>
      <c r="C15" s="180">
        <v>9</v>
      </c>
      <c r="D15" s="183"/>
      <c r="E15" s="180"/>
      <c r="F15" s="180"/>
      <c r="G15" s="185"/>
      <c r="H15" s="595"/>
      <c r="I15" s="186"/>
      <c r="J15" s="186"/>
      <c r="K15" s="187"/>
      <c r="L15" s="596"/>
      <c r="M15" s="186"/>
      <c r="N15" s="590"/>
      <c r="O15" s="590"/>
      <c r="P15" s="188"/>
      <c r="Q15" s="188"/>
      <c r="R15" s="185"/>
      <c r="S15" s="182"/>
      <c r="T15" s="595"/>
      <c r="U15" s="188"/>
      <c r="V15" s="188"/>
      <c r="W15" s="185"/>
      <c r="X15" s="182"/>
      <c r="Y15" s="595"/>
      <c r="Z15" s="188"/>
      <c r="AA15" s="188"/>
      <c r="AB15" s="185"/>
      <c r="AC15" s="182"/>
      <c r="AD15" s="595"/>
      <c r="AE15" s="188"/>
      <c r="AF15" s="188"/>
      <c r="AG15" s="185"/>
      <c r="AH15" s="182"/>
      <c r="AI15" s="595"/>
      <c r="AJ15" s="188"/>
      <c r="AK15" s="188"/>
      <c r="AL15" s="185"/>
      <c r="AM15" s="182"/>
      <c r="AN15" s="595"/>
      <c r="AO15" s="188"/>
      <c r="AP15" s="188"/>
      <c r="AQ15" s="185"/>
      <c r="AR15" s="182"/>
      <c r="AS15" s="595"/>
      <c r="AT15" s="188"/>
      <c r="AU15" s="188"/>
      <c r="AV15" s="185"/>
      <c r="AW15" s="182"/>
      <c r="AX15" s="595"/>
    </row>
    <row r="16" spans="1:50" ht="14.25" customHeight="1">
      <c r="B16" s="590"/>
      <c r="C16" s="180">
        <v>10</v>
      </c>
      <c r="D16" s="183"/>
      <c r="E16" s="180"/>
      <c r="F16" s="180"/>
      <c r="G16" s="185"/>
      <c r="H16" s="595"/>
      <c r="I16" s="186"/>
      <c r="J16" s="186"/>
      <c r="K16" s="187"/>
      <c r="L16" s="596"/>
      <c r="M16" s="186"/>
      <c r="N16" s="590"/>
      <c r="O16" s="590"/>
      <c r="P16" s="188"/>
      <c r="Q16" s="188"/>
      <c r="R16" s="185"/>
      <c r="S16" s="182"/>
      <c r="T16" s="595"/>
      <c r="U16" s="188"/>
      <c r="V16" s="188"/>
      <c r="W16" s="185"/>
      <c r="X16" s="182"/>
      <c r="Y16" s="595"/>
      <c r="Z16" s="188"/>
      <c r="AA16" s="188"/>
      <c r="AB16" s="185"/>
      <c r="AC16" s="182"/>
      <c r="AD16" s="595"/>
      <c r="AE16" s="188"/>
      <c r="AF16" s="188"/>
      <c r="AG16" s="185"/>
      <c r="AH16" s="182"/>
      <c r="AI16" s="595"/>
      <c r="AJ16" s="188"/>
      <c r="AK16" s="188"/>
      <c r="AL16" s="185"/>
      <c r="AM16" s="182"/>
      <c r="AN16" s="595"/>
      <c r="AO16" s="188"/>
      <c r="AP16" s="188"/>
      <c r="AQ16" s="185"/>
      <c r="AR16" s="182"/>
      <c r="AS16" s="595"/>
      <c r="AT16" s="188"/>
      <c r="AU16" s="188"/>
      <c r="AV16" s="185"/>
      <c r="AW16" s="182"/>
      <c r="AX16" s="595"/>
    </row>
    <row r="17" spans="2:50" ht="14.25" customHeight="1">
      <c r="B17" s="590"/>
      <c r="C17" s="180">
        <v>11</v>
      </c>
      <c r="D17" s="183"/>
      <c r="E17" s="180"/>
      <c r="F17" s="180"/>
      <c r="G17" s="185"/>
      <c r="H17" s="595"/>
      <c r="I17" s="186"/>
      <c r="J17" s="186"/>
      <c r="K17" s="187"/>
      <c r="L17" s="596"/>
      <c r="M17" s="186"/>
      <c r="N17" s="590"/>
      <c r="O17" s="590"/>
      <c r="P17" s="188"/>
      <c r="Q17" s="188"/>
      <c r="R17" s="185"/>
      <c r="S17" s="182"/>
      <c r="T17" s="595"/>
      <c r="U17" s="188"/>
      <c r="V17" s="188"/>
      <c r="W17" s="185"/>
      <c r="X17" s="182"/>
      <c r="Y17" s="595"/>
      <c r="Z17" s="188"/>
      <c r="AA17" s="188"/>
      <c r="AB17" s="185"/>
      <c r="AC17" s="182"/>
      <c r="AD17" s="595"/>
      <c r="AE17" s="188"/>
      <c r="AF17" s="188"/>
      <c r="AG17" s="185"/>
      <c r="AH17" s="182"/>
      <c r="AI17" s="595"/>
      <c r="AJ17" s="188"/>
      <c r="AK17" s="188"/>
      <c r="AL17" s="185"/>
      <c r="AM17" s="182"/>
      <c r="AN17" s="595"/>
      <c r="AO17" s="188"/>
      <c r="AP17" s="188"/>
      <c r="AQ17" s="185"/>
      <c r="AR17" s="182"/>
      <c r="AS17" s="595"/>
      <c r="AT17" s="188"/>
      <c r="AU17" s="188"/>
      <c r="AV17" s="185"/>
      <c r="AW17" s="182"/>
      <c r="AX17" s="595"/>
    </row>
    <row r="18" spans="2:50" ht="14.25" customHeight="1">
      <c r="B18" s="590"/>
      <c r="C18" s="180">
        <v>12</v>
      </c>
      <c r="D18" s="183"/>
      <c r="E18" s="180"/>
      <c r="F18" s="180"/>
      <c r="G18" s="185"/>
      <c r="H18" s="595"/>
      <c r="I18" s="186"/>
      <c r="J18" s="186"/>
      <c r="K18" s="187"/>
      <c r="L18" s="596"/>
      <c r="M18" s="186"/>
      <c r="N18" s="590"/>
      <c r="O18" s="590"/>
      <c r="P18" s="188"/>
      <c r="Q18" s="188"/>
      <c r="R18" s="185"/>
      <c r="S18" s="182"/>
      <c r="T18" s="595"/>
      <c r="U18" s="188"/>
      <c r="V18" s="188"/>
      <c r="W18" s="185"/>
      <c r="X18" s="182"/>
      <c r="Y18" s="595"/>
      <c r="Z18" s="188"/>
      <c r="AA18" s="188"/>
      <c r="AB18" s="185"/>
      <c r="AC18" s="182"/>
      <c r="AD18" s="595"/>
      <c r="AE18" s="188"/>
      <c r="AF18" s="188"/>
      <c r="AG18" s="185"/>
      <c r="AH18" s="182"/>
      <c r="AI18" s="595"/>
      <c r="AJ18" s="188"/>
      <c r="AK18" s="188"/>
      <c r="AL18" s="185"/>
      <c r="AM18" s="182"/>
      <c r="AN18" s="595"/>
      <c r="AO18" s="188"/>
      <c r="AP18" s="188"/>
      <c r="AQ18" s="185"/>
      <c r="AR18" s="182"/>
      <c r="AS18" s="595"/>
      <c r="AT18" s="188"/>
      <c r="AU18" s="188"/>
      <c r="AV18" s="185"/>
      <c r="AW18" s="182"/>
      <c r="AX18" s="595"/>
    </row>
    <row r="19" spans="2:50" ht="14.25" customHeight="1">
      <c r="B19" s="590"/>
      <c r="C19" s="180">
        <v>13</v>
      </c>
      <c r="D19" s="183"/>
      <c r="E19" s="180"/>
      <c r="F19" s="180"/>
      <c r="G19" s="185"/>
      <c r="H19" s="595"/>
      <c r="I19" s="186"/>
      <c r="J19" s="186"/>
      <c r="K19" s="187"/>
      <c r="L19" s="596"/>
      <c r="M19" s="186"/>
      <c r="N19" s="590"/>
      <c r="O19" s="590"/>
      <c r="P19" s="188"/>
      <c r="Q19" s="188"/>
      <c r="R19" s="185"/>
      <c r="S19" s="182"/>
      <c r="T19" s="595"/>
      <c r="U19" s="188"/>
      <c r="V19" s="188"/>
      <c r="W19" s="185"/>
      <c r="X19" s="182"/>
      <c r="Y19" s="595"/>
      <c r="Z19" s="188"/>
      <c r="AA19" s="188"/>
      <c r="AB19" s="185"/>
      <c r="AC19" s="182"/>
      <c r="AD19" s="595"/>
      <c r="AE19" s="188"/>
      <c r="AF19" s="188"/>
      <c r="AG19" s="185"/>
      <c r="AH19" s="182"/>
      <c r="AI19" s="595"/>
      <c r="AJ19" s="188"/>
      <c r="AK19" s="188"/>
      <c r="AL19" s="185"/>
      <c r="AM19" s="182"/>
      <c r="AN19" s="595"/>
      <c r="AO19" s="188"/>
      <c r="AP19" s="188"/>
      <c r="AQ19" s="185"/>
      <c r="AR19" s="182"/>
      <c r="AS19" s="595"/>
      <c r="AT19" s="188"/>
      <c r="AU19" s="188"/>
      <c r="AV19" s="185"/>
      <c r="AW19" s="182"/>
      <c r="AX19" s="595"/>
    </row>
    <row r="20" spans="2:50" ht="14.25" customHeight="1">
      <c r="B20" s="590"/>
      <c r="C20" s="180">
        <v>14</v>
      </c>
      <c r="D20" s="183"/>
      <c r="E20" s="180"/>
      <c r="F20" s="180"/>
      <c r="G20" s="185"/>
      <c r="H20" s="595"/>
      <c r="I20" s="186"/>
      <c r="J20" s="186"/>
      <c r="K20" s="187"/>
      <c r="L20" s="596"/>
      <c r="M20" s="186"/>
      <c r="N20" s="590"/>
      <c r="O20" s="590"/>
      <c r="P20" s="188"/>
      <c r="Q20" s="188"/>
      <c r="R20" s="185"/>
      <c r="S20" s="182"/>
      <c r="T20" s="595"/>
      <c r="U20" s="188"/>
      <c r="V20" s="188"/>
      <c r="W20" s="185"/>
      <c r="X20" s="182"/>
      <c r="Y20" s="595"/>
      <c r="Z20" s="188"/>
      <c r="AA20" s="188"/>
      <c r="AB20" s="185"/>
      <c r="AC20" s="182"/>
      <c r="AD20" s="595"/>
      <c r="AE20" s="188"/>
      <c r="AF20" s="188"/>
      <c r="AG20" s="185"/>
      <c r="AH20" s="182"/>
      <c r="AI20" s="595"/>
      <c r="AJ20" s="188"/>
      <c r="AK20" s="188"/>
      <c r="AL20" s="185"/>
      <c r="AM20" s="182"/>
      <c r="AN20" s="595"/>
      <c r="AO20" s="188"/>
      <c r="AP20" s="188"/>
      <c r="AQ20" s="185"/>
      <c r="AR20" s="182"/>
      <c r="AS20" s="595"/>
      <c r="AT20" s="188"/>
      <c r="AU20" s="188"/>
      <c r="AV20" s="185"/>
      <c r="AW20" s="182"/>
      <c r="AX20" s="595"/>
    </row>
    <row r="21" spans="2:50" ht="14.25" customHeight="1">
      <c r="B21" s="590"/>
      <c r="C21" s="180">
        <v>15</v>
      </c>
      <c r="D21" s="183"/>
      <c r="E21" s="180"/>
      <c r="F21" s="180"/>
      <c r="G21" s="185"/>
      <c r="H21" s="595"/>
      <c r="I21" s="186"/>
      <c r="J21" s="186"/>
      <c r="K21" s="187"/>
      <c r="L21" s="596"/>
      <c r="M21" s="186"/>
      <c r="N21" s="590"/>
      <c r="O21" s="590"/>
      <c r="P21" s="188"/>
      <c r="Q21" s="188"/>
      <c r="R21" s="185"/>
      <c r="S21" s="182"/>
      <c r="T21" s="595"/>
      <c r="U21" s="188"/>
      <c r="V21" s="188"/>
      <c r="W21" s="185"/>
      <c r="X21" s="182"/>
      <c r="Y21" s="595"/>
      <c r="Z21" s="188"/>
      <c r="AA21" s="188"/>
      <c r="AB21" s="185"/>
      <c r="AC21" s="182"/>
      <c r="AD21" s="595"/>
      <c r="AE21" s="188"/>
      <c r="AF21" s="188"/>
      <c r="AG21" s="185"/>
      <c r="AH21" s="182"/>
      <c r="AI21" s="595"/>
      <c r="AJ21" s="188"/>
      <c r="AK21" s="188"/>
      <c r="AL21" s="185"/>
      <c r="AM21" s="182"/>
      <c r="AN21" s="595"/>
      <c r="AO21" s="188"/>
      <c r="AP21" s="188"/>
      <c r="AQ21" s="185"/>
      <c r="AR21" s="182"/>
      <c r="AS21" s="595"/>
      <c r="AT21" s="188"/>
      <c r="AU21" s="188"/>
      <c r="AV21" s="185"/>
      <c r="AW21" s="182"/>
      <c r="AX21" s="595"/>
    </row>
    <row r="22" spans="2:50" ht="14.25" customHeight="1">
      <c r="B22" s="572" t="s">
        <v>737</v>
      </c>
      <c r="C22" s="572"/>
      <c r="D22" s="572"/>
      <c r="E22" s="572"/>
      <c r="F22" s="572"/>
      <c r="G22" s="572"/>
      <c r="H22" s="572"/>
      <c r="I22" s="572"/>
      <c r="J22" s="572"/>
      <c r="K22" s="572"/>
      <c r="L22" s="572"/>
      <c r="M22" s="573"/>
      <c r="N22" s="608" t="s">
        <v>369</v>
      </c>
      <c r="O22" s="608" t="s">
        <v>105</v>
      </c>
      <c r="P22" s="610">
        <v>46147</v>
      </c>
      <c r="Q22" s="611"/>
      <c r="R22" s="611"/>
      <c r="S22" s="611"/>
      <c r="T22" s="611"/>
      <c r="U22" s="612">
        <v>46148</v>
      </c>
      <c r="V22" s="613"/>
      <c r="W22" s="613"/>
      <c r="X22" s="613"/>
      <c r="Y22" s="613"/>
      <c r="Z22" s="610">
        <v>46149</v>
      </c>
      <c r="AA22" s="611"/>
      <c r="AB22" s="611"/>
      <c r="AC22" s="611"/>
      <c r="AD22" s="611"/>
      <c r="AE22" s="612">
        <v>46150</v>
      </c>
      <c r="AF22" s="613"/>
      <c r="AG22" s="613"/>
      <c r="AH22" s="613"/>
      <c r="AI22" s="613"/>
      <c r="AJ22" s="600">
        <v>46151</v>
      </c>
      <c r="AK22" s="601"/>
      <c r="AL22" s="601"/>
      <c r="AM22" s="601"/>
      <c r="AN22" s="602"/>
      <c r="AO22" s="612">
        <v>46152</v>
      </c>
      <c r="AP22" s="613"/>
      <c r="AQ22" s="613"/>
      <c r="AR22" s="613"/>
      <c r="AS22" s="613"/>
      <c r="AT22" s="600">
        <v>46153</v>
      </c>
      <c r="AU22" s="601"/>
      <c r="AV22" s="601"/>
      <c r="AW22" s="601"/>
      <c r="AX22" s="602"/>
    </row>
    <row r="23" spans="2:50" ht="14.25" customHeight="1">
      <c r="B23" s="574"/>
      <c r="C23" s="574"/>
      <c r="D23" s="574"/>
      <c r="E23" s="574"/>
      <c r="F23" s="574"/>
      <c r="G23" s="574"/>
      <c r="H23" s="574"/>
      <c r="I23" s="574"/>
      <c r="J23" s="574"/>
      <c r="K23" s="574"/>
      <c r="L23" s="574"/>
      <c r="M23" s="575"/>
      <c r="N23" s="609"/>
      <c r="O23" s="609"/>
      <c r="P23" s="603">
        <v>46147</v>
      </c>
      <c r="Q23" s="603"/>
      <c r="R23" s="603"/>
      <c r="S23" s="603"/>
      <c r="T23" s="603"/>
      <c r="U23" s="604">
        <v>46148</v>
      </c>
      <c r="V23" s="604"/>
      <c r="W23" s="604"/>
      <c r="X23" s="604"/>
      <c r="Y23" s="604"/>
      <c r="Z23" s="603">
        <v>46149</v>
      </c>
      <c r="AA23" s="603"/>
      <c r="AB23" s="603"/>
      <c r="AC23" s="603"/>
      <c r="AD23" s="603"/>
      <c r="AE23" s="604">
        <v>46150</v>
      </c>
      <c r="AF23" s="604"/>
      <c r="AG23" s="604"/>
      <c r="AH23" s="604"/>
      <c r="AI23" s="604"/>
      <c r="AJ23" s="605">
        <v>46151</v>
      </c>
      <c r="AK23" s="606"/>
      <c r="AL23" s="606"/>
      <c r="AM23" s="606"/>
      <c r="AN23" s="607"/>
      <c r="AO23" s="604">
        <v>46152</v>
      </c>
      <c r="AP23" s="604"/>
      <c r="AQ23" s="604"/>
      <c r="AR23" s="604"/>
      <c r="AS23" s="604"/>
      <c r="AT23" s="605">
        <v>46153</v>
      </c>
      <c r="AU23" s="606"/>
      <c r="AV23" s="606"/>
      <c r="AW23" s="606"/>
      <c r="AX23" s="607"/>
    </row>
    <row r="24" spans="2:50" ht="14.25" customHeight="1">
      <c r="B24" s="590" t="s">
        <v>162</v>
      </c>
      <c r="C24" s="590" t="s">
        <v>157</v>
      </c>
      <c r="D24" s="590"/>
      <c r="E24" s="590" t="s">
        <v>158</v>
      </c>
      <c r="F24" s="590"/>
      <c r="G24" s="590"/>
      <c r="H24" s="590" t="s">
        <v>163</v>
      </c>
      <c r="I24" s="591" t="s">
        <v>370</v>
      </c>
      <c r="J24" s="591"/>
      <c r="K24" s="591"/>
      <c r="L24" s="591" t="s">
        <v>163</v>
      </c>
      <c r="M24" s="591" t="s">
        <v>165</v>
      </c>
      <c r="N24" s="590"/>
      <c r="O24" s="590" t="s">
        <v>164</v>
      </c>
      <c r="P24" s="590" t="s">
        <v>160</v>
      </c>
      <c r="Q24" s="590"/>
      <c r="R24" s="590"/>
      <c r="S24" s="590"/>
      <c r="T24" s="590" t="s">
        <v>163</v>
      </c>
      <c r="U24" s="590" t="s">
        <v>160</v>
      </c>
      <c r="V24" s="590"/>
      <c r="W24" s="590"/>
      <c r="X24" s="590"/>
      <c r="Y24" s="590" t="s">
        <v>163</v>
      </c>
      <c r="Z24" s="590" t="s">
        <v>160</v>
      </c>
      <c r="AA24" s="590"/>
      <c r="AB24" s="590"/>
      <c r="AC24" s="590"/>
      <c r="AD24" s="590" t="s">
        <v>163</v>
      </c>
      <c r="AE24" s="590" t="s">
        <v>160</v>
      </c>
      <c r="AF24" s="590"/>
      <c r="AG24" s="590"/>
      <c r="AH24" s="590"/>
      <c r="AI24" s="590" t="s">
        <v>163</v>
      </c>
      <c r="AJ24" s="590" t="s">
        <v>160</v>
      </c>
      <c r="AK24" s="590"/>
      <c r="AL24" s="590"/>
      <c r="AM24" s="590"/>
      <c r="AN24" s="590" t="s">
        <v>163</v>
      </c>
      <c r="AO24" s="590" t="s">
        <v>160</v>
      </c>
      <c r="AP24" s="590"/>
      <c r="AQ24" s="590"/>
      <c r="AR24" s="590"/>
      <c r="AS24" s="590" t="s">
        <v>163</v>
      </c>
      <c r="AT24" s="590" t="s">
        <v>160</v>
      </c>
      <c r="AU24" s="590"/>
      <c r="AV24" s="590"/>
      <c r="AW24" s="590"/>
      <c r="AX24" s="590" t="s">
        <v>163</v>
      </c>
    </row>
    <row r="25" spans="2:50" ht="14.25" customHeight="1">
      <c r="B25" s="590"/>
      <c r="C25" s="590"/>
      <c r="D25" s="590"/>
      <c r="E25" s="590" t="s">
        <v>371</v>
      </c>
      <c r="F25" s="590"/>
      <c r="G25" s="590"/>
      <c r="H25" s="590"/>
      <c r="I25" s="591" t="s">
        <v>371</v>
      </c>
      <c r="J25" s="591"/>
      <c r="K25" s="591"/>
      <c r="L25" s="591"/>
      <c r="M25" s="591"/>
      <c r="N25" s="590"/>
      <c r="O25" s="590"/>
      <c r="P25" s="590" t="s">
        <v>372</v>
      </c>
      <c r="Q25" s="590"/>
      <c r="R25" s="590"/>
      <c r="S25" s="590"/>
      <c r="T25" s="590"/>
      <c r="U25" s="590" t="s">
        <v>372</v>
      </c>
      <c r="V25" s="590"/>
      <c r="W25" s="590"/>
      <c r="X25" s="590"/>
      <c r="Y25" s="590"/>
      <c r="Z25" s="590" t="s">
        <v>372</v>
      </c>
      <c r="AA25" s="590"/>
      <c r="AB25" s="590"/>
      <c r="AC25" s="590"/>
      <c r="AD25" s="590"/>
      <c r="AE25" s="590" t="s">
        <v>372</v>
      </c>
      <c r="AF25" s="590"/>
      <c r="AG25" s="590"/>
      <c r="AH25" s="590"/>
      <c r="AI25" s="590"/>
      <c r="AJ25" s="590" t="s">
        <v>372</v>
      </c>
      <c r="AK25" s="590"/>
      <c r="AL25" s="590"/>
      <c r="AM25" s="590"/>
      <c r="AN25" s="590"/>
      <c r="AO25" s="590" t="s">
        <v>372</v>
      </c>
      <c r="AP25" s="590"/>
      <c r="AQ25" s="590"/>
      <c r="AR25" s="590"/>
      <c r="AS25" s="590"/>
      <c r="AT25" s="590" t="s">
        <v>372</v>
      </c>
      <c r="AU25" s="590"/>
      <c r="AV25" s="590"/>
      <c r="AW25" s="590"/>
      <c r="AX25" s="590"/>
    </row>
    <row r="26" spans="2:50" ht="14.25" customHeight="1">
      <c r="B26" s="590"/>
      <c r="C26" s="590"/>
      <c r="D26" s="590"/>
      <c r="E26" s="180" t="s">
        <v>159</v>
      </c>
      <c r="F26" s="180" t="s">
        <v>373</v>
      </c>
      <c r="G26" s="180" t="s">
        <v>161</v>
      </c>
      <c r="H26" s="590"/>
      <c r="I26" s="181" t="s">
        <v>159</v>
      </c>
      <c r="J26" s="181" t="s">
        <v>373</v>
      </c>
      <c r="K26" s="181" t="s">
        <v>161</v>
      </c>
      <c r="L26" s="591"/>
      <c r="M26" s="591"/>
      <c r="N26" s="590"/>
      <c r="O26" s="590"/>
      <c r="P26" s="180" t="s">
        <v>159</v>
      </c>
      <c r="Q26" s="180" t="s">
        <v>373</v>
      </c>
      <c r="R26" s="180" t="s">
        <v>161</v>
      </c>
      <c r="S26" s="182" t="s">
        <v>165</v>
      </c>
      <c r="T26" s="590"/>
      <c r="U26" s="180" t="s">
        <v>159</v>
      </c>
      <c r="V26" s="180" t="s">
        <v>373</v>
      </c>
      <c r="W26" s="180" t="s">
        <v>161</v>
      </c>
      <c r="X26" s="182" t="s">
        <v>165</v>
      </c>
      <c r="Y26" s="590"/>
      <c r="Z26" s="180" t="s">
        <v>159</v>
      </c>
      <c r="AA26" s="180" t="s">
        <v>373</v>
      </c>
      <c r="AB26" s="180" t="s">
        <v>161</v>
      </c>
      <c r="AC26" s="182" t="s">
        <v>165</v>
      </c>
      <c r="AD26" s="590"/>
      <c r="AE26" s="180" t="s">
        <v>159</v>
      </c>
      <c r="AF26" s="180" t="s">
        <v>373</v>
      </c>
      <c r="AG26" s="180" t="s">
        <v>161</v>
      </c>
      <c r="AH26" s="182" t="s">
        <v>165</v>
      </c>
      <c r="AI26" s="590"/>
      <c r="AJ26" s="180" t="s">
        <v>159</v>
      </c>
      <c r="AK26" s="180" t="s">
        <v>373</v>
      </c>
      <c r="AL26" s="180" t="s">
        <v>161</v>
      </c>
      <c r="AM26" s="182" t="s">
        <v>165</v>
      </c>
      <c r="AN26" s="590"/>
      <c r="AO26" s="180" t="s">
        <v>159</v>
      </c>
      <c r="AP26" s="180" t="s">
        <v>373</v>
      </c>
      <c r="AQ26" s="180" t="s">
        <v>161</v>
      </c>
      <c r="AR26" s="182" t="s">
        <v>165</v>
      </c>
      <c r="AS26" s="590"/>
      <c r="AT26" s="180" t="s">
        <v>159</v>
      </c>
      <c r="AU26" s="180" t="s">
        <v>373</v>
      </c>
      <c r="AV26" s="180" t="s">
        <v>161</v>
      </c>
      <c r="AW26" s="182" t="s">
        <v>165</v>
      </c>
      <c r="AX26" s="590"/>
    </row>
    <row r="27" spans="2:50" ht="14.25" customHeight="1">
      <c r="B27" s="590" t="s">
        <v>143</v>
      </c>
      <c r="C27" s="180">
        <v>1</v>
      </c>
      <c r="D27" s="183" t="s">
        <v>357</v>
      </c>
      <c r="E27" s="180">
        <v>13</v>
      </c>
      <c r="F27" s="180">
        <v>1200</v>
      </c>
      <c r="G27" s="185">
        <f t="shared" ref="G27" si="6">F27/E27</f>
        <v>92.307692307692307</v>
      </c>
      <c r="H27" s="595">
        <f>AVERAGE(G27:G41)</f>
        <v>92.307692307692307</v>
      </c>
      <c r="I27" s="186">
        <f>AVERAGE(P27,U27,Z27,AE27,AJ27,AO27,AT27)</f>
        <v>13</v>
      </c>
      <c r="J27" s="186">
        <f>AVERAGE(Q27,V27,AA27,AF27,AK27,AP27,AU27)</f>
        <v>1079.9056882246364</v>
      </c>
      <c r="K27" s="187">
        <f>AVERAGE(R27,W27,AB27,AG27,AL27,AQ27,AV27)</f>
        <v>83.069668324972028</v>
      </c>
      <c r="L27" s="596">
        <f>IFERROR(AVERAGE(K27:K41),"-")</f>
        <v>83.069668324972028</v>
      </c>
      <c r="M27" s="186">
        <f>RANK(K27, K$27:$K$41)</f>
        <v>1</v>
      </c>
      <c r="N27" s="590"/>
      <c r="O27" s="590"/>
      <c r="P27" s="188">
        <v>13</v>
      </c>
      <c r="Q27" s="188">
        <v>1080.3619098143236</v>
      </c>
      <c r="R27" s="185">
        <f>IFERROR(Q27/P27,"")</f>
        <v>83.104762293409507</v>
      </c>
      <c r="S27" s="182">
        <f>RANK(R27, R$27:R$41)</f>
        <v>1</v>
      </c>
      <c r="T27" s="595">
        <f>AVERAGE(R27:R41)</f>
        <v>83.104762293409507</v>
      </c>
      <c r="U27" s="188">
        <v>13</v>
      </c>
      <c r="V27" s="188">
        <v>1079.8819098143238</v>
      </c>
      <c r="W27" s="185">
        <f t="shared" ref="W27" si="7">IFERROR(V27/U27,"")</f>
        <v>83.067839216486448</v>
      </c>
      <c r="X27" s="182">
        <f>RANK(W27, W$27:W$41)</f>
        <v>1</v>
      </c>
      <c r="Y27" s="595">
        <f>AVERAGE(W27:W41)</f>
        <v>83.067839216486448</v>
      </c>
      <c r="Z27" s="188">
        <v>13</v>
      </c>
      <c r="AA27" s="188">
        <v>1079.6419098143238</v>
      </c>
      <c r="AB27" s="185">
        <f t="shared" ref="AB27" si="8">IFERROR(AA27/Z27,"")</f>
        <v>83.049377678024911</v>
      </c>
      <c r="AC27" s="182">
        <f>RANK(AB27, AB$27:AB$41)</f>
        <v>1</v>
      </c>
      <c r="AD27" s="595">
        <f>AVERAGE(AB27:AB41)</f>
        <v>83.049377678024911</v>
      </c>
      <c r="AE27" s="188">
        <v>13</v>
      </c>
      <c r="AF27" s="188">
        <v>1079.6535220323708</v>
      </c>
      <c r="AG27" s="185">
        <f>IFERROR(AF27/AE27,"")</f>
        <v>83.050270925566991</v>
      </c>
      <c r="AH27" s="182">
        <f>RANK(AG27, AG$27:AG$41)</f>
        <v>1</v>
      </c>
      <c r="AI27" s="595">
        <f>AVERAGE(AG27:AG41)</f>
        <v>83.050270925566991</v>
      </c>
      <c r="AJ27" s="188">
        <v>13</v>
      </c>
      <c r="AK27" s="188">
        <v>1080.1335220323708</v>
      </c>
      <c r="AL27" s="185">
        <f t="shared" ref="AL27" si="9">IFERROR(AK27/AJ27,"")</f>
        <v>83.087194002490065</v>
      </c>
      <c r="AM27" s="182">
        <f>RANK(AL27, AL$27:AL$41)</f>
        <v>1</v>
      </c>
      <c r="AN27" s="595">
        <f>AVERAGE(AL27:AL41)</f>
        <v>83.087194002490065</v>
      </c>
      <c r="AO27" s="188">
        <v>13</v>
      </c>
      <c r="AP27" s="188">
        <v>1080.0135220323709</v>
      </c>
      <c r="AQ27" s="185">
        <f t="shared" ref="AQ27" si="10">IFERROR(AP27/AO27,"")</f>
        <v>83.077963233259297</v>
      </c>
      <c r="AR27" s="182">
        <f>RANK(AQ27, AQ$27:AQ$41)</f>
        <v>1</v>
      </c>
      <c r="AS27" s="595">
        <f>AVERAGE(AQ27:AQ41)</f>
        <v>83.077963233259297</v>
      </c>
      <c r="AT27" s="188">
        <v>13</v>
      </c>
      <c r="AU27" s="188">
        <v>1079.653522032371</v>
      </c>
      <c r="AV27" s="185">
        <f t="shared" ref="AV27" si="11">IFERROR(AU27/AT27,"")</f>
        <v>83.050270925567006</v>
      </c>
      <c r="AW27" s="182">
        <f>RANK(AV27, AV$27:AV$41)</f>
        <v>1</v>
      </c>
      <c r="AX27" s="595">
        <f>AVERAGE(AV27:AV41)</f>
        <v>83.050270925567006</v>
      </c>
    </row>
    <row r="28" spans="2:50" ht="14.25" customHeight="1">
      <c r="B28" s="590"/>
      <c r="C28" s="180">
        <v>2</v>
      </c>
      <c r="D28" s="183"/>
      <c r="E28" s="180"/>
      <c r="F28" s="180"/>
      <c r="G28" s="185"/>
      <c r="H28" s="595"/>
      <c r="I28" s="186"/>
      <c r="J28" s="186"/>
      <c r="K28" s="187"/>
      <c r="L28" s="596"/>
      <c r="M28" s="186"/>
      <c r="N28" s="590"/>
      <c r="O28" s="590"/>
      <c r="P28" s="188"/>
      <c r="Q28" s="188"/>
      <c r="R28" s="185"/>
      <c r="S28" s="182"/>
      <c r="T28" s="595"/>
      <c r="U28" s="188"/>
      <c r="V28" s="188"/>
      <c r="W28" s="185"/>
      <c r="X28" s="182"/>
      <c r="Y28" s="595"/>
      <c r="Z28" s="188"/>
      <c r="AA28" s="188"/>
      <c r="AB28" s="185"/>
      <c r="AC28" s="182"/>
      <c r="AD28" s="595"/>
      <c r="AE28" s="188"/>
      <c r="AF28" s="188"/>
      <c r="AG28" s="185"/>
      <c r="AH28" s="182"/>
      <c r="AI28" s="595"/>
      <c r="AJ28" s="188"/>
      <c r="AK28" s="188"/>
      <c r="AL28" s="185"/>
      <c r="AM28" s="182"/>
      <c r="AN28" s="595"/>
      <c r="AO28" s="188"/>
      <c r="AP28" s="188"/>
      <c r="AQ28" s="185"/>
      <c r="AR28" s="182"/>
      <c r="AS28" s="595"/>
      <c r="AT28" s="188"/>
      <c r="AU28" s="188"/>
      <c r="AV28" s="185"/>
      <c r="AW28" s="182"/>
      <c r="AX28" s="595"/>
    </row>
    <row r="29" spans="2:50" ht="14.25" customHeight="1">
      <c r="B29" s="590"/>
      <c r="C29" s="180">
        <v>3</v>
      </c>
      <c r="D29" s="183"/>
      <c r="E29" s="180"/>
      <c r="F29" s="180"/>
      <c r="G29" s="185"/>
      <c r="H29" s="595"/>
      <c r="I29" s="186"/>
      <c r="J29" s="186"/>
      <c r="K29" s="187"/>
      <c r="L29" s="596"/>
      <c r="M29" s="186"/>
      <c r="N29" s="590"/>
      <c r="O29" s="590"/>
      <c r="P29" s="188"/>
      <c r="Q29" s="188"/>
      <c r="R29" s="185"/>
      <c r="S29" s="182"/>
      <c r="T29" s="595"/>
      <c r="U29" s="188"/>
      <c r="V29" s="188"/>
      <c r="W29" s="185"/>
      <c r="X29" s="182"/>
      <c r="Y29" s="595"/>
      <c r="Z29" s="188"/>
      <c r="AA29" s="188"/>
      <c r="AB29" s="185"/>
      <c r="AC29" s="182"/>
      <c r="AD29" s="595"/>
      <c r="AE29" s="188"/>
      <c r="AF29" s="188"/>
      <c r="AG29" s="185"/>
      <c r="AH29" s="182"/>
      <c r="AI29" s="595"/>
      <c r="AJ29" s="188"/>
      <c r="AK29" s="188"/>
      <c r="AL29" s="185"/>
      <c r="AM29" s="182"/>
      <c r="AN29" s="595"/>
      <c r="AO29" s="188"/>
      <c r="AP29" s="188"/>
      <c r="AQ29" s="185"/>
      <c r="AR29" s="182"/>
      <c r="AS29" s="595"/>
      <c r="AT29" s="188"/>
      <c r="AU29" s="188"/>
      <c r="AV29" s="185"/>
      <c r="AW29" s="182"/>
      <c r="AX29" s="595"/>
    </row>
    <row r="30" spans="2:50" ht="14.25" customHeight="1">
      <c r="B30" s="590"/>
      <c r="C30" s="180">
        <v>4</v>
      </c>
      <c r="D30" s="183"/>
      <c r="E30" s="180"/>
      <c r="F30" s="180"/>
      <c r="G30" s="185"/>
      <c r="H30" s="595"/>
      <c r="I30" s="186"/>
      <c r="J30" s="186"/>
      <c r="K30" s="187"/>
      <c r="L30" s="596"/>
      <c r="M30" s="186"/>
      <c r="N30" s="590"/>
      <c r="O30" s="590"/>
      <c r="P30" s="188"/>
      <c r="Q30" s="188"/>
      <c r="R30" s="185"/>
      <c r="S30" s="182"/>
      <c r="T30" s="595"/>
      <c r="U30" s="188"/>
      <c r="V30" s="188"/>
      <c r="W30" s="185"/>
      <c r="X30" s="182"/>
      <c r="Y30" s="595"/>
      <c r="Z30" s="188"/>
      <c r="AA30" s="188"/>
      <c r="AB30" s="185"/>
      <c r="AC30" s="182"/>
      <c r="AD30" s="595"/>
      <c r="AE30" s="188"/>
      <c r="AF30" s="188"/>
      <c r="AG30" s="185"/>
      <c r="AH30" s="182"/>
      <c r="AI30" s="595"/>
      <c r="AJ30" s="188"/>
      <c r="AK30" s="188"/>
      <c r="AL30" s="185"/>
      <c r="AM30" s="182"/>
      <c r="AN30" s="595"/>
      <c r="AO30" s="188"/>
      <c r="AP30" s="188"/>
      <c r="AQ30" s="185"/>
      <c r="AR30" s="182"/>
      <c r="AS30" s="595"/>
      <c r="AT30" s="188"/>
      <c r="AU30" s="188"/>
      <c r="AV30" s="185"/>
      <c r="AW30" s="182"/>
      <c r="AX30" s="595"/>
    </row>
    <row r="31" spans="2:50" ht="14.25" customHeight="1">
      <c r="B31" s="590"/>
      <c r="C31" s="180">
        <v>5</v>
      </c>
      <c r="D31" s="183"/>
      <c r="E31" s="180"/>
      <c r="F31" s="180"/>
      <c r="G31" s="185"/>
      <c r="H31" s="595"/>
      <c r="I31" s="186"/>
      <c r="J31" s="186"/>
      <c r="K31" s="187"/>
      <c r="L31" s="596"/>
      <c r="M31" s="186"/>
      <c r="N31" s="590"/>
      <c r="O31" s="590"/>
      <c r="P31" s="188"/>
      <c r="Q31" s="188"/>
      <c r="R31" s="185"/>
      <c r="S31" s="182"/>
      <c r="T31" s="595"/>
      <c r="U31" s="188"/>
      <c r="V31" s="188"/>
      <c r="W31" s="185"/>
      <c r="X31" s="182"/>
      <c r="Y31" s="595"/>
      <c r="Z31" s="188"/>
      <c r="AA31" s="188"/>
      <c r="AB31" s="185"/>
      <c r="AC31" s="182"/>
      <c r="AD31" s="595"/>
      <c r="AE31" s="188"/>
      <c r="AF31" s="188"/>
      <c r="AG31" s="185"/>
      <c r="AH31" s="182"/>
      <c r="AI31" s="595"/>
      <c r="AJ31" s="188"/>
      <c r="AK31" s="188"/>
      <c r="AL31" s="185"/>
      <c r="AM31" s="182"/>
      <c r="AN31" s="595"/>
      <c r="AO31" s="188"/>
      <c r="AP31" s="188"/>
      <c r="AQ31" s="185"/>
      <c r="AR31" s="182"/>
      <c r="AS31" s="595"/>
      <c r="AT31" s="188"/>
      <c r="AU31" s="188"/>
      <c r="AV31" s="185"/>
      <c r="AW31" s="182"/>
      <c r="AX31" s="595"/>
    </row>
    <row r="32" spans="2:50" ht="14.25" customHeight="1">
      <c r="B32" s="590"/>
      <c r="C32" s="180">
        <v>6</v>
      </c>
      <c r="D32" s="183"/>
      <c r="E32" s="180"/>
      <c r="F32" s="180"/>
      <c r="G32" s="185"/>
      <c r="H32" s="595"/>
      <c r="I32" s="186"/>
      <c r="J32" s="186"/>
      <c r="K32" s="187"/>
      <c r="L32" s="596"/>
      <c r="M32" s="186"/>
      <c r="N32" s="590"/>
      <c r="O32" s="590"/>
      <c r="P32" s="188"/>
      <c r="Q32" s="188"/>
      <c r="R32" s="185"/>
      <c r="S32" s="182"/>
      <c r="T32" s="595"/>
      <c r="U32" s="188"/>
      <c r="V32" s="188"/>
      <c r="W32" s="185"/>
      <c r="X32" s="182"/>
      <c r="Y32" s="595"/>
      <c r="Z32" s="188"/>
      <c r="AA32" s="188"/>
      <c r="AB32" s="185"/>
      <c r="AC32" s="182"/>
      <c r="AD32" s="595"/>
      <c r="AE32" s="188"/>
      <c r="AF32" s="188"/>
      <c r="AG32" s="185"/>
      <c r="AH32" s="182"/>
      <c r="AI32" s="595"/>
      <c r="AJ32" s="188"/>
      <c r="AK32" s="188"/>
      <c r="AL32" s="185"/>
      <c r="AM32" s="182"/>
      <c r="AN32" s="595"/>
      <c r="AO32" s="188"/>
      <c r="AP32" s="188"/>
      <c r="AQ32" s="185"/>
      <c r="AR32" s="182"/>
      <c r="AS32" s="595"/>
      <c r="AT32" s="188"/>
      <c r="AU32" s="188"/>
      <c r="AV32" s="185"/>
      <c r="AW32" s="182"/>
      <c r="AX32" s="595"/>
    </row>
    <row r="33" spans="2:50" ht="14.25" customHeight="1">
      <c r="B33" s="590"/>
      <c r="C33" s="180">
        <v>7</v>
      </c>
      <c r="D33" s="183"/>
      <c r="E33" s="180"/>
      <c r="F33" s="180"/>
      <c r="G33" s="185"/>
      <c r="H33" s="595"/>
      <c r="I33" s="186"/>
      <c r="J33" s="186"/>
      <c r="K33" s="187"/>
      <c r="L33" s="596"/>
      <c r="M33" s="186"/>
      <c r="N33" s="590"/>
      <c r="O33" s="590"/>
      <c r="P33" s="188"/>
      <c r="Q33" s="188"/>
      <c r="R33" s="185"/>
      <c r="S33" s="182"/>
      <c r="T33" s="595"/>
      <c r="U33" s="188"/>
      <c r="V33" s="188"/>
      <c r="W33" s="185"/>
      <c r="X33" s="182"/>
      <c r="Y33" s="595"/>
      <c r="Z33" s="188"/>
      <c r="AA33" s="188"/>
      <c r="AB33" s="185"/>
      <c r="AC33" s="182"/>
      <c r="AD33" s="595"/>
      <c r="AE33" s="188"/>
      <c r="AF33" s="188"/>
      <c r="AG33" s="185"/>
      <c r="AH33" s="182"/>
      <c r="AI33" s="595"/>
      <c r="AJ33" s="188"/>
      <c r="AK33" s="188"/>
      <c r="AL33" s="185"/>
      <c r="AM33" s="182"/>
      <c r="AN33" s="595"/>
      <c r="AO33" s="188"/>
      <c r="AP33" s="188"/>
      <c r="AQ33" s="185"/>
      <c r="AR33" s="182"/>
      <c r="AS33" s="595"/>
      <c r="AT33" s="188"/>
      <c r="AU33" s="188"/>
      <c r="AV33" s="185"/>
      <c r="AW33" s="182"/>
      <c r="AX33" s="595"/>
    </row>
    <row r="34" spans="2:50" ht="14.25" customHeight="1">
      <c r="B34" s="590"/>
      <c r="C34" s="180">
        <v>8</v>
      </c>
      <c r="D34" s="183"/>
      <c r="E34" s="180"/>
      <c r="F34" s="180"/>
      <c r="G34" s="185"/>
      <c r="H34" s="595"/>
      <c r="I34" s="186"/>
      <c r="J34" s="186"/>
      <c r="K34" s="187"/>
      <c r="L34" s="596"/>
      <c r="M34" s="186"/>
      <c r="N34" s="590"/>
      <c r="O34" s="590"/>
      <c r="P34" s="188"/>
      <c r="Q34" s="188"/>
      <c r="R34" s="185"/>
      <c r="S34" s="182"/>
      <c r="T34" s="595"/>
      <c r="U34" s="188"/>
      <c r="V34" s="188"/>
      <c r="W34" s="185"/>
      <c r="X34" s="182"/>
      <c r="Y34" s="595"/>
      <c r="Z34" s="188"/>
      <c r="AA34" s="188"/>
      <c r="AB34" s="185"/>
      <c r="AC34" s="182"/>
      <c r="AD34" s="595"/>
      <c r="AE34" s="188"/>
      <c r="AF34" s="188"/>
      <c r="AG34" s="185"/>
      <c r="AH34" s="182"/>
      <c r="AI34" s="595"/>
      <c r="AJ34" s="188"/>
      <c r="AK34" s="188"/>
      <c r="AL34" s="185"/>
      <c r="AM34" s="182"/>
      <c r="AN34" s="595"/>
      <c r="AO34" s="188"/>
      <c r="AP34" s="188"/>
      <c r="AQ34" s="185"/>
      <c r="AR34" s="182"/>
      <c r="AS34" s="595"/>
      <c r="AT34" s="188"/>
      <c r="AU34" s="188"/>
      <c r="AV34" s="185"/>
      <c r="AW34" s="182"/>
      <c r="AX34" s="595"/>
    </row>
    <row r="35" spans="2:50" ht="14.25" customHeight="1">
      <c r="B35" s="590"/>
      <c r="C35" s="180">
        <v>9</v>
      </c>
      <c r="D35" s="183"/>
      <c r="E35" s="180"/>
      <c r="F35" s="180"/>
      <c r="G35" s="185"/>
      <c r="H35" s="595"/>
      <c r="I35" s="186"/>
      <c r="J35" s="186"/>
      <c r="K35" s="187"/>
      <c r="L35" s="596"/>
      <c r="M35" s="186"/>
      <c r="N35" s="590"/>
      <c r="O35" s="590"/>
      <c r="P35" s="188"/>
      <c r="Q35" s="188"/>
      <c r="R35" s="185"/>
      <c r="S35" s="182"/>
      <c r="T35" s="595"/>
      <c r="U35" s="188"/>
      <c r="V35" s="188"/>
      <c r="W35" s="185"/>
      <c r="X35" s="182"/>
      <c r="Y35" s="595"/>
      <c r="Z35" s="188"/>
      <c r="AA35" s="188"/>
      <c r="AB35" s="185"/>
      <c r="AC35" s="182"/>
      <c r="AD35" s="595"/>
      <c r="AE35" s="188"/>
      <c r="AF35" s="188"/>
      <c r="AG35" s="185"/>
      <c r="AH35" s="182"/>
      <c r="AI35" s="595"/>
      <c r="AJ35" s="188"/>
      <c r="AK35" s="188"/>
      <c r="AL35" s="185"/>
      <c r="AM35" s="182"/>
      <c r="AN35" s="595"/>
      <c r="AO35" s="188"/>
      <c r="AP35" s="188"/>
      <c r="AQ35" s="185"/>
      <c r="AR35" s="182"/>
      <c r="AS35" s="595"/>
      <c r="AT35" s="188"/>
      <c r="AU35" s="188"/>
      <c r="AV35" s="185"/>
      <c r="AW35" s="182"/>
      <c r="AX35" s="595"/>
    </row>
    <row r="36" spans="2:50" ht="14.25" customHeight="1">
      <c r="B36" s="590"/>
      <c r="C36" s="180">
        <v>10</v>
      </c>
      <c r="D36" s="183"/>
      <c r="E36" s="180"/>
      <c r="F36" s="180"/>
      <c r="G36" s="185"/>
      <c r="H36" s="595"/>
      <c r="I36" s="186"/>
      <c r="J36" s="186"/>
      <c r="K36" s="187"/>
      <c r="L36" s="596"/>
      <c r="M36" s="186"/>
      <c r="N36" s="590"/>
      <c r="O36" s="590"/>
      <c r="P36" s="188"/>
      <c r="Q36" s="188"/>
      <c r="R36" s="185"/>
      <c r="S36" s="182"/>
      <c r="T36" s="595"/>
      <c r="U36" s="188"/>
      <c r="V36" s="188"/>
      <c r="W36" s="185"/>
      <c r="X36" s="182"/>
      <c r="Y36" s="595"/>
      <c r="Z36" s="188"/>
      <c r="AA36" s="188"/>
      <c r="AB36" s="185"/>
      <c r="AC36" s="182"/>
      <c r="AD36" s="595"/>
      <c r="AE36" s="188"/>
      <c r="AF36" s="188"/>
      <c r="AG36" s="185"/>
      <c r="AH36" s="182"/>
      <c r="AI36" s="595"/>
      <c r="AJ36" s="188"/>
      <c r="AK36" s="188"/>
      <c r="AL36" s="185"/>
      <c r="AM36" s="182"/>
      <c r="AN36" s="595"/>
      <c r="AO36" s="188"/>
      <c r="AP36" s="188"/>
      <c r="AQ36" s="185"/>
      <c r="AR36" s="182"/>
      <c r="AS36" s="595"/>
      <c r="AT36" s="188"/>
      <c r="AU36" s="188"/>
      <c r="AV36" s="185"/>
      <c r="AW36" s="182"/>
      <c r="AX36" s="595"/>
    </row>
    <row r="37" spans="2:50" ht="14.25" customHeight="1">
      <c r="B37" s="590"/>
      <c r="C37" s="180">
        <v>11</v>
      </c>
      <c r="D37" s="183"/>
      <c r="E37" s="180"/>
      <c r="F37" s="180"/>
      <c r="G37" s="185"/>
      <c r="H37" s="595"/>
      <c r="I37" s="186"/>
      <c r="J37" s="186"/>
      <c r="K37" s="187"/>
      <c r="L37" s="596"/>
      <c r="M37" s="186"/>
      <c r="N37" s="590"/>
      <c r="O37" s="590"/>
      <c r="P37" s="188"/>
      <c r="Q37" s="188"/>
      <c r="R37" s="185"/>
      <c r="S37" s="182"/>
      <c r="T37" s="595"/>
      <c r="U37" s="188"/>
      <c r="V37" s="188"/>
      <c r="W37" s="185"/>
      <c r="X37" s="182"/>
      <c r="Y37" s="595"/>
      <c r="Z37" s="188"/>
      <c r="AA37" s="188"/>
      <c r="AB37" s="185"/>
      <c r="AC37" s="182"/>
      <c r="AD37" s="595"/>
      <c r="AE37" s="188"/>
      <c r="AF37" s="188"/>
      <c r="AG37" s="185"/>
      <c r="AH37" s="182"/>
      <c r="AI37" s="595"/>
      <c r="AJ37" s="188"/>
      <c r="AK37" s="188"/>
      <c r="AL37" s="185"/>
      <c r="AM37" s="182"/>
      <c r="AN37" s="595"/>
      <c r="AO37" s="188"/>
      <c r="AP37" s="188"/>
      <c r="AQ37" s="185"/>
      <c r="AR37" s="182"/>
      <c r="AS37" s="595"/>
      <c r="AT37" s="188"/>
      <c r="AU37" s="188"/>
      <c r="AV37" s="185"/>
      <c r="AW37" s="182"/>
      <c r="AX37" s="595"/>
    </row>
    <row r="38" spans="2:50" ht="14.25" customHeight="1">
      <c r="B38" s="590"/>
      <c r="C38" s="180">
        <v>12</v>
      </c>
      <c r="D38" s="183"/>
      <c r="E38" s="180"/>
      <c r="F38" s="180"/>
      <c r="G38" s="185"/>
      <c r="H38" s="595"/>
      <c r="I38" s="186"/>
      <c r="J38" s="186"/>
      <c r="K38" s="187"/>
      <c r="L38" s="596"/>
      <c r="M38" s="186"/>
      <c r="N38" s="590"/>
      <c r="O38" s="590"/>
      <c r="P38" s="188"/>
      <c r="Q38" s="188"/>
      <c r="R38" s="185"/>
      <c r="S38" s="182"/>
      <c r="T38" s="595"/>
      <c r="U38" s="188"/>
      <c r="V38" s="188"/>
      <c r="W38" s="185"/>
      <c r="X38" s="182"/>
      <c r="Y38" s="595"/>
      <c r="Z38" s="188"/>
      <c r="AA38" s="188"/>
      <c r="AB38" s="185"/>
      <c r="AC38" s="182"/>
      <c r="AD38" s="595"/>
      <c r="AE38" s="188"/>
      <c r="AF38" s="188"/>
      <c r="AG38" s="185"/>
      <c r="AH38" s="182"/>
      <c r="AI38" s="595"/>
      <c r="AJ38" s="188"/>
      <c r="AK38" s="188"/>
      <c r="AL38" s="185"/>
      <c r="AM38" s="182"/>
      <c r="AN38" s="595"/>
      <c r="AO38" s="188"/>
      <c r="AP38" s="188"/>
      <c r="AQ38" s="185"/>
      <c r="AR38" s="182"/>
      <c r="AS38" s="595"/>
      <c r="AT38" s="188"/>
      <c r="AU38" s="188"/>
      <c r="AV38" s="185"/>
      <c r="AW38" s="182"/>
      <c r="AX38" s="595"/>
    </row>
    <row r="39" spans="2:50" ht="14.25" customHeight="1">
      <c r="B39" s="590"/>
      <c r="C39" s="180">
        <v>13</v>
      </c>
      <c r="D39" s="183"/>
      <c r="E39" s="180"/>
      <c r="F39" s="180"/>
      <c r="G39" s="185"/>
      <c r="H39" s="595"/>
      <c r="I39" s="186"/>
      <c r="J39" s="186"/>
      <c r="K39" s="187"/>
      <c r="L39" s="596"/>
      <c r="M39" s="186"/>
      <c r="N39" s="590"/>
      <c r="O39" s="590"/>
      <c r="P39" s="188"/>
      <c r="Q39" s="188"/>
      <c r="R39" s="185"/>
      <c r="S39" s="182"/>
      <c r="T39" s="595"/>
      <c r="U39" s="188"/>
      <c r="V39" s="188"/>
      <c r="W39" s="185"/>
      <c r="X39" s="182"/>
      <c r="Y39" s="595"/>
      <c r="Z39" s="188"/>
      <c r="AA39" s="188"/>
      <c r="AB39" s="185"/>
      <c r="AC39" s="182"/>
      <c r="AD39" s="595"/>
      <c r="AE39" s="188"/>
      <c r="AF39" s="188"/>
      <c r="AG39" s="185"/>
      <c r="AH39" s="182"/>
      <c r="AI39" s="595"/>
      <c r="AJ39" s="188"/>
      <c r="AK39" s="188"/>
      <c r="AL39" s="185"/>
      <c r="AM39" s="182"/>
      <c r="AN39" s="595"/>
      <c r="AO39" s="188"/>
      <c r="AP39" s="188"/>
      <c r="AQ39" s="185"/>
      <c r="AR39" s="182"/>
      <c r="AS39" s="595"/>
      <c r="AT39" s="188"/>
      <c r="AU39" s="188"/>
      <c r="AV39" s="185"/>
      <c r="AW39" s="182"/>
      <c r="AX39" s="595"/>
    </row>
    <row r="40" spans="2:50" ht="14.25" customHeight="1">
      <c r="B40" s="590"/>
      <c r="C40" s="180">
        <v>14</v>
      </c>
      <c r="D40" s="183"/>
      <c r="E40" s="180"/>
      <c r="F40" s="180"/>
      <c r="G40" s="185"/>
      <c r="H40" s="595"/>
      <c r="I40" s="186"/>
      <c r="J40" s="186"/>
      <c r="K40" s="187"/>
      <c r="L40" s="596"/>
      <c r="M40" s="186"/>
      <c r="N40" s="590"/>
      <c r="O40" s="590"/>
      <c r="P40" s="188"/>
      <c r="Q40" s="188"/>
      <c r="R40" s="185"/>
      <c r="S40" s="182"/>
      <c r="T40" s="595"/>
      <c r="U40" s="188"/>
      <c r="V40" s="188"/>
      <c r="W40" s="185"/>
      <c r="X40" s="182"/>
      <c r="Y40" s="595"/>
      <c r="Z40" s="188"/>
      <c r="AA40" s="188"/>
      <c r="AB40" s="185"/>
      <c r="AC40" s="182"/>
      <c r="AD40" s="595"/>
      <c r="AE40" s="188"/>
      <c r="AF40" s="188"/>
      <c r="AG40" s="185"/>
      <c r="AH40" s="182"/>
      <c r="AI40" s="595"/>
      <c r="AJ40" s="188"/>
      <c r="AK40" s="188"/>
      <c r="AL40" s="185"/>
      <c r="AM40" s="182"/>
      <c r="AN40" s="595"/>
      <c r="AO40" s="188"/>
      <c r="AP40" s="188"/>
      <c r="AQ40" s="185"/>
      <c r="AR40" s="182"/>
      <c r="AS40" s="595"/>
      <c r="AT40" s="188"/>
      <c r="AU40" s="188"/>
      <c r="AV40" s="185"/>
      <c r="AW40" s="182"/>
      <c r="AX40" s="595"/>
    </row>
    <row r="41" spans="2:50" ht="14.25" customHeight="1">
      <c r="B41" s="590"/>
      <c r="C41" s="180">
        <v>15</v>
      </c>
      <c r="D41" s="183"/>
      <c r="E41" s="180"/>
      <c r="F41" s="180"/>
      <c r="G41" s="185"/>
      <c r="H41" s="595"/>
      <c r="I41" s="186"/>
      <c r="J41" s="186"/>
      <c r="K41" s="187"/>
      <c r="L41" s="596"/>
      <c r="M41" s="186"/>
      <c r="N41" s="590"/>
      <c r="O41" s="590"/>
      <c r="P41" s="188"/>
      <c r="Q41" s="188"/>
      <c r="R41" s="185"/>
      <c r="S41" s="182"/>
      <c r="T41" s="595"/>
      <c r="U41" s="188"/>
      <c r="V41" s="188"/>
      <c r="W41" s="185"/>
      <c r="X41" s="182"/>
      <c r="Y41" s="595"/>
      <c r="Z41" s="188"/>
      <c r="AA41" s="188"/>
      <c r="AB41" s="185"/>
      <c r="AC41" s="182"/>
      <c r="AD41" s="595"/>
      <c r="AE41" s="188"/>
      <c r="AF41" s="188"/>
      <c r="AG41" s="185"/>
      <c r="AH41" s="182"/>
      <c r="AI41" s="595"/>
      <c r="AJ41" s="188"/>
      <c r="AK41" s="188"/>
      <c r="AL41" s="185"/>
      <c r="AM41" s="182"/>
      <c r="AN41" s="595"/>
      <c r="AO41" s="188"/>
      <c r="AP41" s="188"/>
      <c r="AQ41" s="185"/>
      <c r="AR41" s="182"/>
      <c r="AS41" s="595"/>
      <c r="AT41" s="188"/>
      <c r="AU41" s="188"/>
      <c r="AV41" s="185"/>
      <c r="AW41" s="182"/>
      <c r="AX41" s="595"/>
    </row>
  </sheetData>
  <mergeCells count="118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R54"/>
  <sheetViews>
    <sheetView view="pageBreakPreview" topLeftCell="A27" zoomScale="115" zoomScaleNormal="60" zoomScaleSheetLayoutView="115" workbookViewId="0">
      <selection activeCell="M29" sqref="A29:XFD30"/>
    </sheetView>
  </sheetViews>
  <sheetFormatPr defaultColWidth="12.54296875" defaultRowHeight="15.75" customHeight="1"/>
  <cols>
    <col min="1" max="1" width="6.453125" style="189" customWidth="1"/>
    <col min="2" max="10" width="11.54296875" style="189" customWidth="1"/>
    <col min="11" max="11" width="12.81640625" style="189" customWidth="1"/>
    <col min="12" max="12" width="41.81640625" style="189" customWidth="1"/>
    <col min="13" max="13" width="12.54296875" style="190"/>
    <col min="14" max="16384" width="12.54296875" style="189"/>
  </cols>
  <sheetData>
    <row r="1" spans="1:18" ht="15.75" customHeight="1">
      <c r="A1" s="508" t="s">
        <v>378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189"/>
    </row>
    <row r="2" spans="1:18" s="19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</row>
    <row r="3" spans="1:18" ht="15.75" customHeight="1">
      <c r="A3" s="615" t="s">
        <v>651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189"/>
    </row>
    <row r="4" spans="1:18" s="190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8" s="178" customFormat="1" ht="15.75" customHeight="1">
      <c r="A5" s="616" t="s">
        <v>162</v>
      </c>
      <c r="B5" s="191">
        <v>1</v>
      </c>
      <c r="C5" s="191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ht="16.399999999999999" customHeight="1">
      <c r="A6" s="616"/>
      <c r="B6" s="194" t="s">
        <v>206</v>
      </c>
      <c r="C6" s="194" t="s">
        <v>155</v>
      </c>
      <c r="D6" s="195" t="s">
        <v>207</v>
      </c>
      <c r="E6" s="195" t="s">
        <v>156</v>
      </c>
      <c r="F6" s="195" t="s">
        <v>350</v>
      </c>
      <c r="G6" s="196" t="s">
        <v>136</v>
      </c>
      <c r="H6" s="197" t="s">
        <v>208</v>
      </c>
      <c r="I6" s="196" t="s">
        <v>379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78" customFormat="1" ht="15.75" customHeight="1">
      <c r="A7" s="617" t="s">
        <v>188</v>
      </c>
      <c r="B7" s="617"/>
      <c r="C7" s="160" t="s">
        <v>47</v>
      </c>
      <c r="D7" s="617" t="s">
        <v>12</v>
      </c>
      <c r="E7" s="618"/>
      <c r="F7" s="618"/>
      <c r="G7" s="160" t="s">
        <v>46</v>
      </c>
      <c r="H7" s="160" t="s">
        <v>380</v>
      </c>
      <c r="I7" s="160" t="s">
        <v>381</v>
      </c>
      <c r="J7" s="160" t="s">
        <v>332</v>
      </c>
      <c r="K7" s="617" t="s">
        <v>51</v>
      </c>
      <c r="L7" s="618"/>
      <c r="M7" s="193"/>
      <c r="N7" s="189"/>
      <c r="P7" s="401"/>
      <c r="Q7" s="401"/>
    </row>
    <row r="8" spans="1:18" ht="15.75" customHeight="1">
      <c r="A8" s="616">
        <v>1</v>
      </c>
      <c r="B8" s="617" t="s">
        <v>382</v>
      </c>
      <c r="C8" s="200">
        <v>1</v>
      </c>
      <c r="D8" s="619" t="s">
        <v>442</v>
      </c>
      <c r="E8" s="620"/>
      <c r="F8" s="620"/>
      <c r="G8" s="200">
        <v>3</v>
      </c>
      <c r="H8" s="202">
        <v>3197.8218985103836</v>
      </c>
      <c r="I8" s="203">
        <v>1065.9406328367945</v>
      </c>
      <c r="J8" s="221">
        <v>4.5467731117230414</v>
      </c>
      <c r="K8" s="619" t="s">
        <v>435</v>
      </c>
      <c r="L8" s="620"/>
      <c r="O8" s="178"/>
      <c r="P8" s="401"/>
      <c r="Q8" s="401"/>
      <c r="R8" s="178"/>
    </row>
    <row r="9" spans="1:18" ht="15.75" customHeight="1">
      <c r="A9" s="616"/>
      <c r="B9" s="617"/>
      <c r="C9" s="200">
        <v>2</v>
      </c>
      <c r="D9" s="619" t="s">
        <v>405</v>
      </c>
      <c r="E9" s="620"/>
      <c r="F9" s="620"/>
      <c r="G9" s="200">
        <v>3</v>
      </c>
      <c r="H9" s="202">
        <v>3185.6387703594528</v>
      </c>
      <c r="I9" s="203">
        <v>1061.8795901198175</v>
      </c>
      <c r="J9" s="221">
        <v>1.4437639744035096</v>
      </c>
      <c r="K9" s="619" t="s">
        <v>435</v>
      </c>
      <c r="L9" s="620"/>
      <c r="N9" s="178"/>
      <c r="O9" s="178"/>
      <c r="P9" s="401"/>
      <c r="Q9" s="401"/>
      <c r="R9" s="178"/>
    </row>
    <row r="10" spans="1:18" ht="15.75" customHeight="1">
      <c r="A10" s="616"/>
      <c r="B10" s="617"/>
      <c r="C10" s="200">
        <v>3</v>
      </c>
      <c r="D10" s="619" t="s">
        <v>640</v>
      </c>
      <c r="E10" s="620"/>
      <c r="F10" s="620"/>
      <c r="G10" s="200">
        <v>3</v>
      </c>
      <c r="H10" s="202">
        <v>3185.0187331314569</v>
      </c>
      <c r="I10" s="203">
        <v>1061.6729110438189</v>
      </c>
      <c r="J10" s="221"/>
      <c r="K10" s="619" t="s">
        <v>435</v>
      </c>
      <c r="L10" s="620"/>
      <c r="N10" s="178"/>
      <c r="O10" s="178"/>
      <c r="P10" s="401"/>
      <c r="Q10" s="401"/>
      <c r="R10" s="178"/>
    </row>
    <row r="11" spans="1:18" ht="15.75" customHeight="1">
      <c r="A11" s="616"/>
      <c r="B11" s="617"/>
      <c r="C11" s="200">
        <v>4</v>
      </c>
      <c r="D11" s="619" t="s">
        <v>396</v>
      </c>
      <c r="E11" s="620"/>
      <c r="F11" s="620"/>
      <c r="G11" s="200">
        <v>3</v>
      </c>
      <c r="H11" s="202">
        <v>3183.4373359286051</v>
      </c>
      <c r="I11" s="203">
        <v>1061.1457786428687</v>
      </c>
      <c r="J11" s="221"/>
      <c r="K11" s="619" t="s">
        <v>435</v>
      </c>
      <c r="L11" s="620"/>
      <c r="N11" s="178"/>
      <c r="O11" s="178"/>
      <c r="P11" s="401"/>
      <c r="Q11" s="401"/>
      <c r="R11" s="178"/>
    </row>
    <row r="12" spans="1:18" ht="15.75" customHeight="1">
      <c r="A12" s="616"/>
      <c r="B12" s="617"/>
      <c r="C12" s="200">
        <v>5</v>
      </c>
      <c r="D12" s="619" t="s">
        <v>394</v>
      </c>
      <c r="E12" s="620"/>
      <c r="F12" s="620"/>
      <c r="G12" s="200">
        <v>3</v>
      </c>
      <c r="H12" s="202">
        <v>3183.2040007317141</v>
      </c>
      <c r="I12" s="203">
        <v>1061.0680002439046</v>
      </c>
      <c r="J12" s="221">
        <v>1.7374658165542769</v>
      </c>
      <c r="K12" s="619" t="s">
        <v>435</v>
      </c>
      <c r="L12" s="620"/>
      <c r="N12" s="178"/>
      <c r="O12" s="178"/>
      <c r="P12" s="401"/>
      <c r="Q12" s="401"/>
      <c r="R12" s="178"/>
    </row>
    <row r="13" spans="1:18" ht="15.75" customHeight="1">
      <c r="A13" s="616"/>
      <c r="B13" s="617"/>
      <c r="C13" s="204" t="s">
        <v>204</v>
      </c>
      <c r="D13" s="620" t="s">
        <v>525</v>
      </c>
      <c r="E13" s="620"/>
      <c r="F13" s="620"/>
      <c r="G13" s="201">
        <v>13</v>
      </c>
      <c r="H13" s="205">
        <v>3262.7767640778516</v>
      </c>
      <c r="I13" s="206">
        <v>250.98282800598855</v>
      </c>
      <c r="J13" s="221">
        <v>0.2340354234094093</v>
      </c>
      <c r="K13" s="619" t="s">
        <v>435</v>
      </c>
      <c r="L13" s="620"/>
      <c r="N13" s="178"/>
      <c r="O13" s="178"/>
      <c r="P13" s="401"/>
      <c r="Q13" s="401"/>
      <c r="R13" s="178"/>
    </row>
    <row r="14" spans="1:18" ht="15.75" customHeight="1">
      <c r="A14" s="616"/>
      <c r="B14" s="617"/>
      <c r="C14" s="204" t="s">
        <v>209</v>
      </c>
      <c r="D14" s="620" t="s">
        <v>449</v>
      </c>
      <c r="E14" s="620"/>
      <c r="F14" s="620"/>
      <c r="G14" s="201">
        <v>12</v>
      </c>
      <c r="H14" s="205">
        <v>3124.1633170877212</v>
      </c>
      <c r="I14" s="206">
        <v>260.34694309064344</v>
      </c>
      <c r="J14" s="221">
        <v>-3.8571428571344768E-2</v>
      </c>
      <c r="K14" s="619" t="s">
        <v>435</v>
      </c>
      <c r="L14" s="620"/>
      <c r="N14" s="178"/>
      <c r="O14" s="178"/>
      <c r="P14" s="401"/>
      <c r="Q14" s="401"/>
      <c r="R14" s="178"/>
    </row>
    <row r="15" spans="1:18" ht="15.75" customHeight="1">
      <c r="A15" s="616"/>
      <c r="B15" s="617"/>
      <c r="C15" s="204" t="s">
        <v>205</v>
      </c>
      <c r="D15" s="620" t="s">
        <v>446</v>
      </c>
      <c r="E15" s="620"/>
      <c r="F15" s="620"/>
      <c r="G15" s="201">
        <v>12</v>
      </c>
      <c r="H15" s="205">
        <v>3126.0726869816181</v>
      </c>
      <c r="I15" s="206">
        <v>260.50605724846821</v>
      </c>
      <c r="J15" s="221">
        <v>7.1335827243615313E-2</v>
      </c>
      <c r="K15" s="619" t="s">
        <v>435</v>
      </c>
      <c r="L15" s="620"/>
      <c r="N15" s="178"/>
      <c r="O15" s="178"/>
      <c r="P15" s="401"/>
      <c r="Q15" s="401"/>
      <c r="R15" s="178"/>
    </row>
    <row r="16" spans="1:18" ht="15.75" customHeight="1">
      <c r="A16" s="616"/>
      <c r="B16" s="617"/>
      <c r="C16" s="204" t="s">
        <v>210</v>
      </c>
      <c r="D16" s="620" t="s">
        <v>508</v>
      </c>
      <c r="E16" s="620"/>
      <c r="F16" s="620"/>
      <c r="G16" s="201">
        <v>12</v>
      </c>
      <c r="H16" s="205">
        <v>3262.7936581121253</v>
      </c>
      <c r="I16" s="206">
        <v>271.89947150934375</v>
      </c>
      <c r="J16" s="221">
        <v>0.39891083389272808</v>
      </c>
      <c r="K16" s="619" t="s">
        <v>435</v>
      </c>
      <c r="L16" s="620"/>
      <c r="M16" s="189"/>
      <c r="N16" s="178"/>
      <c r="O16" s="178"/>
      <c r="P16" s="401"/>
      <c r="Q16" s="401"/>
      <c r="R16" s="178"/>
    </row>
    <row r="17" spans="1:18" ht="15.75" customHeight="1">
      <c r="A17" s="616"/>
      <c r="B17" s="617"/>
      <c r="C17" s="204" t="s">
        <v>211</v>
      </c>
      <c r="D17" s="620" t="s">
        <v>552</v>
      </c>
      <c r="E17" s="620"/>
      <c r="F17" s="620"/>
      <c r="G17" s="201">
        <v>5</v>
      </c>
      <c r="H17" s="205">
        <v>2688.3235860555101</v>
      </c>
      <c r="I17" s="206">
        <v>537.6647172111019</v>
      </c>
      <c r="J17" s="221">
        <v>0.66471721110212911</v>
      </c>
      <c r="K17" s="619" t="s">
        <v>435</v>
      </c>
      <c r="L17" s="620"/>
      <c r="M17" s="189"/>
      <c r="N17" s="178"/>
      <c r="O17" s="178"/>
      <c r="P17" s="401"/>
      <c r="Q17" s="401"/>
      <c r="R17" s="178"/>
    </row>
    <row r="18" spans="1:18" s="199" customFormat="1" ht="15.75" customHeight="1">
      <c r="A18" s="621" t="s">
        <v>188</v>
      </c>
      <c r="B18" s="621"/>
      <c r="C18" s="207" t="s">
        <v>47</v>
      </c>
      <c r="D18" s="621" t="s">
        <v>12</v>
      </c>
      <c r="E18" s="622"/>
      <c r="F18" s="622"/>
      <c r="G18" s="207" t="s">
        <v>46</v>
      </c>
      <c r="H18" s="207" t="s">
        <v>380</v>
      </c>
      <c r="I18" s="207" t="s">
        <v>381</v>
      </c>
      <c r="J18" s="160" t="s">
        <v>332</v>
      </c>
      <c r="K18" s="621" t="s">
        <v>51</v>
      </c>
      <c r="L18" s="622"/>
      <c r="M18" s="208"/>
      <c r="N18" s="178"/>
      <c r="O18" s="178"/>
      <c r="P18" s="401"/>
      <c r="Q18" s="401"/>
      <c r="R18" s="178"/>
    </row>
    <row r="19" spans="1:18" ht="15.75" customHeight="1">
      <c r="A19" s="616">
        <v>2</v>
      </c>
      <c r="B19" s="617" t="s">
        <v>155</v>
      </c>
      <c r="C19" s="200">
        <v>1</v>
      </c>
      <c r="D19" s="619" t="s">
        <v>445</v>
      </c>
      <c r="E19" s="620"/>
      <c r="F19" s="620"/>
      <c r="G19" s="200">
        <v>6</v>
      </c>
      <c r="H19" s="202">
        <v>2343.5017458695552</v>
      </c>
      <c r="I19" s="203">
        <v>390.58362431159247</v>
      </c>
      <c r="J19" s="221">
        <v>0.62739593647944503</v>
      </c>
      <c r="K19" s="619" t="s">
        <v>435</v>
      </c>
      <c r="L19" s="620"/>
      <c r="M19" s="189"/>
      <c r="N19" s="178"/>
      <c r="O19" s="178"/>
      <c r="P19" s="401"/>
      <c r="Q19" s="401"/>
      <c r="R19" s="178"/>
    </row>
    <row r="20" spans="1:18" ht="15.75" customHeight="1">
      <c r="A20" s="616"/>
      <c r="B20" s="617"/>
      <c r="C20" s="200">
        <v>2</v>
      </c>
      <c r="D20" s="619" t="s">
        <v>443</v>
      </c>
      <c r="E20" s="620"/>
      <c r="F20" s="620"/>
      <c r="G20" s="200">
        <v>6</v>
      </c>
      <c r="H20" s="202">
        <v>2343.4885080000886</v>
      </c>
      <c r="I20" s="203">
        <v>390.58141800001471</v>
      </c>
      <c r="J20" s="221">
        <v>0.52296698769237082</v>
      </c>
      <c r="K20" s="619" t="s">
        <v>435</v>
      </c>
      <c r="L20" s="620"/>
      <c r="M20" s="189"/>
      <c r="N20" s="178"/>
      <c r="O20" s="178"/>
      <c r="P20" s="401"/>
      <c r="Q20" s="401"/>
      <c r="R20" s="178"/>
    </row>
    <row r="21" spans="1:18" ht="15.75" customHeight="1">
      <c r="A21" s="616"/>
      <c r="B21" s="617"/>
      <c r="C21" s="200">
        <v>3</v>
      </c>
      <c r="D21" s="619" t="s">
        <v>348</v>
      </c>
      <c r="E21" s="620"/>
      <c r="F21" s="620"/>
      <c r="G21" s="200">
        <v>11</v>
      </c>
      <c r="H21" s="202">
        <v>3182.9214592888088</v>
      </c>
      <c r="I21" s="203">
        <v>289.35649629898256</v>
      </c>
      <c r="J21" s="221">
        <v>8.0616443214353239E-2</v>
      </c>
      <c r="K21" s="619" t="s">
        <v>435</v>
      </c>
      <c r="L21" s="620"/>
      <c r="M21" s="189"/>
      <c r="N21" s="178"/>
      <c r="O21" s="178"/>
      <c r="P21" s="401"/>
      <c r="Q21" s="401"/>
      <c r="R21" s="178"/>
    </row>
    <row r="22" spans="1:18" ht="15.75" customHeight="1">
      <c r="A22" s="616"/>
      <c r="B22" s="617"/>
      <c r="C22" s="200">
        <v>4</v>
      </c>
      <c r="D22" s="619" t="s">
        <v>579</v>
      </c>
      <c r="E22" s="620"/>
      <c r="F22" s="620"/>
      <c r="G22" s="200">
        <v>12</v>
      </c>
      <c r="H22" s="202">
        <v>3158.0217309505797</v>
      </c>
      <c r="I22" s="203">
        <v>263.16847757921494</v>
      </c>
      <c r="J22" s="221">
        <v>0.29302929817760059</v>
      </c>
      <c r="K22" s="619" t="s">
        <v>435</v>
      </c>
      <c r="L22" s="620"/>
      <c r="M22" s="189"/>
      <c r="N22" s="178"/>
      <c r="O22" s="178"/>
      <c r="P22" s="401"/>
      <c r="Q22" s="401"/>
      <c r="R22" s="178"/>
    </row>
    <row r="23" spans="1:18" ht="15.75" customHeight="1">
      <c r="A23" s="616"/>
      <c r="B23" s="617"/>
      <c r="C23" s="200">
        <v>5</v>
      </c>
      <c r="D23" s="619" t="s">
        <v>580</v>
      </c>
      <c r="E23" s="620"/>
      <c r="F23" s="620"/>
      <c r="G23" s="200">
        <v>12</v>
      </c>
      <c r="H23" s="202">
        <v>3156.8754796761132</v>
      </c>
      <c r="I23" s="203">
        <v>263.07295663967614</v>
      </c>
      <c r="J23" s="221">
        <v>0.11021884012740202</v>
      </c>
      <c r="K23" s="619" t="s">
        <v>435</v>
      </c>
      <c r="L23" s="620"/>
      <c r="M23" s="189"/>
      <c r="N23" s="178"/>
      <c r="O23" s="178"/>
      <c r="P23" s="401"/>
      <c r="Q23" s="401"/>
      <c r="R23" s="178"/>
    </row>
    <row r="24" spans="1:18" ht="15.75" customHeight="1">
      <c r="A24" s="616"/>
      <c r="B24" s="617"/>
      <c r="C24" s="204" t="s">
        <v>204</v>
      </c>
      <c r="D24" s="619"/>
      <c r="E24" s="620"/>
      <c r="F24" s="620"/>
      <c r="G24" s="200"/>
      <c r="H24" s="202"/>
      <c r="I24" s="203"/>
      <c r="J24" s="221"/>
      <c r="K24" s="619"/>
      <c r="L24" s="620"/>
      <c r="M24" s="189"/>
      <c r="N24" s="178"/>
      <c r="O24" s="178"/>
      <c r="P24" s="401"/>
      <c r="Q24" s="401"/>
      <c r="R24" s="178"/>
    </row>
    <row r="25" spans="1:18" ht="15.75" customHeight="1">
      <c r="A25" s="616"/>
      <c r="B25" s="617"/>
      <c r="C25" s="204" t="s">
        <v>209</v>
      </c>
      <c r="D25" s="619"/>
      <c r="E25" s="620"/>
      <c r="F25" s="620"/>
      <c r="G25" s="200"/>
      <c r="H25" s="202"/>
      <c r="I25" s="203"/>
      <c r="J25" s="221"/>
      <c r="K25" s="619"/>
      <c r="L25" s="620"/>
      <c r="M25" s="189"/>
      <c r="N25" s="178"/>
      <c r="O25" s="178"/>
      <c r="P25" s="401"/>
      <c r="Q25" s="401"/>
      <c r="R25" s="178"/>
    </row>
    <row r="26" spans="1:18" ht="15.75" customHeight="1">
      <c r="A26" s="616"/>
      <c r="B26" s="617"/>
      <c r="C26" s="204" t="s">
        <v>205</v>
      </c>
      <c r="D26" s="619"/>
      <c r="E26" s="620"/>
      <c r="F26" s="620"/>
      <c r="G26" s="200"/>
      <c r="H26" s="202"/>
      <c r="I26" s="203"/>
      <c r="J26" s="221"/>
      <c r="K26" s="619"/>
      <c r="L26" s="620"/>
      <c r="M26" s="189"/>
      <c r="N26" s="178"/>
      <c r="O26" s="178"/>
      <c r="P26" s="401"/>
      <c r="Q26" s="401"/>
      <c r="R26" s="178"/>
    </row>
    <row r="27" spans="1:18" ht="15.75" customHeight="1">
      <c r="A27" s="616"/>
      <c r="B27" s="617"/>
      <c r="C27" s="204" t="s">
        <v>210</v>
      </c>
      <c r="D27" s="619"/>
      <c r="E27" s="620"/>
      <c r="F27" s="620"/>
      <c r="G27" s="200"/>
      <c r="H27" s="202"/>
      <c r="I27" s="203"/>
      <c r="J27" s="200"/>
      <c r="K27" s="619"/>
      <c r="L27" s="620"/>
      <c r="M27" s="189"/>
      <c r="N27" s="178"/>
      <c r="O27" s="178"/>
      <c r="P27" s="401"/>
      <c r="Q27" s="401"/>
      <c r="R27" s="178"/>
    </row>
    <row r="28" spans="1:18" ht="15.75" customHeight="1">
      <c r="A28" s="616"/>
      <c r="B28" s="617"/>
      <c r="C28" s="204" t="s">
        <v>211</v>
      </c>
      <c r="D28" s="619"/>
      <c r="E28" s="620"/>
      <c r="F28" s="620"/>
      <c r="G28" s="200"/>
      <c r="H28" s="202"/>
      <c r="I28" s="203"/>
      <c r="J28" s="200"/>
      <c r="K28" s="619"/>
      <c r="L28" s="620"/>
      <c r="M28" s="189"/>
      <c r="N28" s="178"/>
      <c r="O28" s="178"/>
      <c r="P28" s="401"/>
      <c r="Q28" s="401"/>
      <c r="R28" s="178"/>
    </row>
    <row r="29" spans="1:18" ht="15.75" customHeight="1">
      <c r="A29" s="615" t="s">
        <v>740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  <c r="M29" s="189"/>
    </row>
    <row r="30" spans="1:18" s="190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8" s="178" customFormat="1" ht="15.75" customHeight="1">
      <c r="A31" s="616" t="s">
        <v>162</v>
      </c>
      <c r="B31" s="191">
        <v>1</v>
      </c>
      <c r="C31" s="191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ht="16.399999999999999" customHeight="1">
      <c r="A32" s="616"/>
      <c r="B32" s="194" t="s">
        <v>206</v>
      </c>
      <c r="C32" s="194" t="s">
        <v>155</v>
      </c>
      <c r="D32" s="195" t="s">
        <v>207</v>
      </c>
      <c r="E32" s="195" t="s">
        <v>156</v>
      </c>
      <c r="F32" s="195" t="s">
        <v>350</v>
      </c>
      <c r="G32" s="196" t="s">
        <v>136</v>
      </c>
      <c r="H32" s="197" t="s">
        <v>208</v>
      </c>
      <c r="I32" s="196" t="s">
        <v>379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78" customFormat="1" ht="15.75" customHeight="1">
      <c r="A33" s="617" t="s">
        <v>188</v>
      </c>
      <c r="B33" s="617"/>
      <c r="C33" s="160" t="s">
        <v>47</v>
      </c>
      <c r="D33" s="617" t="s">
        <v>12</v>
      </c>
      <c r="E33" s="618"/>
      <c r="F33" s="618"/>
      <c r="G33" s="160" t="s">
        <v>46</v>
      </c>
      <c r="H33" s="160" t="s">
        <v>380</v>
      </c>
      <c r="I33" s="160" t="s">
        <v>381</v>
      </c>
      <c r="J33" s="160" t="s">
        <v>332</v>
      </c>
      <c r="K33" s="617" t="s">
        <v>51</v>
      </c>
      <c r="L33" s="618"/>
      <c r="M33" s="193"/>
      <c r="N33" s="189"/>
      <c r="P33" s="401"/>
      <c r="Q33" s="401"/>
    </row>
    <row r="34" spans="1:18" ht="15.75" customHeight="1">
      <c r="A34" s="616">
        <v>1</v>
      </c>
      <c r="B34" s="617" t="s">
        <v>382</v>
      </c>
      <c r="C34" s="200">
        <v>1</v>
      </c>
      <c r="D34" s="619" t="s">
        <v>442</v>
      </c>
      <c r="E34" s="620"/>
      <c r="F34" s="620"/>
      <c r="G34" s="200">
        <v>3</v>
      </c>
      <c r="H34" s="202">
        <v>3195.1266541956898</v>
      </c>
      <c r="I34" s="203">
        <v>1065.0422180652299</v>
      </c>
      <c r="J34" s="221">
        <f>I34-I8</f>
        <v>-0.89841477156460314</v>
      </c>
      <c r="K34" s="619"/>
      <c r="L34" s="620"/>
      <c r="N34" s="178"/>
      <c r="O34" s="178"/>
      <c r="P34" s="401"/>
      <c r="Q34" s="401"/>
      <c r="R34" s="178"/>
    </row>
    <row r="35" spans="1:18" ht="15.75" customHeight="1">
      <c r="A35" s="616"/>
      <c r="B35" s="617"/>
      <c r="C35" s="200">
        <v>2</v>
      </c>
      <c r="D35" s="619" t="s">
        <v>396</v>
      </c>
      <c r="E35" s="620"/>
      <c r="F35" s="620"/>
      <c r="G35" s="200">
        <v>3</v>
      </c>
      <c r="H35" s="202">
        <v>3185.0316216428901</v>
      </c>
      <c r="I35" s="203">
        <v>1061.6772072142969</v>
      </c>
      <c r="J35" s="221">
        <f>I35-I11</f>
        <v>0.53142857142825051</v>
      </c>
      <c r="K35" s="619"/>
      <c r="L35" s="620"/>
      <c r="N35" s="178"/>
      <c r="O35" s="178"/>
      <c r="P35" s="401"/>
      <c r="Q35" s="401"/>
      <c r="R35" s="178"/>
    </row>
    <row r="36" spans="1:18" ht="15.75" customHeight="1">
      <c r="A36" s="616"/>
      <c r="B36" s="617"/>
      <c r="C36" s="200">
        <v>3</v>
      </c>
      <c r="D36" s="619" t="s">
        <v>405</v>
      </c>
      <c r="E36" s="620"/>
      <c r="F36" s="620"/>
      <c r="G36" s="200">
        <v>3</v>
      </c>
      <c r="H36" s="202">
        <v>3184.0959132165954</v>
      </c>
      <c r="I36" s="203">
        <v>1061.365304405532</v>
      </c>
      <c r="J36" s="221">
        <f>I36-I9</f>
        <v>-0.5142857142855064</v>
      </c>
      <c r="K36" s="619"/>
      <c r="L36" s="620"/>
      <c r="N36" s="178"/>
      <c r="O36" s="178"/>
      <c r="P36" s="401"/>
      <c r="Q36" s="401"/>
      <c r="R36" s="178"/>
    </row>
    <row r="37" spans="1:18" ht="15.75" customHeight="1">
      <c r="A37" s="616"/>
      <c r="B37" s="617"/>
      <c r="C37" s="200">
        <v>4</v>
      </c>
      <c r="D37" s="619" t="s">
        <v>394</v>
      </c>
      <c r="E37" s="620"/>
      <c r="F37" s="620"/>
      <c r="G37" s="200">
        <v>3</v>
      </c>
      <c r="H37" s="202">
        <v>3182.2268578745707</v>
      </c>
      <c r="I37" s="203">
        <v>1060.7422859581902</v>
      </c>
      <c r="J37" s="221"/>
      <c r="K37" s="619"/>
      <c r="L37" s="620"/>
      <c r="N37" s="178"/>
      <c r="O37" s="178"/>
      <c r="P37" s="401"/>
      <c r="Q37" s="401"/>
      <c r="R37" s="178"/>
    </row>
    <row r="38" spans="1:18" ht="15.75" customHeight="1">
      <c r="A38" s="616"/>
      <c r="B38" s="617"/>
      <c r="C38" s="200">
        <v>5</v>
      </c>
      <c r="D38" s="619" t="s">
        <v>397</v>
      </c>
      <c r="E38" s="620"/>
      <c r="F38" s="620"/>
      <c r="G38" s="200">
        <v>3</v>
      </c>
      <c r="H38" s="202">
        <v>3181.7196190746367</v>
      </c>
      <c r="I38" s="203">
        <v>1060.5732063582122</v>
      </c>
      <c r="J38" s="221">
        <f t="shared" ref="J38:J43" si="0">I38-I12</f>
        <v>-0.49479388569238836</v>
      </c>
      <c r="K38" s="619"/>
      <c r="L38" s="620"/>
      <c r="O38" s="178"/>
      <c r="P38" s="401"/>
      <c r="Q38" s="401"/>
      <c r="R38" s="178"/>
    </row>
    <row r="39" spans="1:18" ht="15.75" customHeight="1">
      <c r="A39" s="616"/>
      <c r="B39" s="617"/>
      <c r="C39" s="204" t="s">
        <v>204</v>
      </c>
      <c r="D39" s="620" t="s">
        <v>525</v>
      </c>
      <c r="E39" s="620"/>
      <c r="F39" s="620"/>
      <c r="G39" s="201">
        <v>13</v>
      </c>
      <c r="H39" s="205">
        <v>3265.2302464763443</v>
      </c>
      <c r="I39" s="206">
        <v>251.17155742125721</v>
      </c>
      <c r="J39" s="221">
        <f t="shared" si="0"/>
        <v>0.18872941526865361</v>
      </c>
      <c r="K39" s="619"/>
      <c r="L39" s="620"/>
      <c r="N39" s="178"/>
      <c r="O39" s="178"/>
      <c r="P39" s="401"/>
      <c r="Q39" s="401"/>
      <c r="R39" s="178"/>
    </row>
    <row r="40" spans="1:18" ht="15.75" customHeight="1">
      <c r="A40" s="616"/>
      <c r="B40" s="617"/>
      <c r="C40" s="204" t="s">
        <v>209</v>
      </c>
      <c r="D40" s="620" t="s">
        <v>449</v>
      </c>
      <c r="E40" s="620"/>
      <c r="F40" s="620"/>
      <c r="G40" s="201">
        <v>12</v>
      </c>
      <c r="H40" s="205">
        <v>3119.7434433320341</v>
      </c>
      <c r="I40" s="206">
        <v>259.97862027766951</v>
      </c>
      <c r="J40" s="221">
        <f t="shared" si="0"/>
        <v>-0.3683228129739291</v>
      </c>
      <c r="K40" s="619"/>
      <c r="L40" s="620"/>
      <c r="N40" s="178"/>
      <c r="O40" s="178"/>
      <c r="P40" s="401"/>
      <c r="Q40" s="401"/>
      <c r="R40" s="178"/>
    </row>
    <row r="41" spans="1:18" ht="15.75" customHeight="1">
      <c r="A41" s="616"/>
      <c r="B41" s="617"/>
      <c r="C41" s="204" t="s">
        <v>205</v>
      </c>
      <c r="D41" s="620" t="s">
        <v>446</v>
      </c>
      <c r="E41" s="620"/>
      <c r="F41" s="620"/>
      <c r="G41" s="201">
        <v>12</v>
      </c>
      <c r="H41" s="205">
        <v>3121.3921984572107</v>
      </c>
      <c r="I41" s="206">
        <v>260.11601653810089</v>
      </c>
      <c r="J41" s="221">
        <f t="shared" si="0"/>
        <v>-0.39004071036731602</v>
      </c>
      <c r="K41" s="619"/>
      <c r="L41" s="620"/>
      <c r="N41" s="178"/>
      <c r="O41" s="178"/>
      <c r="P41" s="401"/>
      <c r="Q41" s="401"/>
      <c r="R41" s="178"/>
    </row>
    <row r="42" spans="1:18" ht="15.75" customHeight="1">
      <c r="A42" s="616"/>
      <c r="B42" s="617"/>
      <c r="C42" s="204" t="s">
        <v>210</v>
      </c>
      <c r="D42" s="620" t="s">
        <v>508</v>
      </c>
      <c r="E42" s="620"/>
      <c r="F42" s="620"/>
      <c r="G42" s="201">
        <v>12</v>
      </c>
      <c r="H42" s="205">
        <v>3265.3700018344566</v>
      </c>
      <c r="I42" s="206">
        <v>272.11416681953807</v>
      </c>
      <c r="J42" s="221">
        <f t="shared" si="0"/>
        <v>0.21469531019431543</v>
      </c>
      <c r="K42" s="619"/>
      <c r="L42" s="620"/>
      <c r="M42" s="189"/>
      <c r="N42" s="178"/>
      <c r="O42" s="178"/>
      <c r="P42" s="401"/>
      <c r="Q42" s="401"/>
      <c r="R42" s="178"/>
    </row>
    <row r="43" spans="1:18" ht="15.75" customHeight="1">
      <c r="A43" s="616"/>
      <c r="B43" s="617"/>
      <c r="C43" s="204" t="s">
        <v>211</v>
      </c>
      <c r="D43" s="620" t="s">
        <v>552</v>
      </c>
      <c r="E43" s="620"/>
      <c r="F43" s="620"/>
      <c r="G43" s="201">
        <v>5</v>
      </c>
      <c r="H43" s="205">
        <v>2689.2965354013172</v>
      </c>
      <c r="I43" s="206">
        <v>537.85930708026342</v>
      </c>
      <c r="J43" s="221">
        <f t="shared" si="0"/>
        <v>0.19458986916151844</v>
      </c>
      <c r="K43" s="619"/>
      <c r="L43" s="620"/>
      <c r="M43" s="189"/>
      <c r="N43" s="178"/>
      <c r="O43" s="178"/>
      <c r="P43" s="401"/>
      <c r="Q43" s="401"/>
      <c r="R43" s="178"/>
    </row>
    <row r="44" spans="1:18" s="199" customFormat="1" ht="15.75" customHeight="1">
      <c r="A44" s="621" t="s">
        <v>188</v>
      </c>
      <c r="B44" s="621"/>
      <c r="C44" s="207" t="s">
        <v>47</v>
      </c>
      <c r="D44" s="621" t="s">
        <v>12</v>
      </c>
      <c r="E44" s="622"/>
      <c r="F44" s="622"/>
      <c r="G44" s="207" t="s">
        <v>46</v>
      </c>
      <c r="H44" s="207" t="s">
        <v>380</v>
      </c>
      <c r="I44" s="207" t="s">
        <v>381</v>
      </c>
      <c r="J44" s="160" t="s">
        <v>332</v>
      </c>
      <c r="K44" s="621" t="s">
        <v>51</v>
      </c>
      <c r="L44" s="622"/>
      <c r="M44" s="208"/>
      <c r="N44" s="178"/>
      <c r="O44" s="178"/>
      <c r="P44" s="401"/>
      <c r="Q44" s="401"/>
      <c r="R44" s="178"/>
    </row>
    <row r="45" spans="1:18" ht="15.75" customHeight="1">
      <c r="A45" s="616">
        <v>2</v>
      </c>
      <c r="B45" s="617" t="s">
        <v>155</v>
      </c>
      <c r="C45" s="200">
        <v>1</v>
      </c>
      <c r="D45" s="619" t="s">
        <v>443</v>
      </c>
      <c r="E45" s="620"/>
      <c r="F45" s="620"/>
      <c r="G45" s="200">
        <v>6</v>
      </c>
      <c r="H45" s="202">
        <v>2345.2773065179695</v>
      </c>
      <c r="I45" s="203">
        <v>390.87955108632832</v>
      </c>
      <c r="J45" s="221">
        <f>I45-I20</f>
        <v>0.29813308631361224</v>
      </c>
      <c r="K45" s="619"/>
      <c r="L45" s="620"/>
      <c r="M45" s="189"/>
      <c r="N45" s="178"/>
      <c r="O45" s="178"/>
      <c r="P45" s="401"/>
      <c r="Q45" s="401"/>
      <c r="R45" s="178"/>
    </row>
    <row r="46" spans="1:18" ht="15.75" customHeight="1">
      <c r="A46" s="616"/>
      <c r="B46" s="617"/>
      <c r="C46" s="200">
        <v>2</v>
      </c>
      <c r="D46" s="619" t="s">
        <v>445</v>
      </c>
      <c r="E46" s="620"/>
      <c r="F46" s="620"/>
      <c r="G46" s="200">
        <v>6</v>
      </c>
      <c r="H46" s="202">
        <v>2345.1680905354974</v>
      </c>
      <c r="I46" s="203">
        <v>390.86134842258281</v>
      </c>
      <c r="J46" s="221">
        <f>I46-I19</f>
        <v>0.27772411099033434</v>
      </c>
      <c r="K46" s="619"/>
      <c r="L46" s="620"/>
      <c r="M46" s="189"/>
      <c r="N46" s="178"/>
      <c r="O46" s="178"/>
      <c r="P46" s="401"/>
      <c r="Q46" s="401"/>
      <c r="R46" s="178"/>
    </row>
    <row r="47" spans="1:18" ht="15.75" customHeight="1">
      <c r="A47" s="616"/>
      <c r="B47" s="617"/>
      <c r="C47" s="200">
        <v>3</v>
      </c>
      <c r="D47" s="619" t="s">
        <v>348</v>
      </c>
      <c r="E47" s="620"/>
      <c r="F47" s="620"/>
      <c r="G47" s="200">
        <v>10.428571428571429</v>
      </c>
      <c r="H47" s="202">
        <v>3185.544316431668</v>
      </c>
      <c r="I47" s="203">
        <v>306.14909757172609</v>
      </c>
      <c r="J47" s="221">
        <f>I47-I21</f>
        <v>16.792601272743525</v>
      </c>
      <c r="K47" s="619"/>
      <c r="L47" s="620"/>
      <c r="M47" s="189"/>
      <c r="N47" s="178"/>
      <c r="O47" s="178"/>
      <c r="P47" s="401"/>
      <c r="Q47" s="401"/>
      <c r="R47" s="178"/>
    </row>
    <row r="48" spans="1:18" ht="15.75" customHeight="1">
      <c r="A48" s="616"/>
      <c r="B48" s="617"/>
      <c r="C48" s="200">
        <v>4</v>
      </c>
      <c r="D48" s="619" t="s">
        <v>579</v>
      </c>
      <c r="E48" s="620"/>
      <c r="F48" s="620"/>
      <c r="G48" s="200">
        <v>11.428571428571429</v>
      </c>
      <c r="H48" s="202">
        <v>3157.6103023791502</v>
      </c>
      <c r="I48" s="203">
        <v>276.80099589501827</v>
      </c>
      <c r="J48" s="221">
        <f>I48-I23</f>
        <v>13.728039255342139</v>
      </c>
      <c r="K48" s="619"/>
      <c r="L48" s="620"/>
      <c r="M48" s="189"/>
      <c r="N48" s="178"/>
      <c r="O48" s="178"/>
      <c r="P48" s="401"/>
      <c r="Q48" s="401"/>
      <c r="R48" s="178"/>
    </row>
    <row r="49" spans="1:18" ht="15.75" customHeight="1">
      <c r="A49" s="616"/>
      <c r="B49" s="617"/>
      <c r="C49" s="200">
        <v>5</v>
      </c>
      <c r="D49" s="619" t="s">
        <v>580</v>
      </c>
      <c r="E49" s="620"/>
      <c r="F49" s="620"/>
      <c r="G49" s="200">
        <v>11.428571428571429</v>
      </c>
      <c r="H49" s="202">
        <v>3156.8292227639386</v>
      </c>
      <c r="I49" s="203">
        <v>276.73869524465175</v>
      </c>
      <c r="J49" s="221">
        <f>I49-I22</f>
        <v>13.570217665436815</v>
      </c>
      <c r="K49" s="619"/>
      <c r="L49" s="620"/>
      <c r="M49" s="189"/>
      <c r="N49" s="178"/>
      <c r="O49" s="178"/>
      <c r="P49" s="401"/>
      <c r="Q49" s="401"/>
      <c r="R49" s="178"/>
    </row>
    <row r="50" spans="1:18" ht="15.75" customHeight="1">
      <c r="A50" s="616"/>
      <c r="B50" s="617"/>
      <c r="C50" s="204" t="s">
        <v>204</v>
      </c>
      <c r="D50" s="619"/>
      <c r="E50" s="620"/>
      <c r="F50" s="620"/>
      <c r="G50" s="200"/>
      <c r="H50" s="202"/>
      <c r="I50" s="203"/>
      <c r="J50" s="200"/>
      <c r="K50" s="619"/>
      <c r="L50" s="620"/>
      <c r="M50" s="189"/>
      <c r="N50" s="178"/>
      <c r="O50" s="178"/>
      <c r="P50" s="401"/>
      <c r="Q50" s="401"/>
      <c r="R50" s="178"/>
    </row>
    <row r="51" spans="1:18" ht="15.75" customHeight="1">
      <c r="A51" s="616"/>
      <c r="B51" s="617"/>
      <c r="C51" s="204" t="s">
        <v>209</v>
      </c>
      <c r="D51" s="619"/>
      <c r="E51" s="620"/>
      <c r="F51" s="620"/>
      <c r="G51" s="200"/>
      <c r="H51" s="202"/>
      <c r="I51" s="203"/>
      <c r="J51" s="200"/>
      <c r="K51" s="619"/>
      <c r="L51" s="620"/>
      <c r="M51" s="189"/>
      <c r="N51" s="178"/>
      <c r="O51" s="178"/>
      <c r="P51" s="401"/>
      <c r="Q51" s="401"/>
      <c r="R51" s="178"/>
    </row>
    <row r="52" spans="1:18" ht="15.75" customHeight="1">
      <c r="A52" s="616"/>
      <c r="B52" s="617"/>
      <c r="C52" s="204" t="s">
        <v>205</v>
      </c>
      <c r="D52" s="619"/>
      <c r="E52" s="620"/>
      <c r="F52" s="620"/>
      <c r="G52" s="200"/>
      <c r="H52" s="202"/>
      <c r="I52" s="203"/>
      <c r="J52" s="200"/>
      <c r="K52" s="619"/>
      <c r="L52" s="620"/>
      <c r="M52" s="189"/>
      <c r="N52" s="178"/>
      <c r="O52" s="178"/>
      <c r="P52" s="401"/>
      <c r="Q52" s="401"/>
      <c r="R52" s="178"/>
    </row>
    <row r="53" spans="1:18" ht="15.75" customHeight="1">
      <c r="A53" s="616"/>
      <c r="B53" s="617"/>
      <c r="C53" s="204" t="s">
        <v>210</v>
      </c>
      <c r="D53" s="619"/>
      <c r="E53" s="620"/>
      <c r="F53" s="620"/>
      <c r="G53" s="200"/>
      <c r="H53" s="202"/>
      <c r="I53" s="203"/>
      <c r="J53" s="200"/>
      <c r="K53" s="619"/>
      <c r="L53" s="620"/>
      <c r="M53" s="189"/>
      <c r="N53" s="178"/>
      <c r="O53" s="178"/>
      <c r="P53" s="401"/>
      <c r="Q53" s="401"/>
      <c r="R53" s="178"/>
    </row>
    <row r="54" spans="1:18" ht="15.75" customHeight="1">
      <c r="A54" s="616"/>
      <c r="B54" s="617"/>
      <c r="C54" s="204" t="s">
        <v>211</v>
      </c>
      <c r="D54" s="619"/>
      <c r="E54" s="620"/>
      <c r="F54" s="620"/>
      <c r="G54" s="200"/>
      <c r="H54" s="202"/>
      <c r="I54" s="203"/>
      <c r="J54" s="200"/>
      <c r="K54" s="619"/>
      <c r="L54" s="620"/>
      <c r="M54" s="189"/>
      <c r="N54" s="178"/>
      <c r="O54" s="178"/>
      <c r="P54" s="401"/>
      <c r="Q54" s="401"/>
      <c r="R54" s="178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1" manualBreakCount="1">
    <brk id="28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92D050"/>
    <outlinePr summaryBelow="0" summaryRight="0"/>
  </sheetPr>
  <dimension ref="A1:R54"/>
  <sheetViews>
    <sheetView view="pageBreakPreview" topLeftCell="A25" zoomScale="115" zoomScaleNormal="60" zoomScaleSheetLayoutView="115" workbookViewId="0">
      <selection activeCell="M29" sqref="A29:XFD30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8" t="s">
        <v>378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99"/>
    </row>
    <row r="2" spans="1:18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N2" s="190"/>
      <c r="O2" s="190"/>
      <c r="P2" s="190"/>
      <c r="Q2" s="190"/>
      <c r="R2" s="190"/>
    </row>
    <row r="3" spans="1:18" s="189" customFormat="1" ht="15.75" customHeight="1">
      <c r="A3" s="615" t="s">
        <v>652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</row>
    <row r="4" spans="1:18" s="190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8" s="178" customFormat="1" ht="16.399999999999999" customHeight="1">
      <c r="A5" s="616" t="s">
        <v>162</v>
      </c>
      <c r="B5" s="170">
        <v>1</v>
      </c>
      <c r="C5" s="170">
        <v>2</v>
      </c>
      <c r="D5" s="191">
        <v>3</v>
      </c>
      <c r="E5" s="191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s="189" customFormat="1" ht="16.399999999999999" customHeight="1">
      <c r="A6" s="616"/>
      <c r="B6" s="195" t="s">
        <v>206</v>
      </c>
      <c r="C6" s="195" t="s">
        <v>155</v>
      </c>
      <c r="D6" s="194" t="s">
        <v>207</v>
      </c>
      <c r="E6" s="194" t="s">
        <v>156</v>
      </c>
      <c r="F6" s="195" t="s">
        <v>350</v>
      </c>
      <c r="G6" s="196" t="s">
        <v>136</v>
      </c>
      <c r="H6" s="197" t="s">
        <v>208</v>
      </c>
      <c r="I6" s="196" t="s">
        <v>379</v>
      </c>
      <c r="J6" s="196" t="s">
        <v>142</v>
      </c>
      <c r="K6" s="198"/>
      <c r="L6" s="198"/>
      <c r="M6" s="190"/>
      <c r="N6" s="199"/>
      <c r="O6" s="199"/>
      <c r="P6" s="199"/>
      <c r="Q6" s="199"/>
      <c r="R6" s="199"/>
    </row>
    <row r="7" spans="1:18" s="178" customFormat="1" ht="15.75" customHeight="1">
      <c r="A7" s="617" t="s">
        <v>188</v>
      </c>
      <c r="B7" s="617"/>
      <c r="C7" s="160" t="s">
        <v>47</v>
      </c>
      <c r="D7" s="617" t="s">
        <v>12</v>
      </c>
      <c r="E7" s="618"/>
      <c r="F7" s="618"/>
      <c r="G7" s="160" t="s">
        <v>46</v>
      </c>
      <c r="H7" s="160" t="s">
        <v>380</v>
      </c>
      <c r="I7" s="160" t="s">
        <v>381</v>
      </c>
      <c r="J7" s="160" t="s">
        <v>332</v>
      </c>
      <c r="K7" s="617" t="s">
        <v>51</v>
      </c>
      <c r="L7" s="618"/>
      <c r="M7" s="193"/>
      <c r="N7" s="189"/>
      <c r="O7" s="199"/>
      <c r="P7" s="402"/>
      <c r="Q7" s="402"/>
      <c r="R7" s="199"/>
    </row>
    <row r="8" spans="1:18" s="189" customFormat="1" ht="15.75" customHeight="1">
      <c r="A8" s="616">
        <v>3</v>
      </c>
      <c r="B8" s="617" t="s">
        <v>383</v>
      </c>
      <c r="C8" s="200">
        <v>1</v>
      </c>
      <c r="D8" s="619" t="s">
        <v>496</v>
      </c>
      <c r="E8" s="620"/>
      <c r="F8" s="620"/>
      <c r="G8" s="200">
        <v>6</v>
      </c>
      <c r="H8" s="202">
        <v>3256.6607949676463</v>
      </c>
      <c r="I8" s="203">
        <v>542.77679916127431</v>
      </c>
      <c r="J8" s="221">
        <v>-0.21986146037306753</v>
      </c>
      <c r="K8" s="619" t="s">
        <v>435</v>
      </c>
      <c r="L8" s="620"/>
      <c r="M8" s="190"/>
      <c r="O8" s="199"/>
      <c r="P8" s="402"/>
      <c r="Q8" s="402"/>
      <c r="R8" s="199"/>
    </row>
    <row r="9" spans="1:18" s="189" customFormat="1" ht="15.75" customHeight="1">
      <c r="A9" s="616"/>
      <c r="B9" s="617"/>
      <c r="C9" s="200">
        <v>2</v>
      </c>
      <c r="D9" s="619" t="s">
        <v>349</v>
      </c>
      <c r="E9" s="620"/>
      <c r="F9" s="620"/>
      <c r="G9" s="200">
        <v>21.714285714285715</v>
      </c>
      <c r="H9" s="202">
        <v>2585.9313186813188</v>
      </c>
      <c r="I9" s="203">
        <v>119.07861781076066</v>
      </c>
      <c r="J9" s="221">
        <v>0.78466176680460364</v>
      </c>
      <c r="K9" s="623" t="s">
        <v>691</v>
      </c>
      <c r="L9" s="624"/>
      <c r="M9" s="190"/>
      <c r="O9" s="199"/>
      <c r="P9" s="402"/>
      <c r="Q9" s="402"/>
      <c r="R9" s="199"/>
    </row>
    <row r="10" spans="1:18" s="189" customFormat="1" ht="15.75" customHeight="1">
      <c r="A10" s="616"/>
      <c r="B10" s="617"/>
      <c r="C10" s="200">
        <v>3</v>
      </c>
      <c r="D10" s="619"/>
      <c r="E10" s="620"/>
      <c r="F10" s="620"/>
      <c r="G10" s="200"/>
      <c r="H10" s="202"/>
      <c r="I10" s="203"/>
      <c r="J10" s="200"/>
      <c r="K10" s="619"/>
      <c r="L10" s="620"/>
      <c r="M10" s="190"/>
      <c r="O10" s="199"/>
      <c r="P10" s="402"/>
      <c r="Q10" s="402"/>
      <c r="R10" s="199"/>
    </row>
    <row r="11" spans="1:18" s="189" customFormat="1" ht="15.75" customHeight="1">
      <c r="A11" s="616"/>
      <c r="B11" s="617"/>
      <c r="C11" s="200">
        <v>4</v>
      </c>
      <c r="D11" s="619"/>
      <c r="E11" s="620"/>
      <c r="F11" s="620"/>
      <c r="G11" s="200"/>
      <c r="H11" s="202"/>
      <c r="I11" s="203"/>
      <c r="J11" s="200"/>
      <c r="K11" s="619"/>
      <c r="L11" s="620"/>
      <c r="M11" s="190"/>
      <c r="O11" s="199"/>
      <c r="P11" s="402"/>
      <c r="Q11" s="402"/>
      <c r="R11" s="199"/>
    </row>
    <row r="12" spans="1:18" s="189" customFormat="1" ht="15.75" customHeight="1">
      <c r="A12" s="616"/>
      <c r="B12" s="617"/>
      <c r="C12" s="200">
        <v>5</v>
      </c>
      <c r="D12" s="619"/>
      <c r="E12" s="620"/>
      <c r="F12" s="620"/>
      <c r="G12" s="200"/>
      <c r="H12" s="202"/>
      <c r="I12" s="203"/>
      <c r="J12" s="200"/>
      <c r="K12" s="619"/>
      <c r="L12" s="620"/>
      <c r="M12" s="190"/>
      <c r="O12" s="199"/>
      <c r="P12" s="402"/>
      <c r="Q12" s="402"/>
      <c r="R12" s="199"/>
    </row>
    <row r="13" spans="1:18" s="189" customFormat="1" ht="15.75" customHeight="1">
      <c r="A13" s="616"/>
      <c r="B13" s="617"/>
      <c r="C13" s="204" t="s">
        <v>204</v>
      </c>
      <c r="D13" s="619"/>
      <c r="E13" s="620"/>
      <c r="F13" s="620"/>
      <c r="G13" s="200"/>
      <c r="H13" s="202"/>
      <c r="I13" s="203"/>
      <c r="J13" s="200"/>
      <c r="K13" s="619"/>
      <c r="L13" s="620"/>
      <c r="M13" s="190"/>
      <c r="O13" s="199"/>
      <c r="P13" s="402"/>
      <c r="Q13" s="402"/>
      <c r="R13" s="199"/>
    </row>
    <row r="14" spans="1:18" s="189" customFormat="1" ht="15.75" customHeight="1">
      <c r="A14" s="616"/>
      <c r="B14" s="617"/>
      <c r="C14" s="204" t="s">
        <v>209</v>
      </c>
      <c r="D14" s="619"/>
      <c r="E14" s="620"/>
      <c r="F14" s="620"/>
      <c r="G14" s="200"/>
      <c r="H14" s="202"/>
      <c r="I14" s="203"/>
      <c r="J14" s="200"/>
      <c r="K14" s="619"/>
      <c r="L14" s="620"/>
      <c r="M14" s="190"/>
      <c r="N14" s="178"/>
      <c r="O14" s="178"/>
      <c r="P14" s="401"/>
      <c r="Q14" s="401"/>
      <c r="R14" s="178"/>
    </row>
    <row r="15" spans="1:18" s="189" customFormat="1" ht="15.75" customHeight="1">
      <c r="A15" s="616"/>
      <c r="B15" s="617"/>
      <c r="C15" s="204" t="s">
        <v>205</v>
      </c>
      <c r="D15" s="619"/>
      <c r="E15" s="620"/>
      <c r="F15" s="620"/>
      <c r="G15" s="202"/>
      <c r="H15" s="202"/>
      <c r="I15" s="203"/>
      <c r="J15" s="200"/>
      <c r="K15" s="619"/>
      <c r="L15" s="620"/>
      <c r="M15" s="190"/>
      <c r="O15" s="199"/>
      <c r="P15" s="402"/>
      <c r="Q15" s="402"/>
      <c r="R15" s="199"/>
    </row>
    <row r="16" spans="1:18" s="189" customFormat="1" ht="15.75" customHeight="1">
      <c r="A16" s="616"/>
      <c r="B16" s="617"/>
      <c r="C16" s="204" t="s">
        <v>210</v>
      </c>
      <c r="D16" s="619"/>
      <c r="E16" s="620"/>
      <c r="F16" s="620"/>
      <c r="G16" s="200"/>
      <c r="H16" s="202"/>
      <c r="I16" s="203"/>
      <c r="J16" s="200"/>
      <c r="K16" s="619"/>
      <c r="L16" s="620"/>
      <c r="O16" s="199"/>
      <c r="P16" s="402"/>
      <c r="Q16" s="402"/>
      <c r="R16" s="199"/>
    </row>
    <row r="17" spans="1:18" s="189" customFormat="1" ht="15.75" customHeight="1">
      <c r="A17" s="616"/>
      <c r="B17" s="617"/>
      <c r="C17" s="204" t="s">
        <v>211</v>
      </c>
      <c r="D17" s="619"/>
      <c r="E17" s="620"/>
      <c r="F17" s="620"/>
      <c r="G17" s="200"/>
      <c r="H17" s="202"/>
      <c r="I17" s="203"/>
      <c r="J17" s="200"/>
      <c r="K17" s="619"/>
      <c r="L17" s="620"/>
      <c r="O17" s="199"/>
      <c r="P17" s="402"/>
      <c r="Q17" s="402"/>
      <c r="R17" s="199"/>
    </row>
    <row r="18" spans="1:18" s="199" customFormat="1" ht="15.75" customHeight="1">
      <c r="A18" s="621" t="s">
        <v>188</v>
      </c>
      <c r="B18" s="621"/>
      <c r="C18" s="207" t="s">
        <v>47</v>
      </c>
      <c r="D18" s="621" t="s">
        <v>12</v>
      </c>
      <c r="E18" s="622"/>
      <c r="F18" s="622"/>
      <c r="G18" s="207" t="s">
        <v>46</v>
      </c>
      <c r="H18" s="207" t="s">
        <v>380</v>
      </c>
      <c r="I18" s="207" t="s">
        <v>381</v>
      </c>
      <c r="J18" s="160" t="s">
        <v>332</v>
      </c>
      <c r="K18" s="621" t="s">
        <v>51</v>
      </c>
      <c r="L18" s="622"/>
      <c r="M18" s="208"/>
      <c r="N18" s="189"/>
      <c r="P18" s="402"/>
      <c r="Q18" s="402"/>
    </row>
    <row r="19" spans="1:18" s="189" customFormat="1" ht="15.75" customHeight="1">
      <c r="A19" s="616">
        <v>4</v>
      </c>
      <c r="B19" s="617" t="s">
        <v>156</v>
      </c>
      <c r="C19" s="200">
        <v>1</v>
      </c>
      <c r="D19" s="619" t="s">
        <v>641</v>
      </c>
      <c r="E19" s="620"/>
      <c r="F19" s="620"/>
      <c r="G19" s="200">
        <v>6</v>
      </c>
      <c r="H19" s="202">
        <v>2251.061397160694</v>
      </c>
      <c r="I19" s="203">
        <v>375.17689952678239</v>
      </c>
      <c r="J19" s="221">
        <v>0.19317161443211717</v>
      </c>
      <c r="K19" s="619" t="s">
        <v>435</v>
      </c>
      <c r="L19" s="620"/>
      <c r="N19" s="199"/>
      <c r="O19" s="199"/>
      <c r="P19" s="402"/>
      <c r="Q19" s="402"/>
      <c r="R19" s="199"/>
    </row>
    <row r="20" spans="1:18" s="189" customFormat="1" ht="15.75" customHeight="1">
      <c r="A20" s="616"/>
      <c r="B20" s="617"/>
      <c r="C20" s="200">
        <v>2</v>
      </c>
      <c r="D20" s="619" t="s">
        <v>614</v>
      </c>
      <c r="E20" s="620"/>
      <c r="F20" s="620"/>
      <c r="G20" s="200">
        <v>6</v>
      </c>
      <c r="H20" s="202">
        <v>2250.7227073064419</v>
      </c>
      <c r="I20" s="203">
        <v>375.12045121774042</v>
      </c>
      <c r="J20" s="221">
        <v>0.13672330539014865</v>
      </c>
      <c r="K20" s="619" t="s">
        <v>435</v>
      </c>
      <c r="L20" s="620"/>
      <c r="O20" s="199"/>
      <c r="P20" s="402"/>
      <c r="Q20" s="402"/>
      <c r="R20" s="199"/>
    </row>
    <row r="21" spans="1:18" s="189" customFormat="1" ht="15.75" customHeight="1">
      <c r="A21" s="616"/>
      <c r="B21" s="617"/>
      <c r="C21" s="200">
        <v>3</v>
      </c>
      <c r="D21" s="619" t="s">
        <v>581</v>
      </c>
      <c r="E21" s="620"/>
      <c r="F21" s="620"/>
      <c r="G21" s="200">
        <v>11</v>
      </c>
      <c r="H21" s="202">
        <v>2652.1180131291808</v>
      </c>
      <c r="I21" s="203">
        <v>241.10163755719825</v>
      </c>
      <c r="J21" s="221">
        <v>5.4545454545348093E-2</v>
      </c>
      <c r="K21" s="619" t="s">
        <v>435</v>
      </c>
      <c r="L21" s="620"/>
      <c r="O21" s="199"/>
      <c r="P21" s="402"/>
      <c r="Q21" s="402"/>
      <c r="R21" s="199"/>
    </row>
    <row r="22" spans="1:18" s="189" customFormat="1" ht="15.75" customHeight="1">
      <c r="A22" s="616"/>
      <c r="B22" s="617"/>
      <c r="C22" s="200">
        <v>4</v>
      </c>
      <c r="D22" s="619"/>
      <c r="E22" s="620"/>
      <c r="F22" s="620"/>
      <c r="G22" s="200"/>
      <c r="H22" s="202"/>
      <c r="I22" s="203"/>
      <c r="J22" s="221"/>
      <c r="K22" s="619"/>
      <c r="L22" s="620"/>
      <c r="O22" s="199"/>
      <c r="P22" s="402"/>
      <c r="Q22" s="402"/>
      <c r="R22" s="199"/>
    </row>
    <row r="23" spans="1:18" s="189" customFormat="1" ht="15.75" customHeight="1">
      <c r="A23" s="616"/>
      <c r="B23" s="617"/>
      <c r="C23" s="200">
        <v>5</v>
      </c>
      <c r="D23" s="619"/>
      <c r="E23" s="620"/>
      <c r="F23" s="620"/>
      <c r="G23" s="200"/>
      <c r="H23" s="202"/>
      <c r="I23" s="203"/>
      <c r="J23" s="200"/>
      <c r="K23" s="619"/>
      <c r="L23" s="620"/>
      <c r="O23" s="199"/>
      <c r="P23" s="402"/>
      <c r="Q23" s="402"/>
      <c r="R23" s="199"/>
    </row>
    <row r="24" spans="1:18" s="189" customFormat="1" ht="15.75" customHeight="1">
      <c r="A24" s="616"/>
      <c r="B24" s="617"/>
      <c r="C24" s="204" t="s">
        <v>204</v>
      </c>
      <c r="D24" s="619"/>
      <c r="E24" s="620"/>
      <c r="F24" s="620"/>
      <c r="G24" s="200"/>
      <c r="H24" s="202"/>
      <c r="I24" s="203"/>
      <c r="J24" s="200"/>
      <c r="K24" s="619"/>
      <c r="L24" s="620"/>
      <c r="O24" s="199"/>
      <c r="P24" s="402"/>
      <c r="Q24" s="402"/>
      <c r="R24" s="199"/>
    </row>
    <row r="25" spans="1:18" s="189" customFormat="1" ht="15.75" customHeight="1">
      <c r="A25" s="616"/>
      <c r="B25" s="617"/>
      <c r="C25" s="204" t="s">
        <v>209</v>
      </c>
      <c r="D25" s="619"/>
      <c r="E25" s="620"/>
      <c r="F25" s="620"/>
      <c r="G25" s="200"/>
      <c r="H25" s="202"/>
      <c r="I25" s="203"/>
      <c r="J25" s="200"/>
      <c r="K25" s="619"/>
      <c r="L25" s="620"/>
      <c r="O25" s="199"/>
      <c r="P25" s="402"/>
      <c r="Q25" s="402"/>
      <c r="R25" s="199"/>
    </row>
    <row r="26" spans="1:18" s="189" customFormat="1" ht="15.75" customHeight="1">
      <c r="A26" s="616"/>
      <c r="B26" s="617"/>
      <c r="C26" s="204" t="s">
        <v>205</v>
      </c>
      <c r="D26" s="619"/>
      <c r="E26" s="620"/>
      <c r="F26" s="620"/>
      <c r="G26" s="200"/>
      <c r="H26" s="202"/>
      <c r="I26" s="203"/>
      <c r="J26" s="200"/>
      <c r="K26" s="619"/>
      <c r="L26" s="620"/>
      <c r="O26" s="199"/>
      <c r="P26" s="402"/>
      <c r="Q26" s="402"/>
      <c r="R26" s="199"/>
    </row>
    <row r="27" spans="1:18" s="189" customFormat="1" ht="15.75" customHeight="1">
      <c r="A27" s="616"/>
      <c r="B27" s="617"/>
      <c r="C27" s="204" t="s">
        <v>210</v>
      </c>
      <c r="D27" s="619"/>
      <c r="E27" s="620"/>
      <c r="F27" s="620"/>
      <c r="G27" s="200"/>
      <c r="H27" s="202"/>
      <c r="I27" s="203"/>
      <c r="J27" s="200"/>
      <c r="K27" s="619"/>
      <c r="L27" s="620"/>
      <c r="O27" s="199"/>
      <c r="P27" s="402"/>
      <c r="Q27" s="402"/>
      <c r="R27" s="199"/>
    </row>
    <row r="28" spans="1:18" s="189" customFormat="1" ht="15.75" customHeight="1">
      <c r="A28" s="616"/>
      <c r="B28" s="617"/>
      <c r="C28" s="204" t="s">
        <v>211</v>
      </c>
      <c r="D28" s="619"/>
      <c r="E28" s="620"/>
      <c r="F28" s="620"/>
      <c r="G28" s="200"/>
      <c r="H28" s="202"/>
      <c r="I28" s="203"/>
      <c r="J28" s="200"/>
      <c r="K28" s="619"/>
      <c r="L28" s="620"/>
      <c r="O28" s="199"/>
      <c r="P28" s="402"/>
      <c r="Q28" s="402"/>
      <c r="R28" s="199"/>
    </row>
    <row r="29" spans="1:18" s="189" customFormat="1" ht="15.75" customHeight="1">
      <c r="A29" s="615" t="s">
        <v>740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</row>
    <row r="30" spans="1:18" s="190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8" s="178" customFormat="1" ht="16.399999999999999" customHeight="1">
      <c r="A31" s="616" t="s">
        <v>162</v>
      </c>
      <c r="B31" s="170">
        <v>1</v>
      </c>
      <c r="C31" s="170">
        <v>2</v>
      </c>
      <c r="D31" s="191">
        <v>3</v>
      </c>
      <c r="E31" s="191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s="189" customFormat="1" ht="16.399999999999999" customHeight="1">
      <c r="A32" s="616"/>
      <c r="B32" s="195" t="s">
        <v>206</v>
      </c>
      <c r="C32" s="195" t="s">
        <v>155</v>
      </c>
      <c r="D32" s="194" t="s">
        <v>207</v>
      </c>
      <c r="E32" s="194" t="s">
        <v>156</v>
      </c>
      <c r="F32" s="195" t="s">
        <v>350</v>
      </c>
      <c r="G32" s="196" t="s">
        <v>136</v>
      </c>
      <c r="H32" s="197" t="s">
        <v>208</v>
      </c>
      <c r="I32" s="196" t="s">
        <v>379</v>
      </c>
      <c r="J32" s="196" t="s">
        <v>142</v>
      </c>
      <c r="K32" s="198"/>
      <c r="L32" s="198"/>
      <c r="M32" s="190"/>
      <c r="N32" s="199"/>
      <c r="O32" s="199"/>
      <c r="P32" s="199"/>
      <c r="Q32" s="199"/>
      <c r="R32" s="199"/>
    </row>
    <row r="33" spans="1:18" s="178" customFormat="1" ht="15.75" customHeight="1">
      <c r="A33" s="617" t="s">
        <v>188</v>
      </c>
      <c r="B33" s="617"/>
      <c r="C33" s="160" t="s">
        <v>47</v>
      </c>
      <c r="D33" s="617" t="s">
        <v>12</v>
      </c>
      <c r="E33" s="618"/>
      <c r="F33" s="618"/>
      <c r="G33" s="160" t="s">
        <v>46</v>
      </c>
      <c r="H33" s="160" t="s">
        <v>380</v>
      </c>
      <c r="I33" s="160" t="s">
        <v>381</v>
      </c>
      <c r="J33" s="160" t="s">
        <v>332</v>
      </c>
      <c r="K33" s="617" t="s">
        <v>51</v>
      </c>
      <c r="L33" s="618"/>
      <c r="M33" s="193"/>
      <c r="N33" s="189"/>
      <c r="O33" s="199"/>
      <c r="P33" s="402"/>
      <c r="Q33" s="402"/>
      <c r="R33" s="199"/>
    </row>
    <row r="34" spans="1:18" s="189" customFormat="1" ht="15.75" customHeight="1">
      <c r="A34" s="616">
        <v>3</v>
      </c>
      <c r="B34" s="617" t="s">
        <v>383</v>
      </c>
      <c r="C34" s="200">
        <v>1</v>
      </c>
      <c r="D34" s="619" t="s">
        <v>496</v>
      </c>
      <c r="E34" s="620"/>
      <c r="F34" s="620"/>
      <c r="G34" s="200">
        <v>5.4285714285714288</v>
      </c>
      <c r="H34" s="202">
        <v>3252.3407949676453</v>
      </c>
      <c r="I34" s="203">
        <v>604.00100477970568</v>
      </c>
      <c r="J34" s="221">
        <f>I34-I8</f>
        <v>61.22420561843137</v>
      </c>
      <c r="K34" s="619"/>
      <c r="L34" s="620"/>
      <c r="M34" s="190"/>
      <c r="O34" s="199"/>
      <c r="P34" s="402"/>
      <c r="Q34" s="402"/>
      <c r="R34" s="199"/>
    </row>
    <row r="35" spans="1:18" s="189" customFormat="1" ht="15.75" customHeight="1">
      <c r="A35" s="616"/>
      <c r="B35" s="617"/>
      <c r="C35" s="200">
        <v>2</v>
      </c>
      <c r="D35" s="619" t="s">
        <v>349</v>
      </c>
      <c r="E35" s="620"/>
      <c r="F35" s="620"/>
      <c r="G35" s="200">
        <v>21</v>
      </c>
      <c r="H35" s="202">
        <v>2484.1730769230767</v>
      </c>
      <c r="I35" s="203">
        <v>118.29395604395602</v>
      </c>
      <c r="J35" s="221">
        <f>I35-I9</f>
        <v>-0.78466176680464628</v>
      </c>
      <c r="K35" s="619"/>
      <c r="L35" s="620"/>
      <c r="M35" s="190"/>
      <c r="O35" s="199"/>
      <c r="P35" s="402"/>
      <c r="Q35" s="402"/>
      <c r="R35" s="199"/>
    </row>
    <row r="36" spans="1:18" s="189" customFormat="1" ht="15.75" customHeight="1">
      <c r="A36" s="616"/>
      <c r="B36" s="617"/>
      <c r="C36" s="200">
        <v>3</v>
      </c>
      <c r="D36" s="619"/>
      <c r="E36" s="620"/>
      <c r="F36" s="620"/>
      <c r="G36" s="200"/>
      <c r="H36" s="202"/>
      <c r="I36" s="203"/>
      <c r="J36" s="200"/>
      <c r="K36" s="619"/>
      <c r="L36" s="620"/>
      <c r="M36" s="190"/>
      <c r="O36" s="199"/>
      <c r="P36" s="402"/>
      <c r="Q36" s="402"/>
      <c r="R36" s="199"/>
    </row>
    <row r="37" spans="1:18" s="189" customFormat="1" ht="15.75" customHeight="1">
      <c r="A37" s="616"/>
      <c r="B37" s="617"/>
      <c r="C37" s="200">
        <v>4</v>
      </c>
      <c r="D37" s="619"/>
      <c r="E37" s="620"/>
      <c r="F37" s="620"/>
      <c r="G37" s="200"/>
      <c r="H37" s="202"/>
      <c r="I37" s="203"/>
      <c r="J37" s="200"/>
      <c r="K37" s="619"/>
      <c r="L37" s="620"/>
      <c r="M37" s="190"/>
      <c r="O37" s="199"/>
      <c r="P37" s="402"/>
      <c r="Q37" s="402"/>
      <c r="R37" s="199"/>
    </row>
    <row r="38" spans="1:18" s="189" customFormat="1" ht="15.75" customHeight="1">
      <c r="A38" s="616"/>
      <c r="B38" s="617"/>
      <c r="C38" s="200">
        <v>5</v>
      </c>
      <c r="D38" s="619"/>
      <c r="E38" s="620"/>
      <c r="F38" s="620"/>
      <c r="G38" s="200"/>
      <c r="H38" s="202"/>
      <c r="I38" s="203"/>
      <c r="J38" s="200"/>
      <c r="K38" s="619"/>
      <c r="L38" s="620"/>
      <c r="M38" s="190"/>
      <c r="O38" s="199"/>
      <c r="P38" s="402"/>
      <c r="Q38" s="402"/>
      <c r="R38" s="199"/>
    </row>
    <row r="39" spans="1:18" s="189" customFormat="1" ht="15.75" customHeight="1">
      <c r="A39" s="616"/>
      <c r="B39" s="617"/>
      <c r="C39" s="204" t="s">
        <v>204</v>
      </c>
      <c r="D39" s="619"/>
      <c r="E39" s="620"/>
      <c r="F39" s="620"/>
      <c r="G39" s="200"/>
      <c r="H39" s="202"/>
      <c r="I39" s="203"/>
      <c r="J39" s="200"/>
      <c r="K39" s="619"/>
      <c r="L39" s="620"/>
      <c r="M39" s="190"/>
      <c r="O39" s="199"/>
      <c r="P39" s="402"/>
      <c r="Q39" s="402"/>
      <c r="R39" s="199"/>
    </row>
    <row r="40" spans="1:18" s="189" customFormat="1" ht="15.75" customHeight="1">
      <c r="A40" s="616"/>
      <c r="B40" s="617"/>
      <c r="C40" s="204" t="s">
        <v>209</v>
      </c>
      <c r="D40" s="619"/>
      <c r="E40" s="620"/>
      <c r="F40" s="620"/>
      <c r="G40" s="200"/>
      <c r="H40" s="202"/>
      <c r="I40" s="203"/>
      <c r="J40" s="200"/>
      <c r="K40" s="619"/>
      <c r="L40" s="620"/>
      <c r="M40" s="190"/>
      <c r="N40" s="178"/>
      <c r="O40" s="178"/>
      <c r="P40" s="401"/>
      <c r="Q40" s="401"/>
      <c r="R40" s="178"/>
    </row>
    <row r="41" spans="1:18" s="189" customFormat="1" ht="15.75" customHeight="1">
      <c r="A41" s="616"/>
      <c r="B41" s="617"/>
      <c r="C41" s="204" t="s">
        <v>205</v>
      </c>
      <c r="D41" s="619"/>
      <c r="E41" s="620"/>
      <c r="F41" s="620"/>
      <c r="G41" s="202"/>
      <c r="H41" s="202"/>
      <c r="I41" s="203"/>
      <c r="J41" s="200"/>
      <c r="K41" s="619"/>
      <c r="L41" s="620"/>
      <c r="M41" s="190"/>
      <c r="O41" s="199"/>
      <c r="P41" s="402"/>
      <c r="Q41" s="402"/>
      <c r="R41" s="199"/>
    </row>
    <row r="42" spans="1:18" s="189" customFormat="1" ht="15.75" customHeight="1">
      <c r="A42" s="616"/>
      <c r="B42" s="617"/>
      <c r="C42" s="204" t="s">
        <v>210</v>
      </c>
      <c r="D42" s="619"/>
      <c r="E42" s="620"/>
      <c r="F42" s="620"/>
      <c r="G42" s="200"/>
      <c r="H42" s="202"/>
      <c r="I42" s="203"/>
      <c r="J42" s="200"/>
      <c r="K42" s="619"/>
      <c r="L42" s="620"/>
      <c r="O42" s="199"/>
      <c r="P42" s="402"/>
      <c r="Q42" s="402"/>
      <c r="R42" s="199"/>
    </row>
    <row r="43" spans="1:18" s="189" customFormat="1" ht="15.75" customHeight="1">
      <c r="A43" s="616"/>
      <c r="B43" s="617"/>
      <c r="C43" s="204" t="s">
        <v>211</v>
      </c>
      <c r="D43" s="619"/>
      <c r="E43" s="620"/>
      <c r="F43" s="620"/>
      <c r="G43" s="200"/>
      <c r="H43" s="202"/>
      <c r="I43" s="203"/>
      <c r="J43" s="200"/>
      <c r="K43" s="619"/>
      <c r="L43" s="620"/>
      <c r="O43" s="199"/>
      <c r="P43" s="402"/>
      <c r="Q43" s="402"/>
      <c r="R43" s="199"/>
    </row>
    <row r="44" spans="1:18" s="199" customFormat="1" ht="15.75" customHeight="1">
      <c r="A44" s="621" t="s">
        <v>188</v>
      </c>
      <c r="B44" s="621"/>
      <c r="C44" s="207" t="s">
        <v>47</v>
      </c>
      <c r="D44" s="621" t="s">
        <v>12</v>
      </c>
      <c r="E44" s="622"/>
      <c r="F44" s="622"/>
      <c r="G44" s="207" t="s">
        <v>46</v>
      </c>
      <c r="H44" s="207" t="s">
        <v>380</v>
      </c>
      <c r="I44" s="207" t="s">
        <v>381</v>
      </c>
      <c r="J44" s="160" t="s">
        <v>332</v>
      </c>
      <c r="K44" s="621" t="s">
        <v>51</v>
      </c>
      <c r="L44" s="622"/>
      <c r="M44" s="208"/>
      <c r="N44" s="189"/>
      <c r="P44" s="402"/>
      <c r="Q44" s="402"/>
    </row>
    <row r="45" spans="1:18" s="189" customFormat="1" ht="15.75" customHeight="1">
      <c r="A45" s="616">
        <v>4</v>
      </c>
      <c r="B45" s="617" t="s">
        <v>156</v>
      </c>
      <c r="C45" s="200">
        <v>1</v>
      </c>
      <c r="D45" s="619" t="s">
        <v>614</v>
      </c>
      <c r="E45" s="620"/>
      <c r="F45" s="620"/>
      <c r="G45" s="200">
        <v>6</v>
      </c>
      <c r="H45" s="202">
        <v>2255.375090838671</v>
      </c>
      <c r="I45" s="203">
        <v>375.89584847311187</v>
      </c>
      <c r="J45" s="221">
        <f>I45-I20</f>
        <v>0.77539725537144477</v>
      </c>
      <c r="K45" s="619"/>
      <c r="L45" s="620"/>
      <c r="N45" s="199"/>
      <c r="O45" s="199"/>
      <c r="P45" s="402"/>
      <c r="Q45" s="402"/>
      <c r="R45" s="199"/>
    </row>
    <row r="46" spans="1:18" s="189" customFormat="1" ht="15.75" customHeight="1">
      <c r="A46" s="616"/>
      <c r="B46" s="617"/>
      <c r="C46" s="200">
        <v>2</v>
      </c>
      <c r="D46" s="619" t="s">
        <v>641</v>
      </c>
      <c r="E46" s="620"/>
      <c r="F46" s="620"/>
      <c r="G46" s="200">
        <v>6</v>
      </c>
      <c r="H46" s="202">
        <v>2254.7363689222293</v>
      </c>
      <c r="I46" s="203">
        <v>375.78939482037151</v>
      </c>
      <c r="J46" s="221">
        <f>I46-I19</f>
        <v>0.61249529358912014</v>
      </c>
      <c r="K46" s="619"/>
      <c r="L46" s="620"/>
      <c r="O46" s="199"/>
      <c r="P46" s="402"/>
      <c r="Q46" s="402"/>
      <c r="R46" s="199"/>
    </row>
    <row r="47" spans="1:18" s="189" customFormat="1" ht="15.75" customHeight="1">
      <c r="A47" s="616"/>
      <c r="B47" s="617"/>
      <c r="C47" s="200">
        <v>3</v>
      </c>
      <c r="D47" s="619"/>
      <c r="E47" s="620"/>
      <c r="F47" s="620"/>
      <c r="G47" s="200"/>
      <c r="H47" s="202"/>
      <c r="I47" s="203"/>
      <c r="J47" s="221"/>
      <c r="K47" s="619"/>
      <c r="L47" s="620"/>
      <c r="O47" s="199"/>
      <c r="P47" s="402"/>
      <c r="Q47" s="402"/>
      <c r="R47" s="199"/>
    </row>
    <row r="48" spans="1:18" s="189" customFormat="1" ht="15.75" customHeight="1">
      <c r="A48" s="616"/>
      <c r="B48" s="617"/>
      <c r="C48" s="200">
        <v>4</v>
      </c>
      <c r="D48" s="619"/>
      <c r="E48" s="620"/>
      <c r="F48" s="620"/>
      <c r="G48" s="200"/>
      <c r="H48" s="202"/>
      <c r="I48" s="203"/>
      <c r="J48" s="200"/>
      <c r="K48" s="619"/>
      <c r="L48" s="620"/>
      <c r="O48" s="199"/>
      <c r="P48" s="402"/>
      <c r="Q48" s="402"/>
      <c r="R48" s="199"/>
    </row>
    <row r="49" spans="1:18" s="189" customFormat="1" ht="15.75" customHeight="1">
      <c r="A49" s="616"/>
      <c r="B49" s="617"/>
      <c r="C49" s="200">
        <v>5</v>
      </c>
      <c r="D49" s="619"/>
      <c r="E49" s="620"/>
      <c r="F49" s="620"/>
      <c r="G49" s="200"/>
      <c r="H49" s="202"/>
      <c r="I49" s="203"/>
      <c r="J49" s="200"/>
      <c r="K49" s="619"/>
      <c r="L49" s="620"/>
      <c r="O49" s="199"/>
      <c r="P49" s="402"/>
      <c r="Q49" s="402"/>
      <c r="R49" s="199"/>
    </row>
    <row r="50" spans="1:18" s="189" customFormat="1" ht="15.75" customHeight="1">
      <c r="A50" s="616"/>
      <c r="B50" s="617"/>
      <c r="C50" s="204" t="s">
        <v>204</v>
      </c>
      <c r="D50" s="619"/>
      <c r="E50" s="620"/>
      <c r="F50" s="620"/>
      <c r="G50" s="200"/>
      <c r="H50" s="202"/>
      <c r="I50" s="203"/>
      <c r="J50" s="200"/>
      <c r="K50" s="619"/>
      <c r="L50" s="620"/>
      <c r="O50" s="199"/>
      <c r="P50" s="402"/>
      <c r="Q50" s="402"/>
      <c r="R50" s="199"/>
    </row>
    <row r="51" spans="1:18" s="189" customFormat="1" ht="15.75" customHeight="1">
      <c r="A51" s="616"/>
      <c r="B51" s="617"/>
      <c r="C51" s="204" t="s">
        <v>209</v>
      </c>
      <c r="D51" s="619"/>
      <c r="E51" s="620"/>
      <c r="F51" s="620"/>
      <c r="G51" s="200"/>
      <c r="H51" s="202"/>
      <c r="I51" s="203"/>
      <c r="J51" s="200"/>
      <c r="K51" s="619"/>
      <c r="L51" s="620"/>
      <c r="O51" s="199"/>
      <c r="P51" s="402"/>
      <c r="Q51" s="402"/>
      <c r="R51" s="199"/>
    </row>
    <row r="52" spans="1:18" s="189" customFormat="1" ht="15.75" customHeight="1">
      <c r="A52" s="616"/>
      <c r="B52" s="617"/>
      <c r="C52" s="204" t="s">
        <v>205</v>
      </c>
      <c r="D52" s="619"/>
      <c r="E52" s="620"/>
      <c r="F52" s="620"/>
      <c r="G52" s="200"/>
      <c r="H52" s="202"/>
      <c r="I52" s="203"/>
      <c r="J52" s="200"/>
      <c r="K52" s="619"/>
      <c r="L52" s="620"/>
      <c r="O52" s="199"/>
      <c r="P52" s="402"/>
      <c r="Q52" s="402"/>
      <c r="R52" s="199"/>
    </row>
    <row r="53" spans="1:18" s="189" customFormat="1" ht="15.75" customHeight="1">
      <c r="A53" s="616"/>
      <c r="B53" s="617"/>
      <c r="C53" s="204" t="s">
        <v>210</v>
      </c>
      <c r="D53" s="619"/>
      <c r="E53" s="620"/>
      <c r="F53" s="620"/>
      <c r="G53" s="200"/>
      <c r="H53" s="202"/>
      <c r="I53" s="203"/>
      <c r="J53" s="200"/>
      <c r="K53" s="619"/>
      <c r="L53" s="620"/>
      <c r="O53" s="199"/>
      <c r="P53" s="402"/>
      <c r="Q53" s="402"/>
      <c r="R53" s="199"/>
    </row>
    <row r="54" spans="1:18" s="189" customFormat="1" ht="15.75" customHeight="1">
      <c r="A54" s="616"/>
      <c r="B54" s="617"/>
      <c r="C54" s="204" t="s">
        <v>211</v>
      </c>
      <c r="D54" s="619"/>
      <c r="E54" s="620"/>
      <c r="F54" s="620"/>
      <c r="G54" s="200"/>
      <c r="H54" s="202"/>
      <c r="I54" s="203"/>
      <c r="J54" s="200"/>
      <c r="K54" s="619"/>
      <c r="L54" s="620"/>
      <c r="O54" s="199"/>
      <c r="P54" s="402"/>
      <c r="Q54" s="402"/>
      <c r="R54" s="199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R54"/>
  <sheetViews>
    <sheetView view="pageBreakPreview" topLeftCell="A10" zoomScaleNormal="60" zoomScaleSheetLayoutView="100" workbookViewId="0">
      <selection activeCell="A29" sqref="A29:L30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8" t="s">
        <v>378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99"/>
    </row>
    <row r="2" spans="1:18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N2" s="190"/>
      <c r="O2" s="190"/>
      <c r="P2" s="190"/>
      <c r="Q2" s="190"/>
      <c r="R2" s="190"/>
    </row>
    <row r="3" spans="1:18" s="189" customFormat="1" ht="15.75" customHeight="1">
      <c r="A3" s="615" t="s">
        <v>652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</row>
    <row r="4" spans="1:18" s="190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8" s="106" customFormat="1" ht="16.399999999999999" customHeight="1">
      <c r="A5" s="616" t="s">
        <v>162</v>
      </c>
      <c r="B5" s="170">
        <v>1</v>
      </c>
      <c r="C5" s="170">
        <v>2</v>
      </c>
      <c r="D5" s="170">
        <v>3</v>
      </c>
      <c r="E5" s="170">
        <v>4</v>
      </c>
      <c r="F5" s="191">
        <v>5</v>
      </c>
      <c r="G5" s="191">
        <v>6</v>
      </c>
      <c r="H5" s="170">
        <v>7</v>
      </c>
      <c r="I5" s="170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99999999999999" customHeight="1">
      <c r="A6" s="616"/>
      <c r="B6" s="195" t="s">
        <v>206</v>
      </c>
      <c r="C6" s="195" t="s">
        <v>155</v>
      </c>
      <c r="D6" s="195" t="s">
        <v>207</v>
      </c>
      <c r="E6" s="195" t="s">
        <v>156</v>
      </c>
      <c r="F6" s="194" t="s">
        <v>350</v>
      </c>
      <c r="G6" s="209" t="s">
        <v>136</v>
      </c>
      <c r="H6" s="197" t="s">
        <v>208</v>
      </c>
      <c r="I6" s="196" t="s">
        <v>379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17" t="s">
        <v>188</v>
      </c>
      <c r="B7" s="617"/>
      <c r="C7" s="160" t="s">
        <v>47</v>
      </c>
      <c r="D7" s="617" t="s">
        <v>12</v>
      </c>
      <c r="E7" s="618"/>
      <c r="F7" s="618"/>
      <c r="G7" s="160" t="s">
        <v>46</v>
      </c>
      <c r="H7" s="160" t="s">
        <v>380</v>
      </c>
      <c r="I7" s="160" t="s">
        <v>381</v>
      </c>
      <c r="J7" s="160" t="s">
        <v>332</v>
      </c>
      <c r="K7" s="617" t="s">
        <v>51</v>
      </c>
      <c r="L7" s="618"/>
      <c r="M7" s="127"/>
      <c r="N7" s="189"/>
      <c r="O7" s="199"/>
      <c r="P7" s="402"/>
      <c r="Q7" s="402"/>
      <c r="R7" s="199"/>
    </row>
    <row r="8" spans="1:18" ht="15.75" customHeight="1">
      <c r="A8" s="616">
        <v>5</v>
      </c>
      <c r="B8" s="617" t="s">
        <v>350</v>
      </c>
      <c r="C8" s="200">
        <v>1</v>
      </c>
      <c r="D8" s="619" t="s">
        <v>615</v>
      </c>
      <c r="E8" s="620"/>
      <c r="F8" s="620"/>
      <c r="G8" s="202">
        <v>16</v>
      </c>
      <c r="H8" s="202">
        <v>1788.2251123726844</v>
      </c>
      <c r="I8" s="203">
        <v>111.76406952329278</v>
      </c>
      <c r="J8" s="357">
        <v>2.733162270869812</v>
      </c>
      <c r="K8" s="619" t="s">
        <v>510</v>
      </c>
      <c r="L8" s="620"/>
      <c r="O8" s="403"/>
      <c r="P8" s="402"/>
      <c r="Q8" s="402"/>
      <c r="R8" s="199"/>
    </row>
    <row r="9" spans="1:18" ht="15.75" customHeight="1">
      <c r="A9" s="616"/>
      <c r="B9" s="617"/>
      <c r="C9" s="200">
        <v>2</v>
      </c>
      <c r="D9" s="619" t="s">
        <v>498</v>
      </c>
      <c r="E9" s="620"/>
      <c r="F9" s="620"/>
      <c r="G9" s="202">
        <v>20</v>
      </c>
      <c r="H9" s="202">
        <v>1788.4208852000145</v>
      </c>
      <c r="I9" s="203">
        <v>89.421044260000727</v>
      </c>
      <c r="J9" s="357">
        <v>0.15504489926621545</v>
      </c>
      <c r="K9" s="625" t="s">
        <v>435</v>
      </c>
      <c r="L9" s="624"/>
      <c r="O9" s="403"/>
      <c r="P9" s="402"/>
      <c r="Q9" s="402"/>
      <c r="R9" s="199"/>
    </row>
    <row r="10" spans="1:18" ht="15.75" customHeight="1">
      <c r="A10" s="616"/>
      <c r="B10" s="617"/>
      <c r="C10" s="200">
        <v>3</v>
      </c>
      <c r="D10" s="619" t="s">
        <v>451</v>
      </c>
      <c r="E10" s="620"/>
      <c r="F10" s="620"/>
      <c r="G10" s="202">
        <v>20</v>
      </c>
      <c r="H10" s="202">
        <v>1786</v>
      </c>
      <c r="I10" s="203">
        <v>89.299999999999983</v>
      </c>
      <c r="J10" s="357">
        <v>0</v>
      </c>
      <c r="K10" s="625" t="s">
        <v>435</v>
      </c>
      <c r="L10" s="624"/>
      <c r="O10" s="403"/>
      <c r="P10" s="402"/>
      <c r="Q10" s="402"/>
      <c r="R10" s="199"/>
    </row>
    <row r="11" spans="1:18" ht="15.75" customHeight="1">
      <c r="A11" s="616"/>
      <c r="B11" s="617"/>
      <c r="C11" s="200">
        <v>4</v>
      </c>
      <c r="D11" s="619" t="s">
        <v>343</v>
      </c>
      <c r="E11" s="620"/>
      <c r="F11" s="620"/>
      <c r="G11" s="202">
        <v>22.714285714285715</v>
      </c>
      <c r="H11" s="202">
        <v>1800.0874232634017</v>
      </c>
      <c r="I11" s="203">
        <v>79.274089999818287</v>
      </c>
      <c r="J11" s="357">
        <v>1.3863557693979232</v>
      </c>
      <c r="K11" s="625" t="s">
        <v>435</v>
      </c>
      <c r="L11" s="624"/>
      <c r="O11" s="403"/>
      <c r="P11" s="402"/>
      <c r="Q11" s="402"/>
      <c r="R11" s="199"/>
    </row>
    <row r="12" spans="1:18" ht="15.75" customHeight="1">
      <c r="A12" s="616"/>
      <c r="B12" s="617"/>
      <c r="C12" s="200">
        <v>5</v>
      </c>
      <c r="D12" s="619" t="s">
        <v>351</v>
      </c>
      <c r="E12" s="620"/>
      <c r="F12" s="620"/>
      <c r="G12" s="202">
        <v>22.714285714285715</v>
      </c>
      <c r="H12" s="202">
        <v>1798.5902299960592</v>
      </c>
      <c r="I12" s="203">
        <v>79.208446277876973</v>
      </c>
      <c r="J12" s="357">
        <v>1.4435451727229776</v>
      </c>
      <c r="K12" s="625" t="s">
        <v>435</v>
      </c>
      <c r="L12" s="624"/>
      <c r="O12" s="403"/>
      <c r="P12" s="402"/>
      <c r="Q12" s="402"/>
      <c r="R12" s="199"/>
    </row>
    <row r="13" spans="1:18" ht="15.75" customHeight="1">
      <c r="A13" s="616"/>
      <c r="B13" s="617"/>
      <c r="C13" s="204" t="s">
        <v>204</v>
      </c>
      <c r="D13" s="619" t="s">
        <v>344</v>
      </c>
      <c r="E13" s="620"/>
      <c r="F13" s="620"/>
      <c r="G13" s="202">
        <v>24</v>
      </c>
      <c r="H13" s="202">
        <v>1785.6013990749088</v>
      </c>
      <c r="I13" s="203">
        <v>74.400058294787883</v>
      </c>
      <c r="J13" s="357">
        <v>0.16607259524482743</v>
      </c>
      <c r="K13" s="625" t="s">
        <v>435</v>
      </c>
      <c r="L13" s="624"/>
      <c r="N13" s="178"/>
      <c r="O13" s="404"/>
      <c r="P13" s="401"/>
      <c r="Q13" s="401"/>
      <c r="R13" s="178"/>
    </row>
    <row r="14" spans="1:18" ht="15.75" customHeight="1">
      <c r="A14" s="616"/>
      <c r="B14" s="617"/>
      <c r="C14" s="204" t="s">
        <v>209</v>
      </c>
      <c r="D14" s="619" t="s">
        <v>497</v>
      </c>
      <c r="E14" s="620"/>
      <c r="F14" s="620"/>
      <c r="G14" s="202">
        <v>21</v>
      </c>
      <c r="H14" s="202">
        <v>1605.7342925930138</v>
      </c>
      <c r="I14" s="203">
        <v>76.46353774252448</v>
      </c>
      <c r="J14" s="357">
        <v>-4.3717681512703166E-2</v>
      </c>
      <c r="K14" s="625" t="s">
        <v>435</v>
      </c>
      <c r="L14" s="624"/>
      <c r="O14" s="403"/>
      <c r="P14" s="402"/>
      <c r="Q14" s="402"/>
      <c r="R14" s="199"/>
    </row>
    <row r="15" spans="1:18" ht="15.75" customHeight="1">
      <c r="A15" s="616"/>
      <c r="B15" s="617"/>
      <c r="C15" s="204" t="s">
        <v>205</v>
      </c>
      <c r="D15" s="619" t="s">
        <v>345</v>
      </c>
      <c r="E15" s="620"/>
      <c r="F15" s="620"/>
      <c r="G15" s="202">
        <v>22.714285714285715</v>
      </c>
      <c r="H15" s="202">
        <v>1797.4877735524144</v>
      </c>
      <c r="I15" s="203">
        <v>79.160184182860135</v>
      </c>
      <c r="J15" s="357">
        <v>1.4621298950869175</v>
      </c>
      <c r="K15" s="625" t="s">
        <v>435</v>
      </c>
      <c r="L15" s="624"/>
      <c r="O15" s="403"/>
      <c r="P15" s="402"/>
      <c r="Q15" s="402"/>
      <c r="R15" s="199"/>
    </row>
    <row r="16" spans="1:18" ht="15.75" customHeight="1">
      <c r="A16" s="616"/>
      <c r="B16" s="617"/>
      <c r="C16" s="204" t="s">
        <v>210</v>
      </c>
      <c r="D16" s="619"/>
      <c r="E16" s="620"/>
      <c r="F16" s="620"/>
      <c r="G16" s="202"/>
      <c r="H16" s="202"/>
      <c r="I16" s="203"/>
      <c r="J16" s="357"/>
      <c r="K16" s="625"/>
      <c r="L16" s="624"/>
      <c r="M16" s="99"/>
      <c r="O16" s="403"/>
      <c r="P16" s="402"/>
      <c r="Q16" s="402"/>
      <c r="R16" s="199"/>
    </row>
    <row r="17" spans="1:18" ht="15.75" customHeight="1">
      <c r="A17" s="616"/>
      <c r="B17" s="617"/>
      <c r="C17" s="204" t="s">
        <v>211</v>
      </c>
      <c r="D17" s="619"/>
      <c r="E17" s="620"/>
      <c r="F17" s="620"/>
      <c r="G17" s="202"/>
      <c r="H17" s="202"/>
      <c r="I17" s="203"/>
      <c r="J17" s="200"/>
      <c r="K17" s="619"/>
      <c r="L17" s="620"/>
      <c r="M17" s="99"/>
      <c r="O17" s="403"/>
      <c r="P17" s="402"/>
      <c r="Q17" s="402"/>
      <c r="R17" s="199"/>
    </row>
    <row r="18" spans="1:18" s="104" customFormat="1" ht="15.75" customHeight="1">
      <c r="A18" s="621" t="s">
        <v>188</v>
      </c>
      <c r="B18" s="621"/>
      <c r="C18" s="207" t="s">
        <v>47</v>
      </c>
      <c r="D18" s="621" t="s">
        <v>12</v>
      </c>
      <c r="E18" s="622"/>
      <c r="F18" s="622"/>
      <c r="G18" s="207" t="s">
        <v>46</v>
      </c>
      <c r="H18" s="207" t="s">
        <v>380</v>
      </c>
      <c r="I18" s="207" t="s">
        <v>381</v>
      </c>
      <c r="J18" s="160" t="s">
        <v>332</v>
      </c>
      <c r="K18" s="621" t="s">
        <v>51</v>
      </c>
      <c r="L18" s="622"/>
      <c r="M18" s="128"/>
      <c r="N18" s="189"/>
      <c r="O18" s="403"/>
      <c r="P18" s="402"/>
      <c r="Q18" s="402"/>
      <c r="R18" s="199"/>
    </row>
    <row r="19" spans="1:18" ht="15.75" customHeight="1">
      <c r="A19" s="616">
        <v>6</v>
      </c>
      <c r="B19" s="617" t="s">
        <v>136</v>
      </c>
      <c r="C19" s="200">
        <v>1</v>
      </c>
      <c r="D19" s="619" t="s">
        <v>447</v>
      </c>
      <c r="E19" s="620"/>
      <c r="F19" s="620"/>
      <c r="G19" s="200">
        <v>20</v>
      </c>
      <c r="H19" s="202">
        <v>1787.4351228030155</v>
      </c>
      <c r="I19" s="203">
        <v>89.371756140150765</v>
      </c>
      <c r="J19" s="357">
        <v>7.6802002618507004E-2</v>
      </c>
      <c r="K19" s="625" t="s">
        <v>435</v>
      </c>
      <c r="L19" s="624"/>
      <c r="M19" s="99"/>
      <c r="N19" s="199"/>
      <c r="O19" s="199"/>
      <c r="P19" s="402"/>
      <c r="Q19" s="402"/>
      <c r="R19" s="199"/>
    </row>
    <row r="20" spans="1:18" ht="15.75" customHeight="1">
      <c r="A20" s="616"/>
      <c r="B20" s="617"/>
      <c r="C20" s="200">
        <v>2</v>
      </c>
      <c r="D20" s="619" t="s">
        <v>353</v>
      </c>
      <c r="E20" s="620"/>
      <c r="F20" s="620"/>
      <c r="G20" s="202">
        <v>21</v>
      </c>
      <c r="H20" s="202">
        <v>1787.0571428571423</v>
      </c>
      <c r="I20" s="203">
        <v>85.097959183673439</v>
      </c>
      <c r="J20" s="357">
        <v>2.8571428571453339E-2</v>
      </c>
      <c r="K20" s="625" t="s">
        <v>435</v>
      </c>
      <c r="L20" s="624"/>
      <c r="M20" s="99"/>
      <c r="O20" s="199"/>
      <c r="P20" s="402"/>
      <c r="Q20" s="402"/>
      <c r="R20" s="199"/>
    </row>
    <row r="21" spans="1:18" ht="15.75" customHeight="1">
      <c r="A21" s="616"/>
      <c r="B21" s="617"/>
      <c r="C21" s="200">
        <v>3</v>
      </c>
      <c r="D21" s="619" t="s">
        <v>444</v>
      </c>
      <c r="E21" s="620"/>
      <c r="F21" s="620"/>
      <c r="G21" s="202">
        <v>22</v>
      </c>
      <c r="H21" s="202">
        <v>1786.8898179020273</v>
      </c>
      <c r="I21" s="203">
        <v>81.22226445009214</v>
      </c>
      <c r="J21" s="357">
        <v>-5.4545454545447569E-2</v>
      </c>
      <c r="K21" s="625" t="s">
        <v>435</v>
      </c>
      <c r="L21" s="624"/>
      <c r="M21" s="99"/>
      <c r="O21" s="199"/>
      <c r="P21" s="402"/>
      <c r="Q21" s="402"/>
      <c r="R21" s="199"/>
    </row>
    <row r="22" spans="1:18" ht="15.75" customHeight="1">
      <c r="A22" s="616"/>
      <c r="B22" s="617"/>
      <c r="C22" s="200">
        <v>4</v>
      </c>
      <c r="D22" s="619" t="s">
        <v>441</v>
      </c>
      <c r="E22" s="620"/>
      <c r="F22" s="620"/>
      <c r="G22" s="200">
        <v>23</v>
      </c>
      <c r="H22" s="202">
        <v>1790.5066107707155</v>
      </c>
      <c r="I22" s="203">
        <v>77.848113511770222</v>
      </c>
      <c r="J22" s="357">
        <v>-4.2236024844754638E-2</v>
      </c>
      <c r="K22" s="625" t="s">
        <v>435</v>
      </c>
      <c r="L22" s="624"/>
      <c r="M22" s="99"/>
      <c r="O22" s="199"/>
      <c r="P22" s="402"/>
      <c r="Q22" s="402"/>
      <c r="R22" s="199"/>
    </row>
    <row r="23" spans="1:18" ht="15.75" customHeight="1">
      <c r="A23" s="616"/>
      <c r="B23" s="617"/>
      <c r="C23" s="200">
        <v>5</v>
      </c>
      <c r="D23" s="619" t="s">
        <v>352</v>
      </c>
      <c r="E23" s="620"/>
      <c r="F23" s="620"/>
      <c r="G23" s="202">
        <v>23</v>
      </c>
      <c r="H23" s="202">
        <v>1789.2355996944241</v>
      </c>
      <c r="I23" s="203">
        <v>77.792852160627135</v>
      </c>
      <c r="J23" s="357">
        <v>-3.8509316770173996E-2</v>
      </c>
      <c r="K23" s="625" t="s">
        <v>435</v>
      </c>
      <c r="L23" s="624"/>
      <c r="M23" s="99"/>
      <c r="O23" s="199"/>
      <c r="P23" s="402"/>
      <c r="Q23" s="402"/>
      <c r="R23" s="199"/>
    </row>
    <row r="24" spans="1:18" ht="15.75" customHeight="1">
      <c r="A24" s="616"/>
      <c r="B24" s="617"/>
      <c r="C24" s="204" t="s">
        <v>204</v>
      </c>
      <c r="D24" s="619" t="s">
        <v>553</v>
      </c>
      <c r="E24" s="620"/>
      <c r="F24" s="620"/>
      <c r="G24" s="200">
        <v>26</v>
      </c>
      <c r="H24" s="202">
        <v>1790.5376311638433</v>
      </c>
      <c r="I24" s="203">
        <v>68.866831967840128</v>
      </c>
      <c r="J24" s="357">
        <v>-1.4285714285691142E-2</v>
      </c>
      <c r="K24" s="625" t="s">
        <v>435</v>
      </c>
      <c r="L24" s="624"/>
      <c r="M24" s="99"/>
      <c r="O24" s="199"/>
      <c r="P24" s="402"/>
      <c r="Q24" s="402"/>
      <c r="R24" s="199"/>
    </row>
    <row r="25" spans="1:18" ht="15.75" customHeight="1">
      <c r="A25" s="616"/>
      <c r="B25" s="617"/>
      <c r="C25" s="204" t="s">
        <v>209</v>
      </c>
      <c r="D25" s="619" t="s">
        <v>356</v>
      </c>
      <c r="E25" s="620"/>
      <c r="F25" s="620"/>
      <c r="G25" s="200">
        <v>24</v>
      </c>
      <c r="H25" s="202">
        <v>1787.730781076536</v>
      </c>
      <c r="I25" s="203">
        <v>74.488782544855681</v>
      </c>
      <c r="J25" s="357">
        <v>6.1904761904784777E-2</v>
      </c>
      <c r="K25" s="625" t="s">
        <v>435</v>
      </c>
      <c r="L25" s="624"/>
      <c r="M25" s="99"/>
      <c r="O25" s="199"/>
      <c r="P25" s="402"/>
      <c r="Q25" s="402"/>
      <c r="R25" s="199"/>
    </row>
    <row r="26" spans="1:18" ht="15.75" customHeight="1">
      <c r="A26" s="616"/>
      <c r="B26" s="617"/>
      <c r="C26" s="204" t="s">
        <v>205</v>
      </c>
      <c r="D26" s="619" t="s">
        <v>354</v>
      </c>
      <c r="E26" s="620"/>
      <c r="F26" s="620"/>
      <c r="G26" s="200">
        <v>24</v>
      </c>
      <c r="H26" s="202">
        <v>1790.9140502123737</v>
      </c>
      <c r="I26" s="203">
        <v>74.621418758848904</v>
      </c>
      <c r="J26" s="357">
        <v>-5.952380952379599E-3</v>
      </c>
      <c r="K26" s="625" t="s">
        <v>435</v>
      </c>
      <c r="L26" s="624"/>
      <c r="M26" s="99"/>
      <c r="O26" s="199"/>
      <c r="P26" s="402"/>
      <c r="Q26" s="402"/>
      <c r="R26" s="199"/>
    </row>
    <row r="27" spans="1:18" ht="15.75" customHeight="1">
      <c r="A27" s="616"/>
      <c r="B27" s="617"/>
      <c r="C27" s="204" t="s">
        <v>210</v>
      </c>
      <c r="D27" s="619" t="s">
        <v>355</v>
      </c>
      <c r="E27" s="620"/>
      <c r="F27" s="620"/>
      <c r="G27" s="200">
        <v>23</v>
      </c>
      <c r="H27" s="202">
        <v>1787.1670773791141</v>
      </c>
      <c r="I27" s="203">
        <v>77.702916407787569</v>
      </c>
      <c r="J27" s="357">
        <v>2.4410433356479189E-2</v>
      </c>
      <c r="K27" s="625" t="s">
        <v>435</v>
      </c>
      <c r="L27" s="624"/>
      <c r="M27" s="99"/>
      <c r="O27" s="199"/>
      <c r="P27" s="402"/>
      <c r="Q27" s="402"/>
      <c r="R27" s="199"/>
    </row>
    <row r="28" spans="1:18" ht="15.75" customHeight="1">
      <c r="A28" s="616"/>
      <c r="B28" s="617"/>
      <c r="C28" s="204" t="s">
        <v>211</v>
      </c>
      <c r="D28" s="619"/>
      <c r="E28" s="620"/>
      <c r="F28" s="620"/>
      <c r="G28" s="200"/>
      <c r="H28" s="202"/>
      <c r="I28" s="203"/>
      <c r="J28" s="200"/>
      <c r="K28" s="619"/>
      <c r="L28" s="620"/>
      <c r="M28" s="99"/>
      <c r="O28" s="199"/>
      <c r="P28" s="402"/>
      <c r="Q28" s="402"/>
      <c r="R28" s="199"/>
    </row>
    <row r="29" spans="1:18" s="189" customFormat="1" ht="15.75" customHeight="1">
      <c r="A29" s="615" t="s">
        <v>740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</row>
    <row r="30" spans="1:18" s="190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8" s="106" customFormat="1" ht="16.399999999999999" customHeight="1">
      <c r="A31" s="616" t="s">
        <v>162</v>
      </c>
      <c r="B31" s="170">
        <v>1</v>
      </c>
      <c r="C31" s="170">
        <v>2</v>
      </c>
      <c r="D31" s="170">
        <v>3</v>
      </c>
      <c r="E31" s="170">
        <v>4</v>
      </c>
      <c r="F31" s="191">
        <v>5</v>
      </c>
      <c r="G31" s="191">
        <v>6</v>
      </c>
      <c r="H31" s="170">
        <v>7</v>
      </c>
      <c r="I31" s="170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99999999999999" customHeight="1">
      <c r="A32" s="616"/>
      <c r="B32" s="195" t="s">
        <v>206</v>
      </c>
      <c r="C32" s="195" t="s">
        <v>155</v>
      </c>
      <c r="D32" s="195" t="s">
        <v>207</v>
      </c>
      <c r="E32" s="195" t="s">
        <v>156</v>
      </c>
      <c r="F32" s="194" t="s">
        <v>350</v>
      </c>
      <c r="G32" s="209" t="s">
        <v>136</v>
      </c>
      <c r="H32" s="197" t="s">
        <v>208</v>
      </c>
      <c r="I32" s="196" t="s">
        <v>379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17" t="s">
        <v>188</v>
      </c>
      <c r="B33" s="617"/>
      <c r="C33" s="160" t="s">
        <v>47</v>
      </c>
      <c r="D33" s="617" t="s">
        <v>12</v>
      </c>
      <c r="E33" s="618"/>
      <c r="F33" s="618"/>
      <c r="G33" s="160" t="s">
        <v>46</v>
      </c>
      <c r="H33" s="160" t="s">
        <v>380</v>
      </c>
      <c r="I33" s="160" t="s">
        <v>381</v>
      </c>
      <c r="J33" s="160" t="s">
        <v>332</v>
      </c>
      <c r="K33" s="617" t="s">
        <v>51</v>
      </c>
      <c r="L33" s="618"/>
      <c r="M33" s="127"/>
      <c r="N33" s="189"/>
      <c r="O33" s="403"/>
      <c r="P33" s="402"/>
      <c r="Q33" s="402"/>
      <c r="R33" s="199"/>
    </row>
    <row r="34" spans="1:18" ht="15.75" customHeight="1">
      <c r="A34" s="616">
        <v>5</v>
      </c>
      <c r="B34" s="617" t="s">
        <v>350</v>
      </c>
      <c r="C34" s="200">
        <v>1</v>
      </c>
      <c r="D34" s="619" t="s">
        <v>615</v>
      </c>
      <c r="E34" s="620"/>
      <c r="F34" s="620"/>
      <c r="G34" s="202">
        <v>15.8</v>
      </c>
      <c r="H34" s="202">
        <v>1788.3600389557141</v>
      </c>
      <c r="I34" s="203">
        <v>113.26083576806545</v>
      </c>
      <c r="J34" s="357">
        <f>I34-I8</f>
        <v>1.4967662447726724</v>
      </c>
      <c r="K34" s="619"/>
      <c r="L34" s="620"/>
      <c r="O34" s="403"/>
      <c r="P34" s="402"/>
      <c r="Q34" s="402"/>
      <c r="R34" s="199"/>
    </row>
    <row r="35" spans="1:18" ht="15.75" customHeight="1">
      <c r="A35" s="616"/>
      <c r="B35" s="617"/>
      <c r="C35" s="200">
        <v>2</v>
      </c>
      <c r="D35" s="619" t="s">
        <v>498</v>
      </c>
      <c r="E35" s="620"/>
      <c r="F35" s="620"/>
      <c r="G35" s="202">
        <v>19.571428571428573</v>
      </c>
      <c r="H35" s="202">
        <v>1788.6599074088469</v>
      </c>
      <c r="I35" s="203">
        <v>91.447281084728061</v>
      </c>
      <c r="J35" s="357">
        <f>I35-I9</f>
        <v>2.0262368247273344</v>
      </c>
      <c r="K35" s="619"/>
      <c r="L35" s="620"/>
      <c r="O35" s="403"/>
      <c r="P35" s="402"/>
      <c r="Q35" s="402"/>
      <c r="R35" s="199"/>
    </row>
    <row r="36" spans="1:18" ht="15.75" customHeight="1">
      <c r="A36" s="616"/>
      <c r="B36" s="617"/>
      <c r="C36" s="200">
        <v>3</v>
      </c>
      <c r="D36" s="619" t="s">
        <v>451</v>
      </c>
      <c r="E36" s="620"/>
      <c r="F36" s="620"/>
      <c r="G36" s="202">
        <v>19.571428571428573</v>
      </c>
      <c r="H36" s="202">
        <v>1786</v>
      </c>
      <c r="I36" s="203">
        <v>91.314285714285717</v>
      </c>
      <c r="J36" s="357">
        <f>I36-I10</f>
        <v>2.0142857142857338</v>
      </c>
      <c r="K36" s="619"/>
      <c r="L36" s="620"/>
      <c r="O36" s="403"/>
      <c r="P36" s="402"/>
      <c r="Q36" s="402"/>
      <c r="R36" s="199"/>
    </row>
    <row r="37" spans="1:18" ht="15.75" customHeight="1">
      <c r="A37" s="616"/>
      <c r="B37" s="617"/>
      <c r="C37" s="200">
        <v>4</v>
      </c>
      <c r="D37" s="619" t="s">
        <v>739</v>
      </c>
      <c r="E37" s="620"/>
      <c r="F37" s="620"/>
      <c r="G37" s="202">
        <v>18</v>
      </c>
      <c r="H37" s="202">
        <v>1640.0000000000002</v>
      </c>
      <c r="I37" s="203">
        <v>91.111111111111128</v>
      </c>
      <c r="J37" s="357"/>
      <c r="K37" s="619"/>
      <c r="L37" s="620"/>
      <c r="O37" s="403"/>
      <c r="P37" s="402"/>
      <c r="Q37" s="402"/>
      <c r="R37" s="199"/>
    </row>
    <row r="38" spans="1:18" ht="15.75" customHeight="1">
      <c r="A38" s="616"/>
      <c r="B38" s="617"/>
      <c r="C38" s="200">
        <v>5</v>
      </c>
      <c r="D38" s="619" t="s">
        <v>345</v>
      </c>
      <c r="E38" s="620"/>
      <c r="F38" s="620"/>
      <c r="G38" s="202">
        <v>23</v>
      </c>
      <c r="H38" s="202">
        <v>1787.1428571428569</v>
      </c>
      <c r="I38" s="203">
        <v>77.701863354037229</v>
      </c>
      <c r="J38" s="357">
        <f>I38-I15</f>
        <v>-1.4583208288229059</v>
      </c>
      <c r="K38" s="619"/>
      <c r="L38" s="620"/>
      <c r="O38" s="403"/>
      <c r="P38" s="402"/>
      <c r="Q38" s="402"/>
      <c r="R38" s="199"/>
    </row>
    <row r="39" spans="1:18" ht="15.75" customHeight="1">
      <c r="A39" s="616"/>
      <c r="B39" s="617"/>
      <c r="C39" s="204" t="s">
        <v>204</v>
      </c>
      <c r="D39" s="619" t="s">
        <v>344</v>
      </c>
      <c r="E39" s="620"/>
      <c r="F39" s="620"/>
      <c r="G39" s="202">
        <v>24</v>
      </c>
      <c r="H39" s="202">
        <v>1788.1307885357041</v>
      </c>
      <c r="I39" s="203">
        <v>74.505449522321001</v>
      </c>
      <c r="J39" s="357">
        <f>I39-I13</f>
        <v>0.10539122753311858</v>
      </c>
      <c r="K39" s="619"/>
      <c r="L39" s="620"/>
      <c r="O39" s="199"/>
      <c r="P39" s="402"/>
      <c r="Q39" s="402"/>
      <c r="R39" s="199"/>
    </row>
    <row r="40" spans="1:18" ht="15.75" customHeight="1">
      <c r="A40" s="616"/>
      <c r="B40" s="617"/>
      <c r="C40" s="204" t="s">
        <v>209</v>
      </c>
      <c r="D40" s="619" t="s">
        <v>497</v>
      </c>
      <c r="E40" s="620"/>
      <c r="F40" s="620"/>
      <c r="G40" s="202">
        <v>21</v>
      </c>
      <c r="H40" s="202">
        <v>1606.5036354968786</v>
      </c>
      <c r="I40" s="203">
        <v>76.500173118898985</v>
      </c>
      <c r="J40" s="357">
        <f>I40-I14</f>
        <v>3.6635376374505313E-2</v>
      </c>
      <c r="K40" s="619"/>
      <c r="L40" s="620"/>
      <c r="O40" s="403"/>
      <c r="P40" s="402"/>
      <c r="Q40" s="402"/>
      <c r="R40" s="199"/>
    </row>
    <row r="41" spans="1:18" ht="15.75" customHeight="1">
      <c r="A41" s="616"/>
      <c r="B41" s="617"/>
      <c r="C41" s="204" t="s">
        <v>205</v>
      </c>
      <c r="D41" s="619" t="s">
        <v>351</v>
      </c>
      <c r="E41" s="620"/>
      <c r="F41" s="620"/>
      <c r="G41" s="202">
        <v>23</v>
      </c>
      <c r="H41" s="202">
        <v>1784.9142857142858</v>
      </c>
      <c r="I41" s="203">
        <v>77.604968944099383</v>
      </c>
      <c r="J41" s="357">
        <f>I41-I12</f>
        <v>-1.6034773337775903</v>
      </c>
      <c r="K41" s="619"/>
      <c r="L41" s="620"/>
      <c r="N41" s="178"/>
      <c r="O41" s="404"/>
      <c r="P41" s="401"/>
      <c r="Q41" s="401"/>
      <c r="R41" s="178"/>
    </row>
    <row r="42" spans="1:18" ht="15.75" customHeight="1">
      <c r="A42" s="616"/>
      <c r="B42" s="617"/>
      <c r="C42" s="204" t="s">
        <v>210</v>
      </c>
      <c r="D42" s="619" t="s">
        <v>343</v>
      </c>
      <c r="E42" s="620"/>
      <c r="F42" s="620"/>
      <c r="G42" s="202">
        <v>23</v>
      </c>
      <c r="H42" s="202">
        <v>1786.8285714285714</v>
      </c>
      <c r="I42" s="203">
        <v>77.688198757763971</v>
      </c>
      <c r="J42" s="357">
        <f>I42-I11</f>
        <v>-1.5858912420543163</v>
      </c>
      <c r="K42" s="619"/>
      <c r="L42" s="620"/>
      <c r="M42" s="99"/>
      <c r="O42" s="403"/>
      <c r="P42" s="402"/>
      <c r="Q42" s="402"/>
      <c r="R42" s="199"/>
    </row>
    <row r="43" spans="1:18" ht="15.75" customHeight="1">
      <c r="A43" s="616"/>
      <c r="B43" s="617"/>
      <c r="C43" s="204" t="s">
        <v>211</v>
      </c>
      <c r="D43" s="619"/>
      <c r="E43" s="620"/>
      <c r="F43" s="620"/>
      <c r="G43" s="202"/>
      <c r="H43" s="202"/>
      <c r="I43" s="203"/>
      <c r="J43" s="200"/>
      <c r="K43" s="619"/>
      <c r="L43" s="620"/>
      <c r="M43" s="99"/>
      <c r="O43" s="403"/>
      <c r="P43" s="402"/>
      <c r="Q43" s="402"/>
      <c r="R43" s="199"/>
    </row>
    <row r="44" spans="1:18" s="104" customFormat="1" ht="15.75" customHeight="1">
      <c r="A44" s="621" t="s">
        <v>188</v>
      </c>
      <c r="B44" s="621"/>
      <c r="C44" s="207" t="s">
        <v>47</v>
      </c>
      <c r="D44" s="621" t="s">
        <v>12</v>
      </c>
      <c r="E44" s="622"/>
      <c r="F44" s="622"/>
      <c r="G44" s="207" t="s">
        <v>46</v>
      </c>
      <c r="H44" s="207" t="s">
        <v>380</v>
      </c>
      <c r="I44" s="207" t="s">
        <v>381</v>
      </c>
      <c r="J44" s="160" t="s">
        <v>332</v>
      </c>
      <c r="K44" s="621" t="s">
        <v>51</v>
      </c>
      <c r="L44" s="622"/>
      <c r="M44" s="128"/>
      <c r="N44" s="189"/>
      <c r="O44" s="403"/>
      <c r="P44" s="402"/>
      <c r="Q44" s="402"/>
      <c r="R44" s="199"/>
    </row>
    <row r="45" spans="1:18" ht="15.75" customHeight="1">
      <c r="A45" s="616">
        <v>6</v>
      </c>
      <c r="B45" s="617" t="s">
        <v>136</v>
      </c>
      <c r="C45" s="200">
        <v>1</v>
      </c>
      <c r="D45" s="619" t="s">
        <v>447</v>
      </c>
      <c r="E45" s="620"/>
      <c r="F45" s="620"/>
      <c r="G45" s="200">
        <v>20</v>
      </c>
      <c r="H45" s="202">
        <v>1786.852357968128</v>
      </c>
      <c r="I45" s="203">
        <v>89.342617898406402</v>
      </c>
      <c r="J45" s="357">
        <f>I45-I19</f>
        <v>-2.9138241744362858E-2</v>
      </c>
      <c r="K45" s="619"/>
      <c r="L45" s="620"/>
      <c r="M45" s="99"/>
      <c r="N45" s="199"/>
      <c r="O45" s="199"/>
      <c r="P45" s="402"/>
      <c r="Q45" s="402"/>
      <c r="R45" s="199"/>
    </row>
    <row r="46" spans="1:18" ht="15.75" customHeight="1">
      <c r="A46" s="616"/>
      <c r="B46" s="617"/>
      <c r="C46" s="200">
        <v>2</v>
      </c>
      <c r="D46" s="619" t="s">
        <v>353</v>
      </c>
      <c r="E46" s="620"/>
      <c r="F46" s="620"/>
      <c r="G46" s="202">
        <v>21</v>
      </c>
      <c r="H46" s="202">
        <v>1787.8877248447784</v>
      </c>
      <c r="I46" s="203">
        <v>85.137510706894219</v>
      </c>
      <c r="J46" s="357">
        <f>I46-I20</f>
        <v>3.9551523220779927E-2</v>
      </c>
      <c r="K46" s="619"/>
      <c r="L46" s="620"/>
      <c r="M46" s="99"/>
      <c r="O46" s="199"/>
      <c r="P46" s="402"/>
      <c r="Q46" s="402"/>
      <c r="R46" s="199"/>
    </row>
    <row r="47" spans="1:18" ht="15.75" customHeight="1">
      <c r="A47" s="616"/>
      <c r="B47" s="617"/>
      <c r="C47" s="200">
        <v>3</v>
      </c>
      <c r="D47" s="619" t="s">
        <v>444</v>
      </c>
      <c r="E47" s="620"/>
      <c r="F47" s="620"/>
      <c r="G47" s="202">
        <v>22</v>
      </c>
      <c r="H47" s="202">
        <v>1787.5469607591699</v>
      </c>
      <c r="I47" s="203">
        <v>81.252134579962259</v>
      </c>
      <c r="J47" s="357">
        <f>I47-I21</f>
        <v>2.9870129870118944E-2</v>
      </c>
      <c r="K47" s="619"/>
      <c r="L47" s="620"/>
      <c r="M47" s="99"/>
      <c r="O47" s="199"/>
      <c r="P47" s="402"/>
      <c r="Q47" s="402"/>
      <c r="R47" s="199"/>
    </row>
    <row r="48" spans="1:18" ht="15.75" customHeight="1">
      <c r="A48" s="616"/>
      <c r="B48" s="617"/>
      <c r="C48" s="200">
        <v>4</v>
      </c>
      <c r="D48" s="619" t="s">
        <v>441</v>
      </c>
      <c r="E48" s="620"/>
      <c r="F48" s="620"/>
      <c r="G48" s="200">
        <v>23</v>
      </c>
      <c r="H48" s="202">
        <v>1792.020896485001</v>
      </c>
      <c r="I48" s="203">
        <v>77.913952021086985</v>
      </c>
      <c r="J48" s="357">
        <f>I48-I22</f>
        <v>6.5838509316762384E-2</v>
      </c>
      <c r="K48" s="619"/>
      <c r="L48" s="620"/>
      <c r="M48" s="99"/>
      <c r="O48" s="199"/>
      <c r="P48" s="402"/>
      <c r="Q48" s="402"/>
      <c r="R48" s="199"/>
    </row>
    <row r="49" spans="1:18" ht="15.75" customHeight="1">
      <c r="A49" s="616"/>
      <c r="B49" s="617"/>
      <c r="C49" s="200">
        <v>5</v>
      </c>
      <c r="D49" s="619" t="s">
        <v>355</v>
      </c>
      <c r="E49" s="620"/>
      <c r="F49" s="620"/>
      <c r="G49" s="202">
        <v>23</v>
      </c>
      <c r="H49" s="202">
        <v>1788.5024666906731</v>
      </c>
      <c r="I49" s="203">
        <v>77.760976812637978</v>
      </c>
      <c r="J49" s="357">
        <f>I49-I22</f>
        <v>-8.7136699132244644E-2</v>
      </c>
      <c r="K49" s="619"/>
      <c r="L49" s="620"/>
      <c r="M49" s="99"/>
      <c r="O49" s="199"/>
      <c r="P49" s="402"/>
      <c r="Q49" s="402"/>
      <c r="R49" s="199"/>
    </row>
    <row r="50" spans="1:18" ht="15.75" customHeight="1">
      <c r="A50" s="616"/>
      <c r="B50" s="617"/>
      <c r="C50" s="204" t="s">
        <v>204</v>
      </c>
      <c r="D50" s="619" t="s">
        <v>553</v>
      </c>
      <c r="E50" s="620"/>
      <c r="F50" s="620"/>
      <c r="G50" s="200">
        <v>26</v>
      </c>
      <c r="H50" s="202">
        <v>1791.5947740209867</v>
      </c>
      <c r="I50" s="203">
        <v>68.907491308499488</v>
      </c>
      <c r="J50" s="357">
        <f>I50-I24</f>
        <v>4.0659340659360055E-2</v>
      </c>
      <c r="K50" s="619"/>
      <c r="L50" s="620"/>
      <c r="M50" s="99"/>
      <c r="O50" s="199"/>
      <c r="P50" s="402"/>
      <c r="Q50" s="402"/>
      <c r="R50" s="199"/>
    </row>
    <row r="51" spans="1:18" ht="15.75" customHeight="1">
      <c r="A51" s="616"/>
      <c r="B51" s="617"/>
      <c r="C51" s="204" t="s">
        <v>209</v>
      </c>
      <c r="D51" s="619" t="s">
        <v>356</v>
      </c>
      <c r="E51" s="620"/>
      <c r="F51" s="620"/>
      <c r="G51" s="200">
        <v>24</v>
      </c>
      <c r="H51" s="202">
        <v>1790.2117730521111</v>
      </c>
      <c r="I51" s="203">
        <v>74.592157210504624</v>
      </c>
      <c r="J51" s="357">
        <f>I51-I25</f>
        <v>0.10337466564894271</v>
      </c>
      <c r="K51" s="619"/>
      <c r="L51" s="620"/>
      <c r="M51" s="99"/>
      <c r="O51" s="199"/>
      <c r="P51" s="402"/>
      <c r="Q51" s="402"/>
      <c r="R51" s="199"/>
    </row>
    <row r="52" spans="1:18" ht="15.75" customHeight="1">
      <c r="A52" s="616"/>
      <c r="B52" s="617"/>
      <c r="C52" s="204" t="s">
        <v>205</v>
      </c>
      <c r="D52" s="619" t="s">
        <v>354</v>
      </c>
      <c r="E52" s="620"/>
      <c r="F52" s="620"/>
      <c r="G52" s="200">
        <v>24</v>
      </c>
      <c r="H52" s="202">
        <v>1792.5711930695174</v>
      </c>
      <c r="I52" s="203">
        <v>74.690466377896556</v>
      </c>
      <c r="J52" s="357">
        <f>I52-I26</f>
        <v>6.9047619047651665E-2</v>
      </c>
      <c r="K52" s="619"/>
      <c r="L52" s="620"/>
      <c r="M52" s="99"/>
      <c r="O52" s="199"/>
      <c r="P52" s="402"/>
      <c r="Q52" s="402"/>
      <c r="R52" s="199"/>
    </row>
    <row r="53" spans="1:18" ht="15.75" customHeight="1">
      <c r="A53" s="616"/>
      <c r="B53" s="617"/>
      <c r="C53" s="204" t="s">
        <v>210</v>
      </c>
      <c r="D53" s="619" t="s">
        <v>352</v>
      </c>
      <c r="E53" s="620"/>
      <c r="F53" s="620"/>
      <c r="G53" s="200">
        <v>23</v>
      </c>
      <c r="H53" s="202">
        <v>1788.4300192484495</v>
      </c>
      <c r="I53" s="203">
        <v>77.757826923845627</v>
      </c>
      <c r="J53" s="357">
        <f>I53-I23</f>
        <v>-3.5025236781507374E-2</v>
      </c>
      <c r="K53" s="619"/>
      <c r="L53" s="620"/>
      <c r="M53" s="99"/>
      <c r="O53" s="199"/>
      <c r="P53" s="402"/>
      <c r="Q53" s="402"/>
      <c r="R53" s="199"/>
    </row>
    <row r="54" spans="1:18" ht="15.75" customHeight="1">
      <c r="A54" s="616"/>
      <c r="B54" s="617"/>
      <c r="C54" s="204" t="s">
        <v>211</v>
      </c>
      <c r="D54" s="619"/>
      <c r="E54" s="620"/>
      <c r="F54" s="620"/>
      <c r="G54" s="200"/>
      <c r="H54" s="202"/>
      <c r="I54" s="203"/>
      <c r="J54" s="200"/>
      <c r="K54" s="619"/>
      <c r="L54" s="620"/>
      <c r="M54" s="99"/>
      <c r="O54" s="199"/>
      <c r="P54" s="402"/>
      <c r="Q54" s="402"/>
      <c r="R54" s="199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1" manualBreakCount="1">
    <brk id="28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R54"/>
  <sheetViews>
    <sheetView view="pageBreakPreview" topLeftCell="A25" zoomScale="115" zoomScaleNormal="60" zoomScaleSheetLayoutView="115" workbookViewId="0">
      <selection activeCell="A29" sqref="A29:L30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8" t="s">
        <v>378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99"/>
    </row>
    <row r="2" spans="1:18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N2" s="190"/>
      <c r="O2" s="190"/>
      <c r="P2" s="190"/>
      <c r="Q2" s="190"/>
      <c r="R2" s="190"/>
    </row>
    <row r="3" spans="1:18" s="189" customFormat="1" ht="15.75" customHeight="1">
      <c r="A3" s="615" t="s">
        <v>652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</row>
    <row r="4" spans="1:18" s="190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8" s="106" customFormat="1" ht="16.399999999999999" customHeight="1">
      <c r="A5" s="626" t="s">
        <v>162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91">
        <v>7</v>
      </c>
      <c r="I5" s="191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99999999999999" customHeight="1">
      <c r="A6" s="627"/>
      <c r="B6" s="195" t="s">
        <v>206</v>
      </c>
      <c r="C6" s="195" t="s">
        <v>155</v>
      </c>
      <c r="D6" s="195" t="s">
        <v>207</v>
      </c>
      <c r="E6" s="195" t="s">
        <v>156</v>
      </c>
      <c r="F6" s="195" t="s">
        <v>138</v>
      </c>
      <c r="G6" s="196" t="s">
        <v>136</v>
      </c>
      <c r="H6" s="194" t="s">
        <v>208</v>
      </c>
      <c r="I6" s="209" t="s">
        <v>379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28" t="s">
        <v>188</v>
      </c>
      <c r="B7" s="629"/>
      <c r="C7" s="160" t="s">
        <v>47</v>
      </c>
      <c r="D7" s="628" t="s">
        <v>12</v>
      </c>
      <c r="E7" s="630"/>
      <c r="F7" s="629"/>
      <c r="G7" s="160" t="s">
        <v>46</v>
      </c>
      <c r="H7" s="160" t="s">
        <v>380</v>
      </c>
      <c r="I7" s="160" t="s">
        <v>381</v>
      </c>
      <c r="J7" s="160" t="s">
        <v>332</v>
      </c>
      <c r="K7" s="628" t="s">
        <v>51</v>
      </c>
      <c r="L7" s="629"/>
      <c r="M7" s="127"/>
      <c r="N7" s="189"/>
      <c r="O7" s="199"/>
      <c r="P7" s="402"/>
      <c r="Q7" s="402"/>
      <c r="R7" s="199"/>
    </row>
    <row r="8" spans="1:18" ht="15.75" customHeight="1">
      <c r="A8" s="626">
        <v>7</v>
      </c>
      <c r="B8" s="632" t="s">
        <v>384</v>
      </c>
      <c r="C8" s="200">
        <v>1</v>
      </c>
      <c r="D8" s="635"/>
      <c r="E8" s="620"/>
      <c r="F8" s="620"/>
      <c r="G8" s="200"/>
      <c r="H8" s="202"/>
      <c r="I8" s="203"/>
      <c r="J8" s="200"/>
      <c r="K8" s="625"/>
      <c r="L8" s="624"/>
      <c r="O8" s="199"/>
      <c r="P8" s="402"/>
      <c r="Q8" s="402"/>
      <c r="R8" s="199"/>
    </row>
    <row r="9" spans="1:18" ht="15.75" customHeight="1">
      <c r="A9" s="631"/>
      <c r="B9" s="633"/>
      <c r="C9" s="200">
        <v>2</v>
      </c>
      <c r="D9" s="635"/>
      <c r="E9" s="620"/>
      <c r="F9" s="620"/>
      <c r="G9" s="200"/>
      <c r="H9" s="202"/>
      <c r="I9" s="203"/>
      <c r="J9" s="200"/>
      <c r="K9" s="625"/>
      <c r="L9" s="624"/>
      <c r="O9" s="199"/>
      <c r="P9" s="402"/>
      <c r="Q9" s="402"/>
      <c r="R9" s="199"/>
    </row>
    <row r="10" spans="1:18" ht="15.75" customHeight="1">
      <c r="A10" s="631"/>
      <c r="B10" s="633"/>
      <c r="C10" s="200">
        <v>3</v>
      </c>
      <c r="D10" s="625"/>
      <c r="E10" s="636"/>
      <c r="F10" s="624"/>
      <c r="G10" s="200"/>
      <c r="H10" s="202"/>
      <c r="I10" s="203"/>
      <c r="J10" s="200"/>
      <c r="K10" s="625"/>
      <c r="L10" s="624"/>
      <c r="N10" s="405"/>
      <c r="O10" s="199"/>
      <c r="P10" s="402"/>
      <c r="Q10" s="402"/>
      <c r="R10" s="199"/>
    </row>
    <row r="11" spans="1:18" ht="15.75" customHeight="1">
      <c r="A11" s="631"/>
      <c r="B11" s="633"/>
      <c r="C11" s="200">
        <v>4</v>
      </c>
      <c r="D11" s="625"/>
      <c r="E11" s="636"/>
      <c r="F11" s="624"/>
      <c r="G11" s="200"/>
      <c r="H11" s="202"/>
      <c r="I11" s="203"/>
      <c r="J11" s="200"/>
      <c r="K11" s="625"/>
      <c r="L11" s="624"/>
      <c r="O11" s="199"/>
      <c r="P11" s="402"/>
      <c r="Q11" s="402"/>
      <c r="R11" s="199"/>
    </row>
    <row r="12" spans="1:18" ht="15.75" customHeight="1">
      <c r="A12" s="631"/>
      <c r="B12" s="633"/>
      <c r="C12" s="200">
        <v>5</v>
      </c>
      <c r="D12" s="625"/>
      <c r="E12" s="636"/>
      <c r="F12" s="624"/>
      <c r="G12" s="200"/>
      <c r="H12" s="202"/>
      <c r="I12" s="203"/>
      <c r="J12" s="200"/>
      <c r="K12" s="625"/>
      <c r="L12" s="624"/>
      <c r="N12" s="178"/>
      <c r="O12" s="199"/>
      <c r="P12" s="402"/>
      <c r="Q12" s="402"/>
      <c r="R12" s="199"/>
    </row>
    <row r="13" spans="1:18" ht="15.75" customHeight="1">
      <c r="A13" s="631"/>
      <c r="B13" s="633"/>
      <c r="C13" s="204" t="s">
        <v>204</v>
      </c>
      <c r="D13" s="625"/>
      <c r="E13" s="636"/>
      <c r="F13" s="624"/>
      <c r="G13" s="200"/>
      <c r="H13" s="202"/>
      <c r="I13" s="203"/>
      <c r="J13" s="200"/>
      <c r="K13" s="625"/>
      <c r="L13" s="624"/>
      <c r="N13" s="405"/>
      <c r="O13" s="199"/>
      <c r="P13" s="402"/>
      <c r="Q13" s="402"/>
      <c r="R13" s="199"/>
    </row>
    <row r="14" spans="1:18" ht="15.75" customHeight="1">
      <c r="A14" s="631"/>
      <c r="B14" s="633"/>
      <c r="C14" s="204" t="s">
        <v>209</v>
      </c>
      <c r="D14" s="625"/>
      <c r="E14" s="636"/>
      <c r="F14" s="624"/>
      <c r="G14" s="200"/>
      <c r="H14" s="202"/>
      <c r="I14" s="203"/>
      <c r="J14" s="200"/>
      <c r="K14" s="625"/>
      <c r="L14" s="624"/>
      <c r="O14" s="199"/>
      <c r="P14" s="402"/>
      <c r="Q14" s="402"/>
      <c r="R14" s="199"/>
    </row>
    <row r="15" spans="1:18" ht="15.75" customHeight="1">
      <c r="A15" s="631"/>
      <c r="B15" s="633"/>
      <c r="C15" s="204" t="s">
        <v>205</v>
      </c>
      <c r="D15" s="625"/>
      <c r="E15" s="636"/>
      <c r="F15" s="624"/>
      <c r="G15" s="200"/>
      <c r="H15" s="202"/>
      <c r="I15" s="203"/>
      <c r="J15" s="200"/>
      <c r="K15" s="625"/>
      <c r="L15" s="624"/>
      <c r="O15" s="199"/>
      <c r="P15" s="402"/>
      <c r="Q15" s="402"/>
      <c r="R15" s="199"/>
    </row>
    <row r="16" spans="1:18" ht="15.75" customHeight="1">
      <c r="A16" s="631"/>
      <c r="B16" s="633"/>
      <c r="C16" s="204" t="s">
        <v>210</v>
      </c>
      <c r="D16" s="625"/>
      <c r="E16" s="636"/>
      <c r="F16" s="624"/>
      <c r="G16" s="200"/>
      <c r="H16" s="202"/>
      <c r="I16" s="203"/>
      <c r="J16" s="200"/>
      <c r="K16" s="625"/>
      <c r="L16" s="624"/>
      <c r="M16" s="99"/>
      <c r="O16" s="199"/>
      <c r="P16" s="402"/>
      <c r="Q16" s="402"/>
      <c r="R16" s="199"/>
    </row>
    <row r="17" spans="1:18" ht="15.75" customHeight="1">
      <c r="A17" s="627"/>
      <c r="B17" s="634"/>
      <c r="C17" s="204" t="s">
        <v>211</v>
      </c>
      <c r="D17" s="625"/>
      <c r="E17" s="636"/>
      <c r="F17" s="624"/>
      <c r="G17" s="200"/>
      <c r="H17" s="202"/>
      <c r="I17" s="203"/>
      <c r="J17" s="200"/>
      <c r="K17" s="625"/>
      <c r="L17" s="624"/>
      <c r="M17" s="99"/>
      <c r="N17" s="199"/>
      <c r="O17" s="199"/>
      <c r="P17" s="402"/>
      <c r="Q17" s="402"/>
      <c r="R17" s="199"/>
    </row>
    <row r="18" spans="1:18" s="104" customFormat="1" ht="15.75" customHeight="1">
      <c r="A18" s="637" t="s">
        <v>188</v>
      </c>
      <c r="B18" s="638"/>
      <c r="C18" s="207" t="s">
        <v>47</v>
      </c>
      <c r="D18" s="637" t="s">
        <v>12</v>
      </c>
      <c r="E18" s="639"/>
      <c r="F18" s="638"/>
      <c r="G18" s="207" t="s">
        <v>46</v>
      </c>
      <c r="H18" s="207" t="s">
        <v>380</v>
      </c>
      <c r="I18" s="207" t="s">
        <v>381</v>
      </c>
      <c r="J18" s="160" t="s">
        <v>332</v>
      </c>
      <c r="K18" s="637" t="s">
        <v>51</v>
      </c>
      <c r="L18" s="638"/>
      <c r="M18" s="128"/>
      <c r="N18" s="189"/>
      <c r="O18" s="199"/>
      <c r="P18" s="402"/>
      <c r="Q18" s="402"/>
      <c r="R18" s="199"/>
    </row>
    <row r="19" spans="1:18" ht="15.75" customHeight="1">
      <c r="A19" s="626">
        <v>8</v>
      </c>
      <c r="B19" s="632" t="s">
        <v>385</v>
      </c>
      <c r="C19" s="200">
        <v>1</v>
      </c>
      <c r="D19" s="625" t="s">
        <v>618</v>
      </c>
      <c r="E19" s="636"/>
      <c r="F19" s="624"/>
      <c r="G19" s="200">
        <v>19</v>
      </c>
      <c r="H19" s="202">
        <v>3172.184337094784</v>
      </c>
      <c r="I19" s="203">
        <v>166.95707037340972</v>
      </c>
      <c r="J19" s="357">
        <v>9.7326049824175698E-2</v>
      </c>
      <c r="K19" s="625" t="s">
        <v>435</v>
      </c>
      <c r="L19" s="624"/>
      <c r="M19" s="99"/>
      <c r="O19" s="199"/>
      <c r="P19" s="402"/>
      <c r="Q19" s="402"/>
      <c r="R19" s="199"/>
    </row>
    <row r="20" spans="1:18" ht="15.75" customHeight="1">
      <c r="A20" s="631"/>
      <c r="B20" s="633"/>
      <c r="C20" s="200">
        <v>2</v>
      </c>
      <c r="D20" s="625" t="s">
        <v>642</v>
      </c>
      <c r="E20" s="636"/>
      <c r="F20" s="624"/>
      <c r="G20" s="200">
        <v>19</v>
      </c>
      <c r="H20" s="202">
        <v>3170.9267633689415</v>
      </c>
      <c r="I20" s="203">
        <v>166.89088228257586</v>
      </c>
      <c r="J20" s="357">
        <v>3.4575619585544359</v>
      </c>
      <c r="K20" s="619" t="s">
        <v>510</v>
      </c>
      <c r="L20" s="620"/>
      <c r="M20" s="99"/>
      <c r="O20" s="178"/>
      <c r="P20" s="401"/>
      <c r="Q20" s="401"/>
      <c r="R20" s="178"/>
    </row>
    <row r="21" spans="1:18" ht="15.75" customHeight="1">
      <c r="A21" s="631"/>
      <c r="B21" s="633"/>
      <c r="C21" s="200">
        <v>3</v>
      </c>
      <c r="D21" s="625" t="s">
        <v>661</v>
      </c>
      <c r="E21" s="636"/>
      <c r="F21" s="624"/>
      <c r="G21" s="200">
        <v>19</v>
      </c>
      <c r="H21" s="202">
        <v>3106.4853322042131</v>
      </c>
      <c r="I21" s="203">
        <v>163.49922801074803</v>
      </c>
      <c r="J21" s="357"/>
      <c r="K21" s="619" t="s">
        <v>568</v>
      </c>
      <c r="L21" s="620"/>
      <c r="M21" s="99"/>
      <c r="O21" s="199"/>
      <c r="P21" s="402"/>
      <c r="Q21" s="402"/>
      <c r="R21" s="199"/>
    </row>
    <row r="22" spans="1:18" ht="15.75" customHeight="1">
      <c r="A22" s="631"/>
      <c r="B22" s="633"/>
      <c r="C22" s="200">
        <v>4</v>
      </c>
      <c r="D22" s="625" t="s">
        <v>616</v>
      </c>
      <c r="E22" s="636"/>
      <c r="F22" s="624"/>
      <c r="G22" s="200">
        <v>20</v>
      </c>
      <c r="H22" s="202">
        <v>3257.0218312293314</v>
      </c>
      <c r="I22" s="203">
        <v>162.85109156146657</v>
      </c>
      <c r="J22" s="357">
        <v>-2.0588799049505724E-3</v>
      </c>
      <c r="K22" s="625" t="s">
        <v>435</v>
      </c>
      <c r="L22" s="624"/>
      <c r="M22" s="99"/>
      <c r="O22" s="199"/>
      <c r="P22" s="402"/>
      <c r="Q22" s="402"/>
      <c r="R22" s="199"/>
    </row>
    <row r="23" spans="1:18" ht="15.75" customHeight="1">
      <c r="A23" s="631"/>
      <c r="B23" s="633"/>
      <c r="C23" s="200">
        <v>5</v>
      </c>
      <c r="D23" s="625" t="s">
        <v>617</v>
      </c>
      <c r="E23" s="636"/>
      <c r="F23" s="624"/>
      <c r="G23" s="200">
        <v>21</v>
      </c>
      <c r="H23" s="202">
        <v>3258.2142282390128</v>
      </c>
      <c r="I23" s="203">
        <v>155.15305848757203</v>
      </c>
      <c r="J23" s="357">
        <v>-1.7060673523076275E-2</v>
      </c>
      <c r="K23" s="625" t="s">
        <v>435</v>
      </c>
      <c r="L23" s="624"/>
      <c r="M23" s="99"/>
      <c r="O23" s="199"/>
      <c r="P23" s="402"/>
      <c r="Q23" s="402"/>
      <c r="R23" s="199"/>
    </row>
    <row r="24" spans="1:18" ht="15.75" customHeight="1">
      <c r="A24" s="631"/>
      <c r="B24" s="633"/>
      <c r="C24" s="204" t="s">
        <v>204</v>
      </c>
      <c r="D24" s="625"/>
      <c r="E24" s="636"/>
      <c r="F24" s="624"/>
      <c r="G24" s="200"/>
      <c r="H24" s="202"/>
      <c r="I24" s="203"/>
      <c r="J24" s="200"/>
      <c r="K24" s="625"/>
      <c r="L24" s="624"/>
      <c r="M24" s="99"/>
      <c r="O24" s="199"/>
      <c r="P24" s="402"/>
      <c r="Q24" s="402"/>
      <c r="R24" s="199"/>
    </row>
    <row r="25" spans="1:18" ht="15.75" customHeight="1">
      <c r="A25" s="631"/>
      <c r="B25" s="633"/>
      <c r="C25" s="204" t="s">
        <v>209</v>
      </c>
      <c r="D25" s="625"/>
      <c r="E25" s="636"/>
      <c r="F25" s="624"/>
      <c r="G25" s="200"/>
      <c r="H25" s="202"/>
      <c r="I25" s="203"/>
      <c r="J25" s="200"/>
      <c r="K25" s="625"/>
      <c r="L25" s="624"/>
      <c r="M25" s="99"/>
      <c r="O25" s="199"/>
      <c r="P25" s="402"/>
      <c r="Q25" s="402"/>
      <c r="R25" s="199"/>
    </row>
    <row r="26" spans="1:18" ht="15.75" customHeight="1">
      <c r="A26" s="631"/>
      <c r="B26" s="633"/>
      <c r="C26" s="204" t="s">
        <v>205</v>
      </c>
      <c r="D26" s="625"/>
      <c r="E26" s="636"/>
      <c r="F26" s="624"/>
      <c r="G26" s="200"/>
      <c r="H26" s="202"/>
      <c r="I26" s="203"/>
      <c r="J26" s="200"/>
      <c r="K26" s="625"/>
      <c r="L26" s="624"/>
      <c r="M26" s="99"/>
      <c r="O26" s="199"/>
      <c r="P26" s="402"/>
      <c r="Q26" s="402"/>
      <c r="R26" s="199"/>
    </row>
    <row r="27" spans="1:18" ht="15.75" customHeight="1">
      <c r="A27" s="631"/>
      <c r="B27" s="633"/>
      <c r="C27" s="204" t="s">
        <v>210</v>
      </c>
      <c r="D27" s="625"/>
      <c r="E27" s="636"/>
      <c r="F27" s="624"/>
      <c r="G27" s="200"/>
      <c r="H27" s="202"/>
      <c r="I27" s="203"/>
      <c r="J27" s="200"/>
      <c r="K27" s="625"/>
      <c r="L27" s="624"/>
      <c r="M27" s="99"/>
      <c r="O27" s="199"/>
      <c r="P27" s="402"/>
      <c r="Q27" s="402"/>
      <c r="R27" s="199"/>
    </row>
    <row r="28" spans="1:18" ht="15.75" customHeight="1">
      <c r="A28" s="627"/>
      <c r="B28" s="634"/>
      <c r="C28" s="204" t="s">
        <v>211</v>
      </c>
      <c r="D28" s="625"/>
      <c r="E28" s="636"/>
      <c r="F28" s="624"/>
      <c r="G28" s="200"/>
      <c r="H28" s="202"/>
      <c r="I28" s="203"/>
      <c r="J28" s="200"/>
      <c r="K28" s="625"/>
      <c r="L28" s="624"/>
      <c r="M28" s="99"/>
      <c r="O28" s="199"/>
      <c r="P28" s="402"/>
      <c r="Q28" s="402"/>
      <c r="R28" s="199"/>
    </row>
    <row r="29" spans="1:18" ht="15.75" customHeight="1">
      <c r="A29" s="615" t="s">
        <v>740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  <c r="M29" s="99"/>
    </row>
    <row r="30" spans="1:18" s="100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  <c r="N30" s="190"/>
      <c r="O30" s="190"/>
      <c r="P30" s="190"/>
      <c r="Q30" s="190"/>
      <c r="R30" s="190"/>
    </row>
    <row r="31" spans="1:18" s="106" customFormat="1" ht="16.399999999999999" customHeight="1">
      <c r="A31" s="626" t="s">
        <v>162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91">
        <v>7</v>
      </c>
      <c r="I31" s="191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99999999999999" customHeight="1">
      <c r="A32" s="627"/>
      <c r="B32" s="195" t="s">
        <v>206</v>
      </c>
      <c r="C32" s="195" t="s">
        <v>155</v>
      </c>
      <c r="D32" s="195" t="s">
        <v>207</v>
      </c>
      <c r="E32" s="195" t="s">
        <v>156</v>
      </c>
      <c r="F32" s="195" t="s">
        <v>138</v>
      </c>
      <c r="G32" s="196" t="s">
        <v>136</v>
      </c>
      <c r="H32" s="194" t="s">
        <v>208</v>
      </c>
      <c r="I32" s="209" t="s">
        <v>379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28" t="s">
        <v>188</v>
      </c>
      <c r="B33" s="629"/>
      <c r="C33" s="160" t="s">
        <v>47</v>
      </c>
      <c r="D33" s="628" t="s">
        <v>12</v>
      </c>
      <c r="E33" s="630"/>
      <c r="F33" s="629"/>
      <c r="G33" s="160" t="s">
        <v>46</v>
      </c>
      <c r="H33" s="160" t="s">
        <v>380</v>
      </c>
      <c r="I33" s="160" t="s">
        <v>381</v>
      </c>
      <c r="J33" s="160" t="s">
        <v>332</v>
      </c>
      <c r="K33" s="628" t="s">
        <v>51</v>
      </c>
      <c r="L33" s="629"/>
      <c r="M33" s="127"/>
      <c r="N33" s="189"/>
      <c r="O33" s="199"/>
      <c r="P33" s="402"/>
      <c r="Q33" s="402"/>
      <c r="R33" s="199"/>
    </row>
    <row r="34" spans="1:18" ht="15.75" customHeight="1">
      <c r="A34" s="626">
        <v>7</v>
      </c>
      <c r="B34" s="632" t="s">
        <v>384</v>
      </c>
      <c r="C34" s="200">
        <v>1</v>
      </c>
      <c r="D34" s="635"/>
      <c r="E34" s="620"/>
      <c r="F34" s="620"/>
      <c r="G34" s="200"/>
      <c r="H34" s="202"/>
      <c r="I34" s="203"/>
      <c r="J34" s="200"/>
      <c r="K34" s="625"/>
      <c r="L34" s="624"/>
      <c r="N34" s="405"/>
      <c r="O34" s="199"/>
      <c r="P34" s="402"/>
      <c r="Q34" s="402"/>
      <c r="R34" s="199"/>
    </row>
    <row r="35" spans="1:18" ht="15.75" customHeight="1">
      <c r="A35" s="631"/>
      <c r="B35" s="633"/>
      <c r="C35" s="200">
        <v>2</v>
      </c>
      <c r="D35" s="635"/>
      <c r="E35" s="620"/>
      <c r="F35" s="620"/>
      <c r="G35" s="200"/>
      <c r="H35" s="202"/>
      <c r="I35" s="203"/>
      <c r="J35" s="200"/>
      <c r="K35" s="625"/>
      <c r="L35" s="624"/>
      <c r="O35" s="199"/>
      <c r="P35" s="402"/>
      <c r="Q35" s="402"/>
      <c r="R35" s="199"/>
    </row>
    <row r="36" spans="1:18" ht="15.75" customHeight="1">
      <c r="A36" s="631"/>
      <c r="B36" s="633"/>
      <c r="C36" s="200">
        <v>3</v>
      </c>
      <c r="D36" s="625"/>
      <c r="E36" s="636"/>
      <c r="F36" s="624"/>
      <c r="G36" s="200"/>
      <c r="H36" s="202"/>
      <c r="I36" s="203"/>
      <c r="J36" s="200"/>
      <c r="K36" s="625"/>
      <c r="L36" s="624"/>
      <c r="O36" s="199"/>
      <c r="P36" s="402"/>
      <c r="Q36" s="402"/>
      <c r="R36" s="199"/>
    </row>
    <row r="37" spans="1:18" ht="15.75" customHeight="1">
      <c r="A37" s="631"/>
      <c r="B37" s="633"/>
      <c r="C37" s="200">
        <v>4</v>
      </c>
      <c r="D37" s="625"/>
      <c r="E37" s="636"/>
      <c r="F37" s="624"/>
      <c r="G37" s="200"/>
      <c r="H37" s="202"/>
      <c r="I37" s="203"/>
      <c r="J37" s="200"/>
      <c r="K37" s="625"/>
      <c r="L37" s="624"/>
      <c r="O37" s="199"/>
      <c r="P37" s="402"/>
      <c r="Q37" s="402"/>
      <c r="R37" s="199"/>
    </row>
    <row r="38" spans="1:18" ht="15.75" customHeight="1">
      <c r="A38" s="631"/>
      <c r="B38" s="633"/>
      <c r="C38" s="200">
        <v>5</v>
      </c>
      <c r="D38" s="625"/>
      <c r="E38" s="636"/>
      <c r="F38" s="624"/>
      <c r="G38" s="200"/>
      <c r="H38" s="202"/>
      <c r="I38" s="203"/>
      <c r="J38" s="200"/>
      <c r="K38" s="625"/>
      <c r="L38" s="624"/>
      <c r="N38" s="178"/>
      <c r="O38" s="199"/>
      <c r="P38" s="402"/>
      <c r="Q38" s="402"/>
      <c r="R38" s="199"/>
    </row>
    <row r="39" spans="1:18" ht="15.75" customHeight="1">
      <c r="A39" s="631"/>
      <c r="B39" s="633"/>
      <c r="C39" s="204" t="s">
        <v>204</v>
      </c>
      <c r="D39" s="625"/>
      <c r="E39" s="636"/>
      <c r="F39" s="624"/>
      <c r="G39" s="200"/>
      <c r="H39" s="202"/>
      <c r="I39" s="203"/>
      <c r="J39" s="200"/>
      <c r="K39" s="625"/>
      <c r="L39" s="624"/>
      <c r="N39" s="405"/>
      <c r="O39" s="199"/>
      <c r="P39" s="402"/>
      <c r="Q39" s="402"/>
      <c r="R39" s="199"/>
    </row>
    <row r="40" spans="1:18" ht="15.75" customHeight="1">
      <c r="A40" s="631"/>
      <c r="B40" s="633"/>
      <c r="C40" s="204" t="s">
        <v>209</v>
      </c>
      <c r="D40" s="625"/>
      <c r="E40" s="636"/>
      <c r="F40" s="624"/>
      <c r="G40" s="200"/>
      <c r="H40" s="202"/>
      <c r="I40" s="203"/>
      <c r="J40" s="200"/>
      <c r="K40" s="625"/>
      <c r="L40" s="624"/>
      <c r="O40" s="199"/>
      <c r="P40" s="402"/>
      <c r="Q40" s="402"/>
      <c r="R40" s="199"/>
    </row>
    <row r="41" spans="1:18" ht="15.75" customHeight="1">
      <c r="A41" s="631"/>
      <c r="B41" s="633"/>
      <c r="C41" s="204" t="s">
        <v>205</v>
      </c>
      <c r="D41" s="625"/>
      <c r="E41" s="636"/>
      <c r="F41" s="624"/>
      <c r="G41" s="200"/>
      <c r="H41" s="202"/>
      <c r="I41" s="203"/>
      <c r="J41" s="200"/>
      <c r="K41" s="625"/>
      <c r="L41" s="624"/>
      <c r="O41" s="199"/>
      <c r="P41" s="402"/>
      <c r="Q41" s="402"/>
      <c r="R41" s="199"/>
    </row>
    <row r="42" spans="1:18" ht="15.75" customHeight="1">
      <c r="A42" s="631"/>
      <c r="B42" s="633"/>
      <c r="C42" s="204" t="s">
        <v>210</v>
      </c>
      <c r="D42" s="625"/>
      <c r="E42" s="636"/>
      <c r="F42" s="624"/>
      <c r="G42" s="200"/>
      <c r="H42" s="202"/>
      <c r="I42" s="203"/>
      <c r="J42" s="200"/>
      <c r="K42" s="625"/>
      <c r="L42" s="624"/>
      <c r="M42" s="99"/>
      <c r="O42" s="199"/>
      <c r="P42" s="402"/>
      <c r="Q42" s="402"/>
      <c r="R42" s="199"/>
    </row>
    <row r="43" spans="1:18" ht="15.75" customHeight="1">
      <c r="A43" s="627"/>
      <c r="B43" s="634"/>
      <c r="C43" s="204" t="s">
        <v>211</v>
      </c>
      <c r="D43" s="625"/>
      <c r="E43" s="636"/>
      <c r="F43" s="624"/>
      <c r="G43" s="200"/>
      <c r="H43" s="202"/>
      <c r="I43" s="203"/>
      <c r="J43" s="200"/>
      <c r="K43" s="625"/>
      <c r="L43" s="624"/>
      <c r="M43" s="99"/>
      <c r="N43" s="199"/>
      <c r="O43" s="199"/>
      <c r="P43" s="402"/>
      <c r="Q43" s="402"/>
      <c r="R43" s="199"/>
    </row>
    <row r="44" spans="1:18" s="104" customFormat="1" ht="15.75" customHeight="1">
      <c r="A44" s="637" t="s">
        <v>188</v>
      </c>
      <c r="B44" s="638"/>
      <c r="C44" s="207" t="s">
        <v>47</v>
      </c>
      <c r="D44" s="637" t="s">
        <v>12</v>
      </c>
      <c r="E44" s="639"/>
      <c r="F44" s="638"/>
      <c r="G44" s="207" t="s">
        <v>46</v>
      </c>
      <c r="H44" s="207" t="s">
        <v>380</v>
      </c>
      <c r="I44" s="207" t="s">
        <v>381</v>
      </c>
      <c r="J44" s="160" t="s">
        <v>332</v>
      </c>
      <c r="K44" s="637" t="s">
        <v>51</v>
      </c>
      <c r="L44" s="638"/>
      <c r="M44" s="128"/>
      <c r="N44" s="189"/>
      <c r="O44" s="199"/>
      <c r="P44" s="402"/>
      <c r="Q44" s="402"/>
      <c r="R44" s="199"/>
    </row>
    <row r="45" spans="1:18" ht="15.75" customHeight="1">
      <c r="A45" s="626">
        <v>8</v>
      </c>
      <c r="B45" s="632" t="s">
        <v>385</v>
      </c>
      <c r="C45" s="200">
        <v>1</v>
      </c>
      <c r="D45" s="625" t="s">
        <v>618</v>
      </c>
      <c r="E45" s="636"/>
      <c r="F45" s="624"/>
      <c r="G45" s="200">
        <v>19</v>
      </c>
      <c r="H45" s="202">
        <v>3172.8093492064554</v>
      </c>
      <c r="I45" s="203">
        <v>166.98996574770823</v>
      </c>
      <c r="J45" s="357">
        <f>I45-I19</f>
        <v>3.2895374298504976E-2</v>
      </c>
      <c r="K45" s="625"/>
      <c r="L45" s="624"/>
      <c r="M45" s="99"/>
      <c r="O45" s="199"/>
      <c r="P45" s="402"/>
      <c r="Q45" s="402"/>
      <c r="R45" s="199"/>
    </row>
    <row r="46" spans="1:18" ht="15.75" customHeight="1">
      <c r="A46" s="631"/>
      <c r="B46" s="633"/>
      <c r="C46" s="200">
        <v>2</v>
      </c>
      <c r="D46" s="625" t="s">
        <v>661</v>
      </c>
      <c r="E46" s="636"/>
      <c r="F46" s="624"/>
      <c r="G46" s="200">
        <v>19</v>
      </c>
      <c r="H46" s="202">
        <v>3172.5987712216661</v>
      </c>
      <c r="I46" s="203">
        <v>166.97888269587719</v>
      </c>
      <c r="J46" s="357">
        <f>I46-I21</f>
        <v>3.4796546851291623</v>
      </c>
      <c r="K46" s="625"/>
      <c r="L46" s="624"/>
      <c r="M46" s="99"/>
      <c r="O46" s="178"/>
      <c r="P46" s="401"/>
      <c r="Q46" s="401"/>
      <c r="R46" s="178"/>
    </row>
    <row r="47" spans="1:18" ht="15.75" customHeight="1">
      <c r="A47" s="631"/>
      <c r="B47" s="633"/>
      <c r="C47" s="200">
        <v>3</v>
      </c>
      <c r="D47" s="625" t="s">
        <v>642</v>
      </c>
      <c r="E47" s="636"/>
      <c r="F47" s="624"/>
      <c r="G47" s="200">
        <v>19</v>
      </c>
      <c r="H47" s="202">
        <v>3172.1023845136951</v>
      </c>
      <c r="I47" s="203">
        <v>166.95275707966817</v>
      </c>
      <c r="J47" s="357">
        <f>I47-I20</f>
        <v>6.1874797092315248E-2</v>
      </c>
      <c r="K47" s="625"/>
      <c r="L47" s="624"/>
      <c r="M47" s="99"/>
      <c r="O47" s="199"/>
      <c r="P47" s="402"/>
      <c r="Q47" s="402"/>
      <c r="R47" s="199"/>
    </row>
    <row r="48" spans="1:18" ht="15.75" customHeight="1">
      <c r="A48" s="631"/>
      <c r="B48" s="633"/>
      <c r="C48" s="200">
        <v>4</v>
      </c>
      <c r="D48" s="625" t="s">
        <v>616</v>
      </c>
      <c r="E48" s="636"/>
      <c r="F48" s="624"/>
      <c r="G48" s="200">
        <v>20</v>
      </c>
      <c r="H48" s="202">
        <v>3256.0551865659909</v>
      </c>
      <c r="I48" s="203">
        <v>162.80275932829954</v>
      </c>
      <c r="J48" s="357">
        <f>I48-I22</f>
        <v>-4.8332233167030836E-2</v>
      </c>
      <c r="K48" s="625"/>
      <c r="L48" s="624"/>
      <c r="M48" s="99"/>
      <c r="O48" s="199"/>
      <c r="P48" s="402"/>
      <c r="Q48" s="402"/>
      <c r="R48" s="199"/>
    </row>
    <row r="49" spans="1:18" ht="15.75" customHeight="1">
      <c r="A49" s="631"/>
      <c r="B49" s="633"/>
      <c r="C49" s="200">
        <v>5</v>
      </c>
      <c r="D49" s="625" t="s">
        <v>617</v>
      </c>
      <c r="E49" s="636"/>
      <c r="F49" s="624"/>
      <c r="G49" s="200">
        <v>21</v>
      </c>
      <c r="H49" s="202">
        <v>3256.6404036683962</v>
      </c>
      <c r="I49" s="203">
        <v>155.07811446039983</v>
      </c>
      <c r="J49" s="357">
        <f>I49-I23</f>
        <v>-7.4944027172193728E-2</v>
      </c>
      <c r="K49" s="625"/>
      <c r="L49" s="624"/>
      <c r="M49" s="99"/>
      <c r="O49" s="199"/>
      <c r="P49" s="402"/>
      <c r="Q49" s="402"/>
      <c r="R49" s="199"/>
    </row>
    <row r="50" spans="1:18" ht="15.75" customHeight="1">
      <c r="A50" s="631"/>
      <c r="B50" s="633"/>
      <c r="C50" s="204" t="s">
        <v>204</v>
      </c>
      <c r="D50" s="625"/>
      <c r="E50" s="636"/>
      <c r="F50" s="624"/>
      <c r="G50" s="200"/>
      <c r="H50" s="202"/>
      <c r="I50" s="203"/>
      <c r="J50" s="200"/>
      <c r="K50" s="625"/>
      <c r="L50" s="624"/>
      <c r="M50" s="99"/>
      <c r="O50" s="199"/>
      <c r="P50" s="402"/>
      <c r="Q50" s="402"/>
      <c r="R50" s="199"/>
    </row>
    <row r="51" spans="1:18" ht="15.75" customHeight="1">
      <c r="A51" s="631"/>
      <c r="B51" s="633"/>
      <c r="C51" s="204" t="s">
        <v>209</v>
      </c>
      <c r="D51" s="625"/>
      <c r="E51" s="636"/>
      <c r="F51" s="624"/>
      <c r="G51" s="200"/>
      <c r="H51" s="202"/>
      <c r="I51" s="203"/>
      <c r="J51" s="200"/>
      <c r="K51" s="625"/>
      <c r="L51" s="624"/>
      <c r="M51" s="99"/>
      <c r="O51" s="199"/>
      <c r="P51" s="402"/>
      <c r="Q51" s="402"/>
      <c r="R51" s="199"/>
    </row>
    <row r="52" spans="1:18" ht="15.75" customHeight="1">
      <c r="A52" s="631"/>
      <c r="B52" s="633"/>
      <c r="C52" s="204" t="s">
        <v>205</v>
      </c>
      <c r="D52" s="625"/>
      <c r="E52" s="636"/>
      <c r="F52" s="624"/>
      <c r="G52" s="200"/>
      <c r="H52" s="202"/>
      <c r="I52" s="203"/>
      <c r="J52" s="200"/>
      <c r="K52" s="625"/>
      <c r="L52" s="624"/>
      <c r="M52" s="99"/>
      <c r="O52" s="199"/>
      <c r="P52" s="402"/>
      <c r="Q52" s="402"/>
      <c r="R52" s="199"/>
    </row>
    <row r="53" spans="1:18" ht="15.75" customHeight="1">
      <c r="A53" s="631"/>
      <c r="B53" s="633"/>
      <c r="C53" s="204" t="s">
        <v>210</v>
      </c>
      <c r="D53" s="625"/>
      <c r="E53" s="636"/>
      <c r="F53" s="624"/>
      <c r="G53" s="200"/>
      <c r="H53" s="202"/>
      <c r="I53" s="203"/>
      <c r="J53" s="200"/>
      <c r="K53" s="625"/>
      <c r="L53" s="624"/>
      <c r="M53" s="99"/>
      <c r="O53" s="199"/>
      <c r="P53" s="402"/>
      <c r="Q53" s="402"/>
      <c r="R53" s="199"/>
    </row>
    <row r="54" spans="1:18" ht="15.75" customHeight="1">
      <c r="A54" s="627"/>
      <c r="B54" s="634"/>
      <c r="C54" s="204" t="s">
        <v>211</v>
      </c>
      <c r="D54" s="625"/>
      <c r="E54" s="636"/>
      <c r="F54" s="624"/>
      <c r="G54" s="200"/>
      <c r="H54" s="202"/>
      <c r="I54" s="203"/>
      <c r="J54" s="200"/>
      <c r="K54" s="625"/>
      <c r="L54" s="624"/>
      <c r="M54" s="99"/>
      <c r="O54" s="199"/>
      <c r="P54" s="402"/>
      <c r="Q54" s="402"/>
      <c r="R54" s="199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R54"/>
  <sheetViews>
    <sheetView view="pageBreakPreview" topLeftCell="A25" zoomScale="115" zoomScaleNormal="60" zoomScaleSheetLayoutView="115" workbookViewId="0">
      <selection activeCell="M11" sqref="M11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8" t="s">
        <v>378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99"/>
    </row>
    <row r="2" spans="1:18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N2" s="190"/>
      <c r="O2" s="190"/>
      <c r="P2" s="190"/>
      <c r="Q2" s="190"/>
      <c r="R2" s="190"/>
    </row>
    <row r="3" spans="1:18" s="189" customFormat="1" ht="15.75" customHeight="1">
      <c r="A3" s="615" t="s">
        <v>652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</row>
    <row r="4" spans="1:18" s="190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8" s="106" customFormat="1" ht="16.399999999999999" customHeight="1">
      <c r="A5" s="626" t="s">
        <v>162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91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99999999999999" customHeight="1">
      <c r="A6" s="627"/>
      <c r="B6" s="195" t="s">
        <v>206</v>
      </c>
      <c r="C6" s="195" t="s">
        <v>155</v>
      </c>
      <c r="D6" s="195" t="s">
        <v>207</v>
      </c>
      <c r="E6" s="195" t="s">
        <v>156</v>
      </c>
      <c r="F6" s="195" t="s">
        <v>138</v>
      </c>
      <c r="G6" s="196" t="s">
        <v>136</v>
      </c>
      <c r="H6" s="197" t="s">
        <v>208</v>
      </c>
      <c r="I6" s="196" t="s">
        <v>379</v>
      </c>
      <c r="J6" s="209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28" t="s">
        <v>188</v>
      </c>
      <c r="B7" s="629"/>
      <c r="C7" s="160" t="s">
        <v>47</v>
      </c>
      <c r="D7" s="628" t="s">
        <v>12</v>
      </c>
      <c r="E7" s="630"/>
      <c r="F7" s="629"/>
      <c r="G7" s="160" t="s">
        <v>46</v>
      </c>
      <c r="H7" s="160" t="s">
        <v>380</v>
      </c>
      <c r="I7" s="160" t="s">
        <v>381</v>
      </c>
      <c r="J7" s="160" t="s">
        <v>332</v>
      </c>
      <c r="K7" s="628" t="s">
        <v>51</v>
      </c>
      <c r="L7" s="629"/>
      <c r="M7" s="127"/>
      <c r="N7" s="189"/>
      <c r="O7" s="199"/>
      <c r="P7" s="402"/>
      <c r="Q7" s="402"/>
      <c r="R7" s="199"/>
    </row>
    <row r="8" spans="1:18" ht="15.75" customHeight="1">
      <c r="A8" s="626">
        <f>J5</f>
        <v>9</v>
      </c>
      <c r="B8" s="632" t="str">
        <f>J6</f>
        <v>微波小吃</v>
      </c>
      <c r="C8" s="200">
        <v>1</v>
      </c>
      <c r="D8" s="625" t="s">
        <v>357</v>
      </c>
      <c r="E8" s="636"/>
      <c r="F8" s="624"/>
      <c r="G8" s="200">
        <v>13</v>
      </c>
      <c r="H8" s="202">
        <v>1080.3104812428951</v>
      </c>
      <c r="I8" s="203">
        <v>83.100806249453484</v>
      </c>
      <c r="J8" s="357">
        <v>-5.2747252747309403E-3</v>
      </c>
      <c r="K8" s="640" t="s">
        <v>435</v>
      </c>
      <c r="L8" s="641"/>
      <c r="O8" s="199"/>
      <c r="P8" s="402"/>
      <c r="Q8" s="402"/>
      <c r="R8" s="199"/>
    </row>
    <row r="9" spans="1:18" ht="15.75" customHeight="1">
      <c r="A9" s="631"/>
      <c r="B9" s="633"/>
      <c r="C9" s="200">
        <v>2</v>
      </c>
      <c r="D9" s="625"/>
      <c r="E9" s="636"/>
      <c r="F9" s="624"/>
      <c r="G9" s="200"/>
      <c r="H9" s="202"/>
      <c r="I9" s="203"/>
      <c r="J9" s="200"/>
      <c r="K9" s="625"/>
      <c r="L9" s="624"/>
      <c r="O9" s="199"/>
      <c r="P9" s="402"/>
      <c r="Q9" s="402"/>
      <c r="R9" s="199"/>
    </row>
    <row r="10" spans="1:18" ht="15.75" customHeight="1">
      <c r="A10" s="631"/>
      <c r="B10" s="633"/>
      <c r="C10" s="200">
        <v>3</v>
      </c>
      <c r="D10" s="625"/>
      <c r="E10" s="636"/>
      <c r="F10" s="624"/>
      <c r="G10" s="200"/>
      <c r="H10" s="202"/>
      <c r="I10" s="203"/>
      <c r="J10" s="200"/>
      <c r="K10" s="625"/>
      <c r="L10" s="624"/>
      <c r="O10" s="199"/>
      <c r="P10" s="402"/>
      <c r="Q10" s="402"/>
      <c r="R10" s="199"/>
    </row>
    <row r="11" spans="1:18" ht="15.75" customHeight="1">
      <c r="A11" s="631"/>
      <c r="B11" s="633"/>
      <c r="C11" s="200">
        <v>4</v>
      </c>
      <c r="D11" s="625"/>
      <c r="E11" s="636"/>
      <c r="F11" s="624"/>
      <c r="G11" s="202"/>
      <c r="H11" s="202"/>
      <c r="I11" s="203"/>
      <c r="J11" s="200"/>
      <c r="K11" s="625"/>
      <c r="L11" s="624"/>
      <c r="O11" s="199"/>
      <c r="P11" s="402"/>
      <c r="Q11" s="402"/>
      <c r="R11" s="199"/>
    </row>
    <row r="12" spans="1:18" ht="15.75" customHeight="1">
      <c r="A12" s="631"/>
      <c r="B12" s="633"/>
      <c r="C12" s="200">
        <v>5</v>
      </c>
      <c r="D12" s="625"/>
      <c r="E12" s="636"/>
      <c r="F12" s="624"/>
      <c r="G12" s="200"/>
      <c r="H12" s="202"/>
      <c r="I12" s="203"/>
      <c r="J12" s="200"/>
      <c r="K12" s="625"/>
      <c r="L12" s="624"/>
      <c r="O12" s="199"/>
      <c r="P12" s="402"/>
      <c r="Q12" s="402"/>
      <c r="R12" s="199"/>
    </row>
    <row r="13" spans="1:18" ht="15.75" customHeight="1">
      <c r="A13" s="631"/>
      <c r="B13" s="633"/>
      <c r="C13" s="204" t="s">
        <v>204</v>
      </c>
      <c r="D13" s="625"/>
      <c r="E13" s="636"/>
      <c r="F13" s="624"/>
      <c r="G13" s="200"/>
      <c r="H13" s="202"/>
      <c r="I13" s="203"/>
      <c r="J13" s="200"/>
      <c r="K13" s="625"/>
      <c r="L13" s="624"/>
      <c r="O13" s="199"/>
      <c r="P13" s="402"/>
      <c r="Q13" s="402"/>
      <c r="R13" s="199"/>
    </row>
    <row r="14" spans="1:18" ht="15.75" customHeight="1">
      <c r="A14" s="631"/>
      <c r="B14" s="633"/>
      <c r="C14" s="204" t="s">
        <v>209</v>
      </c>
      <c r="D14" s="625"/>
      <c r="E14" s="636"/>
      <c r="F14" s="624"/>
      <c r="G14" s="200"/>
      <c r="H14" s="202"/>
      <c r="I14" s="203"/>
      <c r="J14" s="200"/>
      <c r="K14" s="625"/>
      <c r="L14" s="624"/>
      <c r="N14" s="178"/>
      <c r="O14" s="178"/>
      <c r="P14" s="401"/>
      <c r="Q14" s="401"/>
      <c r="R14" s="178"/>
    </row>
    <row r="15" spans="1:18" ht="15.75" customHeight="1">
      <c r="A15" s="631"/>
      <c r="B15" s="633"/>
      <c r="C15" s="204" t="s">
        <v>205</v>
      </c>
      <c r="D15" s="625"/>
      <c r="E15" s="636"/>
      <c r="F15" s="624"/>
      <c r="G15" s="200"/>
      <c r="H15" s="202"/>
      <c r="I15" s="203"/>
      <c r="J15" s="200"/>
      <c r="K15" s="625"/>
      <c r="L15" s="624"/>
      <c r="O15" s="199"/>
      <c r="P15" s="402"/>
      <c r="Q15" s="402"/>
      <c r="R15" s="199"/>
    </row>
    <row r="16" spans="1:18" ht="15.75" customHeight="1">
      <c r="A16" s="631"/>
      <c r="B16" s="633"/>
      <c r="C16" s="204" t="s">
        <v>210</v>
      </c>
      <c r="D16" s="625"/>
      <c r="E16" s="636"/>
      <c r="F16" s="624"/>
      <c r="G16" s="200"/>
      <c r="H16" s="202"/>
      <c r="I16" s="203"/>
      <c r="J16" s="200"/>
      <c r="K16" s="625"/>
      <c r="L16" s="624"/>
      <c r="M16" s="99"/>
      <c r="O16" s="199"/>
      <c r="P16" s="402"/>
      <c r="Q16" s="402"/>
      <c r="R16" s="199"/>
    </row>
    <row r="17" spans="1:18" ht="15.75" customHeight="1">
      <c r="A17" s="627"/>
      <c r="B17" s="634"/>
      <c r="C17" s="204" t="s">
        <v>211</v>
      </c>
      <c r="D17" s="625"/>
      <c r="E17" s="636"/>
      <c r="F17" s="624"/>
      <c r="G17" s="200"/>
      <c r="H17" s="202"/>
      <c r="I17" s="203"/>
      <c r="J17" s="200"/>
      <c r="K17" s="625"/>
      <c r="L17" s="624"/>
      <c r="M17" s="99"/>
      <c r="O17" s="199"/>
      <c r="P17" s="402"/>
      <c r="Q17" s="402"/>
      <c r="R17" s="199"/>
    </row>
    <row r="18" spans="1:18" s="104" customFormat="1" ht="15.75" customHeight="1">
      <c r="A18" s="637" t="s">
        <v>188</v>
      </c>
      <c r="B18" s="638"/>
      <c r="C18" s="207" t="s">
        <v>47</v>
      </c>
      <c r="D18" s="637" t="s">
        <v>12</v>
      </c>
      <c r="E18" s="639"/>
      <c r="F18" s="638"/>
      <c r="G18" s="207" t="s">
        <v>46</v>
      </c>
      <c r="H18" s="207" t="s">
        <v>380</v>
      </c>
      <c r="I18" s="207" t="s">
        <v>381</v>
      </c>
      <c r="J18" s="160" t="s">
        <v>332</v>
      </c>
      <c r="K18" s="637" t="s">
        <v>51</v>
      </c>
      <c r="L18" s="638"/>
      <c r="M18" s="128"/>
      <c r="N18" s="189"/>
      <c r="O18" s="199"/>
      <c r="P18" s="402"/>
      <c r="Q18" s="402"/>
      <c r="R18" s="199"/>
    </row>
    <row r="19" spans="1:18" ht="15.75" customHeight="1">
      <c r="A19" s="626"/>
      <c r="B19" s="632"/>
      <c r="C19" s="200">
        <v>1</v>
      </c>
      <c r="D19" s="625"/>
      <c r="E19" s="636"/>
      <c r="F19" s="624"/>
      <c r="G19" s="200"/>
      <c r="H19" s="202"/>
      <c r="I19" s="203"/>
      <c r="J19" s="200"/>
      <c r="K19" s="625"/>
      <c r="L19" s="624"/>
      <c r="M19" s="99"/>
      <c r="N19" s="199"/>
      <c r="O19" s="199"/>
      <c r="P19" s="402"/>
      <c r="Q19" s="402"/>
      <c r="R19" s="199"/>
    </row>
    <row r="20" spans="1:18" ht="15.75" customHeight="1">
      <c r="A20" s="631"/>
      <c r="B20" s="633"/>
      <c r="C20" s="200">
        <v>2</v>
      </c>
      <c r="D20" s="625"/>
      <c r="E20" s="636"/>
      <c r="F20" s="624"/>
      <c r="G20" s="200"/>
      <c r="H20" s="202"/>
      <c r="I20" s="203"/>
      <c r="J20" s="200"/>
      <c r="K20" s="625"/>
      <c r="L20" s="624"/>
      <c r="M20" s="99"/>
      <c r="O20" s="199"/>
      <c r="P20" s="402"/>
      <c r="Q20" s="402"/>
      <c r="R20" s="199"/>
    </row>
    <row r="21" spans="1:18" ht="15.75" customHeight="1">
      <c r="A21" s="631"/>
      <c r="B21" s="633"/>
      <c r="C21" s="200">
        <v>3</v>
      </c>
      <c r="D21" s="625"/>
      <c r="E21" s="636"/>
      <c r="F21" s="624"/>
      <c r="G21" s="200"/>
      <c r="H21" s="202"/>
      <c r="I21" s="203"/>
      <c r="J21" s="200"/>
      <c r="K21" s="625"/>
      <c r="L21" s="624"/>
      <c r="M21" s="99"/>
      <c r="O21" s="199"/>
      <c r="P21" s="402"/>
      <c r="Q21" s="402"/>
      <c r="R21" s="199"/>
    </row>
    <row r="22" spans="1:18" ht="15.75" customHeight="1">
      <c r="A22" s="631"/>
      <c r="B22" s="633"/>
      <c r="C22" s="200">
        <v>4</v>
      </c>
      <c r="D22" s="625"/>
      <c r="E22" s="636"/>
      <c r="F22" s="624"/>
      <c r="G22" s="200"/>
      <c r="H22" s="202"/>
      <c r="I22" s="203"/>
      <c r="J22" s="200"/>
      <c r="K22" s="625"/>
      <c r="L22" s="624"/>
      <c r="M22" s="99"/>
      <c r="O22" s="199"/>
      <c r="P22" s="402"/>
      <c r="Q22" s="402"/>
      <c r="R22" s="199"/>
    </row>
    <row r="23" spans="1:18" ht="15.75" customHeight="1">
      <c r="A23" s="631"/>
      <c r="B23" s="633"/>
      <c r="C23" s="200">
        <v>5</v>
      </c>
      <c r="D23" s="625"/>
      <c r="E23" s="636"/>
      <c r="F23" s="624"/>
      <c r="G23" s="200"/>
      <c r="H23" s="202"/>
      <c r="I23" s="203"/>
      <c r="J23" s="200"/>
      <c r="K23" s="625"/>
      <c r="L23" s="624"/>
      <c r="M23" s="99"/>
      <c r="O23" s="199"/>
      <c r="P23" s="402"/>
      <c r="Q23" s="402"/>
      <c r="R23" s="199"/>
    </row>
    <row r="24" spans="1:18" ht="15.75" customHeight="1">
      <c r="A24" s="631"/>
      <c r="B24" s="633"/>
      <c r="C24" s="204" t="s">
        <v>204</v>
      </c>
      <c r="D24" s="625"/>
      <c r="E24" s="636"/>
      <c r="F24" s="624"/>
      <c r="G24" s="200"/>
      <c r="H24" s="202"/>
      <c r="I24" s="203"/>
      <c r="J24" s="200"/>
      <c r="K24" s="625"/>
      <c r="L24" s="624"/>
      <c r="M24" s="99"/>
      <c r="O24" s="199"/>
      <c r="P24" s="402"/>
      <c r="Q24" s="402"/>
      <c r="R24" s="199"/>
    </row>
    <row r="25" spans="1:18" ht="15.75" customHeight="1">
      <c r="A25" s="631"/>
      <c r="B25" s="633"/>
      <c r="C25" s="204" t="s">
        <v>209</v>
      </c>
      <c r="D25" s="625"/>
      <c r="E25" s="636"/>
      <c r="F25" s="624"/>
      <c r="G25" s="200"/>
      <c r="H25" s="202"/>
      <c r="I25" s="203"/>
      <c r="J25" s="200"/>
      <c r="K25" s="625"/>
      <c r="L25" s="624"/>
      <c r="M25" s="99"/>
      <c r="O25" s="199"/>
      <c r="P25" s="402"/>
      <c r="Q25" s="402"/>
      <c r="R25" s="199"/>
    </row>
    <row r="26" spans="1:18" ht="15.75" customHeight="1">
      <c r="A26" s="631"/>
      <c r="B26" s="633"/>
      <c r="C26" s="204" t="s">
        <v>205</v>
      </c>
      <c r="D26" s="625"/>
      <c r="E26" s="636"/>
      <c r="F26" s="624"/>
      <c r="G26" s="200"/>
      <c r="H26" s="202"/>
      <c r="I26" s="203"/>
      <c r="J26" s="200"/>
      <c r="K26" s="625"/>
      <c r="L26" s="624"/>
      <c r="M26" s="99"/>
      <c r="O26" s="199"/>
      <c r="P26" s="402"/>
      <c r="Q26" s="402"/>
      <c r="R26" s="199"/>
    </row>
    <row r="27" spans="1:18" ht="15.75" customHeight="1">
      <c r="A27" s="631"/>
      <c r="B27" s="633"/>
      <c r="C27" s="204" t="s">
        <v>210</v>
      </c>
      <c r="D27" s="625"/>
      <c r="E27" s="636"/>
      <c r="F27" s="624"/>
      <c r="G27" s="200"/>
      <c r="H27" s="202"/>
      <c r="I27" s="203"/>
      <c r="J27" s="200"/>
      <c r="K27" s="625"/>
      <c r="L27" s="624"/>
      <c r="M27" s="99"/>
      <c r="O27" s="199"/>
      <c r="P27" s="402"/>
      <c r="Q27" s="402"/>
      <c r="R27" s="199"/>
    </row>
    <row r="28" spans="1:18" ht="15.75" customHeight="1">
      <c r="A28" s="627"/>
      <c r="B28" s="634"/>
      <c r="C28" s="204" t="s">
        <v>211</v>
      </c>
      <c r="D28" s="625"/>
      <c r="E28" s="636"/>
      <c r="F28" s="624"/>
      <c r="G28" s="200"/>
      <c r="H28" s="202"/>
      <c r="I28" s="203"/>
      <c r="J28" s="200"/>
      <c r="K28" s="625"/>
      <c r="L28" s="624"/>
      <c r="M28" s="99"/>
      <c r="O28" s="199"/>
      <c r="P28" s="402"/>
      <c r="Q28" s="402"/>
      <c r="R28" s="199"/>
    </row>
    <row r="29" spans="1:18" ht="15.75" customHeight="1">
      <c r="A29" s="615" t="s">
        <v>740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  <c r="M29" s="99"/>
    </row>
    <row r="30" spans="1:18" s="100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  <c r="N30" s="190"/>
      <c r="O30" s="190"/>
      <c r="P30" s="190"/>
      <c r="Q30" s="190"/>
      <c r="R30" s="190"/>
    </row>
    <row r="31" spans="1:18" s="106" customFormat="1" ht="16.399999999999999" customHeight="1">
      <c r="A31" s="626" t="s">
        <v>162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91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99999999999999" customHeight="1">
      <c r="A32" s="627"/>
      <c r="B32" s="195" t="s">
        <v>206</v>
      </c>
      <c r="C32" s="195" t="s">
        <v>155</v>
      </c>
      <c r="D32" s="195" t="s">
        <v>207</v>
      </c>
      <c r="E32" s="195" t="s">
        <v>156</v>
      </c>
      <c r="F32" s="195" t="s">
        <v>138</v>
      </c>
      <c r="G32" s="196" t="s">
        <v>136</v>
      </c>
      <c r="H32" s="197" t="s">
        <v>208</v>
      </c>
      <c r="I32" s="196" t="s">
        <v>379</v>
      </c>
      <c r="J32" s="209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28" t="s">
        <v>188</v>
      </c>
      <c r="B33" s="629"/>
      <c r="C33" s="160" t="s">
        <v>47</v>
      </c>
      <c r="D33" s="628" t="s">
        <v>12</v>
      </c>
      <c r="E33" s="630"/>
      <c r="F33" s="629"/>
      <c r="G33" s="160" t="s">
        <v>46</v>
      </c>
      <c r="H33" s="160" t="s">
        <v>380</v>
      </c>
      <c r="I33" s="160" t="s">
        <v>381</v>
      </c>
      <c r="J33" s="160" t="s">
        <v>332</v>
      </c>
      <c r="K33" s="628" t="s">
        <v>51</v>
      </c>
      <c r="L33" s="629"/>
      <c r="M33" s="127"/>
      <c r="N33" s="189"/>
      <c r="O33" s="199"/>
      <c r="P33" s="402"/>
      <c r="Q33" s="402"/>
      <c r="R33" s="199"/>
    </row>
    <row r="34" spans="1:18" ht="15.75" customHeight="1">
      <c r="A34" s="626">
        <f>J31</f>
        <v>9</v>
      </c>
      <c r="B34" s="632" t="str">
        <f>J32</f>
        <v>微波小吃</v>
      </c>
      <c r="C34" s="200">
        <v>1</v>
      </c>
      <c r="D34" s="625" t="s">
        <v>357</v>
      </c>
      <c r="E34" s="636"/>
      <c r="F34" s="624"/>
      <c r="G34" s="200">
        <v>13</v>
      </c>
      <c r="H34" s="202">
        <v>1079.9056882246364</v>
      </c>
      <c r="I34" s="203">
        <v>83.069668324972028</v>
      </c>
      <c r="J34" s="357">
        <f>I34-I8</f>
        <v>-3.1137924481456025E-2</v>
      </c>
      <c r="K34" s="625"/>
      <c r="L34" s="624"/>
      <c r="O34" s="199"/>
      <c r="P34" s="402"/>
      <c r="Q34" s="402"/>
      <c r="R34" s="199"/>
    </row>
    <row r="35" spans="1:18" ht="15.75" customHeight="1">
      <c r="A35" s="631"/>
      <c r="B35" s="633"/>
      <c r="C35" s="200">
        <v>2</v>
      </c>
      <c r="D35" s="625"/>
      <c r="E35" s="636"/>
      <c r="F35" s="624"/>
      <c r="G35" s="200"/>
      <c r="H35" s="202"/>
      <c r="I35" s="203"/>
      <c r="J35" s="200"/>
      <c r="K35" s="625"/>
      <c r="L35" s="624"/>
      <c r="O35" s="199"/>
      <c r="P35" s="402"/>
      <c r="Q35" s="402"/>
      <c r="R35" s="199"/>
    </row>
    <row r="36" spans="1:18" ht="15.75" customHeight="1">
      <c r="A36" s="631"/>
      <c r="B36" s="633"/>
      <c r="C36" s="200">
        <v>3</v>
      </c>
      <c r="D36" s="625"/>
      <c r="E36" s="636"/>
      <c r="F36" s="624"/>
      <c r="G36" s="200"/>
      <c r="H36" s="202"/>
      <c r="I36" s="203"/>
      <c r="J36" s="200"/>
      <c r="K36" s="625"/>
      <c r="L36" s="624"/>
      <c r="O36" s="199"/>
      <c r="P36" s="402"/>
      <c r="Q36" s="402"/>
      <c r="R36" s="199"/>
    </row>
    <row r="37" spans="1:18" ht="15.75" customHeight="1">
      <c r="A37" s="631"/>
      <c r="B37" s="633"/>
      <c r="C37" s="200">
        <v>4</v>
      </c>
      <c r="D37" s="625"/>
      <c r="E37" s="636"/>
      <c r="F37" s="624"/>
      <c r="G37" s="202"/>
      <c r="H37" s="202"/>
      <c r="I37" s="203"/>
      <c r="J37" s="200"/>
      <c r="K37" s="625"/>
      <c r="L37" s="624"/>
      <c r="O37" s="199"/>
      <c r="P37" s="402"/>
      <c r="Q37" s="402"/>
      <c r="R37" s="199"/>
    </row>
    <row r="38" spans="1:18" ht="15.75" customHeight="1">
      <c r="A38" s="631"/>
      <c r="B38" s="633"/>
      <c r="C38" s="200">
        <v>5</v>
      </c>
      <c r="D38" s="625"/>
      <c r="E38" s="636"/>
      <c r="F38" s="624"/>
      <c r="G38" s="200"/>
      <c r="H38" s="202"/>
      <c r="I38" s="203"/>
      <c r="J38" s="200"/>
      <c r="K38" s="625"/>
      <c r="L38" s="624"/>
      <c r="O38" s="199"/>
      <c r="P38" s="402"/>
      <c r="Q38" s="402"/>
      <c r="R38" s="199"/>
    </row>
    <row r="39" spans="1:18" ht="15.75" customHeight="1">
      <c r="A39" s="631"/>
      <c r="B39" s="633"/>
      <c r="C39" s="204" t="s">
        <v>204</v>
      </c>
      <c r="D39" s="625"/>
      <c r="E39" s="636"/>
      <c r="F39" s="624"/>
      <c r="G39" s="200"/>
      <c r="H39" s="202"/>
      <c r="I39" s="203"/>
      <c r="J39" s="200"/>
      <c r="K39" s="625"/>
      <c r="L39" s="624"/>
      <c r="O39" s="199"/>
      <c r="P39" s="402"/>
      <c r="Q39" s="402"/>
      <c r="R39" s="199"/>
    </row>
    <row r="40" spans="1:18" ht="15.75" customHeight="1">
      <c r="A40" s="631"/>
      <c r="B40" s="633"/>
      <c r="C40" s="204" t="s">
        <v>209</v>
      </c>
      <c r="D40" s="625"/>
      <c r="E40" s="636"/>
      <c r="F40" s="624"/>
      <c r="G40" s="200"/>
      <c r="H40" s="202"/>
      <c r="I40" s="203"/>
      <c r="J40" s="200"/>
      <c r="K40" s="625"/>
      <c r="L40" s="624"/>
      <c r="N40" s="178"/>
      <c r="O40" s="178"/>
      <c r="P40" s="401"/>
      <c r="Q40" s="401"/>
      <c r="R40" s="178"/>
    </row>
    <row r="41" spans="1:18" ht="15.75" customHeight="1">
      <c r="A41" s="631"/>
      <c r="B41" s="633"/>
      <c r="C41" s="204" t="s">
        <v>205</v>
      </c>
      <c r="D41" s="625"/>
      <c r="E41" s="636"/>
      <c r="F41" s="624"/>
      <c r="G41" s="200"/>
      <c r="H41" s="202"/>
      <c r="I41" s="203"/>
      <c r="J41" s="200"/>
      <c r="K41" s="625"/>
      <c r="L41" s="624"/>
      <c r="O41" s="199"/>
      <c r="P41" s="402"/>
      <c r="Q41" s="402"/>
      <c r="R41" s="199"/>
    </row>
    <row r="42" spans="1:18" ht="15.75" customHeight="1">
      <c r="A42" s="631"/>
      <c r="B42" s="633"/>
      <c r="C42" s="204" t="s">
        <v>210</v>
      </c>
      <c r="D42" s="625"/>
      <c r="E42" s="636"/>
      <c r="F42" s="624"/>
      <c r="G42" s="200"/>
      <c r="H42" s="202"/>
      <c r="I42" s="203"/>
      <c r="J42" s="200"/>
      <c r="K42" s="625"/>
      <c r="L42" s="624"/>
      <c r="M42" s="99"/>
      <c r="O42" s="199"/>
      <c r="P42" s="402"/>
      <c r="Q42" s="402"/>
      <c r="R42" s="199"/>
    </row>
    <row r="43" spans="1:18" ht="15.75" customHeight="1">
      <c r="A43" s="627"/>
      <c r="B43" s="634"/>
      <c r="C43" s="204" t="s">
        <v>211</v>
      </c>
      <c r="D43" s="625"/>
      <c r="E43" s="636"/>
      <c r="F43" s="624"/>
      <c r="G43" s="200"/>
      <c r="H43" s="202"/>
      <c r="I43" s="203"/>
      <c r="J43" s="200"/>
      <c r="K43" s="625"/>
      <c r="L43" s="624"/>
      <c r="M43" s="99"/>
      <c r="O43" s="199"/>
      <c r="P43" s="402"/>
      <c r="Q43" s="402"/>
      <c r="R43" s="199"/>
    </row>
    <row r="44" spans="1:18" s="104" customFormat="1" ht="15.75" customHeight="1">
      <c r="A44" s="637" t="s">
        <v>188</v>
      </c>
      <c r="B44" s="638"/>
      <c r="C44" s="207" t="s">
        <v>47</v>
      </c>
      <c r="D44" s="637" t="s">
        <v>12</v>
      </c>
      <c r="E44" s="639"/>
      <c r="F44" s="638"/>
      <c r="G44" s="207" t="s">
        <v>46</v>
      </c>
      <c r="H44" s="207" t="s">
        <v>380</v>
      </c>
      <c r="I44" s="207" t="s">
        <v>381</v>
      </c>
      <c r="J44" s="160" t="s">
        <v>332</v>
      </c>
      <c r="K44" s="637" t="s">
        <v>51</v>
      </c>
      <c r="L44" s="638"/>
      <c r="M44" s="128"/>
      <c r="N44" s="189"/>
      <c r="O44" s="199"/>
      <c r="P44" s="402"/>
      <c r="Q44" s="402"/>
      <c r="R44" s="199"/>
    </row>
    <row r="45" spans="1:18" ht="15.75" customHeight="1">
      <c r="A45" s="626"/>
      <c r="B45" s="632"/>
      <c r="C45" s="200">
        <v>1</v>
      </c>
      <c r="D45" s="625"/>
      <c r="E45" s="636"/>
      <c r="F45" s="624"/>
      <c r="G45" s="200"/>
      <c r="H45" s="202"/>
      <c r="I45" s="203"/>
      <c r="J45" s="200"/>
      <c r="K45" s="625"/>
      <c r="L45" s="624"/>
      <c r="M45" s="99"/>
      <c r="N45" s="199"/>
      <c r="O45" s="199"/>
      <c r="P45" s="402"/>
      <c r="Q45" s="402"/>
      <c r="R45" s="199"/>
    </row>
    <row r="46" spans="1:18" ht="15.75" customHeight="1">
      <c r="A46" s="631"/>
      <c r="B46" s="633"/>
      <c r="C46" s="200">
        <v>2</v>
      </c>
      <c r="D46" s="625"/>
      <c r="E46" s="636"/>
      <c r="F46" s="624"/>
      <c r="G46" s="200"/>
      <c r="H46" s="202"/>
      <c r="I46" s="203"/>
      <c r="J46" s="200"/>
      <c r="K46" s="625"/>
      <c r="L46" s="624"/>
      <c r="M46" s="99"/>
      <c r="O46" s="199"/>
      <c r="P46" s="402"/>
      <c r="Q46" s="402"/>
      <c r="R46" s="199"/>
    </row>
    <row r="47" spans="1:18" ht="15.75" customHeight="1">
      <c r="A47" s="631"/>
      <c r="B47" s="633"/>
      <c r="C47" s="200">
        <v>3</v>
      </c>
      <c r="D47" s="625"/>
      <c r="E47" s="636"/>
      <c r="F47" s="624"/>
      <c r="G47" s="200"/>
      <c r="H47" s="202"/>
      <c r="I47" s="203"/>
      <c r="J47" s="200"/>
      <c r="K47" s="625"/>
      <c r="L47" s="624"/>
      <c r="M47" s="99"/>
      <c r="O47" s="199"/>
      <c r="P47" s="402"/>
      <c r="Q47" s="402"/>
      <c r="R47" s="199"/>
    </row>
    <row r="48" spans="1:18" ht="15.75" customHeight="1">
      <c r="A48" s="631"/>
      <c r="B48" s="633"/>
      <c r="C48" s="200">
        <v>4</v>
      </c>
      <c r="D48" s="625"/>
      <c r="E48" s="636"/>
      <c r="F48" s="624"/>
      <c r="G48" s="200"/>
      <c r="H48" s="202"/>
      <c r="I48" s="203"/>
      <c r="J48" s="200"/>
      <c r="K48" s="625"/>
      <c r="L48" s="624"/>
      <c r="M48" s="99"/>
      <c r="O48" s="199"/>
      <c r="P48" s="402"/>
      <c r="Q48" s="402"/>
      <c r="R48" s="199"/>
    </row>
    <row r="49" spans="1:18" ht="15.75" customHeight="1">
      <c r="A49" s="631"/>
      <c r="B49" s="633"/>
      <c r="C49" s="200">
        <v>5</v>
      </c>
      <c r="D49" s="625"/>
      <c r="E49" s="636"/>
      <c r="F49" s="624"/>
      <c r="G49" s="200"/>
      <c r="H49" s="202"/>
      <c r="I49" s="203"/>
      <c r="J49" s="200"/>
      <c r="K49" s="625"/>
      <c r="L49" s="624"/>
      <c r="M49" s="99"/>
      <c r="O49" s="199"/>
      <c r="P49" s="402"/>
      <c r="Q49" s="402"/>
      <c r="R49" s="199"/>
    </row>
    <row r="50" spans="1:18" ht="15.75" customHeight="1">
      <c r="A50" s="631"/>
      <c r="B50" s="633"/>
      <c r="C50" s="204" t="s">
        <v>204</v>
      </c>
      <c r="D50" s="625"/>
      <c r="E50" s="636"/>
      <c r="F50" s="624"/>
      <c r="G50" s="200"/>
      <c r="H50" s="202"/>
      <c r="I50" s="203"/>
      <c r="J50" s="200"/>
      <c r="K50" s="625"/>
      <c r="L50" s="624"/>
      <c r="M50" s="99"/>
      <c r="O50" s="199"/>
      <c r="P50" s="402"/>
      <c r="Q50" s="402"/>
      <c r="R50" s="199"/>
    </row>
    <row r="51" spans="1:18" ht="15.75" customHeight="1">
      <c r="A51" s="631"/>
      <c r="B51" s="633"/>
      <c r="C51" s="204" t="s">
        <v>209</v>
      </c>
      <c r="D51" s="625"/>
      <c r="E51" s="636"/>
      <c r="F51" s="624"/>
      <c r="G51" s="200"/>
      <c r="H51" s="202"/>
      <c r="I51" s="203"/>
      <c r="J51" s="200"/>
      <c r="K51" s="625"/>
      <c r="L51" s="624"/>
      <c r="M51" s="99"/>
      <c r="O51" s="199"/>
      <c r="P51" s="402"/>
      <c r="Q51" s="402"/>
      <c r="R51" s="199"/>
    </row>
    <row r="52" spans="1:18" ht="15.75" customHeight="1">
      <c r="A52" s="631"/>
      <c r="B52" s="633"/>
      <c r="C52" s="204" t="s">
        <v>205</v>
      </c>
      <c r="D52" s="625"/>
      <c r="E52" s="636"/>
      <c r="F52" s="624"/>
      <c r="G52" s="200"/>
      <c r="H52" s="202"/>
      <c r="I52" s="203"/>
      <c r="J52" s="200"/>
      <c r="K52" s="625"/>
      <c r="L52" s="624"/>
      <c r="M52" s="99"/>
      <c r="O52" s="199"/>
      <c r="P52" s="402"/>
      <c r="Q52" s="402"/>
      <c r="R52" s="199"/>
    </row>
    <row r="53" spans="1:18" ht="15.75" customHeight="1">
      <c r="A53" s="631"/>
      <c r="B53" s="633"/>
      <c r="C53" s="204" t="s">
        <v>210</v>
      </c>
      <c r="D53" s="625"/>
      <c r="E53" s="636"/>
      <c r="F53" s="624"/>
      <c r="G53" s="200"/>
      <c r="H53" s="202"/>
      <c r="I53" s="203"/>
      <c r="J53" s="200"/>
      <c r="K53" s="625"/>
      <c r="L53" s="624"/>
      <c r="M53" s="99"/>
      <c r="O53" s="199"/>
      <c r="P53" s="402"/>
      <c r="Q53" s="402"/>
      <c r="R53" s="199"/>
    </row>
    <row r="54" spans="1:18" ht="15.75" customHeight="1">
      <c r="A54" s="627"/>
      <c r="B54" s="634"/>
      <c r="C54" s="204" t="s">
        <v>211</v>
      </c>
      <c r="D54" s="625"/>
      <c r="E54" s="636"/>
      <c r="F54" s="624"/>
      <c r="G54" s="200"/>
      <c r="H54" s="202"/>
      <c r="I54" s="203"/>
      <c r="J54" s="200"/>
      <c r="K54" s="625"/>
      <c r="L54" s="624"/>
      <c r="M54" s="99"/>
      <c r="O54" s="199"/>
      <c r="P54" s="402"/>
      <c r="Q54" s="402"/>
      <c r="R54" s="199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5" sqref="B5:C5"/>
    </sheetView>
  </sheetViews>
  <sheetFormatPr defaultColWidth="12.54296875" defaultRowHeight="15.75" customHeight="1"/>
  <cols>
    <col min="1" max="1" width="18" style="136" bestFit="1" customWidth="1"/>
    <col min="2" max="2" width="14.81640625" style="136" customWidth="1"/>
    <col min="3" max="3" width="12.81640625" style="136" customWidth="1"/>
    <col min="4" max="4" width="2.54296875" style="136" customWidth="1"/>
    <col min="5" max="5" width="7.54296875" style="136" customWidth="1"/>
    <col min="6" max="6" width="12.81640625" style="136" customWidth="1"/>
    <col min="7" max="7" width="9.453125" style="136" customWidth="1"/>
    <col min="8" max="8" width="12.81640625" style="136" customWidth="1"/>
    <col min="9" max="9" width="9.453125" style="136" customWidth="1"/>
    <col min="10" max="10" width="12.81640625" style="136" customWidth="1"/>
    <col min="11" max="11" width="9.453125" style="136" customWidth="1"/>
    <col min="12" max="12" width="12.81640625" style="136" customWidth="1"/>
    <col min="13" max="13" width="9.453125" style="136" customWidth="1"/>
    <col min="14" max="16384" width="12.54296875" style="136"/>
  </cols>
  <sheetData>
    <row r="1" spans="1:13" ht="15.75" customHeight="1">
      <c r="A1" s="644" t="s">
        <v>367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</row>
    <row r="2" spans="1:13" s="137" customFormat="1" ht="15.75" customHeight="1">
      <c r="A2" s="644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</row>
    <row r="3" spans="1:13" ht="15.75" customHeight="1">
      <c r="A3" s="645" t="s">
        <v>238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</row>
    <row r="4" spans="1:13" s="137" customFormat="1" ht="15.75" customHeight="1">
      <c r="A4" s="645"/>
      <c r="B4" s="645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</row>
    <row r="5" spans="1:13" ht="15.75" customHeight="1">
      <c r="A5" s="226" t="s">
        <v>428</v>
      </c>
      <c r="B5" s="138" t="e">
        <f>'生產管理報表(月)'!B6</f>
        <v>#REF!</v>
      </c>
    </row>
    <row r="6" spans="1:13" ht="15.75" customHeight="1">
      <c r="A6" s="646" t="s">
        <v>239</v>
      </c>
      <c r="B6" s="647" t="s">
        <v>10</v>
      </c>
      <c r="C6" s="647"/>
      <c r="D6" s="648"/>
      <c r="E6" s="646" t="s">
        <v>197</v>
      </c>
      <c r="F6" s="650">
        <v>1</v>
      </c>
      <c r="G6" s="650"/>
      <c r="H6" s="650">
        <v>2</v>
      </c>
      <c r="I6" s="650"/>
      <c r="J6" s="650">
        <v>3</v>
      </c>
      <c r="K6" s="650"/>
      <c r="L6" s="650">
        <v>4</v>
      </c>
      <c r="M6" s="650"/>
    </row>
    <row r="7" spans="1:13" ht="31.4" customHeight="1">
      <c r="A7" s="646"/>
      <c r="B7" s="647"/>
      <c r="C7" s="647"/>
      <c r="D7" s="649"/>
      <c r="E7" s="646"/>
      <c r="F7" s="642" t="s">
        <v>463</v>
      </c>
      <c r="G7" s="642"/>
      <c r="H7" s="642" t="s">
        <v>240</v>
      </c>
      <c r="I7" s="642"/>
      <c r="J7" s="642" t="s">
        <v>166</v>
      </c>
      <c r="K7" s="642"/>
      <c r="L7" s="642" t="s">
        <v>437</v>
      </c>
      <c r="M7" s="642"/>
    </row>
    <row r="8" spans="1:13" ht="15.75" customHeight="1">
      <c r="A8" s="646"/>
      <c r="B8" s="155" t="s">
        <v>11</v>
      </c>
      <c r="C8" s="155" t="s">
        <v>241</v>
      </c>
      <c r="D8" s="649"/>
      <c r="E8" s="646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99999999999999" customHeight="1">
      <c r="A9" s="139" t="s">
        <v>242</v>
      </c>
      <c r="B9" s="140">
        <f>日別報廢率總表!AI3</f>
        <v>0</v>
      </c>
      <c r="C9" s="141" t="e">
        <f>B9/($B$5*1000)</f>
        <v>#REF!</v>
      </c>
      <c r="D9" s="649"/>
      <c r="E9" s="139" t="s">
        <v>242</v>
      </c>
      <c r="F9" s="142" t="e">
        <f>'報廢20大－原因別分析'!#REF!</f>
        <v>#REF!</v>
      </c>
      <c r="G9" s="363" t="e">
        <f>'報廢20大－原因別分析'!#REF!</f>
        <v>#REF!</v>
      </c>
      <c r="H9" s="142" t="e">
        <f>'報廢20大－原因別分析'!#REF!</f>
        <v>#REF!</v>
      </c>
      <c r="I9" s="363" t="e">
        <f>'報廢20大－原因別分析'!#REF!</f>
        <v>#REF!</v>
      </c>
      <c r="J9" s="142" t="e">
        <f>'報廢20大－原因別分析'!#REF!</f>
        <v>#REF!</v>
      </c>
      <c r="K9" s="363" t="e">
        <f>'報廢20大－原因別分析'!#REF!</f>
        <v>#REF!</v>
      </c>
      <c r="L9" s="142" t="e">
        <f>'報廢20大－原因別分析'!#REF!</f>
        <v>#REF!</v>
      </c>
      <c r="M9" s="363" t="e">
        <f>'報廢20大－原因別分析'!#REF!</f>
        <v>#REF!</v>
      </c>
    </row>
    <row r="10" spans="1:13" ht="19.399999999999999" customHeight="1">
      <c r="A10" s="144" t="s">
        <v>243</v>
      </c>
      <c r="B10" s="145">
        <f>日別報廢率總表!AL3</f>
        <v>0</v>
      </c>
      <c r="C10" s="141" t="e">
        <f>B10/($B$5*1000)</f>
        <v>#REF!</v>
      </c>
      <c r="D10" s="649"/>
      <c r="E10" s="144" t="s">
        <v>243</v>
      </c>
      <c r="F10" s="142">
        <f>'超用20大－原因別分析'!AB47</f>
        <v>0</v>
      </c>
      <c r="G10" s="363">
        <f>'超用20大－原因別分析'!AB48</f>
        <v>0</v>
      </c>
      <c r="H10" s="142">
        <f>'超用20大－原因別分析'!AC47</f>
        <v>0</v>
      </c>
      <c r="I10" s="363">
        <f>'超用20大－原因別分析'!AC48</f>
        <v>0</v>
      </c>
      <c r="J10" s="142">
        <f>'超用20大－原因別分析'!AD47</f>
        <v>0</v>
      </c>
      <c r="K10" s="363">
        <f>'超用20大－原因別分析'!AD48</f>
        <v>0</v>
      </c>
      <c r="L10" s="142">
        <f>'超用20大－原因別分析'!AE47</f>
        <v>0</v>
      </c>
      <c r="M10" s="363">
        <f>'超用20大－原因別分析'!AE48</f>
        <v>0</v>
      </c>
    </row>
    <row r="11" spans="1:13" ht="15.75" customHeight="1">
      <c r="D11" s="649"/>
      <c r="E11" s="646" t="s">
        <v>197</v>
      </c>
      <c r="F11" s="650">
        <v>5</v>
      </c>
      <c r="G11" s="650"/>
      <c r="H11" s="650">
        <v>6</v>
      </c>
      <c r="I11" s="650"/>
      <c r="J11" s="650">
        <v>7</v>
      </c>
      <c r="K11" s="650"/>
      <c r="L11" s="651">
        <v>8</v>
      </c>
      <c r="M11" s="651"/>
    </row>
    <row r="12" spans="1:13" ht="31.4" customHeight="1">
      <c r="D12" s="649"/>
      <c r="E12" s="646"/>
      <c r="F12" s="642" t="s">
        <v>189</v>
      </c>
      <c r="G12" s="642"/>
      <c r="H12" s="642" t="s">
        <v>167</v>
      </c>
      <c r="I12" s="642"/>
      <c r="J12" s="642" t="s">
        <v>190</v>
      </c>
      <c r="K12" s="642"/>
      <c r="L12" s="643"/>
      <c r="M12" s="643"/>
    </row>
    <row r="13" spans="1:13" ht="15.75" customHeight="1">
      <c r="D13" s="649"/>
      <c r="E13" s="646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99999999999999" customHeight="1">
      <c r="D14" s="649"/>
      <c r="E14" s="139" t="s">
        <v>242</v>
      </c>
      <c r="F14" s="142" t="e">
        <f>'報廢20大－原因別分析'!#REF!</f>
        <v>#REF!</v>
      </c>
      <c r="G14" s="363" t="e">
        <f>'報廢20大－原因別分析'!#REF!</f>
        <v>#REF!</v>
      </c>
      <c r="H14" s="142" t="e">
        <f>'報廢20大－原因別分析'!#REF!</f>
        <v>#REF!</v>
      </c>
      <c r="I14" s="363" t="e">
        <f>'報廢20大－原因別分析'!#REF!</f>
        <v>#REF!</v>
      </c>
      <c r="J14" s="142" t="e">
        <f>'報廢20大－原因別分析'!#REF!</f>
        <v>#REF!</v>
      </c>
      <c r="K14" s="363" t="e">
        <f>'報廢20大－原因別分析'!#REF!</f>
        <v>#REF!</v>
      </c>
      <c r="L14" s="142"/>
      <c r="M14" s="143"/>
    </row>
    <row r="15" spans="1:13" ht="19.399999999999999" customHeight="1">
      <c r="D15" s="649"/>
      <c r="E15" s="144" t="s">
        <v>243</v>
      </c>
      <c r="F15" s="142">
        <f>'超用20大－原因別分析'!AF47</f>
        <v>0</v>
      </c>
      <c r="G15" s="363">
        <f>'超用20大－原因別分析'!AF48</f>
        <v>0</v>
      </c>
      <c r="H15" s="142">
        <f>'超用20大－原因別分析'!AG47</f>
        <v>0</v>
      </c>
      <c r="I15" s="363">
        <f>'超用20大－原因別分析'!AG48</f>
        <v>0</v>
      </c>
      <c r="J15" s="142">
        <f>'超用20大－原因別分析'!AH47</f>
        <v>0</v>
      </c>
      <c r="K15" s="363">
        <f>'超用20大－原因別分析'!AH48</f>
        <v>0</v>
      </c>
      <c r="L15" s="142"/>
      <c r="M15" s="143"/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0000"/>
    <outlinePr summaryBelow="0" summaryRight="0"/>
  </sheetPr>
  <dimension ref="A1:BV30"/>
  <sheetViews>
    <sheetView view="pageBreakPreview" topLeftCell="A22" zoomScaleNormal="60" zoomScaleSheetLayoutView="100" workbookViewId="0">
      <selection activeCell="B5" sqref="B5:C5"/>
    </sheetView>
  </sheetViews>
  <sheetFormatPr defaultColWidth="12.54296875" defaultRowHeight="15.75" customHeight="1"/>
  <cols>
    <col min="1" max="1" width="5.453125" style="136" customWidth="1"/>
    <col min="2" max="2" width="11.453125" style="234" customWidth="1"/>
    <col min="3" max="3" width="4" style="235" customWidth="1"/>
    <col min="4" max="15" width="9.54296875" style="136" customWidth="1"/>
    <col min="16" max="16" width="55.453125" style="136" customWidth="1"/>
    <col min="17" max="20" width="12.54296875" style="233"/>
    <col min="21" max="21" width="24.453125" style="136" bestFit="1" customWidth="1"/>
    <col min="22" max="22" width="19.453125" style="136" bestFit="1" customWidth="1"/>
    <col min="23" max="23" width="23" style="136" bestFit="1" customWidth="1"/>
    <col min="24" max="24" width="11.7265625" style="136" bestFit="1" customWidth="1"/>
    <col min="25" max="25" width="15.81640625" style="136" bestFit="1" customWidth="1"/>
    <col min="26" max="26" width="23.54296875" style="136" bestFit="1" customWidth="1"/>
    <col min="27" max="27" width="23" style="136" bestFit="1" customWidth="1"/>
    <col min="28" max="28" width="11.7265625" style="136" bestFit="1" customWidth="1"/>
    <col min="29" max="29" width="20.54296875" style="136" bestFit="1" customWidth="1"/>
    <col min="30" max="30" width="15" style="136" bestFit="1" customWidth="1"/>
    <col min="31" max="31" width="23" style="136" bestFit="1" customWidth="1"/>
    <col min="32" max="32" width="11.7265625" style="136" bestFit="1" customWidth="1"/>
    <col min="33" max="33" width="15.81640625" style="136" bestFit="1" customWidth="1"/>
    <col min="34" max="34" width="15" style="136" bestFit="1" customWidth="1"/>
    <col min="35" max="35" width="23" style="136" bestFit="1" customWidth="1"/>
    <col min="36" max="36" width="15" style="136" bestFit="1" customWidth="1"/>
    <col min="37" max="37" width="23" style="136" bestFit="1" customWidth="1"/>
    <col min="38" max="38" width="11.7265625" style="136" bestFit="1" customWidth="1"/>
    <col min="39" max="39" width="13.81640625" style="136" bestFit="1" customWidth="1"/>
    <col min="40" max="40" width="27.81640625" style="136" bestFit="1" customWidth="1"/>
    <col min="41" max="41" width="23" style="136" bestFit="1" customWidth="1"/>
    <col min="42" max="42" width="8" style="136" bestFit="1" customWidth="1"/>
    <col min="43" max="43" width="30.7265625" style="136" bestFit="1" customWidth="1"/>
    <col min="44" max="44" width="25.7265625" style="136" bestFit="1" customWidth="1"/>
    <col min="45" max="45" width="23" style="136" bestFit="1" customWidth="1"/>
    <col min="46" max="46" width="15" style="136" bestFit="1" customWidth="1"/>
    <col min="47" max="47" width="23" style="136" bestFit="1" customWidth="1"/>
    <col min="48" max="48" width="11.7265625" style="136" bestFit="1" customWidth="1"/>
    <col min="49" max="49" width="20.1796875" style="136" bestFit="1" customWidth="1"/>
    <col min="50" max="50" width="23.54296875" style="136" bestFit="1" customWidth="1"/>
    <col min="51" max="51" width="23" style="136" bestFit="1" customWidth="1"/>
    <col min="52" max="52" width="11.7265625" style="136" bestFit="1" customWidth="1"/>
    <col min="53" max="53" width="21.453125" style="136" bestFit="1" customWidth="1"/>
    <col min="54" max="54" width="15" style="136" bestFit="1" customWidth="1"/>
    <col min="55" max="55" width="23" style="136" bestFit="1" customWidth="1"/>
    <col min="56" max="56" width="11.7265625" style="136" bestFit="1" customWidth="1"/>
    <col min="57" max="57" width="13.81640625" style="136" bestFit="1" customWidth="1"/>
    <col min="58" max="58" width="22" style="136" bestFit="1" customWidth="1"/>
    <col min="59" max="59" width="23" style="136" bestFit="1" customWidth="1"/>
    <col min="60" max="60" width="15" style="136" bestFit="1" customWidth="1"/>
    <col min="61" max="61" width="23" style="136" bestFit="1" customWidth="1"/>
    <col min="62" max="62" width="11.7265625" style="136" bestFit="1" customWidth="1"/>
    <col min="63" max="63" width="24.7265625" style="136" bestFit="1" customWidth="1"/>
    <col min="64" max="64" width="18.7265625" style="136" bestFit="1" customWidth="1"/>
    <col min="65" max="65" width="23" style="136" bestFit="1" customWidth="1"/>
    <col min="66" max="66" width="15" style="136" bestFit="1" customWidth="1"/>
    <col min="67" max="67" width="23" style="136" bestFit="1" customWidth="1"/>
    <col min="68" max="68" width="15" style="136" bestFit="1" customWidth="1"/>
    <col min="69" max="69" width="23" style="136" bestFit="1" customWidth="1"/>
    <col min="70" max="70" width="15" style="136" bestFit="1" customWidth="1"/>
    <col min="71" max="71" width="21.81640625" style="136" bestFit="1" customWidth="1"/>
    <col min="72" max="72" width="10.54296875" style="136" bestFit="1" customWidth="1"/>
    <col min="73" max="73" width="21.453125" style="136" bestFit="1" customWidth="1"/>
    <col min="74" max="74" width="5.453125" style="136" bestFit="1" customWidth="1"/>
    <col min="75" max="16384" width="12.54296875" style="136"/>
  </cols>
  <sheetData>
    <row r="1" spans="1:74" ht="15.75" customHeight="1">
      <c r="A1" s="644" t="s">
        <v>367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</row>
    <row r="2" spans="1:74" s="137" customFormat="1" ht="15.75" customHeight="1">
      <c r="A2" s="644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</row>
    <row r="3" spans="1:74" ht="15.75" customHeight="1">
      <c r="A3" s="645" t="s">
        <v>438</v>
      </c>
      <c r="B3" s="656"/>
      <c r="C3" s="656"/>
      <c r="D3" s="656"/>
      <c r="E3" s="656"/>
      <c r="F3" s="656"/>
      <c r="G3" s="656"/>
      <c r="H3" s="656"/>
      <c r="I3" s="656"/>
      <c r="J3" s="656"/>
      <c r="K3" s="656"/>
      <c r="L3" s="656"/>
      <c r="M3" s="656"/>
    </row>
    <row r="4" spans="1:74" s="137" customFormat="1" ht="15.75" customHeight="1">
      <c r="A4" s="656"/>
      <c r="B4" s="656"/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</row>
    <row r="5" spans="1:74" ht="15.75" customHeight="1">
      <c r="A5" s="647" t="s">
        <v>191</v>
      </c>
      <c r="B5" s="657">
        <v>1</v>
      </c>
      <c r="C5" s="657"/>
      <c r="D5" s="657">
        <v>2</v>
      </c>
      <c r="E5" s="657"/>
      <c r="F5" s="657">
        <v>3</v>
      </c>
      <c r="G5" s="657"/>
      <c r="H5" s="650">
        <v>4</v>
      </c>
      <c r="I5" s="650"/>
      <c r="J5" s="650">
        <v>5</v>
      </c>
      <c r="K5" s="650"/>
      <c r="L5" s="650">
        <v>6</v>
      </c>
      <c r="M5" s="650"/>
      <c r="N5" s="650">
        <v>7</v>
      </c>
      <c r="O5" s="650"/>
      <c r="P5" s="359">
        <v>8</v>
      </c>
    </row>
    <row r="6" spans="1:74" ht="15.75" customHeight="1">
      <c r="A6" s="647"/>
      <c r="B6" s="658" t="s">
        <v>463</v>
      </c>
      <c r="C6" s="658"/>
      <c r="D6" s="658" t="s">
        <v>212</v>
      </c>
      <c r="E6" s="658"/>
      <c r="F6" s="658" t="s">
        <v>166</v>
      </c>
      <c r="G6" s="658"/>
      <c r="H6" s="647" t="s">
        <v>436</v>
      </c>
      <c r="I6" s="647"/>
      <c r="J6" s="647" t="s">
        <v>189</v>
      </c>
      <c r="K6" s="647"/>
      <c r="L6" s="647" t="s">
        <v>167</v>
      </c>
      <c r="M6" s="647"/>
      <c r="N6" s="647" t="s">
        <v>190</v>
      </c>
      <c r="O6" s="647"/>
      <c r="P6" s="360" t="s">
        <v>217</v>
      </c>
    </row>
    <row r="8" spans="1:74" s="237" customFormat="1" ht="15.75" customHeight="1">
      <c r="A8" s="650" t="s">
        <v>191</v>
      </c>
      <c r="B8" s="650"/>
      <c r="C8" s="236" t="s">
        <v>47</v>
      </c>
      <c r="D8" s="659" t="s">
        <v>12</v>
      </c>
      <c r="E8" s="659"/>
      <c r="F8" s="659"/>
      <c r="G8" s="660" t="s">
        <v>53</v>
      </c>
      <c r="H8" s="661"/>
      <c r="I8" s="662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655" t="s">
        <v>51</v>
      </c>
      <c r="P8" s="655"/>
    </row>
    <row r="9" spans="1:74" ht="55" customHeight="1">
      <c r="A9" s="650">
        <v>1</v>
      </c>
      <c r="B9" s="665" t="s">
        <v>464</v>
      </c>
      <c r="C9" s="238">
        <v>1</v>
      </c>
      <c r="D9" s="239" t="s">
        <v>336</v>
      </c>
      <c r="E9" s="240"/>
      <c r="F9" s="241"/>
      <c r="G9" s="308" t="s">
        <v>336</v>
      </c>
      <c r="H9" s="307"/>
      <c r="I9" s="308"/>
      <c r="J9" s="238">
        <v>141.66999999999999</v>
      </c>
      <c r="K9" s="244">
        <v>1.3688886645631311E-2</v>
      </c>
      <c r="L9" s="238">
        <v>33.89</v>
      </c>
      <c r="M9" s="324">
        <f>L9*J9</f>
        <v>4801.1962999999996</v>
      </c>
      <c r="N9" s="245"/>
      <c r="O9" s="663" t="s">
        <v>662</v>
      </c>
      <c r="P9" s="663"/>
    </row>
    <row r="10" spans="1:74" ht="55" customHeight="1">
      <c r="A10" s="650"/>
      <c r="B10" s="665"/>
      <c r="C10" s="238">
        <v>2</v>
      </c>
      <c r="D10" s="239" t="s">
        <v>360</v>
      </c>
      <c r="E10" s="240"/>
      <c r="F10" s="241"/>
      <c r="G10" s="356" t="s">
        <v>360</v>
      </c>
      <c r="H10" s="307"/>
      <c r="I10" s="308"/>
      <c r="J10" s="238">
        <v>183.65</v>
      </c>
      <c r="K10" s="244">
        <v>2.079118224282318E-2</v>
      </c>
      <c r="L10" s="238">
        <v>18.66</v>
      </c>
      <c r="M10" s="324">
        <f t="shared" ref="M10:M13" si="0">L10*J10</f>
        <v>3426.9090000000001</v>
      </c>
      <c r="N10" s="245"/>
      <c r="O10" s="663" t="s">
        <v>663</v>
      </c>
      <c r="P10" s="663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</row>
    <row r="11" spans="1:74" ht="55" customHeight="1">
      <c r="A11" s="650"/>
      <c r="B11" s="665"/>
      <c r="C11" s="238">
        <v>3</v>
      </c>
      <c r="D11" s="239" t="s">
        <v>361</v>
      </c>
      <c r="E11" s="240"/>
      <c r="F11" s="241"/>
      <c r="G11" s="308" t="s">
        <v>361</v>
      </c>
      <c r="H11" s="307"/>
      <c r="I11" s="308"/>
      <c r="J11" s="238">
        <v>253.92000000000002</v>
      </c>
      <c r="K11" s="244">
        <v>1.8096654837040496E-2</v>
      </c>
      <c r="L11" s="238">
        <v>17.95</v>
      </c>
      <c r="M11" s="324">
        <f t="shared" si="0"/>
        <v>4557.8640000000005</v>
      </c>
      <c r="N11" s="245"/>
      <c r="O11" s="664" t="s">
        <v>665</v>
      </c>
      <c r="P11" s="664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</row>
    <row r="12" spans="1:74" ht="55" customHeight="1">
      <c r="A12" s="650"/>
      <c r="B12" s="665"/>
      <c r="C12" s="238">
        <v>4</v>
      </c>
      <c r="D12" s="239" t="s">
        <v>362</v>
      </c>
      <c r="E12" s="240"/>
      <c r="F12" s="241"/>
      <c r="G12" s="356" t="s">
        <v>362</v>
      </c>
      <c r="H12" s="307"/>
      <c r="I12" s="308"/>
      <c r="J12" s="238">
        <v>152.75</v>
      </c>
      <c r="K12" s="244">
        <v>6.168430621388222E-3</v>
      </c>
      <c r="L12" s="238">
        <v>6.65</v>
      </c>
      <c r="M12" s="324">
        <f t="shared" si="0"/>
        <v>1015.7875</v>
      </c>
      <c r="N12" s="245"/>
      <c r="O12" s="664" t="s">
        <v>666</v>
      </c>
      <c r="P12" s="664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</row>
    <row r="13" spans="1:74" ht="55" customHeight="1" thickBot="1">
      <c r="A13" s="650"/>
      <c r="B13" s="665"/>
      <c r="C13" s="238">
        <v>5</v>
      </c>
      <c r="D13" s="246" t="s">
        <v>474</v>
      </c>
      <c r="E13" s="247"/>
      <c r="F13" s="248"/>
      <c r="G13" s="367" t="s">
        <v>474</v>
      </c>
      <c r="H13" s="366"/>
      <c r="I13" s="367"/>
      <c r="J13" s="249">
        <v>153.19000000000003</v>
      </c>
      <c r="K13" s="250">
        <v>2.6060060757587433E-2</v>
      </c>
      <c r="L13" s="249">
        <v>22.86</v>
      </c>
      <c r="M13" s="325">
        <f t="shared" si="0"/>
        <v>3501.9234000000006</v>
      </c>
      <c r="N13" s="245"/>
      <c r="O13" s="664" t="s">
        <v>664</v>
      </c>
      <c r="P13" s="664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</row>
    <row r="14" spans="1:74" ht="15.75" customHeight="1" thickTop="1">
      <c r="A14" s="650"/>
      <c r="B14" s="665"/>
      <c r="C14" s="666"/>
      <c r="D14" s="667"/>
      <c r="E14" s="667"/>
      <c r="F14" s="667"/>
      <c r="G14" s="667"/>
      <c r="H14" s="667"/>
      <c r="I14" s="668"/>
      <c r="J14" s="251" t="s">
        <v>58</v>
      </c>
      <c r="K14" s="341" t="e">
        <f>M14/'生產管理報表 7-1(月)'!$B$9</f>
        <v>#DIV/0!</v>
      </c>
      <c r="L14" s="251" t="s">
        <v>59</v>
      </c>
      <c r="M14" s="361">
        <f>SUM(M9:M13)</f>
        <v>17303.680200000003</v>
      </c>
      <c r="N14" s="653"/>
      <c r="O14" s="653"/>
      <c r="P14" s="65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</row>
    <row r="15" spans="1:74" ht="15.75" customHeight="1"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</row>
    <row r="16" spans="1:74" ht="15.75" customHeight="1">
      <c r="A16" s="650" t="s">
        <v>191</v>
      </c>
      <c r="B16" s="650"/>
      <c r="C16" s="254" t="s">
        <v>47</v>
      </c>
      <c r="D16" s="670" t="s">
        <v>12</v>
      </c>
      <c r="E16" s="671"/>
      <c r="F16" s="672"/>
      <c r="G16" s="660" t="s">
        <v>53</v>
      </c>
      <c r="H16" s="661"/>
      <c r="I16" s="662"/>
      <c r="J16" s="256" t="s">
        <v>54</v>
      </c>
      <c r="K16" s="256" t="s">
        <v>55</v>
      </c>
      <c r="L16" s="256" t="s">
        <v>56</v>
      </c>
      <c r="M16" s="256" t="s">
        <v>11</v>
      </c>
      <c r="N16" s="236" t="s">
        <v>333</v>
      </c>
      <c r="O16" s="655" t="s">
        <v>51</v>
      </c>
      <c r="P16" s="655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</row>
    <row r="17" spans="1:35" ht="20.149999999999999" customHeight="1">
      <c r="A17" s="650">
        <v>2</v>
      </c>
      <c r="B17" s="665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45"/>
      <c r="O17" s="669"/>
      <c r="P17" s="669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</row>
    <row r="18" spans="1:35" ht="20.149999999999999" customHeight="1">
      <c r="A18" s="650"/>
      <c r="B18" s="665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45"/>
      <c r="O18" s="669"/>
      <c r="P18" s="669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</row>
    <row r="19" spans="1:35" ht="20.149999999999999" customHeight="1">
      <c r="A19" s="650"/>
      <c r="B19" s="665"/>
      <c r="C19" s="258">
        <v>3</v>
      </c>
      <c r="D19" s="239"/>
      <c r="E19" s="240"/>
      <c r="F19" s="241"/>
      <c r="G19" s="239"/>
      <c r="H19" s="240"/>
      <c r="I19" s="241"/>
      <c r="J19" s="259"/>
      <c r="K19" s="260"/>
      <c r="L19" s="259"/>
      <c r="M19" s="261">
        <f t="shared" si="1"/>
        <v>0</v>
      </c>
      <c r="N19" s="245"/>
      <c r="O19" s="654"/>
      <c r="P19" s="654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</row>
    <row r="20" spans="1:35" ht="20.149999999999999" customHeight="1">
      <c r="A20" s="650"/>
      <c r="B20" s="665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45"/>
      <c r="O20" s="654"/>
      <c r="P20" s="654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</row>
    <row r="21" spans="1:35" ht="20.149999999999999" customHeight="1" thickBot="1">
      <c r="A21" s="650"/>
      <c r="B21" s="665"/>
      <c r="C21" s="264">
        <v>5</v>
      </c>
      <c r="D21" s="246"/>
      <c r="E21" s="247"/>
      <c r="F21" s="248"/>
      <c r="G21" s="246"/>
      <c r="H21" s="247"/>
      <c r="I21" s="248"/>
      <c r="J21" s="265"/>
      <c r="K21" s="266"/>
      <c r="L21" s="265"/>
      <c r="M21" s="267">
        <f t="shared" si="1"/>
        <v>0</v>
      </c>
      <c r="N21" s="245"/>
      <c r="O21" s="654"/>
      <c r="P21" s="654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</row>
    <row r="22" spans="1:35" ht="15.75" customHeight="1" thickTop="1">
      <c r="A22" s="650"/>
      <c r="B22" s="665"/>
      <c r="C22" s="666"/>
      <c r="D22" s="667"/>
      <c r="E22" s="667"/>
      <c r="F22" s="667"/>
      <c r="G22" s="667"/>
      <c r="H22" s="667"/>
      <c r="I22" s="668"/>
      <c r="J22" s="251" t="s">
        <v>58</v>
      </c>
      <c r="K22" s="341" t="e">
        <f>M22/'生產管理報表 7-1(月)'!$B$9</f>
        <v>#DIV/0!</v>
      </c>
      <c r="L22" s="251" t="s">
        <v>59</v>
      </c>
      <c r="M22" s="252">
        <f>SUM(M17:M21)</f>
        <v>0</v>
      </c>
      <c r="N22" s="653"/>
      <c r="O22" s="653"/>
      <c r="P22" s="65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</row>
    <row r="23" spans="1:35" ht="15.75" customHeight="1"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</row>
    <row r="24" spans="1:35" ht="15.75" customHeight="1">
      <c r="A24" s="650" t="s">
        <v>191</v>
      </c>
      <c r="B24" s="650"/>
      <c r="C24" s="254" t="s">
        <v>47</v>
      </c>
      <c r="D24" s="670" t="s">
        <v>12</v>
      </c>
      <c r="E24" s="671"/>
      <c r="F24" s="672"/>
      <c r="G24" s="660" t="s">
        <v>53</v>
      </c>
      <c r="H24" s="661"/>
      <c r="I24" s="662"/>
      <c r="J24" s="255" t="s">
        <v>54</v>
      </c>
      <c r="K24" s="256" t="s">
        <v>55</v>
      </c>
      <c r="L24" s="256" t="s">
        <v>56</v>
      </c>
      <c r="M24" s="256" t="s">
        <v>11</v>
      </c>
      <c r="N24" s="236" t="s">
        <v>333</v>
      </c>
      <c r="O24" s="655" t="s">
        <v>51</v>
      </c>
      <c r="P24" s="655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</row>
    <row r="25" spans="1:35" ht="50.15" customHeight="1">
      <c r="A25" s="650">
        <v>3</v>
      </c>
      <c r="B25" s="665" t="s">
        <v>429</v>
      </c>
      <c r="C25" s="258">
        <v>1</v>
      </c>
      <c r="D25" s="239" t="s">
        <v>342</v>
      </c>
      <c r="E25" s="240"/>
      <c r="F25" s="241"/>
      <c r="G25" s="367" t="s">
        <v>458</v>
      </c>
      <c r="H25" s="366"/>
      <c r="I25" s="367"/>
      <c r="J25" s="259">
        <v>1.17</v>
      </c>
      <c r="K25" s="260">
        <v>3.9663546496851521E-3</v>
      </c>
      <c r="L25" s="259">
        <v>5251</v>
      </c>
      <c r="M25" s="327">
        <f t="shared" ref="M25:M29" si="2">L25*J25</f>
        <v>6143.67</v>
      </c>
      <c r="N25" s="245"/>
      <c r="O25" s="669" t="s">
        <v>667</v>
      </c>
      <c r="P25" s="669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</row>
    <row r="26" spans="1:35" ht="50.15" customHeight="1">
      <c r="A26" s="650"/>
      <c r="B26" s="665"/>
      <c r="C26" s="258">
        <v>2</v>
      </c>
      <c r="D26" s="239" t="s">
        <v>342</v>
      </c>
      <c r="E26" s="240"/>
      <c r="F26" s="241"/>
      <c r="G26" s="367" t="s">
        <v>459</v>
      </c>
      <c r="H26" s="366"/>
      <c r="I26" s="367"/>
      <c r="J26" s="259">
        <v>2.4499999999999997</v>
      </c>
      <c r="K26" s="260">
        <v>4.4416679476033229E-3</v>
      </c>
      <c r="L26" s="259">
        <v>2696</v>
      </c>
      <c r="M26" s="327">
        <f t="shared" si="2"/>
        <v>6605.1999999999989</v>
      </c>
      <c r="N26" s="245"/>
      <c r="O26" s="669" t="s">
        <v>668</v>
      </c>
      <c r="P26" s="669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</row>
    <row r="27" spans="1:35" ht="66" customHeight="1">
      <c r="A27" s="650"/>
      <c r="B27" s="665"/>
      <c r="C27" s="258">
        <v>3</v>
      </c>
      <c r="D27" s="239" t="s">
        <v>553</v>
      </c>
      <c r="E27" s="240"/>
      <c r="F27" s="241"/>
      <c r="G27" s="367" t="s">
        <v>556</v>
      </c>
      <c r="H27" s="366"/>
      <c r="I27" s="367"/>
      <c r="J27" s="259">
        <v>16.099999999999998</v>
      </c>
      <c r="K27" s="260">
        <v>5.7671179783190816E-3</v>
      </c>
      <c r="L27" s="259">
        <v>349</v>
      </c>
      <c r="M27" s="327">
        <f t="shared" si="2"/>
        <v>5618.9</v>
      </c>
      <c r="N27" s="245"/>
      <c r="O27" s="652" t="s">
        <v>669</v>
      </c>
      <c r="P27" s="652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</row>
    <row r="28" spans="1:35" ht="50.15" customHeight="1">
      <c r="A28" s="650"/>
      <c r="B28" s="665"/>
      <c r="C28" s="258">
        <v>4</v>
      </c>
      <c r="D28" s="239" t="s">
        <v>342</v>
      </c>
      <c r="E28" s="240"/>
      <c r="F28" s="241"/>
      <c r="G28" s="248" t="s">
        <v>586</v>
      </c>
      <c r="H28" s="247"/>
      <c r="I28" s="248"/>
      <c r="J28" s="259">
        <v>1.1599999999999999</v>
      </c>
      <c r="K28" s="260">
        <v>9.804144444279763E-3</v>
      </c>
      <c r="L28" s="259">
        <v>3775</v>
      </c>
      <c r="M28" s="327">
        <f t="shared" si="2"/>
        <v>4379</v>
      </c>
      <c r="N28" s="245"/>
      <c r="O28" s="652" t="s">
        <v>670</v>
      </c>
      <c r="P28" s="652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</row>
    <row r="29" spans="1:35" ht="50.15" customHeight="1" thickBot="1">
      <c r="A29" s="650"/>
      <c r="B29" s="665"/>
      <c r="C29" s="264">
        <v>5</v>
      </c>
      <c r="D29" s="246" t="s">
        <v>356</v>
      </c>
      <c r="E29" s="247"/>
      <c r="F29" s="248"/>
      <c r="G29" s="367" t="s">
        <v>526</v>
      </c>
      <c r="H29" s="366"/>
      <c r="I29" s="367"/>
      <c r="J29" s="265">
        <v>122.06999999999996</v>
      </c>
      <c r="K29" s="266">
        <v>1.276921767259726E-2</v>
      </c>
      <c r="L29" s="265">
        <v>9</v>
      </c>
      <c r="M29" s="327">
        <f t="shared" si="2"/>
        <v>1098.6299999999997</v>
      </c>
      <c r="N29" s="245"/>
      <c r="O29" s="652" t="s">
        <v>671</v>
      </c>
      <c r="P29" s="652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</row>
    <row r="30" spans="1:35" ht="15.75" customHeight="1" thickTop="1">
      <c r="A30" s="650"/>
      <c r="B30" s="665"/>
      <c r="C30" s="666"/>
      <c r="D30" s="667"/>
      <c r="E30" s="667"/>
      <c r="F30" s="667"/>
      <c r="G30" s="667"/>
      <c r="H30" s="667"/>
      <c r="I30" s="668"/>
      <c r="J30" s="276" t="s">
        <v>58</v>
      </c>
      <c r="K30" s="341" t="e">
        <f>M30/'生產管理報表 7-1(月)'!$B$9</f>
        <v>#DIV/0!</v>
      </c>
      <c r="L30" s="276" t="s">
        <v>59</v>
      </c>
      <c r="M30" s="328">
        <f>SUM(M25:M29)</f>
        <v>23845.399999999998</v>
      </c>
      <c r="N30" s="653"/>
      <c r="O30" s="653"/>
      <c r="P30" s="653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</row>
  </sheetData>
  <mergeCells count="56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3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0000"/>
    <outlinePr summaryBelow="0" summaryRight="0"/>
  </sheetPr>
  <dimension ref="A1:T156"/>
  <sheetViews>
    <sheetView view="pageBreakPreview" topLeftCell="A16" zoomScale="91" zoomScaleNormal="60" zoomScaleSheetLayoutView="91" workbookViewId="0">
      <selection activeCell="B5" sqref="B5:C5"/>
    </sheetView>
  </sheetViews>
  <sheetFormatPr defaultColWidth="12.54296875" defaultRowHeight="15.75" customHeight="1"/>
  <cols>
    <col min="1" max="1" width="5.453125" style="291" customWidth="1"/>
    <col min="2" max="2" width="11.453125" style="299" customWidth="1"/>
    <col min="3" max="3" width="4" style="300" customWidth="1"/>
    <col min="4" max="4" width="9.54296875" style="291" customWidth="1"/>
    <col min="5" max="5" width="10.26953125" style="291" customWidth="1"/>
    <col min="6" max="15" width="9.54296875" style="291" customWidth="1"/>
    <col min="16" max="16" width="38" style="291" customWidth="1"/>
    <col min="17" max="16384" width="12.54296875" style="291"/>
  </cols>
  <sheetData>
    <row r="1" spans="1:20" s="136" customFormat="1" ht="15.75" customHeight="1">
      <c r="A1" s="644" t="s">
        <v>367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</row>
    <row r="2" spans="1:20" s="137" customFormat="1" ht="15.75" customHeight="1">
      <c r="A2" s="644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</row>
    <row r="3" spans="1:20" s="136" customFormat="1" ht="15.75" customHeight="1">
      <c r="A3" s="645" t="s">
        <v>438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</row>
    <row r="4" spans="1:20" s="137" customFormat="1" ht="15.75" customHeight="1">
      <c r="A4" s="679"/>
      <c r="B4" s="679"/>
      <c r="C4" s="679"/>
      <c r="D4" s="679"/>
      <c r="E4" s="679"/>
      <c r="F4" s="679"/>
      <c r="G4" s="679"/>
      <c r="H4" s="679"/>
      <c r="I4" s="679"/>
      <c r="J4" s="679"/>
      <c r="K4" s="679"/>
      <c r="L4" s="679"/>
      <c r="M4" s="679"/>
    </row>
    <row r="5" spans="1:20" s="136" customFormat="1" ht="15.75" customHeight="1">
      <c r="A5" s="680" t="s">
        <v>191</v>
      </c>
      <c r="B5" s="682">
        <v>1</v>
      </c>
      <c r="C5" s="683"/>
      <c r="D5" s="682">
        <v>2</v>
      </c>
      <c r="E5" s="683"/>
      <c r="F5" s="682">
        <v>3</v>
      </c>
      <c r="G5" s="683"/>
      <c r="H5" s="673">
        <v>4</v>
      </c>
      <c r="I5" s="674"/>
      <c r="J5" s="673">
        <v>5</v>
      </c>
      <c r="K5" s="674"/>
      <c r="L5" s="673">
        <v>6</v>
      </c>
      <c r="M5" s="674"/>
      <c r="N5" s="673">
        <v>7</v>
      </c>
      <c r="O5" s="674"/>
      <c r="P5" s="329">
        <v>8</v>
      </c>
    </row>
    <row r="6" spans="1:20" s="136" customFormat="1" ht="15.75" customHeight="1">
      <c r="A6" s="681"/>
      <c r="B6" s="677" t="s">
        <v>463</v>
      </c>
      <c r="C6" s="678"/>
      <c r="D6" s="677" t="s">
        <v>212</v>
      </c>
      <c r="E6" s="678"/>
      <c r="F6" s="677" t="s">
        <v>166</v>
      </c>
      <c r="G6" s="678"/>
      <c r="H6" s="675" t="s">
        <v>436</v>
      </c>
      <c r="I6" s="676"/>
      <c r="J6" s="675" t="s">
        <v>189</v>
      </c>
      <c r="K6" s="676"/>
      <c r="L6" s="675" t="s">
        <v>167</v>
      </c>
      <c r="M6" s="676"/>
      <c r="N6" s="675" t="s">
        <v>190</v>
      </c>
      <c r="O6" s="676"/>
      <c r="P6" s="330" t="s">
        <v>217</v>
      </c>
    </row>
    <row r="7" spans="1:20" s="136" customFormat="1" ht="15.75" customHeight="1">
      <c r="B7" s="234"/>
      <c r="C7" s="235"/>
    </row>
    <row r="8" spans="1:20" s="280" customFormat="1" ht="15.75" customHeight="1">
      <c r="A8" s="684" t="s">
        <v>191</v>
      </c>
      <c r="B8" s="685"/>
      <c r="C8" s="277" t="s">
        <v>47</v>
      </c>
      <c r="D8" s="686" t="s">
        <v>12</v>
      </c>
      <c r="E8" s="687"/>
      <c r="F8" s="688"/>
      <c r="G8" s="689" t="s">
        <v>53</v>
      </c>
      <c r="H8" s="690"/>
      <c r="I8" s="691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692" t="s">
        <v>51</v>
      </c>
      <c r="P8" s="693"/>
      <c r="R8" s="342"/>
      <c r="S8" s="343"/>
    </row>
    <row r="9" spans="1:20" s="300" customFormat="1" ht="65.150000000000006" customHeight="1">
      <c r="A9" s="694">
        <v>4</v>
      </c>
      <c r="B9" s="697" t="s">
        <v>436</v>
      </c>
      <c r="C9" s="281">
        <v>1</v>
      </c>
      <c r="D9" s="239" t="s">
        <v>344</v>
      </c>
      <c r="E9" s="240"/>
      <c r="F9" s="241"/>
      <c r="G9" s="270" t="s">
        <v>336</v>
      </c>
      <c r="H9" s="240"/>
      <c r="I9" s="270"/>
      <c r="J9" s="238">
        <v>141.66999999999999</v>
      </c>
      <c r="K9" s="244">
        <v>1.3688886645631311E-2</v>
      </c>
      <c r="L9" s="238">
        <v>33.89</v>
      </c>
      <c r="M9" s="324">
        <f t="shared" ref="M9:M13" si="0">L9*J9</f>
        <v>4801.1962999999996</v>
      </c>
      <c r="N9" s="316"/>
      <c r="O9" s="700" t="s">
        <v>662</v>
      </c>
      <c r="P9" s="701"/>
      <c r="R9" s="344"/>
      <c r="S9" s="344"/>
    </row>
    <row r="10" spans="1:20" s="300" customFormat="1" ht="65.150000000000006" customHeight="1">
      <c r="A10" s="695"/>
      <c r="B10" s="698"/>
      <c r="C10" s="281">
        <v>2</v>
      </c>
      <c r="D10" s="239" t="s">
        <v>353</v>
      </c>
      <c r="E10" s="240"/>
      <c r="F10" s="241"/>
      <c r="G10" s="239" t="s">
        <v>360</v>
      </c>
      <c r="H10" s="240"/>
      <c r="I10" s="270"/>
      <c r="J10" s="238">
        <v>183.65</v>
      </c>
      <c r="K10" s="244">
        <v>2.079118224282318E-2</v>
      </c>
      <c r="L10" s="238">
        <v>18.66</v>
      </c>
      <c r="M10" s="324">
        <f t="shared" si="0"/>
        <v>3426.9090000000001</v>
      </c>
      <c r="N10" s="316"/>
      <c r="O10" s="702" t="s">
        <v>672</v>
      </c>
      <c r="P10" s="703"/>
      <c r="R10" s="344"/>
      <c r="S10" s="344"/>
    </row>
    <row r="11" spans="1:20" s="300" customFormat="1" ht="65.150000000000006" customHeight="1">
      <c r="A11" s="695"/>
      <c r="B11" s="698"/>
      <c r="C11" s="281">
        <v>3</v>
      </c>
      <c r="D11" s="239" t="s">
        <v>353</v>
      </c>
      <c r="E11" s="240"/>
      <c r="F11" s="241"/>
      <c r="G11" s="270" t="s">
        <v>361</v>
      </c>
      <c r="H11" s="240"/>
      <c r="I11" s="270"/>
      <c r="J11" s="238">
        <v>253.92000000000002</v>
      </c>
      <c r="K11" s="244">
        <v>1.8096654837040496E-2</v>
      </c>
      <c r="L11" s="238">
        <v>17.95</v>
      </c>
      <c r="M11" s="324">
        <f t="shared" si="0"/>
        <v>4557.8640000000005</v>
      </c>
      <c r="N11" s="316"/>
      <c r="O11" s="704" t="s">
        <v>665</v>
      </c>
      <c r="P11" s="705"/>
      <c r="R11" s="344"/>
      <c r="S11" s="342"/>
    </row>
    <row r="12" spans="1:20" s="300" customFormat="1" ht="65.150000000000006" customHeight="1">
      <c r="A12" s="695"/>
      <c r="B12" s="698"/>
      <c r="C12" s="281">
        <v>4</v>
      </c>
      <c r="D12" s="239" t="s">
        <v>364</v>
      </c>
      <c r="E12" s="240"/>
      <c r="F12" s="241"/>
      <c r="G12" s="246" t="s">
        <v>362</v>
      </c>
      <c r="H12" s="247"/>
      <c r="I12" s="273"/>
      <c r="J12" s="238">
        <v>152.75</v>
      </c>
      <c r="K12" s="244">
        <v>6.168430621388222E-3</v>
      </c>
      <c r="L12" s="238">
        <v>6.65</v>
      </c>
      <c r="M12" s="324">
        <f t="shared" si="0"/>
        <v>1015.7875</v>
      </c>
      <c r="N12" s="316"/>
      <c r="O12" s="702" t="s">
        <v>666</v>
      </c>
      <c r="P12" s="703"/>
      <c r="R12" s="344"/>
      <c r="S12" s="342"/>
    </row>
    <row r="13" spans="1:20" s="300" customFormat="1" ht="65.150000000000006" customHeight="1" thickBot="1">
      <c r="A13" s="695"/>
      <c r="B13" s="698"/>
      <c r="C13" s="281">
        <v>5</v>
      </c>
      <c r="D13" s="246" t="s">
        <v>475</v>
      </c>
      <c r="E13" s="247"/>
      <c r="F13" s="248"/>
      <c r="G13" s="367" t="s">
        <v>474</v>
      </c>
      <c r="H13" s="366"/>
      <c r="I13" s="367"/>
      <c r="J13" s="249">
        <v>153.19000000000003</v>
      </c>
      <c r="K13" s="250">
        <v>2.6060060757587433E-2</v>
      </c>
      <c r="L13" s="249">
        <v>22.86</v>
      </c>
      <c r="M13" s="324">
        <f t="shared" si="0"/>
        <v>3501.9234000000006</v>
      </c>
      <c r="N13" s="316"/>
      <c r="O13" s="706" t="s">
        <v>673</v>
      </c>
      <c r="P13" s="707"/>
      <c r="R13" s="345"/>
      <c r="S13" s="342"/>
      <c r="T13" s="291"/>
    </row>
    <row r="14" spans="1:20" ht="15.75" customHeight="1" thickTop="1" thickBot="1">
      <c r="A14" s="696"/>
      <c r="B14" s="699"/>
      <c r="C14" s="708"/>
      <c r="D14" s="709"/>
      <c r="E14" s="709"/>
      <c r="F14" s="709"/>
      <c r="G14" s="709"/>
      <c r="H14" s="709"/>
      <c r="I14" s="710"/>
      <c r="J14" s="297" t="s">
        <v>58</v>
      </c>
      <c r="K14" s="462" t="e">
        <f>M14/'生產管理報表 7-1(月)'!$B$9</f>
        <v>#DIV/0!</v>
      </c>
      <c r="L14" s="298" t="s">
        <v>59</v>
      </c>
      <c r="M14" s="336">
        <f>SUM(M9:M13)</f>
        <v>17303.680200000003</v>
      </c>
      <c r="N14" s="711"/>
      <c r="O14" s="712"/>
      <c r="P14" s="713"/>
      <c r="R14" s="342"/>
      <c r="S14" s="342"/>
    </row>
    <row r="15" spans="1:20" ht="15.75" customHeight="1" thickTop="1">
      <c r="M15" s="331"/>
      <c r="S15" s="342"/>
    </row>
    <row r="16" spans="1:20" ht="15.75" customHeight="1">
      <c r="A16" s="684" t="s">
        <v>191</v>
      </c>
      <c r="B16" s="685"/>
      <c r="C16" s="277" t="s">
        <v>47</v>
      </c>
      <c r="D16" s="686" t="s">
        <v>12</v>
      </c>
      <c r="E16" s="687"/>
      <c r="F16" s="688"/>
      <c r="G16" s="689" t="s">
        <v>53</v>
      </c>
      <c r="H16" s="690"/>
      <c r="I16" s="691"/>
      <c r="J16" s="278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692" t="s">
        <v>51</v>
      </c>
      <c r="P16" s="693"/>
      <c r="S16" s="343"/>
      <c r="T16" s="300"/>
    </row>
    <row r="17" spans="1:20" s="300" customFormat="1" ht="40" customHeight="1">
      <c r="A17" s="694">
        <v>5</v>
      </c>
      <c r="B17" s="714" t="s">
        <v>215</v>
      </c>
      <c r="C17" s="281">
        <v>1</v>
      </c>
      <c r="D17" s="239" t="s">
        <v>553</v>
      </c>
      <c r="E17" s="240"/>
      <c r="F17" s="241"/>
      <c r="G17" s="308" t="s">
        <v>588</v>
      </c>
      <c r="H17" s="307"/>
      <c r="I17" s="308"/>
      <c r="J17" s="314">
        <v>130</v>
      </c>
      <c r="K17" s="315">
        <v>3.3469999211543006E-2</v>
      </c>
      <c r="L17" s="316">
        <v>8.4899999999999984</v>
      </c>
      <c r="M17" s="324">
        <f t="shared" ref="M17:M21" si="1">L17*J17</f>
        <v>1103.6999999999998</v>
      </c>
      <c r="N17" s="316"/>
      <c r="O17" s="717" t="s">
        <v>675</v>
      </c>
      <c r="P17" s="718"/>
      <c r="S17" s="342"/>
    </row>
    <row r="18" spans="1:20" s="300" customFormat="1" ht="20.149999999999999" customHeight="1">
      <c r="A18" s="695"/>
      <c r="B18" s="715"/>
      <c r="C18" s="281">
        <v>2</v>
      </c>
      <c r="D18" s="239"/>
      <c r="E18" s="240"/>
      <c r="F18" s="241"/>
      <c r="G18" s="356"/>
      <c r="H18" s="307"/>
      <c r="I18" s="308"/>
      <c r="J18" s="314"/>
      <c r="K18" s="315"/>
      <c r="L18" s="316"/>
      <c r="M18" s="324">
        <f t="shared" si="1"/>
        <v>0</v>
      </c>
      <c r="N18" s="316"/>
      <c r="O18" s="719"/>
      <c r="P18" s="720"/>
      <c r="S18" s="291"/>
      <c r="T18" s="291"/>
    </row>
    <row r="19" spans="1:20" ht="20.149999999999999" customHeight="1">
      <c r="A19" s="695"/>
      <c r="B19" s="715"/>
      <c r="C19" s="281">
        <v>3</v>
      </c>
      <c r="D19" s="239"/>
      <c r="E19" s="283"/>
      <c r="F19" s="284"/>
      <c r="G19" s="356"/>
      <c r="H19" s="307"/>
      <c r="I19" s="308"/>
      <c r="J19" s="314"/>
      <c r="K19" s="315"/>
      <c r="L19" s="316"/>
      <c r="M19" s="324">
        <f t="shared" si="1"/>
        <v>0</v>
      </c>
      <c r="N19" s="290"/>
      <c r="O19" s="721"/>
      <c r="P19" s="722"/>
    </row>
    <row r="20" spans="1:20" ht="20.149999999999999" customHeight="1">
      <c r="A20" s="695"/>
      <c r="B20" s="715"/>
      <c r="C20" s="281">
        <v>4</v>
      </c>
      <c r="D20" s="239"/>
      <c r="E20" s="283"/>
      <c r="F20" s="284"/>
      <c r="G20" s="356"/>
      <c r="H20" s="307"/>
      <c r="I20" s="308"/>
      <c r="J20" s="314"/>
      <c r="K20" s="315"/>
      <c r="L20" s="316"/>
      <c r="M20" s="324">
        <f t="shared" si="1"/>
        <v>0</v>
      </c>
      <c r="N20" s="290"/>
      <c r="O20" s="702"/>
      <c r="P20" s="703"/>
    </row>
    <row r="21" spans="1:20" ht="20.149999999999999" customHeight="1" thickBot="1">
      <c r="A21" s="695"/>
      <c r="B21" s="715"/>
      <c r="C21" s="281">
        <v>5</v>
      </c>
      <c r="D21" s="246"/>
      <c r="E21" s="293"/>
      <c r="F21" s="294"/>
      <c r="G21" s="356"/>
      <c r="H21" s="307"/>
      <c r="I21" s="308"/>
      <c r="J21" s="318"/>
      <c r="K21" s="266"/>
      <c r="L21" s="319"/>
      <c r="M21" s="324">
        <f t="shared" si="1"/>
        <v>0</v>
      </c>
      <c r="N21" s="290"/>
      <c r="O21" s="726"/>
      <c r="P21" s="727"/>
      <c r="R21" s="346"/>
    </row>
    <row r="22" spans="1:20" ht="15.75" customHeight="1" thickTop="1" thickBot="1">
      <c r="A22" s="696"/>
      <c r="B22" s="716"/>
      <c r="C22" s="723"/>
      <c r="D22" s="724"/>
      <c r="E22" s="724"/>
      <c r="F22" s="724"/>
      <c r="G22" s="724"/>
      <c r="H22" s="724"/>
      <c r="I22" s="725"/>
      <c r="J22" s="297" t="s">
        <v>58</v>
      </c>
      <c r="K22" s="341" t="e">
        <f>M22/'生產管理報表 7-1(月)'!$B$9</f>
        <v>#DIV/0!</v>
      </c>
      <c r="L22" s="298" t="s">
        <v>59</v>
      </c>
      <c r="M22" s="336">
        <f>SUM(M17:M21)</f>
        <v>1103.6999999999998</v>
      </c>
      <c r="N22" s="711"/>
      <c r="O22" s="712"/>
      <c r="P22" s="713"/>
      <c r="R22" s="342"/>
    </row>
    <row r="23" spans="1:20" ht="15.75" customHeight="1" thickTop="1">
      <c r="M23" s="331"/>
      <c r="R23" s="342"/>
    </row>
    <row r="24" spans="1:20" ht="15.75" customHeight="1">
      <c r="A24" s="684" t="s">
        <v>191</v>
      </c>
      <c r="B24" s="685"/>
      <c r="C24" s="305" t="s">
        <v>47</v>
      </c>
      <c r="D24" s="728" t="s">
        <v>12</v>
      </c>
      <c r="E24" s="729"/>
      <c r="F24" s="730"/>
      <c r="G24" s="731" t="s">
        <v>53</v>
      </c>
      <c r="H24" s="732"/>
      <c r="I24" s="733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692" t="s">
        <v>51</v>
      </c>
      <c r="P24" s="693"/>
      <c r="R24" s="342"/>
    </row>
    <row r="25" spans="1:20" s="300" customFormat="1" ht="60" customHeight="1">
      <c r="A25" s="694">
        <v>6</v>
      </c>
      <c r="B25" s="714" t="s">
        <v>216</v>
      </c>
      <c r="C25" s="281">
        <v>1</v>
      </c>
      <c r="D25" s="239" t="s">
        <v>341</v>
      </c>
      <c r="E25" s="240"/>
      <c r="F25" s="241"/>
      <c r="G25" s="308" t="s">
        <v>335</v>
      </c>
      <c r="H25" s="307"/>
      <c r="I25" s="308"/>
      <c r="J25" s="314">
        <v>15.450000000000001</v>
      </c>
      <c r="K25" s="315">
        <v>3.6909221589950425E-3</v>
      </c>
      <c r="L25" s="316">
        <v>494</v>
      </c>
      <c r="M25" s="324">
        <f t="shared" ref="M25" si="2">L25*J25</f>
        <v>7632.3</v>
      </c>
      <c r="N25" s="316"/>
      <c r="O25" s="734" t="s">
        <v>674</v>
      </c>
      <c r="P25" s="735"/>
    </row>
    <row r="26" spans="1:20" ht="20.149999999999999" customHeight="1">
      <c r="A26" s="695"/>
      <c r="B26" s="715"/>
      <c r="C26" s="281">
        <v>2</v>
      </c>
      <c r="D26" s="282"/>
      <c r="E26" s="283"/>
      <c r="F26" s="284"/>
      <c r="G26" s="285"/>
      <c r="H26" s="286"/>
      <c r="I26" s="287"/>
      <c r="J26" s="288"/>
      <c r="K26" s="289"/>
      <c r="L26" s="290"/>
      <c r="M26" s="333">
        <v>0</v>
      </c>
      <c r="N26" s="290"/>
      <c r="O26" s="301"/>
      <c r="P26" s="302"/>
    </row>
    <row r="27" spans="1:20" ht="20.149999999999999" customHeight="1">
      <c r="A27" s="695"/>
      <c r="B27" s="715"/>
      <c r="C27" s="281">
        <v>3</v>
      </c>
      <c r="D27" s="282"/>
      <c r="E27" s="283"/>
      <c r="F27" s="284"/>
      <c r="G27" s="285"/>
      <c r="H27" s="286"/>
      <c r="I27" s="287"/>
      <c r="J27" s="288"/>
      <c r="K27" s="289"/>
      <c r="L27" s="290"/>
      <c r="M27" s="333">
        <v>0</v>
      </c>
      <c r="N27" s="290"/>
      <c r="O27" s="301"/>
      <c r="P27" s="302"/>
    </row>
    <row r="28" spans="1:20" ht="20.149999999999999" customHeight="1">
      <c r="A28" s="695"/>
      <c r="B28" s="715"/>
      <c r="C28" s="281">
        <v>4</v>
      </c>
      <c r="D28" s="282"/>
      <c r="E28" s="283"/>
      <c r="F28" s="284"/>
      <c r="G28" s="285"/>
      <c r="H28" s="286"/>
      <c r="I28" s="287"/>
      <c r="J28" s="288"/>
      <c r="K28" s="289"/>
      <c r="L28" s="290"/>
      <c r="M28" s="333">
        <v>0</v>
      </c>
      <c r="N28" s="290"/>
      <c r="O28" s="301"/>
      <c r="P28" s="302"/>
    </row>
    <row r="29" spans="1:20" ht="20.149999999999999" customHeight="1" thickBot="1">
      <c r="A29" s="695"/>
      <c r="B29" s="715"/>
      <c r="C29" s="281">
        <v>5</v>
      </c>
      <c r="D29" s="292"/>
      <c r="E29" s="293"/>
      <c r="F29" s="294"/>
      <c r="G29" s="285"/>
      <c r="H29" s="286"/>
      <c r="I29" s="287"/>
      <c r="J29" s="295"/>
      <c r="K29" s="358"/>
      <c r="L29" s="296"/>
      <c r="M29" s="333">
        <v>0</v>
      </c>
      <c r="N29" s="290"/>
      <c r="O29" s="303"/>
      <c r="P29" s="304"/>
    </row>
    <row r="30" spans="1:20" ht="15.75" customHeight="1" thickTop="1" thickBot="1">
      <c r="A30" s="696"/>
      <c r="B30" s="716"/>
      <c r="C30" s="723"/>
      <c r="D30" s="724"/>
      <c r="E30" s="724"/>
      <c r="F30" s="724"/>
      <c r="G30" s="724"/>
      <c r="H30" s="724"/>
      <c r="I30" s="725"/>
      <c r="J30" s="297" t="s">
        <v>58</v>
      </c>
      <c r="K30" s="462" t="e">
        <f>M30/'生產管理報表 7-1(月)'!$B$9</f>
        <v>#DIV/0!</v>
      </c>
      <c r="L30" s="298" t="s">
        <v>59</v>
      </c>
      <c r="M30" s="336">
        <f>SUM(M25:M29)</f>
        <v>7632.3</v>
      </c>
      <c r="N30" s="711"/>
      <c r="O30" s="712"/>
      <c r="P30" s="713"/>
    </row>
    <row r="31" spans="1:20" ht="15.75" customHeight="1" thickTop="1">
      <c r="M31" s="331"/>
    </row>
    <row r="32" spans="1:20" ht="15.75" customHeight="1">
      <c r="A32" s="684" t="s">
        <v>191</v>
      </c>
      <c r="B32" s="685"/>
      <c r="C32" s="305" t="s">
        <v>47</v>
      </c>
      <c r="D32" s="728" t="s">
        <v>12</v>
      </c>
      <c r="E32" s="729"/>
      <c r="F32" s="730"/>
      <c r="G32" s="731" t="s">
        <v>53</v>
      </c>
      <c r="H32" s="732"/>
      <c r="I32" s="733"/>
      <c r="J32" s="306" t="s">
        <v>54</v>
      </c>
      <c r="K32" s="278" t="s">
        <v>55</v>
      </c>
      <c r="L32" s="278" t="s">
        <v>56</v>
      </c>
      <c r="M32" s="332" t="s">
        <v>11</v>
      </c>
      <c r="N32" s="279" t="s">
        <v>333</v>
      </c>
      <c r="O32" s="692" t="s">
        <v>51</v>
      </c>
      <c r="P32" s="693"/>
    </row>
    <row r="33" spans="1:16" ht="20.149999999999999" customHeight="1">
      <c r="A33" s="694">
        <v>7</v>
      </c>
      <c r="B33" s="736" t="s">
        <v>249</v>
      </c>
      <c r="C33" s="281">
        <v>1</v>
      </c>
      <c r="D33" s="282"/>
      <c r="E33" s="283"/>
      <c r="F33" s="284"/>
      <c r="G33" s="285"/>
      <c r="H33" s="286"/>
      <c r="I33" s="287"/>
      <c r="J33" s="288"/>
      <c r="K33" s="289"/>
      <c r="L33" s="290"/>
      <c r="M33" s="333">
        <f t="shared" ref="M33:M35" si="3">L33*J33</f>
        <v>0</v>
      </c>
      <c r="N33" s="290"/>
      <c r="O33" s="739"/>
      <c r="P33" s="740"/>
    </row>
    <row r="34" spans="1:16" ht="20.149999999999999" customHeight="1">
      <c r="A34" s="695"/>
      <c r="B34" s="737"/>
      <c r="C34" s="281">
        <v>2</v>
      </c>
      <c r="D34" s="282"/>
      <c r="E34" s="283"/>
      <c r="F34" s="284"/>
      <c r="G34" s="285"/>
      <c r="H34" s="286"/>
      <c r="I34" s="287"/>
      <c r="J34" s="288"/>
      <c r="K34" s="289"/>
      <c r="L34" s="290"/>
      <c r="M34" s="333">
        <f t="shared" si="3"/>
        <v>0</v>
      </c>
      <c r="N34" s="290"/>
      <c r="O34" s="741"/>
      <c r="P34" s="742"/>
    </row>
    <row r="35" spans="1:16" ht="20.149999999999999" customHeight="1">
      <c r="A35" s="695"/>
      <c r="B35" s="737"/>
      <c r="C35" s="281">
        <v>3</v>
      </c>
      <c r="D35" s="282"/>
      <c r="E35" s="283"/>
      <c r="F35" s="284"/>
      <c r="G35" s="285"/>
      <c r="H35" s="286"/>
      <c r="I35" s="287"/>
      <c r="J35" s="288"/>
      <c r="K35" s="289"/>
      <c r="L35" s="290"/>
      <c r="M35" s="333">
        <f t="shared" si="3"/>
        <v>0</v>
      </c>
      <c r="N35" s="290"/>
      <c r="O35" s="741"/>
      <c r="P35" s="742"/>
    </row>
    <row r="36" spans="1:16" ht="20.149999999999999" customHeight="1">
      <c r="A36" s="695"/>
      <c r="B36" s="737"/>
      <c r="C36" s="281">
        <v>4</v>
      </c>
      <c r="D36" s="282"/>
      <c r="E36" s="283"/>
      <c r="F36" s="284"/>
      <c r="G36" s="285"/>
      <c r="H36" s="286"/>
      <c r="I36" s="287"/>
      <c r="J36" s="288"/>
      <c r="K36" s="289"/>
      <c r="L36" s="290"/>
      <c r="M36" s="334">
        <v>0</v>
      </c>
      <c r="N36" s="290"/>
      <c r="O36" s="301"/>
      <c r="P36" s="302"/>
    </row>
    <row r="37" spans="1:16" ht="20.149999999999999" customHeight="1" thickBot="1">
      <c r="A37" s="695"/>
      <c r="B37" s="737"/>
      <c r="C37" s="281">
        <v>5</v>
      </c>
      <c r="D37" s="292"/>
      <c r="E37" s="293"/>
      <c r="F37" s="294"/>
      <c r="G37" s="285"/>
      <c r="H37" s="286"/>
      <c r="I37" s="287"/>
      <c r="J37" s="295"/>
      <c r="K37" s="266"/>
      <c r="L37" s="296"/>
      <c r="M37" s="335">
        <v>0</v>
      </c>
      <c r="N37" s="290"/>
      <c r="O37" s="303"/>
      <c r="P37" s="304"/>
    </row>
    <row r="38" spans="1:16" ht="15.75" customHeight="1" thickTop="1" thickBot="1">
      <c r="A38" s="696"/>
      <c r="B38" s="738"/>
      <c r="C38" s="723"/>
      <c r="D38" s="724"/>
      <c r="E38" s="724"/>
      <c r="F38" s="724"/>
      <c r="G38" s="724"/>
      <c r="H38" s="724"/>
      <c r="I38" s="725"/>
      <c r="J38" s="297" t="s">
        <v>58</v>
      </c>
      <c r="K38" s="462" t="e">
        <f>M38/'生產管理報表 7-1(月)'!$B$9</f>
        <v>#DIV/0!</v>
      </c>
      <c r="L38" s="298" t="s">
        <v>59</v>
      </c>
      <c r="M38" s="336">
        <f>SUM(M33:M37)</f>
        <v>0</v>
      </c>
      <c r="N38" s="711"/>
      <c r="O38" s="712"/>
      <c r="P38" s="713"/>
    </row>
    <row r="39" spans="1:16" ht="15.75" customHeight="1" thickTop="1"/>
    <row r="44" spans="1:16" ht="15.75" customHeight="1">
      <c r="O44" s="291" ph="1"/>
      <c r="P44" s="291" ph="1"/>
    </row>
    <row r="46" spans="1:16" ht="15.75" customHeight="1">
      <c r="O46" s="291" ph="1"/>
      <c r="P46" s="291" ph="1"/>
    </row>
    <row r="47" spans="1:16" ht="15.75" customHeight="1">
      <c r="O47" s="291" ph="1"/>
      <c r="P47" s="291" ph="1"/>
    </row>
    <row r="117" spans="15:16" ht="15.75" customHeight="1">
      <c r="O117" s="291" ph="1"/>
      <c r="P117" s="291" ph="1"/>
    </row>
    <row r="119" spans="15:16" ht="15.75" customHeight="1">
      <c r="O119" s="291" ph="1"/>
      <c r="P119" s="291" ph="1"/>
    </row>
    <row r="120" spans="15:16" ht="15.75" customHeight="1">
      <c r="O120" s="291" ph="1"/>
      <c r="P120" s="291" ph="1"/>
    </row>
    <row r="153" spans="15:16" ht="15.75" customHeight="1">
      <c r="O153" s="291" ph="1"/>
      <c r="P153" s="291" ph="1"/>
    </row>
    <row r="155" spans="15:16" ht="15.75" customHeight="1">
      <c r="O155" s="291" ph="1"/>
      <c r="P155" s="291" ph="1"/>
    </row>
    <row r="156" spans="15:16" ht="15.75" customHeight="1">
      <c r="O156" s="291" ph="1"/>
      <c r="P156" s="291" ph="1"/>
    </row>
  </sheetData>
  <mergeCells count="63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7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>
    <tabColor rgb="FFFF0000"/>
    <outlinePr summaryBelow="0" summaryRight="0"/>
  </sheetPr>
  <dimension ref="A1:BW30"/>
  <sheetViews>
    <sheetView view="pageBreakPreview" topLeftCell="A10" zoomScaleNormal="60" zoomScaleSheetLayoutView="100" workbookViewId="0">
      <selection activeCell="B5" sqref="B5:C5"/>
    </sheetView>
  </sheetViews>
  <sheetFormatPr defaultColWidth="12.54296875" defaultRowHeight="15.75" customHeight="1"/>
  <cols>
    <col min="1" max="1" width="5.453125" style="136" customWidth="1"/>
    <col min="2" max="2" width="11.453125" style="234" customWidth="1"/>
    <col min="3" max="3" width="4" style="235" customWidth="1"/>
    <col min="4" max="15" width="9.54296875" style="136" customWidth="1"/>
    <col min="16" max="16" width="47.81640625" style="136" customWidth="1"/>
    <col min="17" max="17" width="9.54296875" style="136" customWidth="1"/>
    <col min="18" max="21" width="12.54296875" style="233"/>
    <col min="22" max="22" width="24.453125" style="136" bestFit="1" customWidth="1"/>
    <col min="23" max="23" width="19.453125" style="136" bestFit="1" customWidth="1"/>
    <col min="24" max="24" width="23" style="136" bestFit="1" customWidth="1"/>
    <col min="25" max="25" width="11.7265625" style="136" bestFit="1" customWidth="1"/>
    <col min="26" max="26" width="15.81640625" style="136" bestFit="1" customWidth="1"/>
    <col min="27" max="27" width="23.54296875" style="136" bestFit="1" customWidth="1"/>
    <col min="28" max="28" width="23" style="136" bestFit="1" customWidth="1"/>
    <col min="29" max="29" width="11.7265625" style="136" bestFit="1" customWidth="1"/>
    <col min="30" max="30" width="20.54296875" style="136" bestFit="1" customWidth="1"/>
    <col min="31" max="31" width="15" style="136" bestFit="1" customWidth="1"/>
    <col min="32" max="32" width="23" style="136" bestFit="1" customWidth="1"/>
    <col min="33" max="33" width="11.7265625" style="136" bestFit="1" customWidth="1"/>
    <col min="34" max="34" width="15.8164062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265625" style="136" bestFit="1" customWidth="1"/>
    <col min="40" max="40" width="13.81640625" style="136" bestFit="1" customWidth="1"/>
    <col min="41" max="41" width="27.81640625" style="136" bestFit="1" customWidth="1"/>
    <col min="42" max="42" width="23" style="136" bestFit="1" customWidth="1"/>
    <col min="43" max="43" width="8" style="136" bestFit="1" customWidth="1"/>
    <col min="44" max="44" width="30.7265625" style="136" bestFit="1" customWidth="1"/>
    <col min="45" max="45" width="25.726562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265625" style="136" bestFit="1" customWidth="1"/>
    <col min="50" max="50" width="20.1796875" style="136" bestFit="1" customWidth="1"/>
    <col min="51" max="51" width="23.54296875" style="136" bestFit="1" customWidth="1"/>
    <col min="52" max="52" width="23" style="136" bestFit="1" customWidth="1"/>
    <col min="53" max="53" width="11.7265625" style="136" bestFit="1" customWidth="1"/>
    <col min="54" max="54" width="21.453125" style="136" bestFit="1" customWidth="1"/>
    <col min="55" max="55" width="15" style="136" bestFit="1" customWidth="1"/>
    <col min="56" max="56" width="23" style="136" bestFit="1" customWidth="1"/>
    <col min="57" max="57" width="11.7265625" style="136" bestFit="1" customWidth="1"/>
    <col min="58" max="58" width="13.8164062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265625" style="136" bestFit="1" customWidth="1"/>
    <col min="64" max="64" width="24.7265625" style="136" bestFit="1" customWidth="1"/>
    <col min="65" max="65" width="18.726562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1640625" style="136" bestFit="1" customWidth="1"/>
    <col min="73" max="73" width="10.54296875" style="136" bestFit="1" customWidth="1"/>
    <col min="74" max="74" width="21.453125" style="136" bestFit="1" customWidth="1"/>
    <col min="75" max="75" width="5.453125" style="136" bestFit="1" customWidth="1"/>
    <col min="76" max="16384" width="12.54296875" style="136"/>
  </cols>
  <sheetData>
    <row r="1" spans="1:75" ht="15.75" customHeight="1">
      <c r="A1" s="644" t="s">
        <v>367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</row>
    <row r="2" spans="1:75" s="137" customFormat="1" ht="15.75" customHeight="1">
      <c r="A2" s="644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</row>
    <row r="3" spans="1:75" ht="15.75" customHeight="1">
      <c r="A3" s="645" t="s">
        <v>439</v>
      </c>
      <c r="B3" s="656"/>
      <c r="C3" s="656"/>
      <c r="D3" s="656"/>
      <c r="E3" s="656"/>
      <c r="F3" s="656"/>
      <c r="G3" s="656"/>
      <c r="H3" s="656"/>
      <c r="I3" s="656"/>
      <c r="J3" s="656"/>
      <c r="K3" s="656"/>
      <c r="L3" s="656"/>
      <c r="M3" s="656"/>
    </row>
    <row r="4" spans="1:75" s="137" customFormat="1" ht="15.75" customHeight="1">
      <c r="A4" s="656"/>
      <c r="B4" s="656"/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</row>
    <row r="5" spans="1:75" ht="15.75" customHeight="1">
      <c r="A5" s="647" t="s">
        <v>191</v>
      </c>
      <c r="B5" s="657">
        <v>1</v>
      </c>
      <c r="C5" s="657"/>
      <c r="D5" s="657">
        <v>2</v>
      </c>
      <c r="E5" s="657"/>
      <c r="F5" s="657">
        <v>3</v>
      </c>
      <c r="G5" s="657"/>
      <c r="H5" s="650">
        <v>4</v>
      </c>
      <c r="I5" s="650"/>
      <c r="J5" s="650">
        <v>5</v>
      </c>
      <c r="K5" s="650"/>
      <c r="L5" s="650">
        <v>6</v>
      </c>
      <c r="M5" s="650"/>
      <c r="N5" s="650">
        <v>7</v>
      </c>
      <c r="O5" s="650"/>
      <c r="P5" s="650">
        <v>8</v>
      </c>
      <c r="Q5" s="650"/>
    </row>
    <row r="6" spans="1:75" ht="15.75" customHeight="1">
      <c r="A6" s="647"/>
      <c r="B6" s="658" t="s">
        <v>463</v>
      </c>
      <c r="C6" s="658"/>
      <c r="D6" s="658" t="s">
        <v>212</v>
      </c>
      <c r="E6" s="658"/>
      <c r="F6" s="658" t="s">
        <v>166</v>
      </c>
      <c r="G6" s="658"/>
      <c r="H6" s="647" t="s">
        <v>436</v>
      </c>
      <c r="I6" s="647"/>
      <c r="J6" s="647" t="s">
        <v>189</v>
      </c>
      <c r="K6" s="647"/>
      <c r="L6" s="647" t="s">
        <v>167</v>
      </c>
      <c r="M6" s="647"/>
      <c r="N6" s="647" t="s">
        <v>190</v>
      </c>
      <c r="O6" s="647"/>
      <c r="P6" s="743" t="s">
        <v>217</v>
      </c>
      <c r="Q6" s="647"/>
    </row>
    <row r="8" spans="1:75" s="237" customFormat="1" ht="15.75" customHeight="1">
      <c r="A8" s="650" t="s">
        <v>191</v>
      </c>
      <c r="B8" s="650"/>
      <c r="C8" s="236" t="s">
        <v>47</v>
      </c>
      <c r="D8" s="659" t="s">
        <v>12</v>
      </c>
      <c r="E8" s="659"/>
      <c r="F8" s="659"/>
      <c r="G8" s="660" t="s">
        <v>53</v>
      </c>
      <c r="H8" s="661"/>
      <c r="I8" s="662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655" t="s">
        <v>51</v>
      </c>
      <c r="P8" s="655"/>
    </row>
    <row r="9" spans="1:75" ht="25" customHeight="1">
      <c r="A9" s="650">
        <v>1</v>
      </c>
      <c r="B9" s="665" t="s">
        <v>464</v>
      </c>
      <c r="C9" s="238">
        <v>1</v>
      </c>
      <c r="D9" s="239"/>
      <c r="E9" s="240"/>
      <c r="F9" s="241"/>
      <c r="G9" s="270"/>
      <c r="H9" s="240"/>
      <c r="I9" s="270"/>
      <c r="J9" s="238"/>
      <c r="K9" s="244"/>
      <c r="L9" s="238"/>
      <c r="M9" s="324">
        <f>L9*J9</f>
        <v>0</v>
      </c>
      <c r="N9" s="245"/>
      <c r="O9" s="700"/>
      <c r="P9" s="701"/>
    </row>
    <row r="10" spans="1:75" ht="25" customHeight="1">
      <c r="A10" s="650"/>
      <c r="B10" s="665"/>
      <c r="C10" s="238">
        <v>2</v>
      </c>
      <c r="D10" s="239"/>
      <c r="E10" s="240"/>
      <c r="F10" s="241"/>
      <c r="G10" s="239"/>
      <c r="H10" s="240"/>
      <c r="I10" s="270"/>
      <c r="J10" s="238"/>
      <c r="K10" s="244"/>
      <c r="L10" s="238"/>
      <c r="M10" s="324">
        <f t="shared" ref="M10:M13" si="0">L10*J10</f>
        <v>0</v>
      </c>
      <c r="N10" s="245"/>
      <c r="O10" s="744"/>
      <c r="P10" s="745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</row>
    <row r="11" spans="1:75" ht="25" customHeight="1">
      <c r="A11" s="650"/>
      <c r="B11" s="665"/>
      <c r="C11" s="238">
        <v>3</v>
      </c>
      <c r="D11" s="239"/>
      <c r="E11" s="240"/>
      <c r="F11" s="241"/>
      <c r="G11" s="270"/>
      <c r="H11" s="240"/>
      <c r="I11" s="270"/>
      <c r="J11" s="238"/>
      <c r="K11" s="244"/>
      <c r="L11" s="238"/>
      <c r="M11" s="324">
        <f t="shared" si="0"/>
        <v>0</v>
      </c>
      <c r="N11" s="245"/>
      <c r="O11" s="744"/>
      <c r="P11" s="745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</row>
    <row r="12" spans="1:75" ht="25" customHeight="1">
      <c r="A12" s="650"/>
      <c r="B12" s="665"/>
      <c r="C12" s="238">
        <v>4</v>
      </c>
      <c r="D12" s="239"/>
      <c r="E12" s="240"/>
      <c r="F12" s="241"/>
      <c r="G12" s="246"/>
      <c r="H12" s="247"/>
      <c r="I12" s="273"/>
      <c r="J12" s="238"/>
      <c r="K12" s="244"/>
      <c r="L12" s="238"/>
      <c r="M12" s="324">
        <f t="shared" si="0"/>
        <v>0</v>
      </c>
      <c r="N12" s="245"/>
      <c r="O12" s="744"/>
      <c r="P12" s="745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</row>
    <row r="13" spans="1:75" ht="25" customHeight="1" thickBot="1">
      <c r="A13" s="650"/>
      <c r="B13" s="665"/>
      <c r="C13" s="238">
        <v>5</v>
      </c>
      <c r="D13" s="246"/>
      <c r="E13" s="247"/>
      <c r="F13" s="248"/>
      <c r="G13" s="367"/>
      <c r="H13" s="366"/>
      <c r="I13" s="367"/>
      <c r="J13" s="249"/>
      <c r="K13" s="250"/>
      <c r="L13" s="249"/>
      <c r="M13" s="325">
        <f t="shared" si="0"/>
        <v>0</v>
      </c>
      <c r="N13" s="245"/>
      <c r="O13" s="744"/>
      <c r="P13" s="745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</row>
    <row r="14" spans="1:75" ht="15.75" customHeight="1" thickTop="1">
      <c r="A14" s="650"/>
      <c r="B14" s="665"/>
      <c r="C14" s="666"/>
      <c r="D14" s="667"/>
      <c r="E14" s="667"/>
      <c r="F14" s="667"/>
      <c r="G14" s="667"/>
      <c r="H14" s="667"/>
      <c r="I14" s="668"/>
      <c r="J14" s="251" t="s">
        <v>58</v>
      </c>
      <c r="K14" s="341" t="e">
        <f>M14/'生產管理報表 7-1(月)'!$B$10</f>
        <v>#DIV/0!</v>
      </c>
      <c r="L14" s="251" t="s">
        <v>59</v>
      </c>
      <c r="M14" s="326">
        <f>SUM(M9:M13)</f>
        <v>0</v>
      </c>
      <c r="N14" s="746"/>
      <c r="O14" s="747"/>
      <c r="P14" s="748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</row>
    <row r="15" spans="1:75" ht="15.75" customHeight="1"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</row>
    <row r="16" spans="1:75" ht="15.75" customHeight="1">
      <c r="A16" s="650" t="s">
        <v>191</v>
      </c>
      <c r="B16" s="650"/>
      <c r="C16" s="254" t="s">
        <v>47</v>
      </c>
      <c r="D16" s="670" t="s">
        <v>12</v>
      </c>
      <c r="E16" s="671"/>
      <c r="F16" s="672"/>
      <c r="G16" s="660" t="s">
        <v>53</v>
      </c>
      <c r="H16" s="661"/>
      <c r="I16" s="662"/>
      <c r="J16" s="256" t="s">
        <v>54</v>
      </c>
      <c r="K16" s="256" t="s">
        <v>55</v>
      </c>
      <c r="L16" s="256" t="s">
        <v>56</v>
      </c>
      <c r="M16" s="256" t="s">
        <v>11</v>
      </c>
      <c r="N16" s="257" t="s">
        <v>333</v>
      </c>
      <c r="O16" s="749" t="s">
        <v>51</v>
      </c>
      <c r="P16" s="750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</row>
    <row r="17" spans="1:36" ht="20.149999999999999" customHeight="1">
      <c r="A17" s="650">
        <v>2</v>
      </c>
      <c r="B17" s="665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62"/>
      <c r="O17" s="751"/>
      <c r="P17" s="752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</row>
    <row r="18" spans="1:36" ht="20.149999999999999" customHeight="1">
      <c r="A18" s="650"/>
      <c r="B18" s="665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62"/>
      <c r="O18" s="751"/>
      <c r="P18" s="752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</row>
    <row r="19" spans="1:36" ht="20.149999999999999" customHeight="1">
      <c r="A19" s="650"/>
      <c r="B19" s="665"/>
      <c r="C19" s="258">
        <v>3</v>
      </c>
      <c r="D19" s="239"/>
      <c r="E19" s="240"/>
      <c r="F19" s="241"/>
      <c r="G19" s="239"/>
      <c r="H19" s="240"/>
      <c r="I19" s="241"/>
      <c r="J19" s="259"/>
      <c r="K19" s="260"/>
      <c r="L19" s="259"/>
      <c r="M19" s="261">
        <f t="shared" si="1"/>
        <v>0</v>
      </c>
      <c r="N19" s="262"/>
      <c r="O19" s="751"/>
      <c r="P19" s="752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</row>
    <row r="20" spans="1:36" ht="20.149999999999999" customHeight="1">
      <c r="A20" s="650"/>
      <c r="B20" s="665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62"/>
      <c r="O20" s="751"/>
      <c r="P20" s="752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</row>
    <row r="21" spans="1:36" ht="20.149999999999999" customHeight="1" thickBot="1">
      <c r="A21" s="650"/>
      <c r="B21" s="665"/>
      <c r="C21" s="264">
        <v>5</v>
      </c>
      <c r="D21" s="246"/>
      <c r="E21" s="247"/>
      <c r="F21" s="248"/>
      <c r="G21" s="246"/>
      <c r="H21" s="247"/>
      <c r="I21" s="248"/>
      <c r="J21" s="265"/>
      <c r="K21" s="266"/>
      <c r="L21" s="265"/>
      <c r="M21" s="267">
        <f t="shared" si="1"/>
        <v>0</v>
      </c>
      <c r="N21" s="268"/>
      <c r="O21" s="751"/>
      <c r="P21" s="752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</row>
    <row r="22" spans="1:36" ht="15.75" customHeight="1" thickTop="1">
      <c r="A22" s="650"/>
      <c r="B22" s="665"/>
      <c r="C22" s="666"/>
      <c r="D22" s="667"/>
      <c r="E22" s="667"/>
      <c r="F22" s="667"/>
      <c r="G22" s="667"/>
      <c r="H22" s="667"/>
      <c r="I22" s="668"/>
      <c r="J22" s="251" t="s">
        <v>58</v>
      </c>
      <c r="K22" s="341" t="e">
        <f>M22/'生產管理報表 7-1(月)'!$B$10</f>
        <v>#DIV/0!</v>
      </c>
      <c r="L22" s="251" t="s">
        <v>59</v>
      </c>
      <c r="M22" s="252">
        <f>SUM(M17:M21)</f>
        <v>0</v>
      </c>
      <c r="N22" s="753"/>
      <c r="O22" s="754"/>
      <c r="P22" s="755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</row>
    <row r="23" spans="1:36" ht="15.75" customHeight="1"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</row>
    <row r="24" spans="1:36" ht="15.75" customHeight="1">
      <c r="A24" s="650" t="s">
        <v>191</v>
      </c>
      <c r="B24" s="650"/>
      <c r="C24" s="254" t="s">
        <v>47</v>
      </c>
      <c r="D24" s="670" t="s">
        <v>12</v>
      </c>
      <c r="E24" s="671"/>
      <c r="F24" s="672"/>
      <c r="G24" s="660" t="s">
        <v>53</v>
      </c>
      <c r="H24" s="661"/>
      <c r="I24" s="662"/>
      <c r="J24" s="255" t="s">
        <v>54</v>
      </c>
      <c r="K24" s="256" t="s">
        <v>55</v>
      </c>
      <c r="L24" s="256" t="s">
        <v>56</v>
      </c>
      <c r="M24" s="256" t="s">
        <v>11</v>
      </c>
      <c r="N24" s="257" t="s">
        <v>333</v>
      </c>
      <c r="O24" s="761" t="s">
        <v>51</v>
      </c>
      <c r="P24" s="762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</row>
    <row r="25" spans="1:36" ht="25" customHeight="1">
      <c r="A25" s="650">
        <v>3</v>
      </c>
      <c r="B25" s="665" t="s">
        <v>429</v>
      </c>
      <c r="C25" s="258">
        <v>1</v>
      </c>
      <c r="D25" s="239"/>
      <c r="E25" s="240"/>
      <c r="F25" s="241"/>
      <c r="G25" s="365"/>
      <c r="H25" s="366"/>
      <c r="I25" s="367"/>
      <c r="J25" s="271"/>
      <c r="K25" s="260"/>
      <c r="L25" s="259"/>
      <c r="M25" s="327">
        <f t="shared" ref="M25:M29" si="2">L25*J25</f>
        <v>0</v>
      </c>
      <c r="N25" s="272"/>
      <c r="O25" s="756"/>
      <c r="P25" s="757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</row>
    <row r="26" spans="1:36" ht="25" customHeight="1">
      <c r="A26" s="650"/>
      <c r="B26" s="665"/>
      <c r="C26" s="258">
        <v>2</v>
      </c>
      <c r="D26" s="239"/>
      <c r="E26" s="240"/>
      <c r="F26" s="241"/>
      <c r="G26" s="365"/>
      <c r="H26" s="366"/>
      <c r="I26" s="367"/>
      <c r="J26" s="271"/>
      <c r="K26" s="260"/>
      <c r="L26" s="259"/>
      <c r="M26" s="327">
        <f t="shared" si="2"/>
        <v>0</v>
      </c>
      <c r="N26" s="272"/>
      <c r="O26" s="756"/>
      <c r="P26" s="757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</row>
    <row r="27" spans="1:36" ht="25" customHeight="1">
      <c r="A27" s="650"/>
      <c r="B27" s="665"/>
      <c r="C27" s="258">
        <v>3</v>
      </c>
      <c r="D27" s="239"/>
      <c r="E27" s="240"/>
      <c r="F27" s="241"/>
      <c r="G27" s="365"/>
      <c r="H27" s="366"/>
      <c r="I27" s="367"/>
      <c r="J27" s="271"/>
      <c r="K27" s="260"/>
      <c r="L27" s="259"/>
      <c r="M27" s="327">
        <f t="shared" si="2"/>
        <v>0</v>
      </c>
      <c r="N27" s="272"/>
      <c r="O27" s="756"/>
      <c r="P27" s="757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</row>
    <row r="28" spans="1:36" ht="25" customHeight="1">
      <c r="A28" s="650"/>
      <c r="B28" s="665"/>
      <c r="C28" s="258">
        <v>4</v>
      </c>
      <c r="D28" s="239"/>
      <c r="E28" s="240"/>
      <c r="F28" s="241"/>
      <c r="G28" s="239"/>
      <c r="H28" s="240"/>
      <c r="I28" s="270"/>
      <c r="J28" s="271"/>
      <c r="K28" s="260"/>
      <c r="L28" s="259"/>
      <c r="M28" s="327">
        <f t="shared" si="2"/>
        <v>0</v>
      </c>
      <c r="N28" s="272"/>
      <c r="O28" s="756"/>
      <c r="P28" s="757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</row>
    <row r="29" spans="1:36" ht="25" customHeight="1" thickBot="1">
      <c r="A29" s="650"/>
      <c r="B29" s="665"/>
      <c r="C29" s="264">
        <v>5</v>
      </c>
      <c r="D29" s="246"/>
      <c r="E29" s="247"/>
      <c r="F29" s="248"/>
      <c r="G29" s="246"/>
      <c r="H29" s="247"/>
      <c r="I29" s="273"/>
      <c r="J29" s="274"/>
      <c r="K29" s="266"/>
      <c r="L29" s="275"/>
      <c r="M29" s="327">
        <f t="shared" si="2"/>
        <v>0</v>
      </c>
      <c r="N29" s="272"/>
      <c r="O29" s="756"/>
      <c r="P29" s="757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</row>
    <row r="30" spans="1:36" ht="15.75" customHeight="1" thickTop="1">
      <c r="A30" s="650"/>
      <c r="B30" s="665"/>
      <c r="C30" s="666"/>
      <c r="D30" s="667"/>
      <c r="E30" s="667"/>
      <c r="F30" s="667"/>
      <c r="G30" s="667"/>
      <c r="H30" s="667"/>
      <c r="I30" s="668"/>
      <c r="J30" s="276" t="s">
        <v>58</v>
      </c>
      <c r="K30" s="341" t="e">
        <f>M30/'生產管理報表 7-1(月)'!$B$10</f>
        <v>#DIV/0!</v>
      </c>
      <c r="L30" s="276" t="s">
        <v>59</v>
      </c>
      <c r="M30" s="328">
        <f>SUM(M25:M29)</f>
        <v>0</v>
      </c>
      <c r="N30" s="758"/>
      <c r="O30" s="759"/>
      <c r="P30" s="760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0000"/>
    <outlinePr summaryBelow="0" summaryRight="0"/>
  </sheetPr>
  <dimension ref="A1:T156"/>
  <sheetViews>
    <sheetView view="pageBreakPreview" topLeftCell="A28" zoomScale="91" zoomScaleNormal="60" zoomScaleSheetLayoutView="91" workbookViewId="0">
      <selection activeCell="B5" sqref="B5:C5"/>
    </sheetView>
  </sheetViews>
  <sheetFormatPr defaultColWidth="12.54296875" defaultRowHeight="15.75" customHeight="1"/>
  <cols>
    <col min="1" max="1" width="5.453125" style="291" customWidth="1"/>
    <col min="2" max="2" width="11.453125" style="299" customWidth="1"/>
    <col min="3" max="3" width="4" style="300" customWidth="1"/>
    <col min="4" max="4" width="9.54296875" style="291" customWidth="1"/>
    <col min="5" max="5" width="10.26953125" style="291" customWidth="1"/>
    <col min="6" max="15" width="9.54296875" style="291" customWidth="1"/>
    <col min="16" max="16" width="52" style="291" customWidth="1"/>
    <col min="17" max="16384" width="12.54296875" style="291"/>
  </cols>
  <sheetData>
    <row r="1" spans="1:20" s="136" customFormat="1" ht="15.75" customHeight="1">
      <c r="A1" s="644" t="s">
        <v>367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</row>
    <row r="2" spans="1:20" s="137" customFormat="1" ht="15.75" customHeight="1">
      <c r="A2" s="644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</row>
    <row r="3" spans="1:20" s="136" customFormat="1" ht="15.75" customHeight="1">
      <c r="A3" s="645" t="s">
        <v>439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</row>
    <row r="4" spans="1:20" s="137" customFormat="1" ht="15.75" customHeight="1">
      <c r="A4" s="679"/>
      <c r="B4" s="679"/>
      <c r="C4" s="679"/>
      <c r="D4" s="679"/>
      <c r="E4" s="679"/>
      <c r="F4" s="679"/>
      <c r="G4" s="679"/>
      <c r="H4" s="679"/>
      <c r="I4" s="679"/>
      <c r="J4" s="679"/>
      <c r="K4" s="679"/>
      <c r="L4" s="679"/>
      <c r="M4" s="679"/>
    </row>
    <row r="5" spans="1:20" s="136" customFormat="1" ht="15.75" customHeight="1">
      <c r="A5" s="680" t="s">
        <v>191</v>
      </c>
      <c r="B5" s="682">
        <v>1</v>
      </c>
      <c r="C5" s="683"/>
      <c r="D5" s="682">
        <v>2</v>
      </c>
      <c r="E5" s="683"/>
      <c r="F5" s="682">
        <v>3</v>
      </c>
      <c r="G5" s="683"/>
      <c r="H5" s="673">
        <v>4</v>
      </c>
      <c r="I5" s="674"/>
      <c r="J5" s="673">
        <v>5</v>
      </c>
      <c r="K5" s="674"/>
      <c r="L5" s="673">
        <v>6</v>
      </c>
      <c r="M5" s="674"/>
      <c r="N5" s="673">
        <v>7</v>
      </c>
      <c r="O5" s="674"/>
      <c r="P5" s="329">
        <v>8</v>
      </c>
    </row>
    <row r="6" spans="1:20" s="136" customFormat="1" ht="15.75" customHeight="1">
      <c r="A6" s="681"/>
      <c r="B6" s="677" t="s">
        <v>463</v>
      </c>
      <c r="C6" s="678"/>
      <c r="D6" s="677" t="s">
        <v>212</v>
      </c>
      <c r="E6" s="678"/>
      <c r="F6" s="677" t="s">
        <v>166</v>
      </c>
      <c r="G6" s="678"/>
      <c r="H6" s="675" t="s">
        <v>436</v>
      </c>
      <c r="I6" s="676"/>
      <c r="J6" s="675" t="s">
        <v>189</v>
      </c>
      <c r="K6" s="676"/>
      <c r="L6" s="675" t="s">
        <v>167</v>
      </c>
      <c r="M6" s="676"/>
      <c r="N6" s="675" t="s">
        <v>190</v>
      </c>
      <c r="O6" s="676"/>
      <c r="P6" s="330" t="s">
        <v>217</v>
      </c>
    </row>
    <row r="7" spans="1:20" s="136" customFormat="1" ht="15.75" customHeight="1">
      <c r="B7" s="234"/>
      <c r="C7" s="235"/>
    </row>
    <row r="8" spans="1:20" s="280" customFormat="1" ht="15.75" customHeight="1">
      <c r="A8" s="684" t="s">
        <v>191</v>
      </c>
      <c r="B8" s="685"/>
      <c r="C8" s="277" t="s">
        <v>47</v>
      </c>
      <c r="D8" s="763" t="s">
        <v>12</v>
      </c>
      <c r="E8" s="764"/>
      <c r="F8" s="765"/>
      <c r="G8" s="766" t="s">
        <v>53</v>
      </c>
      <c r="H8" s="767"/>
      <c r="I8" s="768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692" t="s">
        <v>51</v>
      </c>
      <c r="P8" s="693"/>
      <c r="R8" s="342"/>
      <c r="S8" s="343"/>
    </row>
    <row r="9" spans="1:20" s="300" customFormat="1" ht="60" customHeight="1">
      <c r="A9" s="694">
        <v>4</v>
      </c>
      <c r="B9" s="697" t="s">
        <v>436</v>
      </c>
      <c r="C9" s="281">
        <v>1</v>
      </c>
      <c r="D9" s="390" t="s">
        <v>497</v>
      </c>
      <c r="E9" s="366"/>
      <c r="F9" s="396"/>
      <c r="G9" s="242" t="s">
        <v>502</v>
      </c>
      <c r="H9" s="243"/>
      <c r="I9" s="242"/>
      <c r="J9" s="314">
        <v>118.30999999999997</v>
      </c>
      <c r="K9" s="315">
        <v>2.1575867711129621E-3</v>
      </c>
      <c r="L9" s="316">
        <v>158.87999999999951</v>
      </c>
      <c r="M9" s="324">
        <f t="shared" ref="M9:M13" si="0">L9*J9</f>
        <v>18797.092799999937</v>
      </c>
      <c r="N9" s="316"/>
      <c r="O9" s="702" t="s">
        <v>676</v>
      </c>
      <c r="P9" s="703"/>
      <c r="R9" s="344"/>
      <c r="S9" s="344"/>
    </row>
    <row r="10" spans="1:20" s="300" customFormat="1" ht="60" customHeight="1">
      <c r="A10" s="695"/>
      <c r="B10" s="698"/>
      <c r="C10" s="281">
        <v>2</v>
      </c>
      <c r="D10" s="362" t="s">
        <v>364</v>
      </c>
      <c r="E10" s="240"/>
      <c r="F10" s="241"/>
      <c r="G10" s="242" t="s">
        <v>363</v>
      </c>
      <c r="H10" s="243"/>
      <c r="I10" s="242"/>
      <c r="J10" s="314">
        <v>426.69</v>
      </c>
      <c r="K10" s="315">
        <v>5.881531924374386E-4</v>
      </c>
      <c r="L10" s="316">
        <v>42.50999999999965</v>
      </c>
      <c r="M10" s="324">
        <f t="shared" si="0"/>
        <v>18138.59189999985</v>
      </c>
      <c r="N10" s="316"/>
      <c r="O10" s="702" t="s">
        <v>677</v>
      </c>
      <c r="P10" s="703"/>
      <c r="R10" s="344"/>
      <c r="S10" s="344"/>
    </row>
    <row r="11" spans="1:20" s="300" customFormat="1" ht="60" customHeight="1">
      <c r="A11" s="695"/>
      <c r="B11" s="698"/>
      <c r="C11" s="281">
        <v>3</v>
      </c>
      <c r="D11" s="362" t="s">
        <v>475</v>
      </c>
      <c r="E11" s="240"/>
      <c r="F11" s="241"/>
      <c r="G11" s="308" t="s">
        <v>484</v>
      </c>
      <c r="H11" s="307"/>
      <c r="I11" s="308"/>
      <c r="J11" s="314">
        <v>629</v>
      </c>
      <c r="K11" s="315">
        <v>3.9849747964609168E-3</v>
      </c>
      <c r="L11" s="316">
        <v>27.705999999999992</v>
      </c>
      <c r="M11" s="324">
        <f t="shared" si="0"/>
        <v>17427.073999999997</v>
      </c>
      <c r="N11" s="316"/>
      <c r="O11" s="702" t="s">
        <v>678</v>
      </c>
      <c r="P11" s="703"/>
      <c r="R11" s="344"/>
      <c r="S11" s="342"/>
    </row>
    <row r="12" spans="1:20" s="300" customFormat="1" ht="60" customHeight="1">
      <c r="A12" s="695"/>
      <c r="B12" s="698"/>
      <c r="C12" s="281">
        <v>4</v>
      </c>
      <c r="D12" s="397" t="s">
        <v>488</v>
      </c>
      <c r="E12" s="240"/>
      <c r="F12" s="241"/>
      <c r="G12" s="242" t="s">
        <v>487</v>
      </c>
      <c r="H12" s="243"/>
      <c r="I12" s="242"/>
      <c r="J12" s="314">
        <v>191.21</v>
      </c>
      <c r="K12" s="315">
        <v>2.32156952599689E-3</v>
      </c>
      <c r="L12" s="316">
        <v>78.710000000000321</v>
      </c>
      <c r="M12" s="324">
        <f t="shared" si="0"/>
        <v>15050.139100000062</v>
      </c>
      <c r="N12" s="316"/>
      <c r="O12" s="702" t="s">
        <v>679</v>
      </c>
      <c r="P12" s="703"/>
      <c r="R12" s="344"/>
      <c r="S12" s="342"/>
    </row>
    <row r="13" spans="1:20" s="300" customFormat="1" ht="60" customHeight="1" thickBot="1">
      <c r="A13" s="695"/>
      <c r="B13" s="698"/>
      <c r="C13" s="281">
        <v>5</v>
      </c>
      <c r="D13" s="397" t="s">
        <v>486</v>
      </c>
      <c r="E13" s="247"/>
      <c r="F13" s="248"/>
      <c r="G13" s="308" t="s">
        <v>523</v>
      </c>
      <c r="H13" s="307"/>
      <c r="I13" s="308"/>
      <c r="J13" s="318">
        <v>2465</v>
      </c>
      <c r="K13" s="266">
        <v>0</v>
      </c>
      <c r="L13" s="319">
        <v>5.4299999999999784</v>
      </c>
      <c r="M13" s="324">
        <f t="shared" si="0"/>
        <v>13384.949999999946</v>
      </c>
      <c r="N13" s="316"/>
      <c r="O13" s="702" t="s">
        <v>680</v>
      </c>
      <c r="P13" s="703"/>
      <c r="R13" s="345"/>
      <c r="S13" s="342"/>
      <c r="T13" s="291"/>
    </row>
    <row r="14" spans="1:20" ht="15.75" customHeight="1" thickTop="1" thickBot="1">
      <c r="A14" s="696"/>
      <c r="B14" s="699"/>
      <c r="C14" s="708"/>
      <c r="D14" s="709"/>
      <c r="E14" s="709"/>
      <c r="F14" s="709"/>
      <c r="G14" s="709"/>
      <c r="H14" s="709"/>
      <c r="I14" s="710"/>
      <c r="J14" s="297" t="s">
        <v>58</v>
      </c>
      <c r="K14" s="462" t="e">
        <f>M14/'生產管理報表 7-1(月)'!$B$10</f>
        <v>#DIV/0!</v>
      </c>
      <c r="L14" s="298" t="s">
        <v>59</v>
      </c>
      <c r="M14" s="336">
        <f>SUM(M9:M13)</f>
        <v>82797.847799999785</v>
      </c>
      <c r="N14" s="711"/>
      <c r="O14" s="712"/>
      <c r="P14" s="713"/>
      <c r="R14" s="342"/>
      <c r="S14" s="342"/>
    </row>
    <row r="15" spans="1:20" ht="15.75" customHeight="1" thickTop="1">
      <c r="M15" s="331"/>
      <c r="S15" s="342"/>
    </row>
    <row r="16" spans="1:20" ht="15.75" customHeight="1">
      <c r="A16" s="684" t="s">
        <v>191</v>
      </c>
      <c r="B16" s="685"/>
      <c r="C16" s="277" t="s">
        <v>47</v>
      </c>
      <c r="D16" s="686" t="s">
        <v>12</v>
      </c>
      <c r="E16" s="687"/>
      <c r="F16" s="688"/>
      <c r="G16" s="689" t="s">
        <v>53</v>
      </c>
      <c r="H16" s="690"/>
      <c r="I16" s="691"/>
      <c r="J16" s="278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692" t="s">
        <v>51</v>
      </c>
      <c r="P16" s="693"/>
      <c r="S16" s="343"/>
      <c r="T16" s="300"/>
    </row>
    <row r="17" spans="1:20" s="300" customFormat="1" ht="50.15" customHeight="1">
      <c r="A17" s="694">
        <v>5</v>
      </c>
      <c r="B17" s="714" t="s">
        <v>215</v>
      </c>
      <c r="C17" s="281">
        <v>1</v>
      </c>
      <c r="D17" s="239" t="s">
        <v>342</v>
      </c>
      <c r="E17" s="240"/>
      <c r="F17" s="241"/>
      <c r="G17" s="308" t="s">
        <v>337</v>
      </c>
      <c r="H17" s="307"/>
      <c r="I17" s="308"/>
      <c r="J17" s="314">
        <v>147.43000000000004</v>
      </c>
      <c r="K17" s="315">
        <v>0</v>
      </c>
      <c r="L17" s="316">
        <v>513.49999999999909</v>
      </c>
      <c r="M17" s="324">
        <f t="shared" ref="M17:M19" si="1">L17*J17</f>
        <v>75705.304999999891</v>
      </c>
      <c r="N17" s="316"/>
      <c r="O17" s="769" t="s">
        <v>681</v>
      </c>
      <c r="P17" s="770"/>
      <c r="S17" s="342"/>
    </row>
    <row r="18" spans="1:20" s="300" customFormat="1" ht="20.149999999999999" customHeight="1">
      <c r="A18" s="695"/>
      <c r="B18" s="715"/>
      <c r="C18" s="281">
        <v>2</v>
      </c>
      <c r="D18" s="239"/>
      <c r="E18" s="240"/>
      <c r="F18" s="241"/>
      <c r="G18" s="285"/>
      <c r="H18" s="286"/>
      <c r="I18" s="287"/>
      <c r="J18" s="314"/>
      <c r="K18" s="315"/>
      <c r="L18" s="316"/>
      <c r="M18" s="324">
        <f t="shared" si="1"/>
        <v>0</v>
      </c>
      <c r="N18" s="316"/>
      <c r="O18" s="719"/>
      <c r="P18" s="720"/>
      <c r="S18" s="291"/>
      <c r="T18" s="291"/>
    </row>
    <row r="19" spans="1:20" ht="20.149999999999999" customHeight="1">
      <c r="A19" s="695"/>
      <c r="B19" s="715"/>
      <c r="C19" s="281">
        <v>3</v>
      </c>
      <c r="D19" s="282"/>
      <c r="E19" s="283"/>
      <c r="F19" s="284"/>
      <c r="G19" s="285"/>
      <c r="H19" s="286"/>
      <c r="I19" s="287"/>
      <c r="J19" s="288"/>
      <c r="K19" s="289"/>
      <c r="L19" s="290"/>
      <c r="M19" s="333">
        <f t="shared" si="1"/>
        <v>0</v>
      </c>
      <c r="N19" s="290"/>
      <c r="O19" s="741"/>
      <c r="P19" s="742"/>
    </row>
    <row r="20" spans="1:20" ht="20.149999999999999" customHeight="1">
      <c r="A20" s="695"/>
      <c r="B20" s="715"/>
      <c r="C20" s="281">
        <v>4</v>
      </c>
      <c r="D20" s="282"/>
      <c r="E20" s="283"/>
      <c r="F20" s="284"/>
      <c r="G20" s="285"/>
      <c r="H20" s="286"/>
      <c r="I20" s="287"/>
      <c r="J20" s="288"/>
      <c r="K20" s="289"/>
      <c r="L20" s="290"/>
      <c r="M20" s="334">
        <v>0</v>
      </c>
      <c r="N20" s="290"/>
      <c r="O20" s="301"/>
      <c r="P20" s="302"/>
    </row>
    <row r="21" spans="1:20" ht="20.149999999999999" customHeight="1" thickBot="1">
      <c r="A21" s="695"/>
      <c r="B21" s="715"/>
      <c r="C21" s="281">
        <v>5</v>
      </c>
      <c r="D21" s="292"/>
      <c r="E21" s="293"/>
      <c r="F21" s="294"/>
      <c r="G21" s="285"/>
      <c r="H21" s="286"/>
      <c r="I21" s="287"/>
      <c r="J21" s="295"/>
      <c r="K21" s="266"/>
      <c r="L21" s="296"/>
      <c r="M21" s="335">
        <v>0</v>
      </c>
      <c r="N21" s="290"/>
      <c r="O21" s="303"/>
      <c r="P21" s="304"/>
      <c r="R21" s="346"/>
    </row>
    <row r="22" spans="1:20" ht="15.75" customHeight="1" thickTop="1" thickBot="1">
      <c r="A22" s="696"/>
      <c r="B22" s="716"/>
      <c r="C22" s="723"/>
      <c r="D22" s="724"/>
      <c r="E22" s="724"/>
      <c r="F22" s="724"/>
      <c r="G22" s="724"/>
      <c r="H22" s="724"/>
      <c r="I22" s="725"/>
      <c r="J22" s="297" t="s">
        <v>58</v>
      </c>
      <c r="K22" s="462" t="e">
        <f>M22/'生產管理報表 7-1(月)'!$B$10</f>
        <v>#DIV/0!</v>
      </c>
      <c r="L22" s="298" t="s">
        <v>59</v>
      </c>
      <c r="M22" s="336">
        <f>SUM(M17:M21)</f>
        <v>75705.304999999891</v>
      </c>
      <c r="N22" s="711"/>
      <c r="O22" s="712"/>
      <c r="P22" s="713"/>
      <c r="R22" s="342"/>
    </row>
    <row r="23" spans="1:20" ht="15.75" customHeight="1" thickTop="1">
      <c r="M23" s="331"/>
      <c r="R23" s="342"/>
    </row>
    <row r="24" spans="1:20" ht="15.75" customHeight="1">
      <c r="A24" s="684" t="s">
        <v>191</v>
      </c>
      <c r="B24" s="685"/>
      <c r="C24" s="305" t="s">
        <v>47</v>
      </c>
      <c r="D24" s="728" t="s">
        <v>12</v>
      </c>
      <c r="E24" s="729"/>
      <c r="F24" s="730"/>
      <c r="G24" s="731" t="s">
        <v>53</v>
      </c>
      <c r="H24" s="732"/>
      <c r="I24" s="733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692" t="s">
        <v>51</v>
      </c>
      <c r="P24" s="693"/>
      <c r="R24" s="342"/>
    </row>
    <row r="25" spans="1:20" ht="60" customHeight="1">
      <c r="A25" s="694">
        <v>6</v>
      </c>
      <c r="B25" s="714" t="s">
        <v>216</v>
      </c>
      <c r="C25" s="281">
        <v>1</v>
      </c>
      <c r="D25" s="239" t="s">
        <v>344</v>
      </c>
      <c r="E25" s="283"/>
      <c r="F25" s="283"/>
      <c r="G25" s="364" t="s">
        <v>476</v>
      </c>
      <c r="H25" s="307"/>
      <c r="I25" s="308"/>
      <c r="J25" s="314">
        <v>605.77999999999986</v>
      </c>
      <c r="K25" s="315">
        <v>4.7114368167863572E-4</v>
      </c>
      <c r="L25" s="316">
        <v>39.460000000000164</v>
      </c>
      <c r="M25" s="324">
        <f t="shared" ref="M25:M28" si="2">L25*J25</f>
        <v>23904.078800000094</v>
      </c>
      <c r="N25" s="290"/>
      <c r="O25" s="771" t="s">
        <v>682</v>
      </c>
      <c r="P25" s="772"/>
    </row>
    <row r="26" spans="1:20" ht="60" customHeight="1">
      <c r="A26" s="695"/>
      <c r="B26" s="715"/>
      <c r="C26" s="281">
        <v>2</v>
      </c>
      <c r="D26" s="239" t="s">
        <v>342</v>
      </c>
      <c r="E26" s="283"/>
      <c r="F26" s="283"/>
      <c r="G26" s="364" t="s">
        <v>621</v>
      </c>
      <c r="H26" s="307"/>
      <c r="I26" s="308"/>
      <c r="J26" s="314">
        <v>39.389999999999993</v>
      </c>
      <c r="K26" s="315">
        <v>8.1836636593689052E-5</v>
      </c>
      <c r="L26" s="316">
        <v>512.42999999999927</v>
      </c>
      <c r="M26" s="324">
        <f t="shared" si="2"/>
        <v>20184.617699999966</v>
      </c>
      <c r="N26" s="290"/>
      <c r="O26" s="771" t="s">
        <v>683</v>
      </c>
      <c r="P26" s="772"/>
    </row>
    <row r="27" spans="1:20" ht="60" customHeight="1">
      <c r="A27" s="695"/>
      <c r="B27" s="715"/>
      <c r="C27" s="281">
        <v>3</v>
      </c>
      <c r="D27" s="239" t="s">
        <v>615</v>
      </c>
      <c r="E27" s="283"/>
      <c r="F27" s="283"/>
      <c r="G27" s="364" t="s">
        <v>626</v>
      </c>
      <c r="H27" s="307"/>
      <c r="I27" s="308"/>
      <c r="J27" s="314">
        <v>97.830000000000013</v>
      </c>
      <c r="K27" s="315">
        <v>0</v>
      </c>
      <c r="L27" s="316">
        <v>118.50999999999976</v>
      </c>
      <c r="M27" s="324">
        <f t="shared" si="2"/>
        <v>11593.833299999978</v>
      </c>
      <c r="N27" s="290"/>
      <c r="O27" s="771" t="s">
        <v>676</v>
      </c>
      <c r="P27" s="772"/>
    </row>
    <row r="28" spans="1:20" ht="60" customHeight="1">
      <c r="A28" s="695"/>
      <c r="B28" s="715"/>
      <c r="C28" s="281">
        <v>4</v>
      </c>
      <c r="D28" s="239" t="s">
        <v>482</v>
      </c>
      <c r="E28" s="283"/>
      <c r="F28" s="283"/>
      <c r="G28" s="364" t="s">
        <v>480</v>
      </c>
      <c r="H28" s="307"/>
      <c r="I28" s="308"/>
      <c r="J28" s="314">
        <v>407.74000000000007</v>
      </c>
      <c r="K28" s="315">
        <v>2.5199255844626594E-4</v>
      </c>
      <c r="L28" s="316">
        <v>23.02999999999988</v>
      </c>
      <c r="M28" s="324">
        <f t="shared" si="2"/>
        <v>9390.2521999999535</v>
      </c>
      <c r="N28" s="290"/>
      <c r="O28" s="771" t="s">
        <v>684</v>
      </c>
      <c r="P28" s="772"/>
    </row>
    <row r="29" spans="1:20" ht="60" customHeight="1" thickBot="1">
      <c r="A29" s="695"/>
      <c r="B29" s="715"/>
      <c r="C29" s="281">
        <v>5</v>
      </c>
      <c r="D29" s="246" t="s">
        <v>342</v>
      </c>
      <c r="E29" s="293"/>
      <c r="F29" s="293"/>
      <c r="G29" s="364" t="s">
        <v>471</v>
      </c>
      <c r="H29" s="307"/>
      <c r="I29" s="308"/>
      <c r="J29" s="318">
        <v>3.2199999999999998</v>
      </c>
      <c r="K29" s="266">
        <v>9.9399712173007363E-5</v>
      </c>
      <c r="L29" s="319">
        <v>1721</v>
      </c>
      <c r="M29" s="324">
        <f>L29*J29</f>
        <v>5541.62</v>
      </c>
      <c r="N29" s="290"/>
      <c r="O29" s="771" t="s">
        <v>685</v>
      </c>
      <c r="P29" s="772"/>
    </row>
    <row r="30" spans="1:20" ht="15.75" customHeight="1" thickTop="1" thickBot="1">
      <c r="A30" s="696"/>
      <c r="B30" s="716"/>
      <c r="C30" s="723"/>
      <c r="D30" s="724"/>
      <c r="E30" s="724"/>
      <c r="F30" s="724"/>
      <c r="G30" s="724"/>
      <c r="H30" s="724"/>
      <c r="I30" s="725"/>
      <c r="J30" s="297" t="s">
        <v>58</v>
      </c>
      <c r="K30" s="462" t="e">
        <f>M30/'生產管理報表 7-1(月)'!$B$10</f>
        <v>#DIV/0!</v>
      </c>
      <c r="L30" s="298" t="s">
        <v>59</v>
      </c>
      <c r="M30" s="336">
        <f>SUM(M25:M29)</f>
        <v>70614.401999999987</v>
      </c>
      <c r="N30" s="711"/>
      <c r="O30" s="712"/>
      <c r="P30" s="713"/>
    </row>
    <row r="31" spans="1:20" ht="15.75" customHeight="1" thickTop="1">
      <c r="M31" s="331"/>
    </row>
    <row r="32" spans="1:20" ht="15.75" customHeight="1">
      <c r="A32" s="684" t="s">
        <v>191</v>
      </c>
      <c r="B32" s="685"/>
      <c r="C32" s="305" t="s">
        <v>47</v>
      </c>
      <c r="D32" s="728" t="s">
        <v>12</v>
      </c>
      <c r="E32" s="729"/>
      <c r="F32" s="730"/>
      <c r="G32" s="731" t="s">
        <v>53</v>
      </c>
      <c r="H32" s="732"/>
      <c r="I32" s="733"/>
      <c r="J32" s="306" t="s">
        <v>54</v>
      </c>
      <c r="K32" s="278" t="s">
        <v>55</v>
      </c>
      <c r="L32" s="278" t="s">
        <v>56</v>
      </c>
      <c r="M32" s="332" t="s">
        <v>11</v>
      </c>
      <c r="N32" s="279" t="s">
        <v>333</v>
      </c>
      <c r="O32" s="692" t="s">
        <v>51</v>
      </c>
      <c r="P32" s="693"/>
    </row>
    <row r="33" spans="1:16" ht="15.75" customHeight="1">
      <c r="A33" s="694">
        <v>7</v>
      </c>
      <c r="B33" s="736" t="s">
        <v>249</v>
      </c>
      <c r="C33" s="281">
        <v>1</v>
      </c>
      <c r="D33" s="282"/>
      <c r="E33" s="283"/>
      <c r="F33" s="284"/>
      <c r="G33" s="285"/>
      <c r="H33" s="286"/>
      <c r="I33" s="287"/>
      <c r="J33" s="288"/>
      <c r="K33" s="289"/>
      <c r="L33" s="290"/>
      <c r="M33" s="333">
        <f t="shared" ref="M33:M35" si="3">L33*J33</f>
        <v>0</v>
      </c>
      <c r="N33" s="290"/>
      <c r="O33" s="739"/>
      <c r="P33" s="740"/>
    </row>
    <row r="34" spans="1:16" ht="15.75" customHeight="1">
      <c r="A34" s="695"/>
      <c r="B34" s="737"/>
      <c r="C34" s="281">
        <v>2</v>
      </c>
      <c r="D34" s="282"/>
      <c r="E34" s="283"/>
      <c r="F34" s="284"/>
      <c r="G34" s="285"/>
      <c r="H34" s="286"/>
      <c r="I34" s="287"/>
      <c r="J34" s="288"/>
      <c r="K34" s="289"/>
      <c r="L34" s="290"/>
      <c r="M34" s="333">
        <f t="shared" si="3"/>
        <v>0</v>
      </c>
      <c r="N34" s="290"/>
      <c r="O34" s="741"/>
      <c r="P34" s="742"/>
    </row>
    <row r="35" spans="1:16" ht="15.75" customHeight="1">
      <c r="A35" s="695"/>
      <c r="B35" s="737"/>
      <c r="C35" s="281">
        <v>3</v>
      </c>
      <c r="D35" s="282"/>
      <c r="E35" s="283"/>
      <c r="F35" s="284"/>
      <c r="G35" s="285"/>
      <c r="H35" s="286"/>
      <c r="I35" s="287"/>
      <c r="J35" s="288"/>
      <c r="K35" s="289"/>
      <c r="L35" s="290"/>
      <c r="M35" s="333">
        <f t="shared" si="3"/>
        <v>0</v>
      </c>
      <c r="N35" s="290"/>
      <c r="O35" s="741"/>
      <c r="P35" s="742"/>
    </row>
    <row r="36" spans="1:16" ht="15.75" customHeight="1">
      <c r="A36" s="695"/>
      <c r="B36" s="737"/>
      <c r="C36" s="281">
        <v>4</v>
      </c>
      <c r="D36" s="282"/>
      <c r="E36" s="283"/>
      <c r="F36" s="284"/>
      <c r="G36" s="285"/>
      <c r="H36" s="286"/>
      <c r="I36" s="287"/>
      <c r="J36" s="288"/>
      <c r="K36" s="289"/>
      <c r="L36" s="290"/>
      <c r="M36" s="334">
        <v>0</v>
      </c>
      <c r="N36" s="290"/>
      <c r="O36" s="301"/>
      <c r="P36" s="302"/>
    </row>
    <row r="37" spans="1:16" ht="15.75" customHeight="1" thickBot="1">
      <c r="A37" s="695"/>
      <c r="B37" s="737"/>
      <c r="C37" s="281">
        <v>5</v>
      </c>
      <c r="D37" s="292"/>
      <c r="E37" s="293"/>
      <c r="F37" s="294"/>
      <c r="G37" s="285"/>
      <c r="H37" s="286"/>
      <c r="I37" s="287"/>
      <c r="J37" s="295"/>
      <c r="K37" s="266"/>
      <c r="L37" s="296"/>
      <c r="M37" s="335">
        <v>0</v>
      </c>
      <c r="N37" s="290"/>
      <c r="O37" s="303"/>
      <c r="P37" s="304"/>
    </row>
    <row r="38" spans="1:16" ht="15.75" customHeight="1" thickTop="1" thickBot="1">
      <c r="A38" s="696"/>
      <c r="B38" s="738"/>
      <c r="C38" s="723"/>
      <c r="D38" s="724"/>
      <c r="E38" s="724"/>
      <c r="F38" s="724"/>
      <c r="G38" s="724"/>
      <c r="H38" s="724"/>
      <c r="I38" s="725"/>
      <c r="J38" s="297" t="s">
        <v>58</v>
      </c>
      <c r="K38" s="462" t="e">
        <f>M38/'生產管理報表 7-1(月)'!$B$10</f>
        <v>#DIV/0!</v>
      </c>
      <c r="L38" s="298" t="s">
        <v>59</v>
      </c>
      <c r="M38" s="336">
        <f>SUM(M33:M37)</f>
        <v>0</v>
      </c>
      <c r="N38" s="711"/>
      <c r="O38" s="712"/>
      <c r="P38" s="713"/>
    </row>
    <row r="39" spans="1:16" ht="15.75" customHeight="1" thickTop="1"/>
    <row r="44" spans="1:16" ht="15.75" customHeight="1">
      <c r="O44" s="291" ph="1"/>
      <c r="P44" s="291" ph="1"/>
    </row>
    <row r="46" spans="1:16" ht="15.75" customHeight="1">
      <c r="O46" s="291" ph="1"/>
      <c r="P46" s="291" ph="1"/>
    </row>
    <row r="47" spans="1:16" ht="15.75" customHeight="1">
      <c r="O47" s="291" ph="1"/>
      <c r="P47" s="291" ph="1"/>
    </row>
    <row r="117" spans="15:16" ht="15.75" customHeight="1">
      <c r="O117" s="291" ph="1"/>
      <c r="P117" s="291" ph="1"/>
    </row>
    <row r="119" spans="15:16" ht="15.75" customHeight="1">
      <c r="O119" s="291" ph="1"/>
      <c r="P119" s="291" ph="1"/>
    </row>
    <row r="120" spans="15:16" ht="15.75" customHeight="1">
      <c r="O120" s="291" ph="1"/>
      <c r="P120" s="291" ph="1"/>
    </row>
    <row r="153" spans="15:16" ht="15.75" customHeight="1">
      <c r="O153" s="291" ph="1"/>
      <c r="P153" s="291" ph="1"/>
    </row>
    <row r="155" spans="15:16" ht="15.75" customHeight="1">
      <c r="O155" s="291" ph="1"/>
      <c r="P155" s="291" ph="1"/>
    </row>
    <row r="156" spans="15:16" ht="15.75" customHeight="1">
      <c r="O156" s="291" ph="1"/>
      <c r="P156" s="291" ph="1"/>
    </row>
  </sheetData>
  <mergeCells count="65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92D050"/>
    <outlinePr summaryBelow="0" summaryRight="0"/>
  </sheetPr>
  <dimension ref="A1:N59"/>
  <sheetViews>
    <sheetView view="pageBreakPreview" topLeftCell="A10" zoomScale="115" zoomScaleNormal="60" zoomScaleSheetLayoutView="115" workbookViewId="0">
      <selection activeCell="F20" sqref="F20"/>
    </sheetView>
  </sheetViews>
  <sheetFormatPr defaultColWidth="12.54296875" defaultRowHeight="15.75" customHeight="1"/>
  <cols>
    <col min="1" max="1" width="14.1796875" style="136" customWidth="1"/>
    <col min="2" max="2" width="14.81640625" style="136" customWidth="1"/>
    <col min="3" max="3" width="12.81640625" style="136" customWidth="1"/>
    <col min="4" max="4" width="2.54296875" style="136" customWidth="1"/>
    <col min="5" max="5" width="7.54296875" style="136" customWidth="1"/>
    <col min="6" max="6" width="12.81640625" style="136" customWidth="1"/>
    <col min="7" max="7" width="9.453125" style="136" customWidth="1"/>
    <col min="8" max="8" width="12.81640625" style="136" customWidth="1"/>
    <col min="9" max="9" width="9.453125" style="136" customWidth="1"/>
    <col min="10" max="10" width="12.81640625" style="136" customWidth="1"/>
    <col min="11" max="11" width="9.453125" style="136" customWidth="1"/>
    <col min="12" max="12" width="12.81640625" style="136" customWidth="1"/>
    <col min="13" max="13" width="9.453125" style="136" customWidth="1"/>
    <col min="14" max="16384" width="12.54296875" style="136"/>
  </cols>
  <sheetData>
    <row r="1" spans="1:13" ht="15.75" customHeight="1">
      <c r="A1" s="644" t="s">
        <v>367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</row>
    <row r="2" spans="1:13" s="137" customFormat="1" ht="15.75" customHeight="1">
      <c r="A2" s="644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</row>
    <row r="3" spans="1:13" ht="15.75" customHeight="1">
      <c r="A3" s="645" t="s">
        <v>461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</row>
    <row r="4" spans="1:13" s="137" customFormat="1" ht="15.75" customHeight="1">
      <c r="A4" s="645"/>
      <c r="B4" s="645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</row>
    <row r="5" spans="1:13" ht="15">
      <c r="A5" s="226" t="s">
        <v>428</v>
      </c>
      <c r="B5" s="227">
        <v>37624.281149999995</v>
      </c>
      <c r="E5" s="773" t="s">
        <v>462</v>
      </c>
      <c r="F5" s="773"/>
      <c r="G5" s="773"/>
      <c r="H5" s="773"/>
      <c r="I5" s="773"/>
      <c r="J5" s="773"/>
      <c r="K5" s="773"/>
      <c r="L5" s="773"/>
      <c r="M5" s="773"/>
    </row>
    <row r="6" spans="1:13" ht="13.5">
      <c r="A6" s="774" t="s">
        <v>197</v>
      </c>
      <c r="B6" s="777" t="s">
        <v>10</v>
      </c>
      <c r="C6" s="778"/>
      <c r="D6" s="648"/>
      <c r="E6" s="781" t="s">
        <v>197</v>
      </c>
      <c r="F6" s="682">
        <v>1</v>
      </c>
      <c r="G6" s="683"/>
      <c r="H6" s="682">
        <v>2</v>
      </c>
      <c r="I6" s="683"/>
      <c r="J6" s="682">
        <v>3</v>
      </c>
      <c r="K6" s="683"/>
      <c r="L6" s="682">
        <v>4</v>
      </c>
      <c r="M6" s="683"/>
    </row>
    <row r="7" spans="1:13" ht="31.4" customHeight="1">
      <c r="A7" s="775"/>
      <c r="B7" s="779"/>
      <c r="C7" s="780"/>
      <c r="D7" s="649"/>
      <c r="E7" s="782"/>
      <c r="F7" s="784" t="s">
        <v>463</v>
      </c>
      <c r="G7" s="785"/>
      <c r="H7" s="784" t="s">
        <v>240</v>
      </c>
      <c r="I7" s="785"/>
      <c r="J7" s="784" t="s">
        <v>166</v>
      </c>
      <c r="K7" s="785"/>
      <c r="L7" s="784" t="s">
        <v>436</v>
      </c>
      <c r="M7" s="785"/>
    </row>
    <row r="8" spans="1:13" ht="15">
      <c r="A8" s="776"/>
      <c r="B8" s="155" t="s">
        <v>11</v>
      </c>
      <c r="C8" s="155" t="s">
        <v>41</v>
      </c>
      <c r="D8" s="649"/>
      <c r="E8" s="783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99999999999999" customHeight="1">
      <c r="A9" s="228" t="s">
        <v>242</v>
      </c>
      <c r="B9" s="140">
        <f>日別報廢率總表!G4</f>
        <v>75350.5579</v>
      </c>
      <c r="C9" s="231">
        <f>B9/($B$5*1000)</f>
        <v>2.0027108983050965E-3</v>
      </c>
      <c r="D9" s="649"/>
      <c r="E9" s="139" t="s">
        <v>242</v>
      </c>
      <c r="F9" s="142">
        <v>15963.451500000001</v>
      </c>
      <c r="G9" s="143">
        <v>0.75</v>
      </c>
      <c r="H9" s="142">
        <v>0</v>
      </c>
      <c r="I9" s="143">
        <v>0</v>
      </c>
      <c r="J9" s="142">
        <v>4456.5</v>
      </c>
      <c r="K9" s="143">
        <v>0.15</v>
      </c>
      <c r="L9" s="142">
        <v>0</v>
      </c>
      <c r="M9" s="143">
        <v>0</v>
      </c>
    </row>
    <row r="10" spans="1:13" ht="19.399999999999999" customHeight="1">
      <c r="A10" s="229" t="s">
        <v>243</v>
      </c>
      <c r="B10" s="145">
        <f>日別報廢率總表!H4</f>
        <v>201506.50119999994</v>
      </c>
      <c r="C10" s="141">
        <f>B10/($B$5*1000)</f>
        <v>5.3557568421476656E-3</v>
      </c>
      <c r="D10" s="649"/>
      <c r="E10" s="144" t="s">
        <v>243</v>
      </c>
      <c r="F10" s="142">
        <v>0</v>
      </c>
      <c r="G10" s="143">
        <v>0</v>
      </c>
      <c r="H10" s="142">
        <v>0</v>
      </c>
      <c r="I10" s="143">
        <v>0</v>
      </c>
      <c r="J10" s="142">
        <v>0</v>
      </c>
      <c r="K10" s="143">
        <v>0</v>
      </c>
      <c r="L10" s="142">
        <v>61035.200699999972</v>
      </c>
      <c r="M10" s="143">
        <v>0.7</v>
      </c>
    </row>
    <row r="11" spans="1:13" ht="13.5">
      <c r="A11" s="225" t="s">
        <v>424</v>
      </c>
      <c r="B11" s="399" t="s">
        <v>584</v>
      </c>
      <c r="C11" s="224"/>
      <c r="D11" s="649"/>
      <c r="E11" s="786" t="s">
        <v>197</v>
      </c>
      <c r="F11" s="682">
        <v>5</v>
      </c>
      <c r="G11" s="683"/>
      <c r="H11" s="682">
        <v>6</v>
      </c>
      <c r="I11" s="683"/>
      <c r="J11" s="682">
        <v>7</v>
      </c>
      <c r="K11" s="683"/>
      <c r="L11" s="787"/>
      <c r="M11" s="788"/>
    </row>
    <row r="12" spans="1:13" ht="31.4" customHeight="1">
      <c r="A12" s="136" t="s">
        <v>425</v>
      </c>
      <c r="B12" s="399" t="s">
        <v>584</v>
      </c>
      <c r="C12" s="224"/>
      <c r="D12" s="649"/>
      <c r="E12" s="782"/>
      <c r="F12" s="784" t="s">
        <v>189</v>
      </c>
      <c r="G12" s="785"/>
      <c r="H12" s="784" t="s">
        <v>167</v>
      </c>
      <c r="I12" s="785"/>
      <c r="J12" s="784" t="s">
        <v>190</v>
      </c>
      <c r="K12" s="785"/>
      <c r="L12" s="789"/>
      <c r="M12" s="790"/>
    </row>
    <row r="13" spans="1:13" ht="15">
      <c r="D13" s="649"/>
      <c r="E13" s="783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99999999999999" customHeight="1">
      <c r="D14" s="649"/>
      <c r="E14" s="139" t="s">
        <v>242</v>
      </c>
      <c r="F14" s="142">
        <v>1054.2</v>
      </c>
      <c r="G14" s="143">
        <v>0.05</v>
      </c>
      <c r="H14" s="142">
        <v>2348.4</v>
      </c>
      <c r="I14" s="143">
        <v>0.05</v>
      </c>
      <c r="J14" s="142">
        <v>0</v>
      </c>
      <c r="K14" s="143">
        <v>0</v>
      </c>
      <c r="L14" s="142"/>
      <c r="M14" s="143"/>
    </row>
    <row r="15" spans="1:13" ht="19.399999999999999" customHeight="1">
      <c r="D15" s="649"/>
      <c r="E15" s="144" t="s">
        <v>243</v>
      </c>
      <c r="F15" s="142">
        <v>21192.504700000005</v>
      </c>
      <c r="G15" s="143">
        <v>0.1</v>
      </c>
      <c r="H15" s="142">
        <v>22518.722300000023</v>
      </c>
      <c r="I15" s="143">
        <v>0.2</v>
      </c>
      <c r="J15" s="142">
        <v>0</v>
      </c>
      <c r="K15" s="143">
        <v>0</v>
      </c>
      <c r="L15" s="142"/>
      <c r="M15" s="143"/>
    </row>
    <row r="16" spans="1:13" ht="15.75" customHeight="1">
      <c r="A16" s="226" t="s">
        <v>428</v>
      </c>
      <c r="B16" s="227">
        <f>'生產管理報表(週) '!B6</f>
        <v>38419.572549999997</v>
      </c>
      <c r="E16" s="773" t="s">
        <v>462</v>
      </c>
      <c r="F16" s="791"/>
      <c r="G16" s="791"/>
      <c r="H16" s="791"/>
      <c r="I16" s="791"/>
      <c r="J16" s="791"/>
      <c r="K16" s="791"/>
      <c r="L16" s="791"/>
      <c r="M16" s="791"/>
    </row>
    <row r="17" spans="1:13" ht="15.75" customHeight="1">
      <c r="A17" s="792" t="s">
        <v>197</v>
      </c>
      <c r="B17" s="647" t="s">
        <v>10</v>
      </c>
      <c r="C17" s="647"/>
      <c r="D17" s="648"/>
      <c r="E17" s="646" t="s">
        <v>197</v>
      </c>
      <c r="F17" s="650">
        <v>1</v>
      </c>
      <c r="G17" s="650"/>
      <c r="H17" s="650">
        <v>2</v>
      </c>
      <c r="I17" s="650"/>
      <c r="J17" s="650">
        <v>3</v>
      </c>
      <c r="K17" s="650"/>
      <c r="L17" s="650">
        <v>4</v>
      </c>
      <c r="M17" s="650"/>
    </row>
    <row r="18" spans="1:13" ht="31.4" customHeight="1">
      <c r="A18" s="792"/>
      <c r="B18" s="647"/>
      <c r="C18" s="647"/>
      <c r="D18" s="649"/>
      <c r="E18" s="646"/>
      <c r="F18" s="642" t="s">
        <v>463</v>
      </c>
      <c r="G18" s="642"/>
      <c r="H18" s="642" t="s">
        <v>240</v>
      </c>
      <c r="I18" s="642"/>
      <c r="J18" s="642" t="s">
        <v>166</v>
      </c>
      <c r="K18" s="642"/>
      <c r="L18" s="642" t="s">
        <v>436</v>
      </c>
      <c r="M18" s="642"/>
    </row>
    <row r="19" spans="1:13" ht="15.75" customHeight="1">
      <c r="A19" s="792"/>
      <c r="B19" s="155" t="s">
        <v>11</v>
      </c>
      <c r="C19" s="155" t="s">
        <v>41</v>
      </c>
      <c r="D19" s="649"/>
      <c r="E19" s="646"/>
      <c r="F19" s="155" t="s">
        <v>11</v>
      </c>
      <c r="G19" s="155" t="s">
        <v>41</v>
      </c>
      <c r="H19" s="155" t="s">
        <v>11</v>
      </c>
      <c r="I19" s="155" t="s">
        <v>41</v>
      </c>
      <c r="J19" s="155" t="s">
        <v>11</v>
      </c>
      <c r="K19" s="155" t="s">
        <v>41</v>
      </c>
      <c r="L19" s="155" t="s">
        <v>11</v>
      </c>
      <c r="M19" s="155" t="s">
        <v>41</v>
      </c>
    </row>
    <row r="20" spans="1:13" ht="19.399999999999999" customHeight="1">
      <c r="A20" s="228" t="s">
        <v>242</v>
      </c>
      <c r="B20" s="140">
        <f>日別報廢率總表!G11</f>
        <v>77034.709600000002</v>
      </c>
      <c r="C20" s="231">
        <f>B20/($B$16*1000)</f>
        <v>2.0050902310208034E-3</v>
      </c>
      <c r="D20" s="649"/>
      <c r="E20" s="139" t="s">
        <v>242</v>
      </c>
      <c r="F20" s="142">
        <f>'報廢20大－原因別分析'!AD32</f>
        <v>17292.7084</v>
      </c>
      <c r="G20" s="143">
        <f>'報廢20大－原因別分析'!AD33</f>
        <v>0.75</v>
      </c>
      <c r="H20" s="142">
        <f>'報廢20大－原因別分析'!AE32</f>
        <v>0</v>
      </c>
      <c r="I20" s="143">
        <f>'報廢20大－原因別分析'!AE33</f>
        <v>0</v>
      </c>
      <c r="J20" s="142">
        <f>'報廢20大－原因別分析'!AF32</f>
        <v>4193.59</v>
      </c>
      <c r="K20" s="143">
        <f>'報廢20大－原因別分析'!AF33</f>
        <v>0.15</v>
      </c>
      <c r="L20" s="142">
        <f>'報廢20大－原因別分析'!AG32</f>
        <v>0</v>
      </c>
      <c r="M20" s="143">
        <f>'報廢20大－原因別分析'!AG33</f>
        <v>0</v>
      </c>
    </row>
    <row r="21" spans="1:13" ht="19.399999999999999" customHeight="1">
      <c r="A21" s="229" t="s">
        <v>243</v>
      </c>
      <c r="B21" s="145">
        <f>日別報廢率總表!H11</f>
        <v>234653.27559999999</v>
      </c>
      <c r="C21" s="141">
        <f>B21/($B$16*1000)</f>
        <v>6.1076493054319529E-3</v>
      </c>
      <c r="D21" s="649"/>
      <c r="E21" s="144" t="s">
        <v>243</v>
      </c>
      <c r="F21" s="142">
        <f>'超用20大－原因別分析'!AD32</f>
        <v>0</v>
      </c>
      <c r="G21" s="143">
        <f>'超用20大－原因別分析'!AD33</f>
        <v>0</v>
      </c>
      <c r="H21" s="142">
        <f>'超用20大－原因別分析'!AE32</f>
        <v>0</v>
      </c>
      <c r="I21" s="143">
        <f>'超用20大－原因別分析'!AE33</f>
        <v>0</v>
      </c>
      <c r="J21" s="142">
        <f>'超用20大－原因別分析'!AF32</f>
        <v>0</v>
      </c>
      <c r="K21" s="143">
        <f>'超用20大－原因別分析'!AF33</f>
        <v>0</v>
      </c>
      <c r="L21" s="142">
        <f>'超用20大－原因別分析'!AG32</f>
        <v>63568.978299999799</v>
      </c>
      <c r="M21" s="143">
        <f>'超用20大－原因別分析'!AG33</f>
        <v>0.75</v>
      </c>
    </row>
    <row r="22" spans="1:13" ht="15.75" customHeight="1">
      <c r="A22" s="225" t="s">
        <v>424</v>
      </c>
      <c r="B22" s="399" t="s">
        <v>585</v>
      </c>
      <c r="C22" s="224"/>
      <c r="D22" s="649"/>
      <c r="E22" s="646" t="s">
        <v>197</v>
      </c>
      <c r="F22" s="682">
        <v>5</v>
      </c>
      <c r="G22" s="683"/>
      <c r="H22" s="682">
        <v>6</v>
      </c>
      <c r="I22" s="683"/>
      <c r="J22" s="682">
        <v>7</v>
      </c>
      <c r="K22" s="683"/>
      <c r="L22" s="787"/>
      <c r="M22" s="788"/>
    </row>
    <row r="23" spans="1:13" ht="31.4" customHeight="1">
      <c r="A23" s="136" t="s">
        <v>425</v>
      </c>
      <c r="B23" s="399" t="s">
        <v>585</v>
      </c>
      <c r="C23" s="224"/>
      <c r="D23" s="649"/>
      <c r="E23" s="646"/>
      <c r="F23" s="784" t="s">
        <v>189</v>
      </c>
      <c r="G23" s="785"/>
      <c r="H23" s="784" t="s">
        <v>167</v>
      </c>
      <c r="I23" s="785"/>
      <c r="J23" s="784" t="s">
        <v>190</v>
      </c>
      <c r="K23" s="785"/>
      <c r="L23" s="789"/>
      <c r="M23" s="790"/>
    </row>
    <row r="24" spans="1:13" ht="15.75" customHeight="1">
      <c r="D24" s="649"/>
      <c r="E24" s="646"/>
      <c r="F24" s="155" t="s">
        <v>11</v>
      </c>
      <c r="G24" s="155" t="s">
        <v>41</v>
      </c>
      <c r="H24" s="155" t="s">
        <v>11</v>
      </c>
      <c r="I24" s="155" t="s">
        <v>41</v>
      </c>
      <c r="J24" s="155" t="s">
        <v>11</v>
      </c>
      <c r="K24" s="155" t="s">
        <v>41</v>
      </c>
      <c r="L24" s="155"/>
      <c r="M24" s="155"/>
    </row>
    <row r="25" spans="1:13" ht="19.399999999999999" customHeight="1">
      <c r="D25" s="649"/>
      <c r="E25" s="139" t="s">
        <v>242</v>
      </c>
      <c r="F25" s="142">
        <f>'報廢20大－原因別分析'!AH32</f>
        <v>1157.0999999999999</v>
      </c>
      <c r="G25" s="143">
        <f>'報廢20大－原因別分析'!AH33</f>
        <v>0.05</v>
      </c>
      <c r="H25" s="142">
        <f>'報廢20大－原因別分析'!AI32</f>
        <v>2255.7000000000003</v>
      </c>
      <c r="I25" s="143">
        <f>'報廢20大－原因別分析'!AI33</f>
        <v>0.05</v>
      </c>
      <c r="J25" s="142">
        <f>'報廢20大－原因別分析'!AJ32</f>
        <v>0</v>
      </c>
      <c r="K25" s="143">
        <f>'報廢20大－原因別分析'!AJ33</f>
        <v>0</v>
      </c>
      <c r="L25" s="142"/>
      <c r="M25" s="143"/>
    </row>
    <row r="26" spans="1:13" ht="19.399999999999999" customHeight="1">
      <c r="D26" s="649"/>
      <c r="E26" s="144" t="s">
        <v>243</v>
      </c>
      <c r="F26" s="142">
        <f>'超用20大－原因別分析'!AH32</f>
        <v>22091.945799999929</v>
      </c>
      <c r="G26" s="143">
        <f>'超用20大－原因別分析'!AH33</f>
        <v>0.1</v>
      </c>
      <c r="H26" s="142">
        <f>'超用20大－原因別分析'!AI32</f>
        <v>18279.149400000002</v>
      </c>
      <c r="I26" s="143">
        <f>'超用20大－原因別分析'!AI33</f>
        <v>0.15</v>
      </c>
      <c r="J26" s="142">
        <f>'超用20大－原因別分析'!AJ32</f>
        <v>0</v>
      </c>
      <c r="K26" s="143">
        <f>'超用20大－原因別分析'!AJ33</f>
        <v>0</v>
      </c>
      <c r="L26" s="142"/>
      <c r="M26" s="143"/>
    </row>
    <row r="27" spans="1:13" ht="15.75" customHeight="1">
      <c r="A27" s="226" t="s">
        <v>428</v>
      </c>
      <c r="B27" s="227"/>
      <c r="E27" s="773" t="s">
        <v>462</v>
      </c>
      <c r="F27" s="791"/>
      <c r="G27" s="791"/>
      <c r="H27" s="791"/>
      <c r="I27" s="791"/>
      <c r="J27" s="791"/>
      <c r="K27" s="791"/>
      <c r="L27" s="791"/>
      <c r="M27" s="791"/>
    </row>
    <row r="28" spans="1:13" ht="15.75" customHeight="1">
      <c r="A28" s="792" t="s">
        <v>197</v>
      </c>
      <c r="B28" s="647" t="s">
        <v>10</v>
      </c>
      <c r="C28" s="647"/>
      <c r="D28" s="648"/>
      <c r="E28" s="646" t="s">
        <v>197</v>
      </c>
      <c r="F28" s="650">
        <v>1</v>
      </c>
      <c r="G28" s="650"/>
      <c r="H28" s="650">
        <v>2</v>
      </c>
      <c r="I28" s="650"/>
      <c r="J28" s="650">
        <v>3</v>
      </c>
      <c r="K28" s="650"/>
      <c r="L28" s="650">
        <v>4</v>
      </c>
      <c r="M28" s="650"/>
    </row>
    <row r="29" spans="1:13" ht="31.4" customHeight="1">
      <c r="A29" s="792"/>
      <c r="B29" s="647"/>
      <c r="C29" s="647"/>
      <c r="D29" s="649"/>
      <c r="E29" s="646"/>
      <c r="F29" s="642" t="s">
        <v>463</v>
      </c>
      <c r="G29" s="642"/>
      <c r="H29" s="642" t="s">
        <v>240</v>
      </c>
      <c r="I29" s="642"/>
      <c r="J29" s="642" t="s">
        <v>166</v>
      </c>
      <c r="K29" s="642"/>
      <c r="L29" s="642" t="s">
        <v>436</v>
      </c>
      <c r="M29" s="642"/>
    </row>
    <row r="30" spans="1:13" ht="15.75" customHeight="1">
      <c r="A30" s="792"/>
      <c r="B30" s="155" t="s">
        <v>11</v>
      </c>
      <c r="C30" s="155" t="s">
        <v>41</v>
      </c>
      <c r="D30" s="649"/>
      <c r="E30" s="646"/>
      <c r="F30" s="155" t="s">
        <v>11</v>
      </c>
      <c r="G30" s="155" t="s">
        <v>41</v>
      </c>
      <c r="H30" s="155" t="s">
        <v>11</v>
      </c>
      <c r="I30" s="155" t="s">
        <v>41</v>
      </c>
      <c r="J30" s="155" t="s">
        <v>11</v>
      </c>
      <c r="K30" s="155" t="s">
        <v>41</v>
      </c>
      <c r="L30" s="155" t="s">
        <v>11</v>
      </c>
      <c r="M30" s="155" t="s">
        <v>41</v>
      </c>
    </row>
    <row r="31" spans="1:13" ht="19.399999999999999" customHeight="1">
      <c r="A31" s="228" t="s">
        <v>242</v>
      </c>
      <c r="B31" s="140">
        <f>日別報廢率總表!G18</f>
        <v>0</v>
      </c>
      <c r="C31" s="231" t="e">
        <f>B31/($B$27*1000)</f>
        <v>#DIV/0!</v>
      </c>
      <c r="D31" s="649"/>
      <c r="E31" s="139" t="s">
        <v>242</v>
      </c>
      <c r="F31" s="142">
        <f>'報廢20大－原因別分析'!AD54</f>
        <v>0</v>
      </c>
      <c r="G31" s="143">
        <f>'報廢20大－原因別分析'!AD55</f>
        <v>0</v>
      </c>
      <c r="H31" s="142">
        <f>'報廢20大－原因別分析'!AE54</f>
        <v>0</v>
      </c>
      <c r="I31" s="143">
        <f>'報廢20大－原因別分析'!AE55</f>
        <v>0</v>
      </c>
      <c r="J31" s="142">
        <f>'報廢20大－原因別分析'!AF54</f>
        <v>0</v>
      </c>
      <c r="K31" s="143">
        <f>'報廢20大－原因別分析'!AF55</f>
        <v>0</v>
      </c>
      <c r="L31" s="142">
        <f>'報廢20大－原因別分析'!AG54</f>
        <v>0</v>
      </c>
      <c r="M31" s="143">
        <f>'報廢20大－原因別分析'!AG55</f>
        <v>0</v>
      </c>
    </row>
    <row r="32" spans="1:13" ht="19.399999999999999" customHeight="1">
      <c r="A32" s="229" t="s">
        <v>243</v>
      </c>
      <c r="B32" s="145">
        <f>日別報廢率總表!H18</f>
        <v>0</v>
      </c>
      <c r="C32" s="141" t="e">
        <f>B32/($B$27*1000)</f>
        <v>#DIV/0!</v>
      </c>
      <c r="D32" s="649"/>
      <c r="E32" s="144" t="s">
        <v>243</v>
      </c>
      <c r="F32" s="142"/>
      <c r="G32" s="143"/>
      <c r="H32" s="142"/>
      <c r="I32" s="143"/>
      <c r="J32" s="142"/>
      <c r="K32" s="143"/>
      <c r="L32" s="142"/>
      <c r="M32" s="143"/>
    </row>
    <row r="33" spans="1:13" ht="15.75" customHeight="1">
      <c r="A33" s="225" t="s">
        <v>424</v>
      </c>
      <c r="B33" s="399" t="s">
        <v>741</v>
      </c>
      <c r="C33" s="224"/>
      <c r="D33" s="649"/>
      <c r="E33" s="646" t="s">
        <v>197</v>
      </c>
      <c r="F33" s="682"/>
      <c r="G33" s="683"/>
      <c r="H33" s="682"/>
      <c r="I33" s="683"/>
      <c r="J33" s="682"/>
      <c r="K33" s="683"/>
      <c r="L33" s="787"/>
      <c r="M33" s="788"/>
    </row>
    <row r="34" spans="1:13" ht="31.4" customHeight="1">
      <c r="A34" s="136" t="s">
        <v>425</v>
      </c>
      <c r="B34" s="399" t="s">
        <v>741</v>
      </c>
      <c r="C34" s="224"/>
      <c r="D34" s="649"/>
      <c r="E34" s="646"/>
      <c r="F34" s="784" t="s">
        <v>189</v>
      </c>
      <c r="G34" s="785"/>
      <c r="H34" s="784" t="s">
        <v>167</v>
      </c>
      <c r="I34" s="785"/>
      <c r="J34" s="784" t="s">
        <v>190</v>
      </c>
      <c r="K34" s="785"/>
      <c r="L34" s="789"/>
      <c r="M34" s="790"/>
    </row>
    <row r="35" spans="1:13" ht="15.75" customHeight="1">
      <c r="D35" s="649"/>
      <c r="E35" s="646"/>
      <c r="F35" s="155" t="s">
        <v>11</v>
      </c>
      <c r="G35" s="155" t="s">
        <v>41</v>
      </c>
      <c r="H35" s="155" t="s">
        <v>11</v>
      </c>
      <c r="I35" s="155" t="s">
        <v>41</v>
      </c>
      <c r="J35" s="155" t="s">
        <v>11</v>
      </c>
      <c r="K35" s="155" t="s">
        <v>41</v>
      </c>
      <c r="L35" s="155"/>
      <c r="M35" s="155"/>
    </row>
    <row r="36" spans="1:13" ht="19.399999999999999" customHeight="1">
      <c r="D36" s="649"/>
      <c r="E36" s="139" t="s">
        <v>242</v>
      </c>
      <c r="F36" s="142">
        <f>'報廢20大－原因別分析'!AH54</f>
        <v>0</v>
      </c>
      <c r="G36" s="143">
        <f>'報廢20大－原因別分析'!AH55</f>
        <v>0</v>
      </c>
      <c r="H36" s="142">
        <f>'報廢20大－原因別分析'!AI54</f>
        <v>0</v>
      </c>
      <c r="I36" s="143">
        <f>'報廢20大－原因別分析'!AI55</f>
        <v>0</v>
      </c>
      <c r="J36" s="142">
        <f>'報廢20大－原因別分析'!AJ54</f>
        <v>0</v>
      </c>
      <c r="K36" s="143">
        <f>'報廢20大－原因別分析'!AJ55</f>
        <v>0</v>
      </c>
      <c r="L36" s="142"/>
      <c r="M36" s="143"/>
    </row>
    <row r="37" spans="1:13" ht="19.399999999999999" customHeight="1">
      <c r="D37" s="649"/>
      <c r="E37" s="144" t="s">
        <v>243</v>
      </c>
      <c r="F37" s="142"/>
      <c r="G37" s="143"/>
      <c r="H37" s="142"/>
      <c r="I37" s="143"/>
      <c r="J37" s="142"/>
      <c r="K37" s="143"/>
      <c r="L37" s="142"/>
      <c r="M37" s="143"/>
    </row>
    <row r="38" spans="1:13" ht="15.75" customHeight="1">
      <c r="A38" s="226" t="s">
        <v>428</v>
      </c>
      <c r="B38" s="227"/>
      <c r="E38" s="773" t="s">
        <v>462</v>
      </c>
      <c r="F38" s="791"/>
      <c r="G38" s="791"/>
      <c r="H38" s="791"/>
      <c r="I38" s="791"/>
      <c r="J38" s="791"/>
      <c r="K38" s="791"/>
      <c r="L38" s="791"/>
      <c r="M38" s="791"/>
    </row>
    <row r="39" spans="1:13" ht="15.75" customHeight="1">
      <c r="A39" s="792" t="s">
        <v>197</v>
      </c>
      <c r="B39" s="647" t="s">
        <v>10</v>
      </c>
      <c r="C39" s="647"/>
      <c r="D39" s="648"/>
      <c r="E39" s="646" t="s">
        <v>197</v>
      </c>
      <c r="F39" s="650">
        <v>1</v>
      </c>
      <c r="G39" s="650"/>
      <c r="H39" s="650">
        <v>2</v>
      </c>
      <c r="I39" s="650"/>
      <c r="J39" s="650">
        <v>3</v>
      </c>
      <c r="K39" s="650"/>
      <c r="L39" s="650">
        <v>4</v>
      </c>
      <c r="M39" s="650"/>
    </row>
    <row r="40" spans="1:13" ht="31.4" customHeight="1">
      <c r="A40" s="792"/>
      <c r="B40" s="647"/>
      <c r="C40" s="647"/>
      <c r="D40" s="649"/>
      <c r="E40" s="646"/>
      <c r="F40" s="642" t="s">
        <v>463</v>
      </c>
      <c r="G40" s="642"/>
      <c r="H40" s="642" t="s">
        <v>240</v>
      </c>
      <c r="I40" s="642"/>
      <c r="J40" s="642" t="s">
        <v>166</v>
      </c>
      <c r="K40" s="642"/>
      <c r="L40" s="642" t="s">
        <v>436</v>
      </c>
      <c r="M40" s="642"/>
    </row>
    <row r="41" spans="1:13" ht="15.75" customHeight="1">
      <c r="A41" s="792"/>
      <c r="B41" s="155" t="s">
        <v>11</v>
      </c>
      <c r="C41" s="155" t="s">
        <v>41</v>
      </c>
      <c r="D41" s="649"/>
      <c r="E41" s="646"/>
      <c r="F41" s="155" t="s">
        <v>11</v>
      </c>
      <c r="G41" s="155" t="s">
        <v>41</v>
      </c>
      <c r="H41" s="155" t="s">
        <v>11</v>
      </c>
      <c r="I41" s="155" t="s">
        <v>41</v>
      </c>
      <c r="J41" s="155" t="s">
        <v>11</v>
      </c>
      <c r="K41" s="155" t="s">
        <v>41</v>
      </c>
      <c r="L41" s="155" t="s">
        <v>11</v>
      </c>
      <c r="M41" s="155" t="s">
        <v>41</v>
      </c>
    </row>
    <row r="42" spans="1:13" ht="19.399999999999999" customHeight="1">
      <c r="A42" s="228" t="s">
        <v>242</v>
      </c>
      <c r="B42" s="140">
        <f>日別報廢率總表!G25</f>
        <v>0</v>
      </c>
      <c r="C42" s="231" t="e">
        <f>B42/($B$38*1000)</f>
        <v>#DIV/0!</v>
      </c>
      <c r="D42" s="649"/>
      <c r="E42" s="139" t="s">
        <v>242</v>
      </c>
      <c r="F42" s="142">
        <f>'報廢20大－原因別分析'!AD76</f>
        <v>0</v>
      </c>
      <c r="G42" s="143">
        <f>'報廢20大－原因別分析'!AD77</f>
        <v>0</v>
      </c>
      <c r="H42" s="142">
        <f>'報廢20大－原因別分析'!AE76</f>
        <v>0</v>
      </c>
      <c r="I42" s="143">
        <f>'報廢20大－原因別分析'!AE77</f>
        <v>0</v>
      </c>
      <c r="J42" s="142">
        <f>'報廢20大－原因別分析'!AF76</f>
        <v>0</v>
      </c>
      <c r="K42" s="143">
        <f>'報廢20大－原因別分析'!AF77</f>
        <v>0</v>
      </c>
      <c r="L42" s="142">
        <f>'報廢20大－原因別分析'!AG76</f>
        <v>0</v>
      </c>
      <c r="M42" s="143">
        <f>'報廢20大－原因別分析'!AG77</f>
        <v>0</v>
      </c>
    </row>
    <row r="43" spans="1:13" ht="19.399999999999999" customHeight="1">
      <c r="A43" s="229" t="s">
        <v>243</v>
      </c>
      <c r="B43" s="145">
        <f>日別報廢率總表!H25</f>
        <v>0</v>
      </c>
      <c r="C43" s="141" t="e">
        <f>B43/($B$38*1000)</f>
        <v>#DIV/0!</v>
      </c>
      <c r="D43" s="649"/>
      <c r="E43" s="144" t="s">
        <v>243</v>
      </c>
      <c r="F43" s="142"/>
      <c r="G43" s="143"/>
      <c r="H43" s="142"/>
      <c r="I43" s="143"/>
      <c r="J43" s="142"/>
      <c r="K43" s="143"/>
      <c r="L43" s="142"/>
      <c r="M43" s="143"/>
    </row>
    <row r="44" spans="1:13" ht="15.75" customHeight="1">
      <c r="A44" s="225" t="s">
        <v>424</v>
      </c>
      <c r="B44" s="399" t="s">
        <v>742</v>
      </c>
      <c r="C44" s="224"/>
      <c r="D44" s="649"/>
      <c r="E44" s="646" t="s">
        <v>197</v>
      </c>
      <c r="F44" s="682">
        <v>5</v>
      </c>
      <c r="G44" s="683"/>
      <c r="H44" s="682">
        <v>6</v>
      </c>
      <c r="I44" s="683"/>
      <c r="J44" s="682">
        <v>7</v>
      </c>
      <c r="K44" s="683"/>
      <c r="L44" s="787"/>
      <c r="M44" s="788"/>
    </row>
    <row r="45" spans="1:13" ht="31.4" customHeight="1">
      <c r="A45" s="136" t="s">
        <v>425</v>
      </c>
      <c r="B45" s="399" t="s">
        <v>742</v>
      </c>
      <c r="C45" s="224"/>
      <c r="D45" s="649"/>
      <c r="E45" s="646"/>
      <c r="F45" s="784" t="s">
        <v>189</v>
      </c>
      <c r="G45" s="785"/>
      <c r="H45" s="784" t="s">
        <v>167</v>
      </c>
      <c r="I45" s="785"/>
      <c r="J45" s="784" t="s">
        <v>190</v>
      </c>
      <c r="K45" s="785"/>
      <c r="L45" s="789"/>
      <c r="M45" s="790"/>
    </row>
    <row r="46" spans="1:13" ht="15.75" customHeight="1">
      <c r="D46" s="649"/>
      <c r="E46" s="646"/>
      <c r="F46" s="155" t="s">
        <v>11</v>
      </c>
      <c r="G46" s="155" t="s">
        <v>41</v>
      </c>
      <c r="H46" s="155" t="s">
        <v>11</v>
      </c>
      <c r="I46" s="155" t="s">
        <v>41</v>
      </c>
      <c r="J46" s="155" t="s">
        <v>11</v>
      </c>
      <c r="K46" s="155" t="s">
        <v>41</v>
      </c>
      <c r="L46" s="155"/>
      <c r="M46" s="155"/>
    </row>
    <row r="47" spans="1:13" ht="19.399999999999999" customHeight="1">
      <c r="D47" s="649"/>
      <c r="E47" s="139" t="s">
        <v>242</v>
      </c>
      <c r="F47" s="142">
        <f>'報廢20大－原因別分析'!AH76</f>
        <v>0</v>
      </c>
      <c r="G47" s="143">
        <f>'報廢20大－原因別分析'!AH77</f>
        <v>0</v>
      </c>
      <c r="H47" s="142">
        <f>'報廢20大－原因別分析'!AI76</f>
        <v>0</v>
      </c>
      <c r="I47" s="143">
        <f>'報廢20大－原因別分析'!AI77</f>
        <v>0</v>
      </c>
      <c r="J47" s="142">
        <f>'報廢20大－原因別分析'!AJ76</f>
        <v>0</v>
      </c>
      <c r="K47" s="143">
        <f>'報廢20大－原因別分析'!AJ77</f>
        <v>0</v>
      </c>
      <c r="L47" s="142"/>
      <c r="M47" s="143"/>
    </row>
    <row r="48" spans="1:13" ht="19.399999999999999" customHeight="1">
      <c r="D48" s="649"/>
      <c r="E48" s="144" t="s">
        <v>243</v>
      </c>
      <c r="F48" s="142"/>
      <c r="G48" s="143"/>
      <c r="H48" s="142"/>
      <c r="I48" s="143"/>
      <c r="J48" s="142"/>
      <c r="K48" s="143"/>
      <c r="L48" s="142"/>
      <c r="M48" s="143"/>
    </row>
    <row r="49" spans="1:14" ht="15.75" customHeight="1">
      <c r="A49" s="226" t="s">
        <v>428</v>
      </c>
      <c r="B49" s="227"/>
      <c r="E49" s="773" t="s">
        <v>462</v>
      </c>
      <c r="F49" s="791"/>
      <c r="G49" s="791"/>
      <c r="H49" s="791"/>
      <c r="I49" s="791"/>
      <c r="J49" s="791"/>
      <c r="K49" s="791"/>
      <c r="L49" s="791"/>
      <c r="M49" s="791"/>
      <c r="N49" s="473" t="s">
        <v>718</v>
      </c>
    </row>
    <row r="50" spans="1:14" ht="15.75" customHeight="1">
      <c r="A50" s="792" t="s">
        <v>197</v>
      </c>
      <c r="B50" s="647" t="s">
        <v>10</v>
      </c>
      <c r="C50" s="647"/>
      <c r="D50" s="648"/>
      <c r="E50" s="646" t="s">
        <v>197</v>
      </c>
      <c r="F50" s="650">
        <v>1</v>
      </c>
      <c r="G50" s="650"/>
      <c r="H50" s="650">
        <v>2</v>
      </c>
      <c r="I50" s="650"/>
      <c r="J50" s="650">
        <v>3</v>
      </c>
      <c r="K50" s="650"/>
      <c r="L50" s="650">
        <v>4</v>
      </c>
      <c r="M50" s="650"/>
    </row>
    <row r="51" spans="1:14" ht="31.4" customHeight="1">
      <c r="A51" s="792"/>
      <c r="B51" s="647"/>
      <c r="C51" s="647"/>
      <c r="D51" s="649"/>
      <c r="E51" s="646"/>
      <c r="F51" s="642" t="s">
        <v>463</v>
      </c>
      <c r="G51" s="642"/>
      <c r="H51" s="642" t="s">
        <v>240</v>
      </c>
      <c r="I51" s="642"/>
      <c r="J51" s="642" t="s">
        <v>166</v>
      </c>
      <c r="K51" s="642"/>
      <c r="L51" s="642" t="s">
        <v>436</v>
      </c>
      <c r="M51" s="642"/>
    </row>
    <row r="52" spans="1:14" ht="15.75" customHeight="1">
      <c r="A52" s="792"/>
      <c r="B52" s="155" t="s">
        <v>11</v>
      </c>
      <c r="C52" s="155" t="s">
        <v>41</v>
      </c>
      <c r="D52" s="649"/>
      <c r="E52" s="646"/>
      <c r="F52" s="155" t="s">
        <v>11</v>
      </c>
      <c r="G52" s="155" t="s">
        <v>41</v>
      </c>
      <c r="H52" s="155" t="s">
        <v>11</v>
      </c>
      <c r="I52" s="155" t="s">
        <v>41</v>
      </c>
      <c r="J52" s="155" t="s">
        <v>11</v>
      </c>
      <c r="K52" s="155" t="s">
        <v>41</v>
      </c>
      <c r="L52" s="155" t="s">
        <v>11</v>
      </c>
      <c r="M52" s="155" t="s">
        <v>41</v>
      </c>
    </row>
    <row r="53" spans="1:14" ht="19.399999999999999" customHeight="1">
      <c r="A53" s="228" t="s">
        <v>242</v>
      </c>
      <c r="B53" s="140">
        <f>日別報廢率總表!G32</f>
        <v>0</v>
      </c>
      <c r="C53" s="231" t="e">
        <f>B53/($B$49*1000)</f>
        <v>#DIV/0!</v>
      </c>
      <c r="D53" s="649"/>
      <c r="E53" s="139" t="s">
        <v>242</v>
      </c>
      <c r="F53" s="142">
        <f>'報廢20大－原因別分析'!AD98</f>
        <v>0</v>
      </c>
      <c r="G53" s="143">
        <f>'報廢20大－原因別分析'!AD99</f>
        <v>0</v>
      </c>
      <c r="H53" s="142">
        <f>'報廢20大－原因別分析'!AE98</f>
        <v>0</v>
      </c>
      <c r="I53" s="143">
        <f>'報廢20大－原因別分析'!AE99</f>
        <v>0</v>
      </c>
      <c r="J53" s="142">
        <f>'報廢20大－原因別分析'!AF98</f>
        <v>0</v>
      </c>
      <c r="K53" s="143">
        <f>'報廢20大－原因別分析'!AF99</f>
        <v>0</v>
      </c>
      <c r="L53" s="142">
        <f>'報廢20大－原因別分析'!AG98</f>
        <v>0</v>
      </c>
      <c r="M53" s="143">
        <f>'報廢20大－原因別分析'!AG99</f>
        <v>0</v>
      </c>
    </row>
    <row r="54" spans="1:14" ht="19.399999999999999" customHeight="1">
      <c r="A54" s="229" t="s">
        <v>243</v>
      </c>
      <c r="B54" s="145">
        <f>日別報廢率總表!H32</f>
        <v>0</v>
      </c>
      <c r="C54" s="141" t="e">
        <f>B54/($B$49*1000)</f>
        <v>#DIV/0!</v>
      </c>
      <c r="D54" s="649"/>
      <c r="E54" s="144" t="s">
        <v>243</v>
      </c>
      <c r="F54" s="142"/>
      <c r="G54" s="143"/>
      <c r="H54" s="142"/>
      <c r="I54" s="143"/>
      <c r="J54" s="142"/>
      <c r="K54" s="143"/>
      <c r="L54" s="142"/>
      <c r="M54" s="143"/>
    </row>
    <row r="55" spans="1:14" ht="15.75" customHeight="1">
      <c r="A55" s="225" t="s">
        <v>424</v>
      </c>
      <c r="B55" s="399" t="s">
        <v>743</v>
      </c>
      <c r="C55" s="224"/>
      <c r="D55" s="649"/>
      <c r="E55" s="646" t="s">
        <v>197</v>
      </c>
      <c r="F55" s="682">
        <v>5</v>
      </c>
      <c r="G55" s="683"/>
      <c r="H55" s="682">
        <v>6</v>
      </c>
      <c r="I55" s="683"/>
      <c r="J55" s="682">
        <v>7</v>
      </c>
      <c r="K55" s="683"/>
      <c r="L55" s="787"/>
      <c r="M55" s="788"/>
    </row>
    <row r="56" spans="1:14" ht="31.4" customHeight="1">
      <c r="A56" s="136" t="s">
        <v>425</v>
      </c>
      <c r="B56" s="399" t="s">
        <v>743</v>
      </c>
      <c r="C56" s="224"/>
      <c r="D56" s="649"/>
      <c r="E56" s="646"/>
      <c r="F56" s="784" t="s">
        <v>189</v>
      </c>
      <c r="G56" s="785"/>
      <c r="H56" s="784" t="s">
        <v>167</v>
      </c>
      <c r="I56" s="785"/>
      <c r="J56" s="784" t="s">
        <v>190</v>
      </c>
      <c r="K56" s="785"/>
      <c r="L56" s="789"/>
      <c r="M56" s="790"/>
    </row>
    <row r="57" spans="1:14" ht="15.75" customHeight="1">
      <c r="D57" s="649"/>
      <c r="E57" s="646"/>
      <c r="F57" s="155" t="s">
        <v>11</v>
      </c>
      <c r="G57" s="155" t="s">
        <v>41</v>
      </c>
      <c r="H57" s="155" t="s">
        <v>11</v>
      </c>
      <c r="I57" s="155" t="s">
        <v>41</v>
      </c>
      <c r="J57" s="155" t="s">
        <v>11</v>
      </c>
      <c r="K57" s="155" t="s">
        <v>41</v>
      </c>
      <c r="L57" s="155"/>
      <c r="M57" s="155"/>
    </row>
    <row r="58" spans="1:14" ht="19.399999999999999" customHeight="1">
      <c r="D58" s="649"/>
      <c r="E58" s="139" t="s">
        <v>242</v>
      </c>
      <c r="F58" s="142">
        <f>'報廢20大－原因別分析'!AH98</f>
        <v>0</v>
      </c>
      <c r="G58" s="143">
        <f>'報廢20大－原因別分析'!AH99</f>
        <v>0</v>
      </c>
      <c r="H58" s="142">
        <f>'報廢20大－原因別分析'!AI98</f>
        <v>0</v>
      </c>
      <c r="I58" s="143">
        <f>'報廢20大－原因別分析'!AI99</f>
        <v>0</v>
      </c>
      <c r="J58" s="142">
        <f>'報廢20大－原因別分析'!AJ98</f>
        <v>0</v>
      </c>
      <c r="K58" s="143">
        <f>'報廢20大－原因別分析'!AJ99</f>
        <v>0</v>
      </c>
      <c r="L58" s="142"/>
      <c r="M58" s="143"/>
    </row>
    <row r="59" spans="1:14" ht="19.399999999999999" customHeight="1">
      <c r="D59" s="649"/>
      <c r="E59" s="144" t="s">
        <v>243</v>
      </c>
      <c r="F59" s="142"/>
      <c r="G59" s="143"/>
      <c r="H59" s="142"/>
      <c r="I59" s="143"/>
      <c r="J59" s="142"/>
      <c r="K59" s="143"/>
      <c r="L59" s="142"/>
      <c r="M59" s="143"/>
    </row>
  </sheetData>
  <mergeCells count="112"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A1:M2"/>
    <mergeCell ref="A3:M4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92D050"/>
    <outlinePr summaryBelow="0" summaryRight="0"/>
  </sheetPr>
  <dimension ref="A1:BW142"/>
  <sheetViews>
    <sheetView view="pageBreakPreview" topLeftCell="A138" zoomScaleNormal="60" zoomScaleSheetLayoutView="100" workbookViewId="0">
      <selection activeCell="S120" sqref="S120:AA125"/>
    </sheetView>
  </sheetViews>
  <sheetFormatPr defaultColWidth="12.54296875" defaultRowHeight="15.75" customHeight="1"/>
  <cols>
    <col min="1" max="1" width="5.453125" style="99" customWidth="1"/>
    <col min="2" max="2" width="11.453125" style="132" customWidth="1"/>
    <col min="3" max="3" width="4" style="130" customWidth="1"/>
    <col min="4" max="9" width="9.54296875" style="99" customWidth="1"/>
    <col min="10" max="10" width="9.81640625" style="99" customWidth="1"/>
    <col min="11" max="15" width="9.54296875" style="99" customWidth="1"/>
    <col min="16" max="16" width="47.81640625" style="99" customWidth="1"/>
    <col min="17" max="17" width="9.54296875" style="99" customWidth="1"/>
    <col min="22" max="22" width="24.453125" style="99" bestFit="1" customWidth="1"/>
    <col min="23" max="23" width="19.453125" style="99" bestFit="1" customWidth="1"/>
    <col min="24" max="24" width="23" style="99" bestFit="1" customWidth="1"/>
    <col min="25" max="25" width="11.7265625" style="99" bestFit="1" customWidth="1"/>
    <col min="26" max="26" width="15.81640625" style="99" bestFit="1" customWidth="1"/>
    <col min="27" max="27" width="23.54296875" style="99" bestFit="1" customWidth="1"/>
    <col min="28" max="28" width="23" style="99" bestFit="1" customWidth="1"/>
    <col min="29" max="29" width="11.7265625" style="99" bestFit="1" customWidth="1"/>
    <col min="30" max="30" width="20.54296875" style="99" bestFit="1" customWidth="1"/>
    <col min="31" max="31" width="15" style="99" bestFit="1" customWidth="1"/>
    <col min="32" max="32" width="23" style="99" bestFit="1" customWidth="1"/>
    <col min="33" max="33" width="11.7265625" style="99" bestFit="1" customWidth="1"/>
    <col min="34" max="34" width="15.8164062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265625" style="99" bestFit="1" customWidth="1"/>
    <col min="40" max="40" width="13.81640625" style="99" bestFit="1" customWidth="1"/>
    <col min="41" max="41" width="27.81640625" style="99" bestFit="1" customWidth="1"/>
    <col min="42" max="42" width="23" style="99" bestFit="1" customWidth="1"/>
    <col min="43" max="43" width="8" style="99" bestFit="1" customWidth="1"/>
    <col min="44" max="44" width="30.7265625" style="99" bestFit="1" customWidth="1"/>
    <col min="45" max="45" width="25.726562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265625" style="99" bestFit="1" customWidth="1"/>
    <col min="50" max="50" width="20.1796875" style="99" bestFit="1" customWidth="1"/>
    <col min="51" max="51" width="23.54296875" style="99" bestFit="1" customWidth="1"/>
    <col min="52" max="52" width="23" style="99" bestFit="1" customWidth="1"/>
    <col min="53" max="53" width="11.7265625" style="99" bestFit="1" customWidth="1"/>
    <col min="54" max="54" width="21.453125" style="99" bestFit="1" customWidth="1"/>
    <col min="55" max="55" width="15" style="99" bestFit="1" customWidth="1"/>
    <col min="56" max="56" width="23" style="99" bestFit="1" customWidth="1"/>
    <col min="57" max="57" width="11.7265625" style="99" bestFit="1" customWidth="1"/>
    <col min="58" max="58" width="13.8164062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265625" style="99" bestFit="1" customWidth="1"/>
    <col min="64" max="64" width="24.7265625" style="99" bestFit="1" customWidth="1"/>
    <col min="65" max="65" width="18.726562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1640625" style="99" bestFit="1" customWidth="1"/>
    <col min="73" max="73" width="10.54296875" style="99" bestFit="1" customWidth="1"/>
    <col min="74" max="74" width="21.453125" style="99" bestFit="1" customWidth="1"/>
    <col min="75" max="75" width="5.453125" style="99" bestFit="1" customWidth="1"/>
    <col min="76" max="16384" width="12.54296875" style="99"/>
  </cols>
  <sheetData>
    <row r="1" spans="1:75" ht="15.75" customHeight="1">
      <c r="A1" s="508" t="s">
        <v>367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75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75" s="136" customFormat="1" ht="15.75" customHeight="1">
      <c r="A3" s="813" t="s">
        <v>570</v>
      </c>
      <c r="B3" s="813"/>
      <c r="C3" s="813"/>
      <c r="D3" s="813"/>
      <c r="E3" s="813"/>
      <c r="F3" s="813"/>
      <c r="G3" s="813"/>
      <c r="H3" s="813"/>
      <c r="I3" s="813"/>
      <c r="J3" s="813"/>
      <c r="K3" s="813"/>
      <c r="L3" s="813"/>
      <c r="M3" s="813"/>
      <c r="R3" s="233"/>
      <c r="S3" s="233"/>
      <c r="T3" s="233"/>
      <c r="U3" s="233"/>
    </row>
    <row r="4" spans="1:75" s="137" customFormat="1" ht="15.75" customHeight="1">
      <c r="A4" s="679"/>
      <c r="B4" s="679"/>
      <c r="C4" s="679"/>
      <c r="D4" s="679"/>
      <c r="E4" s="679"/>
      <c r="F4" s="679"/>
      <c r="G4" s="679"/>
      <c r="H4" s="679"/>
      <c r="I4" s="679"/>
      <c r="J4" s="679"/>
      <c r="K4" s="679"/>
      <c r="L4" s="679"/>
      <c r="M4" s="679"/>
    </row>
    <row r="5" spans="1:75" s="136" customFormat="1" ht="15.75" customHeight="1">
      <c r="A5" s="680" t="s">
        <v>191</v>
      </c>
      <c r="B5" s="673">
        <v>1</v>
      </c>
      <c r="C5" s="674"/>
      <c r="D5" s="673">
        <v>2</v>
      </c>
      <c r="E5" s="674"/>
      <c r="F5" s="673">
        <v>3</v>
      </c>
      <c r="G5" s="674"/>
      <c r="H5" s="682">
        <v>4</v>
      </c>
      <c r="I5" s="683"/>
      <c r="J5" s="682">
        <v>5</v>
      </c>
      <c r="K5" s="683"/>
      <c r="L5" s="682">
        <v>6</v>
      </c>
      <c r="M5" s="683"/>
      <c r="N5" s="682">
        <v>7</v>
      </c>
      <c r="O5" s="683"/>
      <c r="P5" s="682">
        <v>8</v>
      </c>
      <c r="Q5" s="683"/>
      <c r="R5" s="233"/>
      <c r="S5" s="233"/>
      <c r="T5" s="233"/>
      <c r="U5" s="233"/>
    </row>
    <row r="6" spans="1:75" s="136" customFormat="1" ht="15.75" customHeight="1">
      <c r="A6" s="681"/>
      <c r="B6" s="675" t="s">
        <v>463</v>
      </c>
      <c r="C6" s="676"/>
      <c r="D6" s="675" t="s">
        <v>212</v>
      </c>
      <c r="E6" s="676"/>
      <c r="F6" s="675" t="s">
        <v>166</v>
      </c>
      <c r="G6" s="676"/>
      <c r="H6" s="677" t="s">
        <v>436</v>
      </c>
      <c r="I6" s="678"/>
      <c r="J6" s="677" t="s">
        <v>189</v>
      </c>
      <c r="K6" s="678"/>
      <c r="L6" s="677" t="s">
        <v>167</v>
      </c>
      <c r="M6" s="678"/>
      <c r="N6" s="677" t="s">
        <v>190</v>
      </c>
      <c r="O6" s="678"/>
      <c r="P6" s="803" t="s">
        <v>217</v>
      </c>
      <c r="Q6" s="804"/>
      <c r="R6" s="233"/>
      <c r="S6" s="233"/>
      <c r="T6" s="233"/>
      <c r="U6" s="233"/>
    </row>
    <row r="7" spans="1:75" s="136" customFormat="1" ht="15.75" customHeight="1">
      <c r="B7" s="234"/>
      <c r="C7" s="235"/>
      <c r="R7" s="233"/>
      <c r="S7" s="233"/>
      <c r="T7" s="233"/>
      <c r="U7" s="233"/>
    </row>
    <row r="8" spans="1:75" s="237" customFormat="1" ht="15.75" customHeight="1">
      <c r="A8" s="682" t="s">
        <v>191</v>
      </c>
      <c r="B8" s="683"/>
      <c r="C8" s="236" t="s">
        <v>47</v>
      </c>
      <c r="D8" s="805" t="s">
        <v>12</v>
      </c>
      <c r="E8" s="671"/>
      <c r="F8" s="793"/>
      <c r="G8" s="806" t="s">
        <v>53</v>
      </c>
      <c r="H8" s="807"/>
      <c r="I8" s="808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809" t="s">
        <v>51</v>
      </c>
      <c r="P8" s="810"/>
    </row>
    <row r="9" spans="1:75" s="136" customFormat="1" ht="50.15" customHeight="1">
      <c r="A9" s="794">
        <v>1</v>
      </c>
      <c r="B9" s="797" t="s">
        <v>464</v>
      </c>
      <c r="C9" s="238">
        <v>1</v>
      </c>
      <c r="D9" s="239" t="s">
        <v>344</v>
      </c>
      <c r="E9" s="240"/>
      <c r="F9" s="240"/>
      <c r="G9" s="364" t="s">
        <v>336</v>
      </c>
      <c r="H9" s="307"/>
      <c r="I9" s="308"/>
      <c r="J9" s="238">
        <v>141.66999999999999</v>
      </c>
      <c r="K9" s="244">
        <v>1.606122668966261E-2</v>
      </c>
      <c r="L9" s="238">
        <v>8.94</v>
      </c>
      <c r="M9" s="324">
        <f>L9*J9</f>
        <v>1266.5297999999998</v>
      </c>
      <c r="N9" s="245"/>
      <c r="O9" s="700" t="s">
        <v>483</v>
      </c>
      <c r="P9" s="701"/>
      <c r="R9" s="233"/>
      <c r="S9" s="408"/>
      <c r="T9" s="263"/>
      <c r="U9" s="233"/>
    </row>
    <row r="10" spans="1:75" s="136" customFormat="1" ht="50.15" customHeight="1">
      <c r="A10" s="795"/>
      <c r="B10" s="798"/>
      <c r="C10" s="238">
        <v>2</v>
      </c>
      <c r="D10" s="239" t="s">
        <v>553</v>
      </c>
      <c r="E10" s="240"/>
      <c r="F10" s="240"/>
      <c r="G10" s="364" t="s">
        <v>554</v>
      </c>
      <c r="H10" s="307"/>
      <c r="I10" s="308"/>
      <c r="J10" s="238">
        <v>98.470000000000013</v>
      </c>
      <c r="K10" s="244">
        <v>8.2886837518559159E-3</v>
      </c>
      <c r="L10" s="238">
        <v>12.839999999999998</v>
      </c>
      <c r="M10" s="324">
        <f t="shared" ref="M10:M13" si="0">L10*J10</f>
        <v>1264.3548000000001</v>
      </c>
      <c r="N10" s="245"/>
      <c r="O10" s="811" t="s">
        <v>572</v>
      </c>
      <c r="P10" s="801"/>
      <c r="R10" s="233"/>
      <c r="S10" s="409"/>
      <c r="T10" s="409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</row>
    <row r="11" spans="1:75" s="136" customFormat="1" ht="50.15" customHeight="1">
      <c r="A11" s="795"/>
      <c r="B11" s="798"/>
      <c r="C11" s="238">
        <v>3</v>
      </c>
      <c r="D11" s="239" t="s">
        <v>553</v>
      </c>
      <c r="E11" s="240"/>
      <c r="F11" s="240"/>
      <c r="G11" s="364" t="s">
        <v>555</v>
      </c>
      <c r="H11" s="307"/>
      <c r="I11" s="308"/>
      <c r="J11" s="238">
        <v>139.97999999999999</v>
      </c>
      <c r="K11" s="244">
        <v>4.7107998192498874E-3</v>
      </c>
      <c r="L11" s="238">
        <v>8.34</v>
      </c>
      <c r="M11" s="324">
        <f t="shared" si="0"/>
        <v>1167.4331999999999</v>
      </c>
      <c r="N11" s="245"/>
      <c r="O11" s="812" t="s">
        <v>572</v>
      </c>
      <c r="P11" s="757"/>
      <c r="R11" s="233"/>
      <c r="S11" s="408"/>
      <c r="T11" s="408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</row>
    <row r="12" spans="1:75" s="136" customFormat="1" ht="50.15" customHeight="1">
      <c r="A12" s="795"/>
      <c r="B12" s="798"/>
      <c r="C12" s="238">
        <v>4</v>
      </c>
      <c r="D12" s="239" t="s">
        <v>353</v>
      </c>
      <c r="E12" s="240"/>
      <c r="F12" s="240"/>
      <c r="G12" s="364" t="s">
        <v>361</v>
      </c>
      <c r="H12" s="307"/>
      <c r="I12" s="308"/>
      <c r="J12" s="238">
        <v>253.92000000000002</v>
      </c>
      <c r="K12" s="244">
        <v>1.9366868669746157E-2</v>
      </c>
      <c r="L12" s="238">
        <v>4.57</v>
      </c>
      <c r="M12" s="324">
        <f t="shared" si="0"/>
        <v>1160.4144000000001</v>
      </c>
      <c r="N12" s="245"/>
      <c r="O12" s="812" t="s">
        <v>528</v>
      </c>
      <c r="P12" s="757"/>
      <c r="R12" s="233"/>
      <c r="S12" s="409"/>
      <c r="T12" s="409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</row>
    <row r="13" spans="1:75" s="136" customFormat="1" ht="50.15" customHeight="1" thickBot="1">
      <c r="A13" s="795"/>
      <c r="B13" s="798"/>
      <c r="C13" s="238">
        <v>5</v>
      </c>
      <c r="D13" s="246" t="s">
        <v>353</v>
      </c>
      <c r="E13" s="247"/>
      <c r="F13" s="247"/>
      <c r="G13" s="394" t="s">
        <v>360</v>
      </c>
      <c r="H13" s="307"/>
      <c r="I13" s="308"/>
      <c r="J13" s="249">
        <v>183.65000000000003</v>
      </c>
      <c r="K13" s="250">
        <v>2.146231258985418E-2</v>
      </c>
      <c r="L13" s="249">
        <v>6.27</v>
      </c>
      <c r="M13" s="325">
        <f t="shared" si="0"/>
        <v>1151.4855000000002</v>
      </c>
      <c r="N13" s="245"/>
      <c r="O13" s="812" t="s">
        <v>477</v>
      </c>
      <c r="P13" s="757"/>
      <c r="R13" s="233"/>
      <c r="S13" s="408"/>
      <c r="T13" s="408"/>
      <c r="U13" s="233"/>
      <c r="V13" s="410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</row>
    <row r="14" spans="1:75" s="136" customFormat="1" ht="15.75" customHeight="1" thickTop="1">
      <c r="A14" s="796"/>
      <c r="B14" s="799"/>
      <c r="C14" s="660"/>
      <c r="D14" s="661"/>
      <c r="E14" s="661"/>
      <c r="F14" s="661"/>
      <c r="G14" s="661"/>
      <c r="H14" s="661"/>
      <c r="I14" s="802"/>
      <c r="J14" s="251" t="s">
        <v>58</v>
      </c>
      <c r="K14" s="213">
        <f>M14/'生產管理報表 7-1 (週)'!$B$9</f>
        <v>7.9763413404003489E-2</v>
      </c>
      <c r="L14" s="251" t="s">
        <v>59</v>
      </c>
      <c r="M14" s="326">
        <f>SUM(M9:M13)</f>
        <v>6010.2177000000011</v>
      </c>
      <c r="N14" s="746"/>
      <c r="O14" s="747"/>
      <c r="P14" s="748"/>
      <c r="R14" s="233"/>
      <c r="S14" s="211"/>
      <c r="T14" s="211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</row>
    <row r="15" spans="1:75" s="136" customFormat="1" ht="15.75" customHeight="1">
      <c r="B15" s="234"/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R15" s="233"/>
      <c r="S15" s="263"/>
      <c r="T15" s="26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</row>
    <row r="16" spans="1:75" s="136" customFormat="1" ht="15.75" customHeight="1">
      <c r="A16" s="682" t="s">
        <v>191</v>
      </c>
      <c r="B16" s="683"/>
      <c r="C16" s="254" t="s">
        <v>47</v>
      </c>
      <c r="D16" s="670" t="s">
        <v>12</v>
      </c>
      <c r="E16" s="671"/>
      <c r="F16" s="672"/>
      <c r="G16" s="670" t="s">
        <v>53</v>
      </c>
      <c r="H16" s="671"/>
      <c r="I16" s="672"/>
      <c r="J16" s="256" t="s">
        <v>54</v>
      </c>
      <c r="K16" s="256" t="s">
        <v>55</v>
      </c>
      <c r="L16" s="256" t="s">
        <v>56</v>
      </c>
      <c r="M16" s="256" t="s">
        <v>11</v>
      </c>
      <c r="N16" s="257" t="s">
        <v>333</v>
      </c>
      <c r="O16" s="749" t="s">
        <v>51</v>
      </c>
      <c r="P16" s="750"/>
      <c r="R16" s="233"/>
      <c r="S16" s="211"/>
      <c r="T16" s="211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</row>
    <row r="17" spans="1:36" s="136" customFormat="1" ht="20.149999999999999" customHeight="1">
      <c r="A17" s="794">
        <v>2</v>
      </c>
      <c r="B17" s="797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62"/>
      <c r="O17" s="751"/>
      <c r="P17" s="752"/>
      <c r="R17" s="233"/>
      <c r="S17" s="263"/>
      <c r="T17" s="26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</row>
    <row r="18" spans="1:36" s="136" customFormat="1" ht="20.149999999999999" customHeight="1">
      <c r="A18" s="795"/>
      <c r="B18" s="798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62"/>
      <c r="O18" s="751"/>
      <c r="P18" s="752"/>
      <c r="R18" s="233"/>
      <c r="S18" s="211"/>
      <c r="T18" s="211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</row>
    <row r="19" spans="1:36" s="136" customFormat="1" ht="20.149999999999999" customHeight="1">
      <c r="A19" s="795"/>
      <c r="B19" s="798"/>
      <c r="C19" s="258">
        <v>3</v>
      </c>
      <c r="D19" s="239"/>
      <c r="E19" s="240"/>
      <c r="F19" s="241"/>
      <c r="G19" s="239"/>
      <c r="H19" s="240"/>
      <c r="I19" s="270"/>
      <c r="J19" s="259"/>
      <c r="K19" s="260"/>
      <c r="L19" s="259"/>
      <c r="M19" s="261">
        <f t="shared" si="1"/>
        <v>0</v>
      </c>
      <c r="N19" s="262"/>
      <c r="O19" s="751"/>
      <c r="P19" s="752"/>
      <c r="R19" s="233"/>
      <c r="S19" s="263"/>
      <c r="T19" s="26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</row>
    <row r="20" spans="1:36" s="136" customFormat="1" ht="20.149999999999999" customHeight="1">
      <c r="A20" s="795"/>
      <c r="B20" s="798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62"/>
      <c r="O20" s="751"/>
      <c r="P20" s="752"/>
      <c r="R20" s="233"/>
      <c r="S20" s="211"/>
      <c r="T20" s="211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</row>
    <row r="21" spans="1:36" s="136" customFormat="1" ht="20.149999999999999" customHeight="1" thickBot="1">
      <c r="A21" s="795"/>
      <c r="B21" s="798"/>
      <c r="C21" s="264">
        <v>5</v>
      </c>
      <c r="D21" s="246"/>
      <c r="E21" s="247"/>
      <c r="F21" s="248"/>
      <c r="G21" s="239"/>
      <c r="H21" s="240"/>
      <c r="I21" s="241"/>
      <c r="J21" s="265"/>
      <c r="K21" s="266"/>
      <c r="L21" s="265"/>
      <c r="M21" s="267">
        <f t="shared" si="1"/>
        <v>0</v>
      </c>
      <c r="N21" s="268"/>
      <c r="O21" s="751"/>
      <c r="P21" s="752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</row>
    <row r="22" spans="1:36" s="136" customFormat="1" ht="15.75" customHeight="1" thickTop="1">
      <c r="A22" s="796"/>
      <c r="B22" s="799"/>
      <c r="C22" s="660"/>
      <c r="D22" s="661"/>
      <c r="E22" s="661"/>
      <c r="F22" s="661"/>
      <c r="G22" s="661"/>
      <c r="H22" s="661"/>
      <c r="I22" s="802"/>
      <c r="J22" s="251" t="s">
        <v>58</v>
      </c>
      <c r="K22" s="213">
        <f>M22/'生產管理報表 7-1 (週)'!$B$9</f>
        <v>0</v>
      </c>
      <c r="L22" s="251" t="s">
        <v>59</v>
      </c>
      <c r="M22" s="252">
        <f>SUM(M17:M21)</f>
        <v>0</v>
      </c>
      <c r="N22" s="753"/>
      <c r="O22" s="754"/>
      <c r="P22" s="755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</row>
    <row r="23" spans="1:36" s="136" customFormat="1" ht="15.75" customHeight="1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</row>
    <row r="24" spans="1:36" s="136" customFormat="1" ht="15.75" customHeight="1">
      <c r="A24" s="682" t="s">
        <v>191</v>
      </c>
      <c r="B24" s="683"/>
      <c r="C24" s="254" t="s">
        <v>47</v>
      </c>
      <c r="D24" s="670" t="s">
        <v>12</v>
      </c>
      <c r="E24" s="671"/>
      <c r="F24" s="672"/>
      <c r="G24" s="670" t="s">
        <v>53</v>
      </c>
      <c r="H24" s="671"/>
      <c r="I24" s="793"/>
      <c r="J24" s="255" t="s">
        <v>54</v>
      </c>
      <c r="K24" s="256" t="s">
        <v>55</v>
      </c>
      <c r="L24" s="256" t="s">
        <v>56</v>
      </c>
      <c r="M24" s="256" t="s">
        <v>11</v>
      </c>
      <c r="N24" s="257" t="s">
        <v>333</v>
      </c>
      <c r="O24" s="761" t="s">
        <v>51</v>
      </c>
      <c r="P24" s="762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</row>
    <row r="25" spans="1:36" s="136" customFormat="1" ht="50.15" customHeight="1">
      <c r="A25" s="794">
        <v>3</v>
      </c>
      <c r="B25" s="797" t="s">
        <v>429</v>
      </c>
      <c r="C25" s="258">
        <v>1</v>
      </c>
      <c r="D25" s="239" t="s">
        <v>342</v>
      </c>
      <c r="E25" s="240"/>
      <c r="F25" s="241"/>
      <c r="G25" s="248" t="s">
        <v>459</v>
      </c>
      <c r="H25" s="247"/>
      <c r="I25" s="248"/>
      <c r="J25" s="259">
        <v>2.4499999999999997</v>
      </c>
      <c r="K25" s="260">
        <v>4.3454725889393439E-3</v>
      </c>
      <c r="L25" s="259">
        <v>578</v>
      </c>
      <c r="M25" s="327">
        <f t="shared" ref="M25:M29" si="2">L25*J25</f>
        <v>1416.1</v>
      </c>
      <c r="N25" s="272"/>
      <c r="O25" s="800" t="s">
        <v>478</v>
      </c>
      <c r="P25" s="801"/>
      <c r="R25" s="233"/>
      <c r="S25" s="410"/>
      <c r="T25" s="410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</row>
    <row r="26" spans="1:36" s="136" customFormat="1" ht="50.15" customHeight="1">
      <c r="A26" s="795"/>
      <c r="B26" s="798"/>
      <c r="C26" s="258">
        <v>2</v>
      </c>
      <c r="D26" s="239" t="s">
        <v>342</v>
      </c>
      <c r="E26" s="240"/>
      <c r="F26" s="241"/>
      <c r="G26" s="248" t="s">
        <v>458</v>
      </c>
      <c r="H26" s="247"/>
      <c r="I26" s="248"/>
      <c r="J26" s="259">
        <v>1.17</v>
      </c>
      <c r="K26" s="260">
        <v>3.4642838708893887E-3</v>
      </c>
      <c r="L26" s="259">
        <v>1141</v>
      </c>
      <c r="M26" s="327">
        <f t="shared" si="2"/>
        <v>1334.97</v>
      </c>
      <c r="N26" s="272"/>
      <c r="O26" s="756" t="s">
        <v>507</v>
      </c>
      <c r="P26" s="757"/>
      <c r="R26" s="233"/>
      <c r="S26" s="410"/>
      <c r="T26" s="417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</row>
    <row r="27" spans="1:36" s="136" customFormat="1" ht="50.15" customHeight="1">
      <c r="A27" s="795"/>
      <c r="B27" s="798"/>
      <c r="C27" s="258">
        <v>3</v>
      </c>
      <c r="D27" s="239" t="s">
        <v>553</v>
      </c>
      <c r="E27" s="240"/>
      <c r="F27" s="241"/>
      <c r="G27" s="248" t="s">
        <v>556</v>
      </c>
      <c r="H27" s="247"/>
      <c r="I27" s="248"/>
      <c r="J27" s="259">
        <v>16.099999999999998</v>
      </c>
      <c r="K27" s="260">
        <v>2.8468142792589246E-3</v>
      </c>
      <c r="L27" s="259">
        <v>63</v>
      </c>
      <c r="M27" s="327">
        <f t="shared" si="2"/>
        <v>1014.2999999999998</v>
      </c>
      <c r="N27" s="272"/>
      <c r="O27" s="756" t="s">
        <v>571</v>
      </c>
      <c r="P27" s="757"/>
      <c r="R27" s="233"/>
      <c r="S27" s="410"/>
      <c r="T27" s="417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</row>
    <row r="28" spans="1:36" s="136" customFormat="1" ht="50.15" customHeight="1">
      <c r="A28" s="795"/>
      <c r="B28" s="798"/>
      <c r="C28" s="258">
        <v>4</v>
      </c>
      <c r="D28" s="239"/>
      <c r="E28" s="240"/>
      <c r="F28" s="241"/>
      <c r="G28" s="246"/>
      <c r="H28" s="247"/>
      <c r="I28" s="248"/>
      <c r="J28" s="271"/>
      <c r="K28" s="260"/>
      <c r="L28" s="259"/>
      <c r="M28" s="327">
        <f t="shared" si="2"/>
        <v>0</v>
      </c>
      <c r="N28" s="272"/>
      <c r="O28" s="756"/>
      <c r="P28" s="757"/>
      <c r="R28" s="233"/>
      <c r="S28" s="233"/>
      <c r="T28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</row>
    <row r="29" spans="1:36" s="136" customFormat="1" ht="30" customHeight="1" thickBot="1">
      <c r="A29" s="795"/>
      <c r="B29" s="798"/>
      <c r="C29" s="264">
        <v>5</v>
      </c>
      <c r="D29" s="246"/>
      <c r="E29" s="247"/>
      <c r="F29" s="248"/>
      <c r="G29" s="391"/>
      <c r="H29" s="392"/>
      <c r="I29" s="393"/>
      <c r="J29" s="274"/>
      <c r="K29" s="266"/>
      <c r="L29" s="275"/>
      <c r="M29" s="327">
        <f t="shared" si="2"/>
        <v>0</v>
      </c>
      <c r="N29" s="272"/>
      <c r="O29" s="756"/>
      <c r="P29" s="757"/>
      <c r="R29" s="233"/>
      <c r="S29" s="233"/>
      <c r="T29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</row>
    <row r="30" spans="1:36" s="136" customFormat="1" ht="15.75" customHeight="1" thickTop="1">
      <c r="A30" s="796"/>
      <c r="B30" s="799"/>
      <c r="C30" s="660"/>
      <c r="D30" s="661"/>
      <c r="E30" s="661"/>
      <c r="F30" s="661"/>
      <c r="G30" s="661"/>
      <c r="H30" s="661"/>
      <c r="I30" s="802"/>
      <c r="J30" s="276" t="s">
        <v>58</v>
      </c>
      <c r="K30" s="213">
        <f>M30/'生產管理報表 7-1 (週)'!$B$9</f>
        <v>4.9971361924050189E-2</v>
      </c>
      <c r="L30" s="276" t="s">
        <v>59</v>
      </c>
      <c r="M30" s="328">
        <f>SUM(M25:M29)</f>
        <v>3765.3699999999994</v>
      </c>
      <c r="N30" s="758"/>
      <c r="O30" s="759"/>
      <c r="P30" s="760"/>
      <c r="R30" s="233"/>
      <c r="S30" s="233"/>
      <c r="T30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</row>
    <row r="31" spans="1:36" s="136" customFormat="1" ht="15.75" customHeight="1">
      <c r="A31" s="813" t="s">
        <v>596</v>
      </c>
      <c r="B31" s="813"/>
      <c r="C31" s="813"/>
      <c r="D31" s="813"/>
      <c r="E31" s="813"/>
      <c r="F31" s="813"/>
      <c r="G31" s="813"/>
      <c r="H31" s="813"/>
      <c r="I31" s="813"/>
      <c r="J31" s="813"/>
      <c r="K31" s="813"/>
      <c r="L31" s="813"/>
      <c r="M31" s="813"/>
      <c r="R31" s="233"/>
      <c r="S31" s="233"/>
      <c r="T31" s="233"/>
      <c r="U31" s="233"/>
    </row>
    <row r="32" spans="1:36" s="137" customFormat="1" ht="15.75" customHeight="1">
      <c r="A32" s="679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</row>
    <row r="33" spans="1:75" s="136" customFormat="1" ht="15.75" customHeight="1">
      <c r="A33" s="680" t="s">
        <v>191</v>
      </c>
      <c r="B33" s="673">
        <v>1</v>
      </c>
      <c r="C33" s="674"/>
      <c r="D33" s="673">
        <v>2</v>
      </c>
      <c r="E33" s="674"/>
      <c r="F33" s="673">
        <v>3</v>
      </c>
      <c r="G33" s="674"/>
      <c r="H33" s="682">
        <v>4</v>
      </c>
      <c r="I33" s="683"/>
      <c r="J33" s="682">
        <v>5</v>
      </c>
      <c r="K33" s="683"/>
      <c r="L33" s="682">
        <v>6</v>
      </c>
      <c r="M33" s="683"/>
      <c r="N33" s="682">
        <v>7</v>
      </c>
      <c r="O33" s="683"/>
      <c r="P33" s="682">
        <v>8</v>
      </c>
      <c r="Q33" s="683"/>
      <c r="R33" s="233"/>
      <c r="S33" s="233"/>
      <c r="T33" s="233"/>
      <c r="U33" s="233"/>
    </row>
    <row r="34" spans="1:75" s="136" customFormat="1" ht="15.75" customHeight="1">
      <c r="A34" s="681"/>
      <c r="B34" s="675" t="s">
        <v>463</v>
      </c>
      <c r="C34" s="676"/>
      <c r="D34" s="675" t="s">
        <v>212</v>
      </c>
      <c r="E34" s="676"/>
      <c r="F34" s="675" t="s">
        <v>166</v>
      </c>
      <c r="G34" s="676"/>
      <c r="H34" s="677" t="s">
        <v>436</v>
      </c>
      <c r="I34" s="678"/>
      <c r="J34" s="677" t="s">
        <v>189</v>
      </c>
      <c r="K34" s="678"/>
      <c r="L34" s="677" t="s">
        <v>167</v>
      </c>
      <c r="M34" s="678"/>
      <c r="N34" s="677" t="s">
        <v>190</v>
      </c>
      <c r="O34" s="678"/>
      <c r="P34" s="803" t="s">
        <v>217</v>
      </c>
      <c r="Q34" s="804"/>
      <c r="R34" s="233"/>
      <c r="S34" s="233"/>
      <c r="T34" s="233"/>
      <c r="U34" s="233"/>
    </row>
    <row r="35" spans="1:75" s="136" customFormat="1" ht="15.75" customHeight="1">
      <c r="B35" s="234"/>
      <c r="C35" s="235"/>
      <c r="R35" s="233"/>
      <c r="S35" s="233"/>
      <c r="T35" s="233"/>
      <c r="U35" s="233"/>
    </row>
    <row r="36" spans="1:75" s="237" customFormat="1" ht="15.75" customHeight="1">
      <c r="A36" s="682" t="s">
        <v>191</v>
      </c>
      <c r="B36" s="683"/>
      <c r="C36" s="236" t="s">
        <v>47</v>
      </c>
      <c r="D36" s="805" t="s">
        <v>12</v>
      </c>
      <c r="E36" s="671"/>
      <c r="F36" s="793"/>
      <c r="G36" s="806" t="s">
        <v>53</v>
      </c>
      <c r="H36" s="807"/>
      <c r="I36" s="808"/>
      <c r="J36" s="236" t="s">
        <v>54</v>
      </c>
      <c r="K36" s="236" t="s">
        <v>55</v>
      </c>
      <c r="L36" s="236" t="s">
        <v>56</v>
      </c>
      <c r="M36" s="236" t="s">
        <v>11</v>
      </c>
      <c r="N36" s="236" t="s">
        <v>333</v>
      </c>
      <c r="O36" s="809" t="s">
        <v>51</v>
      </c>
      <c r="P36" s="810"/>
    </row>
    <row r="37" spans="1:75" s="136" customFormat="1" ht="50.15" customHeight="1">
      <c r="A37" s="794">
        <v>1</v>
      </c>
      <c r="B37" s="797" t="s">
        <v>464</v>
      </c>
      <c r="C37" s="238">
        <v>1</v>
      </c>
      <c r="D37" s="239" t="s">
        <v>553</v>
      </c>
      <c r="E37" s="240"/>
      <c r="F37" s="240"/>
      <c r="G37" s="364" t="s">
        <v>554</v>
      </c>
      <c r="H37" s="307"/>
      <c r="I37" s="308"/>
      <c r="J37" s="238">
        <v>98.470000000000013</v>
      </c>
      <c r="K37" s="244">
        <v>1.3354200247404132E-2</v>
      </c>
      <c r="L37" s="238">
        <v>14.25</v>
      </c>
      <c r="M37" s="324">
        <f>L37*J37</f>
        <v>1403.1975000000002</v>
      </c>
      <c r="N37" s="245"/>
      <c r="O37" s="700" t="s">
        <v>572</v>
      </c>
      <c r="P37" s="701"/>
      <c r="R37" s="233"/>
      <c r="S37" s="408"/>
      <c r="T37" s="263"/>
      <c r="U37" s="233"/>
    </row>
    <row r="38" spans="1:75" s="136" customFormat="1" ht="50.15" customHeight="1">
      <c r="A38" s="795"/>
      <c r="B38" s="798"/>
      <c r="C38" s="238">
        <v>2</v>
      </c>
      <c r="D38" s="239" t="s">
        <v>344</v>
      </c>
      <c r="E38" s="240"/>
      <c r="F38" s="240"/>
      <c r="G38" s="364" t="s">
        <v>336</v>
      </c>
      <c r="H38" s="307"/>
      <c r="I38" s="308"/>
      <c r="J38" s="238">
        <v>141.66999999999999</v>
      </c>
      <c r="K38" s="244">
        <v>1.1934943438746314E-2</v>
      </c>
      <c r="L38" s="238">
        <v>8.0500000000000007</v>
      </c>
      <c r="M38" s="324">
        <f t="shared" ref="M38:M41" si="3">L38*J38</f>
        <v>1140.4435000000001</v>
      </c>
      <c r="N38" s="460">
        <f>K38-K9</f>
        <v>-4.1262832509162961E-3</v>
      </c>
      <c r="O38" s="811" t="s">
        <v>483</v>
      </c>
      <c r="P38" s="801"/>
      <c r="R38" s="233"/>
      <c r="S38" s="409"/>
      <c r="T38" s="409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  <c r="BL38" s="233"/>
      <c r="BM38" s="233"/>
      <c r="BN38" s="233"/>
      <c r="BO38" s="233"/>
      <c r="BP38" s="233"/>
      <c r="BQ38" s="233"/>
      <c r="BR38" s="233"/>
      <c r="BS38" s="233"/>
      <c r="BT38" s="233"/>
      <c r="BU38" s="233"/>
      <c r="BV38" s="233"/>
      <c r="BW38" s="233"/>
    </row>
    <row r="39" spans="1:75" s="136" customFormat="1" ht="50.15" customHeight="1">
      <c r="A39" s="795"/>
      <c r="B39" s="798"/>
      <c r="C39" s="238">
        <v>3</v>
      </c>
      <c r="D39" s="239" t="s">
        <v>447</v>
      </c>
      <c r="E39" s="240"/>
      <c r="F39" s="240"/>
      <c r="G39" s="364" t="s">
        <v>448</v>
      </c>
      <c r="H39" s="307"/>
      <c r="I39" s="308"/>
      <c r="J39" s="238">
        <v>181.60999999999999</v>
      </c>
      <c r="K39" s="244">
        <v>1.2510742050882349E-2</v>
      </c>
      <c r="L39" s="238">
        <v>6.2600000000000007</v>
      </c>
      <c r="M39" s="324">
        <f t="shared" si="3"/>
        <v>1136.8786</v>
      </c>
      <c r="N39" s="245"/>
      <c r="O39" s="812" t="s">
        <v>604</v>
      </c>
      <c r="P39" s="757"/>
      <c r="R39" s="233"/>
      <c r="S39" s="408"/>
      <c r="T39" s="408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3"/>
      <c r="BH39" s="233"/>
      <c r="BI39" s="233"/>
      <c r="BJ39" s="233"/>
      <c r="BK39" s="233"/>
      <c r="BL39" s="233"/>
      <c r="BM39" s="233"/>
      <c r="BN39" s="233"/>
      <c r="BO39" s="233"/>
      <c r="BP39" s="233"/>
      <c r="BQ39" s="233"/>
      <c r="BR39" s="233"/>
      <c r="BS39" s="233"/>
      <c r="BT39" s="233"/>
      <c r="BU39" s="233"/>
      <c r="BV39" s="233"/>
      <c r="BW39" s="233"/>
    </row>
    <row r="40" spans="1:75" s="136" customFormat="1" ht="50.15" customHeight="1">
      <c r="A40" s="795"/>
      <c r="B40" s="798"/>
      <c r="C40" s="238">
        <v>4</v>
      </c>
      <c r="D40" s="239" t="s">
        <v>353</v>
      </c>
      <c r="E40" s="240"/>
      <c r="F40" s="240"/>
      <c r="G40" s="364" t="s">
        <v>361</v>
      </c>
      <c r="H40" s="307"/>
      <c r="I40" s="308"/>
      <c r="J40" s="238">
        <v>253.92000000000002</v>
      </c>
      <c r="K40" s="244">
        <v>1.6225226893869234E-2</v>
      </c>
      <c r="L40" s="238">
        <v>4.38</v>
      </c>
      <c r="M40" s="324">
        <f t="shared" si="3"/>
        <v>1112.1695999999999</v>
      </c>
      <c r="N40" s="460">
        <f>K40-K12</f>
        <v>-3.1416417758769223E-3</v>
      </c>
      <c r="O40" s="812" t="s">
        <v>528</v>
      </c>
      <c r="P40" s="757"/>
      <c r="R40" s="233"/>
      <c r="S40" s="409"/>
      <c r="T40" s="409"/>
      <c r="U40" s="233"/>
      <c r="V40" s="233"/>
      <c r="W40" s="233"/>
      <c r="X40" s="233"/>
      <c r="Y40" s="233"/>
      <c r="Z40" s="233"/>
      <c r="AA40" s="233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/>
      <c r="AX40" s="233"/>
      <c r="AY40" s="233"/>
      <c r="AZ40" s="233"/>
      <c r="BA40" s="233"/>
      <c r="BB40" s="233"/>
      <c r="BC40" s="233"/>
      <c r="BD40" s="233"/>
      <c r="BE40" s="233"/>
      <c r="BF40" s="233"/>
      <c r="BG40" s="233"/>
      <c r="BH40" s="233"/>
      <c r="BI40" s="233"/>
      <c r="BJ40" s="233"/>
      <c r="BK40" s="233"/>
      <c r="BL40" s="233"/>
      <c r="BM40" s="233"/>
      <c r="BN40" s="233"/>
      <c r="BO40" s="233"/>
      <c r="BP40" s="233"/>
      <c r="BQ40" s="233"/>
      <c r="BR40" s="233"/>
      <c r="BS40" s="233"/>
      <c r="BT40" s="233"/>
      <c r="BU40" s="233"/>
      <c r="BV40" s="233"/>
      <c r="BW40" s="233"/>
    </row>
    <row r="41" spans="1:75" s="136" customFormat="1" ht="50.15" customHeight="1" thickBot="1">
      <c r="A41" s="795"/>
      <c r="B41" s="798"/>
      <c r="C41" s="238">
        <v>5</v>
      </c>
      <c r="D41" s="246" t="s">
        <v>475</v>
      </c>
      <c r="E41" s="247"/>
      <c r="F41" s="247"/>
      <c r="G41" s="364" t="s">
        <v>474</v>
      </c>
      <c r="H41" s="307"/>
      <c r="I41" s="308"/>
      <c r="J41" s="249">
        <v>153.19000000000003</v>
      </c>
      <c r="K41" s="250">
        <v>2.4432032347599632E-2</v>
      </c>
      <c r="L41" s="249">
        <v>7.13</v>
      </c>
      <c r="M41" s="325">
        <f t="shared" si="3"/>
        <v>1092.2447000000002</v>
      </c>
      <c r="N41" s="245"/>
      <c r="O41" s="812" t="s">
        <v>605</v>
      </c>
      <c r="P41" s="757"/>
      <c r="R41" s="233"/>
      <c r="S41" s="408"/>
      <c r="T41" s="408"/>
      <c r="U41" s="233"/>
      <c r="V41" s="410"/>
      <c r="W41" s="233"/>
      <c r="X41" s="233"/>
      <c r="Y41" s="233"/>
      <c r="Z41" s="233"/>
      <c r="AA41" s="233"/>
      <c r="AB41" s="233"/>
      <c r="AC41" s="233"/>
      <c r="AD41" s="233"/>
      <c r="AE41" s="233"/>
      <c r="AF41" s="233"/>
      <c r="AG41" s="233"/>
      <c r="AH41" s="233"/>
      <c r="AI41" s="233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3"/>
      <c r="BH41" s="233"/>
      <c r="BI41" s="233"/>
      <c r="BJ41" s="233"/>
      <c r="BK41" s="233"/>
      <c r="BL41" s="233"/>
      <c r="BM41" s="233"/>
      <c r="BN41" s="233"/>
      <c r="BO41" s="233"/>
      <c r="BP41" s="233"/>
      <c r="BQ41" s="233"/>
      <c r="BR41" s="233"/>
      <c r="BS41" s="233"/>
      <c r="BT41" s="233"/>
      <c r="BU41" s="233"/>
      <c r="BV41" s="233"/>
      <c r="BW41" s="233"/>
    </row>
    <row r="42" spans="1:75" s="136" customFormat="1" ht="15.75" customHeight="1" thickTop="1">
      <c r="A42" s="796"/>
      <c r="B42" s="799"/>
      <c r="C42" s="660"/>
      <c r="D42" s="661"/>
      <c r="E42" s="661"/>
      <c r="F42" s="661"/>
      <c r="G42" s="661"/>
      <c r="H42" s="661"/>
      <c r="I42" s="802"/>
      <c r="J42" s="251" t="s">
        <v>58</v>
      </c>
      <c r="K42" s="213">
        <f>M42/'生產管理報表 7-1 (週)'!$B$20</f>
        <v>7.6393276882035538E-2</v>
      </c>
      <c r="L42" s="251" t="s">
        <v>59</v>
      </c>
      <c r="M42" s="326">
        <f>SUM(M37:M41)</f>
        <v>5884.9339000000009</v>
      </c>
      <c r="N42" s="746"/>
      <c r="O42" s="747"/>
      <c r="P42" s="748"/>
      <c r="R42" s="233"/>
      <c r="S42" s="211"/>
      <c r="T42" s="211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33"/>
      <c r="BG42" s="233"/>
      <c r="BH42" s="233"/>
      <c r="BI42" s="233"/>
      <c r="BJ42" s="233"/>
      <c r="BK42" s="233"/>
      <c r="BL42" s="233"/>
      <c r="BM42" s="233"/>
      <c r="BN42" s="233"/>
      <c r="BO42" s="233"/>
      <c r="BP42" s="233"/>
      <c r="BQ42" s="233"/>
      <c r="BR42" s="233"/>
      <c r="BS42" s="233"/>
      <c r="BT42" s="233"/>
      <c r="BU42" s="233"/>
      <c r="BV42" s="233"/>
      <c r="BW42" s="233"/>
    </row>
    <row r="43" spans="1:75" s="136" customFormat="1" ht="15.75" customHeight="1">
      <c r="B43" s="234"/>
      <c r="C43" s="235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53"/>
      <c r="O43" s="253"/>
      <c r="P43" s="253"/>
      <c r="R43" s="233"/>
      <c r="S43" s="263"/>
      <c r="T43" s="26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3"/>
      <c r="BH43" s="233"/>
      <c r="BI43" s="233"/>
      <c r="BJ43" s="233"/>
      <c r="BK43" s="233"/>
      <c r="BL43" s="233"/>
      <c r="BM43" s="233"/>
      <c r="BN43" s="233"/>
      <c r="BO43" s="233"/>
      <c r="BP43" s="233"/>
      <c r="BQ43" s="233"/>
      <c r="BR43" s="233"/>
      <c r="BS43" s="233"/>
      <c r="BT43" s="233"/>
      <c r="BU43" s="233"/>
      <c r="BV43" s="233"/>
      <c r="BW43" s="233"/>
    </row>
    <row r="44" spans="1:75" s="136" customFormat="1" ht="15.75" customHeight="1">
      <c r="A44" s="682" t="s">
        <v>191</v>
      </c>
      <c r="B44" s="683"/>
      <c r="C44" s="254" t="s">
        <v>47</v>
      </c>
      <c r="D44" s="670" t="s">
        <v>12</v>
      </c>
      <c r="E44" s="671"/>
      <c r="F44" s="672"/>
      <c r="G44" s="670" t="s">
        <v>53</v>
      </c>
      <c r="H44" s="671"/>
      <c r="I44" s="672"/>
      <c r="J44" s="256" t="s">
        <v>54</v>
      </c>
      <c r="K44" s="256" t="s">
        <v>55</v>
      </c>
      <c r="L44" s="256" t="s">
        <v>56</v>
      </c>
      <c r="M44" s="256" t="s">
        <v>11</v>
      </c>
      <c r="N44" s="257" t="s">
        <v>333</v>
      </c>
      <c r="O44" s="749" t="s">
        <v>51</v>
      </c>
      <c r="P44" s="750"/>
      <c r="R44" s="233"/>
      <c r="S44" s="211"/>
      <c r="T44" s="211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  <c r="AF44" s="233"/>
      <c r="AG44" s="233"/>
      <c r="AH44" s="233"/>
      <c r="AI44" s="233"/>
      <c r="AJ44" s="233"/>
    </row>
    <row r="45" spans="1:75" s="136" customFormat="1" ht="20.149999999999999" customHeight="1">
      <c r="A45" s="794">
        <v>2</v>
      </c>
      <c r="B45" s="797" t="s">
        <v>213</v>
      </c>
      <c r="C45" s="258">
        <v>1</v>
      </c>
      <c r="D45" s="239"/>
      <c r="E45" s="240"/>
      <c r="F45" s="241"/>
      <c r="G45" s="239"/>
      <c r="H45" s="240"/>
      <c r="I45" s="241"/>
      <c r="J45" s="259"/>
      <c r="K45" s="260"/>
      <c r="L45" s="259"/>
      <c r="M45" s="261">
        <f t="shared" ref="M45:M49" si="4">L45*J45</f>
        <v>0</v>
      </c>
      <c r="N45" s="262"/>
      <c r="O45" s="751"/>
      <c r="P45" s="752"/>
      <c r="R45" s="233"/>
      <c r="S45" s="263"/>
      <c r="T45" s="263"/>
      <c r="U45" s="233"/>
      <c r="V45" s="233"/>
      <c r="W45" s="233"/>
      <c r="X45" s="233"/>
      <c r="Y45" s="233"/>
      <c r="Z45" s="233"/>
      <c r="AA45" s="233"/>
      <c r="AB45" s="233"/>
      <c r="AC45" s="233"/>
      <c r="AD45" s="233"/>
      <c r="AE45" s="233"/>
      <c r="AF45" s="233"/>
      <c r="AG45" s="233"/>
      <c r="AH45" s="233"/>
      <c r="AI45" s="233"/>
      <c r="AJ45" s="233"/>
    </row>
    <row r="46" spans="1:75" s="136" customFormat="1" ht="20.149999999999999" customHeight="1">
      <c r="A46" s="795"/>
      <c r="B46" s="798"/>
      <c r="C46" s="258">
        <v>2</v>
      </c>
      <c r="D46" s="239"/>
      <c r="E46" s="240"/>
      <c r="F46" s="241"/>
      <c r="G46" s="239"/>
      <c r="H46" s="240"/>
      <c r="I46" s="241"/>
      <c r="J46" s="259"/>
      <c r="K46" s="260"/>
      <c r="L46" s="259"/>
      <c r="M46" s="261">
        <f t="shared" si="4"/>
        <v>0</v>
      </c>
      <c r="N46" s="262"/>
      <c r="O46" s="751"/>
      <c r="P46" s="752"/>
      <c r="R46" s="233"/>
      <c r="S46" s="211"/>
      <c r="T46" s="211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</row>
    <row r="47" spans="1:75" s="136" customFormat="1" ht="20.149999999999999" customHeight="1">
      <c r="A47" s="795"/>
      <c r="B47" s="798"/>
      <c r="C47" s="258">
        <v>3</v>
      </c>
      <c r="D47" s="239"/>
      <c r="E47" s="240"/>
      <c r="F47" s="241"/>
      <c r="G47" s="239"/>
      <c r="H47" s="240"/>
      <c r="I47" s="270"/>
      <c r="J47" s="259"/>
      <c r="K47" s="260"/>
      <c r="L47" s="259"/>
      <c r="M47" s="261">
        <f t="shared" si="4"/>
        <v>0</v>
      </c>
      <c r="N47" s="262"/>
      <c r="O47" s="751"/>
      <c r="P47" s="752"/>
      <c r="R47" s="233"/>
      <c r="S47" s="263"/>
      <c r="T47" s="26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  <c r="AH47" s="233"/>
    </row>
    <row r="48" spans="1:75" s="136" customFormat="1" ht="20.149999999999999" customHeight="1">
      <c r="A48" s="795"/>
      <c r="B48" s="798"/>
      <c r="C48" s="258">
        <v>4</v>
      </c>
      <c r="D48" s="239"/>
      <c r="E48" s="240"/>
      <c r="F48" s="241"/>
      <c r="G48" s="239"/>
      <c r="H48" s="240"/>
      <c r="I48" s="241"/>
      <c r="J48" s="259"/>
      <c r="K48" s="260"/>
      <c r="L48" s="259"/>
      <c r="M48" s="261">
        <f t="shared" si="4"/>
        <v>0</v>
      </c>
      <c r="N48" s="262"/>
      <c r="O48" s="751"/>
      <c r="P48" s="752"/>
      <c r="R48" s="233"/>
      <c r="S48" s="211"/>
      <c r="T48" s="211"/>
      <c r="U48" s="233"/>
      <c r="V48" s="233"/>
      <c r="W48" s="233"/>
      <c r="X48" s="233"/>
      <c r="Y48" s="233"/>
      <c r="Z48" s="233"/>
      <c r="AA48" s="233"/>
      <c r="AB48" s="233"/>
      <c r="AC48" s="233"/>
      <c r="AD48" s="233"/>
      <c r="AE48" s="233"/>
      <c r="AF48" s="233"/>
      <c r="AG48" s="233"/>
      <c r="AH48" s="233"/>
    </row>
    <row r="49" spans="1:36" s="136" customFormat="1" ht="20.149999999999999" customHeight="1" thickBot="1">
      <c r="A49" s="795"/>
      <c r="B49" s="798"/>
      <c r="C49" s="264">
        <v>5</v>
      </c>
      <c r="D49" s="246"/>
      <c r="E49" s="247"/>
      <c r="F49" s="248"/>
      <c r="G49" s="239"/>
      <c r="H49" s="240"/>
      <c r="I49" s="241"/>
      <c r="J49" s="265"/>
      <c r="K49" s="266"/>
      <c r="L49" s="265"/>
      <c r="M49" s="267">
        <f t="shared" si="4"/>
        <v>0</v>
      </c>
      <c r="N49" s="268"/>
      <c r="O49" s="751"/>
      <c r="P49" s="752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233"/>
      <c r="AG49" s="233"/>
      <c r="AH49" s="233"/>
    </row>
    <row r="50" spans="1:36" s="136" customFormat="1" ht="15.75" customHeight="1" thickTop="1">
      <c r="A50" s="796"/>
      <c r="B50" s="799"/>
      <c r="C50" s="660"/>
      <c r="D50" s="661"/>
      <c r="E50" s="661"/>
      <c r="F50" s="661"/>
      <c r="G50" s="661"/>
      <c r="H50" s="661"/>
      <c r="I50" s="802"/>
      <c r="J50" s="251" t="s">
        <v>58</v>
      </c>
      <c r="K50" s="213">
        <f>M50/'生產管理報表 7-1 (週)'!$B$20</f>
        <v>0</v>
      </c>
      <c r="L50" s="251" t="s">
        <v>59</v>
      </c>
      <c r="M50" s="252">
        <f>SUM(M45:M49)</f>
        <v>0</v>
      </c>
      <c r="N50" s="753"/>
      <c r="O50" s="754"/>
      <c r="P50" s="755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</row>
    <row r="51" spans="1:36" s="136" customFormat="1" ht="15.75" customHeight="1">
      <c r="B51" s="234"/>
      <c r="C51" s="235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69"/>
      <c r="O51" s="269"/>
      <c r="P51" s="269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233"/>
      <c r="AG51" s="233"/>
      <c r="AH51" s="233"/>
    </row>
    <row r="52" spans="1:36" s="136" customFormat="1" ht="15.75" customHeight="1">
      <c r="A52" s="682" t="s">
        <v>191</v>
      </c>
      <c r="B52" s="683"/>
      <c r="C52" s="254" t="s">
        <v>47</v>
      </c>
      <c r="D52" s="670" t="s">
        <v>12</v>
      </c>
      <c r="E52" s="671"/>
      <c r="F52" s="672"/>
      <c r="G52" s="670" t="s">
        <v>53</v>
      </c>
      <c r="H52" s="671"/>
      <c r="I52" s="793"/>
      <c r="J52" s="255" t="s">
        <v>54</v>
      </c>
      <c r="K52" s="256" t="s">
        <v>55</v>
      </c>
      <c r="L52" s="256" t="s">
        <v>56</v>
      </c>
      <c r="M52" s="256" t="s">
        <v>11</v>
      </c>
      <c r="N52" s="257" t="s">
        <v>333</v>
      </c>
      <c r="O52" s="761" t="s">
        <v>51</v>
      </c>
      <c r="P52" s="762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</row>
    <row r="53" spans="1:36" s="136" customFormat="1" ht="50.15" customHeight="1">
      <c r="A53" s="794">
        <v>3</v>
      </c>
      <c r="B53" s="797" t="s">
        <v>429</v>
      </c>
      <c r="C53" s="258">
        <v>1</v>
      </c>
      <c r="D53" s="239" t="s">
        <v>553</v>
      </c>
      <c r="E53" s="240"/>
      <c r="F53" s="241"/>
      <c r="G53" s="248" t="s">
        <v>556</v>
      </c>
      <c r="H53" s="247"/>
      <c r="I53" s="248"/>
      <c r="J53" s="259">
        <v>16.099999999999998</v>
      </c>
      <c r="K53" s="260">
        <v>7.5439517187090004E-3</v>
      </c>
      <c r="L53" s="259">
        <v>115</v>
      </c>
      <c r="M53" s="327">
        <f t="shared" ref="M53:M57" si="5">L53*J53</f>
        <v>1851.4999999999998</v>
      </c>
      <c r="N53" s="461">
        <f>K53-K27</f>
        <v>4.6971374394500758E-3</v>
      </c>
      <c r="O53" s="800" t="s">
        <v>600</v>
      </c>
      <c r="P53" s="801"/>
      <c r="R53" s="233"/>
      <c r="S53" s="410"/>
      <c r="T53" s="410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</row>
    <row r="54" spans="1:36" s="136" customFormat="1" ht="50.15" customHeight="1">
      <c r="A54" s="795"/>
      <c r="B54" s="798"/>
      <c r="C54" s="258">
        <v>2</v>
      </c>
      <c r="D54" s="239" t="s">
        <v>342</v>
      </c>
      <c r="E54" s="240"/>
      <c r="F54" s="241"/>
      <c r="G54" s="248" t="s">
        <v>586</v>
      </c>
      <c r="H54" s="247"/>
      <c r="I54" s="248"/>
      <c r="J54" s="259">
        <v>1.1599999999999999</v>
      </c>
      <c r="K54" s="260">
        <v>8.0389351909441464E-3</v>
      </c>
      <c r="L54" s="259">
        <v>1551</v>
      </c>
      <c r="M54" s="327">
        <f t="shared" si="5"/>
        <v>1799.1599999999999</v>
      </c>
      <c r="N54" s="272"/>
      <c r="O54" s="756" t="s">
        <v>601</v>
      </c>
      <c r="P54" s="757"/>
      <c r="R54" s="233"/>
      <c r="S54" s="410"/>
      <c r="T54" s="417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  <c r="AE54" s="233"/>
      <c r="AF54" s="233"/>
      <c r="AG54" s="233"/>
      <c r="AH54" s="233"/>
      <c r="AI54" s="233"/>
      <c r="AJ54" s="233"/>
    </row>
    <row r="55" spans="1:36" s="136" customFormat="1" ht="50.15" customHeight="1">
      <c r="A55" s="795"/>
      <c r="B55" s="798"/>
      <c r="C55" s="258">
        <v>3</v>
      </c>
      <c r="D55" s="239" t="s">
        <v>342</v>
      </c>
      <c r="E55" s="240"/>
      <c r="F55" s="241"/>
      <c r="G55" s="248" t="s">
        <v>459</v>
      </c>
      <c r="H55" s="247"/>
      <c r="I55" s="248"/>
      <c r="J55" s="259">
        <v>2.4499999999999997</v>
      </c>
      <c r="K55" s="260">
        <v>4.07417279061798E-3</v>
      </c>
      <c r="L55" s="259">
        <v>642</v>
      </c>
      <c r="M55" s="327">
        <f t="shared" si="5"/>
        <v>1572.8999999999999</v>
      </c>
      <c r="N55" s="461">
        <f>K55-K25</f>
        <v>-2.712997983213639E-4</v>
      </c>
      <c r="O55" s="756" t="s">
        <v>478</v>
      </c>
      <c r="P55" s="757"/>
      <c r="R55" s="233"/>
      <c r="S55" s="410"/>
      <c r="T55" s="417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  <c r="AE55" s="233"/>
      <c r="AF55" s="233"/>
      <c r="AG55" s="233"/>
      <c r="AH55" s="233"/>
      <c r="AI55" s="233"/>
      <c r="AJ55" s="233"/>
    </row>
    <row r="56" spans="1:36" s="136" customFormat="1" ht="50.15" customHeight="1">
      <c r="A56" s="795"/>
      <c r="B56" s="798"/>
      <c r="C56" s="258">
        <v>4</v>
      </c>
      <c r="D56" s="239" t="s">
        <v>342</v>
      </c>
      <c r="E56" s="240"/>
      <c r="F56" s="241"/>
      <c r="G56" s="248" t="s">
        <v>458</v>
      </c>
      <c r="H56" s="247"/>
      <c r="I56" s="248"/>
      <c r="J56" s="271">
        <v>1.17</v>
      </c>
      <c r="K56" s="260">
        <v>3.8583197191421319E-3</v>
      </c>
      <c r="L56" s="259">
        <v>1332</v>
      </c>
      <c r="M56" s="327">
        <f t="shared" si="5"/>
        <v>1558.4399999999998</v>
      </c>
      <c r="N56" s="461">
        <f>K56-K26</f>
        <v>3.9403584825274326E-4</v>
      </c>
      <c r="O56" s="756" t="s">
        <v>602</v>
      </c>
      <c r="P56" s="757"/>
      <c r="R56" s="233"/>
      <c r="S56" s="233"/>
      <c r="T56"/>
      <c r="U56" s="233"/>
      <c r="V56" s="233"/>
      <c r="W56" s="233"/>
      <c r="X56" s="233"/>
      <c r="Y56" s="233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</row>
    <row r="57" spans="1:36" s="136" customFormat="1" ht="30" customHeight="1" thickBot="1">
      <c r="A57" s="795"/>
      <c r="B57" s="798"/>
      <c r="C57" s="264">
        <v>5</v>
      </c>
      <c r="D57" s="246"/>
      <c r="E57" s="247"/>
      <c r="F57" s="248"/>
      <c r="G57" s="391"/>
      <c r="H57" s="392"/>
      <c r="I57" s="393"/>
      <c r="J57" s="274"/>
      <c r="K57" s="266"/>
      <c r="L57" s="275"/>
      <c r="M57" s="327">
        <f t="shared" si="5"/>
        <v>0</v>
      </c>
      <c r="N57" s="272"/>
      <c r="O57" s="756"/>
      <c r="P57" s="757"/>
      <c r="R57" s="233"/>
      <c r="S57" s="233"/>
      <c r="T57"/>
      <c r="U57" s="233"/>
      <c r="V57" s="233"/>
      <c r="W57" s="233"/>
      <c r="X57" s="233"/>
      <c r="Y57" s="233"/>
      <c r="Z57" s="233"/>
      <c r="AA57" s="233"/>
      <c r="AB57" s="233"/>
      <c r="AC57" s="233"/>
      <c r="AD57" s="233"/>
      <c r="AE57" s="233"/>
      <c r="AF57" s="233"/>
      <c r="AG57" s="233"/>
      <c r="AH57" s="233"/>
      <c r="AI57" s="233"/>
      <c r="AJ57" s="233"/>
    </row>
    <row r="58" spans="1:36" s="136" customFormat="1" ht="15.75" customHeight="1" thickTop="1">
      <c r="A58" s="796"/>
      <c r="B58" s="799"/>
      <c r="C58" s="660"/>
      <c r="D58" s="661"/>
      <c r="E58" s="661"/>
      <c r="F58" s="661"/>
      <c r="G58" s="661"/>
      <c r="H58" s="661"/>
      <c r="I58" s="802"/>
      <c r="J58" s="276" t="s">
        <v>58</v>
      </c>
      <c r="K58" s="213">
        <f>M58/'生產管理報表 7-1 (週)'!$B$20</f>
        <v>8.803823672751275E-2</v>
      </c>
      <c r="L58" s="276" t="s">
        <v>59</v>
      </c>
      <c r="M58" s="328">
        <f>SUM(M53:M57)</f>
        <v>6781.9999999999991</v>
      </c>
      <c r="N58" s="758"/>
      <c r="O58" s="759"/>
      <c r="P58" s="760"/>
      <c r="R58" s="233"/>
      <c r="S58" s="233"/>
      <c r="T58"/>
      <c r="U58" s="233"/>
      <c r="V58" s="233"/>
      <c r="W58" s="233"/>
      <c r="X58" s="233"/>
      <c r="Y58" s="233"/>
      <c r="Z58" s="233"/>
      <c r="AA58" s="233"/>
      <c r="AB58" s="233"/>
      <c r="AC58" s="233"/>
      <c r="AD58" s="233"/>
      <c r="AE58" s="233"/>
      <c r="AF58" s="233"/>
      <c r="AG58" s="233"/>
      <c r="AH58" s="233"/>
      <c r="AI58" s="233"/>
      <c r="AJ58" s="233"/>
    </row>
    <row r="59" spans="1:36" s="136" customFormat="1" ht="15.75" customHeight="1">
      <c r="A59" s="813" t="s">
        <v>597</v>
      </c>
      <c r="B59" s="813"/>
      <c r="C59" s="813"/>
      <c r="D59" s="813"/>
      <c r="E59" s="813"/>
      <c r="F59" s="813"/>
      <c r="G59" s="813"/>
      <c r="H59" s="813"/>
      <c r="I59" s="813"/>
      <c r="J59" s="813"/>
      <c r="K59" s="813"/>
      <c r="L59" s="813"/>
      <c r="M59" s="813"/>
      <c r="R59" s="233"/>
      <c r="S59" s="233"/>
      <c r="T59" s="233"/>
      <c r="U59" s="233"/>
    </row>
    <row r="60" spans="1:36" s="137" customFormat="1" ht="15.75" customHeight="1">
      <c r="A60" s="679"/>
      <c r="B60" s="679"/>
      <c r="C60" s="679"/>
      <c r="D60" s="679"/>
      <c r="E60" s="679"/>
      <c r="F60" s="679"/>
      <c r="G60" s="679"/>
      <c r="H60" s="679"/>
      <c r="I60" s="679"/>
      <c r="J60" s="679"/>
      <c r="K60" s="679"/>
      <c r="L60" s="679"/>
      <c r="M60" s="679"/>
    </row>
    <row r="61" spans="1:36" s="136" customFormat="1" ht="15.75" customHeight="1">
      <c r="A61" s="680" t="s">
        <v>191</v>
      </c>
      <c r="B61" s="673">
        <v>1</v>
      </c>
      <c r="C61" s="674"/>
      <c r="D61" s="673">
        <v>2</v>
      </c>
      <c r="E61" s="674"/>
      <c r="F61" s="673">
        <v>3</v>
      </c>
      <c r="G61" s="674"/>
      <c r="H61" s="682">
        <v>4</v>
      </c>
      <c r="I61" s="683"/>
      <c r="J61" s="682">
        <v>5</v>
      </c>
      <c r="K61" s="683"/>
      <c r="L61" s="682">
        <v>6</v>
      </c>
      <c r="M61" s="683"/>
      <c r="N61" s="682">
        <v>7</v>
      </c>
      <c r="O61" s="683"/>
      <c r="P61" s="682">
        <v>8</v>
      </c>
      <c r="Q61" s="683"/>
      <c r="R61" s="233"/>
      <c r="S61" s="233"/>
      <c r="T61" s="233"/>
      <c r="U61" s="233"/>
    </row>
    <row r="62" spans="1:36" s="136" customFormat="1" ht="15.75" customHeight="1">
      <c r="A62" s="681"/>
      <c r="B62" s="675" t="s">
        <v>463</v>
      </c>
      <c r="C62" s="676"/>
      <c r="D62" s="675" t="s">
        <v>212</v>
      </c>
      <c r="E62" s="676"/>
      <c r="F62" s="675" t="s">
        <v>166</v>
      </c>
      <c r="G62" s="676"/>
      <c r="H62" s="677" t="s">
        <v>436</v>
      </c>
      <c r="I62" s="678"/>
      <c r="J62" s="677" t="s">
        <v>189</v>
      </c>
      <c r="K62" s="678"/>
      <c r="L62" s="677" t="s">
        <v>167</v>
      </c>
      <c r="M62" s="678"/>
      <c r="N62" s="677" t="s">
        <v>190</v>
      </c>
      <c r="O62" s="678"/>
      <c r="P62" s="803" t="s">
        <v>217</v>
      </c>
      <c r="Q62" s="804"/>
      <c r="R62" s="233"/>
      <c r="S62" s="233"/>
      <c r="T62" s="233"/>
      <c r="U62" s="233"/>
    </row>
    <row r="63" spans="1:36" s="136" customFormat="1" ht="15.75" customHeight="1">
      <c r="B63" s="234"/>
      <c r="C63" s="235"/>
      <c r="R63" s="233"/>
      <c r="S63" s="233"/>
      <c r="T63" s="233"/>
      <c r="U63" s="233"/>
    </row>
    <row r="64" spans="1:36" s="237" customFormat="1" ht="15.75" customHeight="1">
      <c r="A64" s="682" t="s">
        <v>191</v>
      </c>
      <c r="B64" s="683"/>
      <c r="C64" s="236" t="s">
        <v>47</v>
      </c>
      <c r="D64" s="805" t="s">
        <v>12</v>
      </c>
      <c r="E64" s="671"/>
      <c r="F64" s="793"/>
      <c r="G64" s="806" t="s">
        <v>53</v>
      </c>
      <c r="H64" s="807"/>
      <c r="I64" s="808"/>
      <c r="J64" s="236" t="s">
        <v>54</v>
      </c>
      <c r="K64" s="236" t="s">
        <v>55</v>
      </c>
      <c r="L64" s="236" t="s">
        <v>56</v>
      </c>
      <c r="M64" s="236" t="s">
        <v>11</v>
      </c>
      <c r="N64" s="236" t="s">
        <v>333</v>
      </c>
      <c r="O64" s="809" t="s">
        <v>51</v>
      </c>
      <c r="P64" s="810"/>
    </row>
    <row r="65" spans="1:75" s="136" customFormat="1" ht="50.15" customHeight="1">
      <c r="A65" s="794">
        <v>1</v>
      </c>
      <c r="B65" s="797" t="s">
        <v>464</v>
      </c>
      <c r="C65" s="238">
        <v>1</v>
      </c>
      <c r="D65" s="239" t="s">
        <v>353</v>
      </c>
      <c r="E65" s="240"/>
      <c r="F65" s="240"/>
      <c r="G65" s="364" t="s">
        <v>503</v>
      </c>
      <c r="H65" s="307"/>
      <c r="I65" s="308"/>
      <c r="J65" s="238">
        <v>128.38999999999999</v>
      </c>
      <c r="K65" s="244">
        <v>1.6680027929349091E-2</v>
      </c>
      <c r="L65" s="238">
        <v>12.9</v>
      </c>
      <c r="M65" s="324">
        <f>L65*J65</f>
        <v>1656.2309999999998</v>
      </c>
      <c r="N65" s="245"/>
      <c r="O65" s="700" t="s">
        <v>634</v>
      </c>
      <c r="P65" s="701"/>
      <c r="R65" s="233"/>
      <c r="S65" s="408"/>
      <c r="T65" s="263"/>
      <c r="U65" s="233"/>
    </row>
    <row r="66" spans="1:75" s="136" customFormat="1" ht="50.15" customHeight="1">
      <c r="A66" s="795"/>
      <c r="B66" s="798"/>
      <c r="C66" s="238">
        <v>2</v>
      </c>
      <c r="D66" s="239" t="s">
        <v>355</v>
      </c>
      <c r="E66" s="240"/>
      <c r="F66" s="240"/>
      <c r="G66" s="364" t="s">
        <v>619</v>
      </c>
      <c r="H66" s="307"/>
      <c r="I66" s="308"/>
      <c r="J66" s="238">
        <v>189.18000000000004</v>
      </c>
      <c r="K66" s="244">
        <v>1.3343230618821738E-2</v>
      </c>
      <c r="L66" s="238">
        <v>7.3699999999999992</v>
      </c>
      <c r="M66" s="324">
        <f t="shared" ref="M66:M69" si="6">L66*J66</f>
        <v>1394.2566000000002</v>
      </c>
      <c r="N66" s="245"/>
      <c r="O66" s="811" t="s">
        <v>604</v>
      </c>
      <c r="P66" s="801"/>
      <c r="R66" s="233"/>
      <c r="S66" s="409"/>
      <c r="T66" s="409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233"/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3"/>
      <c r="BQ66" s="233"/>
      <c r="BR66" s="233"/>
      <c r="BS66" s="233"/>
      <c r="BT66" s="233"/>
      <c r="BU66" s="233"/>
      <c r="BV66" s="233"/>
      <c r="BW66" s="233"/>
    </row>
    <row r="67" spans="1:75" s="136" customFormat="1" ht="50.15" customHeight="1">
      <c r="A67" s="795"/>
      <c r="B67" s="798"/>
      <c r="C67" s="238">
        <v>3</v>
      </c>
      <c r="D67" s="239" t="s">
        <v>447</v>
      </c>
      <c r="E67" s="240"/>
      <c r="F67" s="240"/>
      <c r="G67" s="364" t="s">
        <v>448</v>
      </c>
      <c r="H67" s="307"/>
      <c r="I67" s="308"/>
      <c r="J67" s="238">
        <v>181.60999999999999</v>
      </c>
      <c r="K67" s="244">
        <v>1.5145965743832814E-2</v>
      </c>
      <c r="L67" s="238">
        <v>7.03</v>
      </c>
      <c r="M67" s="324">
        <f t="shared" si="6"/>
        <v>1276.7183</v>
      </c>
      <c r="N67" s="460">
        <f>K67-K39</f>
        <v>2.6352236929504651E-3</v>
      </c>
      <c r="O67" s="812" t="s">
        <v>604</v>
      </c>
      <c r="P67" s="757"/>
      <c r="R67" s="233"/>
      <c r="S67" s="408"/>
      <c r="T67" s="408"/>
      <c r="U67" s="233"/>
      <c r="V67" s="233"/>
      <c r="W67" s="233"/>
      <c r="X67" s="233"/>
      <c r="Y67" s="233"/>
      <c r="Z67" s="233"/>
      <c r="AA67" s="233"/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/>
      <c r="AO67" s="233"/>
      <c r="AP67" s="233"/>
      <c r="AQ67" s="233"/>
      <c r="AR67" s="233"/>
      <c r="AS67" s="233"/>
      <c r="AT67" s="233"/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3"/>
      <c r="BQ67" s="233"/>
      <c r="BR67" s="233"/>
      <c r="BS67" s="233"/>
      <c r="BT67" s="233"/>
      <c r="BU67" s="233"/>
      <c r="BV67" s="233"/>
      <c r="BW67" s="233"/>
    </row>
    <row r="68" spans="1:75" s="136" customFormat="1" ht="50.15" customHeight="1">
      <c r="A68" s="795"/>
      <c r="B68" s="798"/>
      <c r="C68" s="238">
        <v>4</v>
      </c>
      <c r="D68" s="239" t="s">
        <v>475</v>
      </c>
      <c r="E68" s="240"/>
      <c r="F68" s="240"/>
      <c r="G68" s="364" t="s">
        <v>474</v>
      </c>
      <c r="H68" s="307"/>
      <c r="I68" s="308"/>
      <c r="J68" s="238">
        <v>153.19000000000003</v>
      </c>
      <c r="K68" s="244">
        <v>2.78839971574566E-2</v>
      </c>
      <c r="L68" s="238">
        <v>8.24</v>
      </c>
      <c r="M68" s="324">
        <f t="shared" si="6"/>
        <v>1262.2856000000002</v>
      </c>
      <c r="N68" s="460">
        <f>K68-K41</f>
        <v>3.451964809856968E-3</v>
      </c>
      <c r="O68" s="812" t="s">
        <v>605</v>
      </c>
      <c r="P68" s="757"/>
      <c r="R68" s="233"/>
      <c r="S68" s="409"/>
      <c r="T68" s="409"/>
      <c r="U68" s="233"/>
      <c r="V68" s="233"/>
      <c r="W68" s="23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3"/>
      <c r="BQ68" s="233"/>
      <c r="BR68" s="233"/>
      <c r="BS68" s="233"/>
      <c r="BT68" s="233"/>
      <c r="BU68" s="233"/>
      <c r="BV68" s="233"/>
      <c r="BW68" s="233"/>
    </row>
    <row r="69" spans="1:75" s="136" customFormat="1" ht="50.15" customHeight="1" thickBot="1">
      <c r="A69" s="795"/>
      <c r="B69" s="798"/>
      <c r="C69" s="238">
        <v>5</v>
      </c>
      <c r="D69" s="246" t="s">
        <v>344</v>
      </c>
      <c r="E69" s="247"/>
      <c r="F69" s="247"/>
      <c r="G69" s="364" t="s">
        <v>336</v>
      </c>
      <c r="H69" s="307"/>
      <c r="I69" s="308"/>
      <c r="J69" s="249">
        <v>141.66999999999999</v>
      </c>
      <c r="K69" s="250">
        <v>1.3667636330054946E-2</v>
      </c>
      <c r="L69" s="249">
        <v>8.879999999999999</v>
      </c>
      <c r="M69" s="325">
        <f t="shared" si="6"/>
        <v>1258.0295999999998</v>
      </c>
      <c r="N69" s="460">
        <f>K69-K38</f>
        <v>1.732692891308632E-3</v>
      </c>
      <c r="O69" s="812" t="s">
        <v>483</v>
      </c>
      <c r="P69" s="757"/>
      <c r="R69" s="233"/>
      <c r="S69" s="408"/>
      <c r="T69" s="408"/>
      <c r="U69" s="233"/>
      <c r="V69" s="410"/>
      <c r="W69" s="233"/>
      <c r="X69" s="233"/>
      <c r="Y69" s="233"/>
      <c r="Z69" s="233"/>
      <c r="AA69" s="233"/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/>
      <c r="AO69" s="233"/>
      <c r="AP69" s="233"/>
      <c r="AQ69" s="233"/>
      <c r="AR69" s="233"/>
      <c r="AS69" s="233"/>
      <c r="AT69" s="233"/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3"/>
      <c r="BQ69" s="233"/>
      <c r="BR69" s="233"/>
      <c r="BS69" s="233"/>
      <c r="BT69" s="233"/>
      <c r="BU69" s="233"/>
      <c r="BV69" s="233"/>
      <c r="BW69" s="233"/>
    </row>
    <row r="70" spans="1:75" s="136" customFormat="1" ht="15.75" customHeight="1" thickTop="1">
      <c r="A70" s="796"/>
      <c r="B70" s="799"/>
      <c r="C70" s="660"/>
      <c r="D70" s="661"/>
      <c r="E70" s="661"/>
      <c r="F70" s="661"/>
      <c r="G70" s="661"/>
      <c r="H70" s="661"/>
      <c r="I70" s="802"/>
      <c r="J70" s="251" t="s">
        <v>58</v>
      </c>
      <c r="K70" s="213" t="e">
        <f>M70/'生產管理報表 7-1 (週)'!$B$31</f>
        <v>#DIV/0!</v>
      </c>
      <c r="L70" s="251" t="s">
        <v>59</v>
      </c>
      <c r="M70" s="326">
        <f>SUM(M65:M69)</f>
        <v>6847.5210999999999</v>
      </c>
      <c r="N70" s="746"/>
      <c r="O70" s="747"/>
      <c r="P70" s="748"/>
      <c r="R70" s="233"/>
      <c r="S70" s="211"/>
      <c r="T70" s="211"/>
      <c r="U70" s="233"/>
      <c r="V70" s="233"/>
      <c r="W70" s="233"/>
      <c r="X70" s="233"/>
      <c r="Y70" s="233"/>
      <c r="Z70" s="233"/>
      <c r="AA70" s="233"/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/>
      <c r="AO70" s="233"/>
      <c r="AP70" s="233"/>
      <c r="AQ70" s="233"/>
      <c r="AR70" s="233"/>
      <c r="AS70" s="233"/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3"/>
      <c r="BQ70" s="233"/>
      <c r="BR70" s="233"/>
      <c r="BS70" s="233"/>
      <c r="BT70" s="233"/>
      <c r="BU70" s="233"/>
      <c r="BV70" s="233"/>
      <c r="BW70" s="233"/>
    </row>
    <row r="71" spans="1:75" s="136" customFormat="1" ht="15.75" customHeight="1">
      <c r="B71" s="234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53"/>
      <c r="O71" s="253"/>
      <c r="P71" s="253"/>
      <c r="R71" s="233"/>
      <c r="S71" s="263"/>
      <c r="T71" s="26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3"/>
      <c r="AP71" s="233"/>
      <c r="AQ71" s="233"/>
      <c r="AR71" s="233"/>
      <c r="AS71" s="233"/>
      <c r="AT71" s="233"/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3"/>
      <c r="BQ71" s="233"/>
      <c r="BR71" s="233"/>
      <c r="BS71" s="233"/>
      <c r="BT71" s="233"/>
      <c r="BU71" s="233"/>
      <c r="BV71" s="233"/>
      <c r="BW71" s="233"/>
    </row>
    <row r="72" spans="1:75" s="136" customFormat="1" ht="15.75" customHeight="1">
      <c r="A72" s="682" t="s">
        <v>191</v>
      </c>
      <c r="B72" s="683"/>
      <c r="C72" s="254" t="s">
        <v>47</v>
      </c>
      <c r="D72" s="670" t="s">
        <v>12</v>
      </c>
      <c r="E72" s="671"/>
      <c r="F72" s="672"/>
      <c r="G72" s="670" t="s">
        <v>53</v>
      </c>
      <c r="H72" s="671"/>
      <c r="I72" s="672"/>
      <c r="J72" s="256" t="s">
        <v>54</v>
      </c>
      <c r="K72" s="256" t="s">
        <v>55</v>
      </c>
      <c r="L72" s="256" t="s">
        <v>56</v>
      </c>
      <c r="M72" s="256" t="s">
        <v>11</v>
      </c>
      <c r="N72" s="257" t="s">
        <v>333</v>
      </c>
      <c r="O72" s="749" t="s">
        <v>51</v>
      </c>
      <c r="P72" s="750"/>
      <c r="R72" s="233"/>
      <c r="S72" s="211"/>
      <c r="T72" s="211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</row>
    <row r="73" spans="1:75" s="136" customFormat="1" ht="20.149999999999999" customHeight="1">
      <c r="A73" s="794">
        <v>2</v>
      </c>
      <c r="B73" s="797" t="s">
        <v>213</v>
      </c>
      <c r="C73" s="258">
        <v>1</v>
      </c>
      <c r="D73" s="239"/>
      <c r="E73" s="240"/>
      <c r="F73" s="241"/>
      <c r="G73" s="239"/>
      <c r="H73" s="240"/>
      <c r="I73" s="241"/>
      <c r="J73" s="259"/>
      <c r="K73" s="260"/>
      <c r="L73" s="259"/>
      <c r="M73" s="261">
        <f t="shared" ref="M73:M77" si="7">L73*J73</f>
        <v>0</v>
      </c>
      <c r="N73" s="262"/>
      <c r="O73" s="751"/>
      <c r="P73" s="752"/>
      <c r="R73" s="233"/>
      <c r="S73" s="263"/>
      <c r="T73" s="26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</row>
    <row r="74" spans="1:75" s="136" customFormat="1" ht="20.149999999999999" customHeight="1">
      <c r="A74" s="795"/>
      <c r="B74" s="798"/>
      <c r="C74" s="258">
        <v>2</v>
      </c>
      <c r="D74" s="239"/>
      <c r="E74" s="240"/>
      <c r="F74" s="241"/>
      <c r="G74" s="239"/>
      <c r="H74" s="240"/>
      <c r="I74" s="241"/>
      <c r="J74" s="259"/>
      <c r="K74" s="260"/>
      <c r="L74" s="259"/>
      <c r="M74" s="261">
        <f t="shared" si="7"/>
        <v>0</v>
      </c>
      <c r="N74" s="262"/>
      <c r="O74" s="751"/>
      <c r="P74" s="752"/>
      <c r="R74" s="233"/>
      <c r="S74" s="211"/>
      <c r="T74" s="211"/>
      <c r="U74" s="233"/>
      <c r="V74" s="233"/>
      <c r="W74" s="233"/>
      <c r="X74" s="233"/>
      <c r="Y74" s="233"/>
      <c r="Z74" s="233"/>
      <c r="AA74" s="233"/>
      <c r="AB74" s="233"/>
      <c r="AC74" s="233"/>
      <c r="AD74" s="233"/>
      <c r="AE74" s="233"/>
      <c r="AF74" s="233"/>
      <c r="AG74" s="233"/>
      <c r="AH74" s="233"/>
      <c r="AI74" s="233"/>
      <c r="AJ74" s="233"/>
    </row>
    <row r="75" spans="1:75" s="136" customFormat="1" ht="20.149999999999999" customHeight="1">
      <c r="A75" s="795"/>
      <c r="B75" s="798"/>
      <c r="C75" s="258">
        <v>3</v>
      </c>
      <c r="D75" s="239"/>
      <c r="E75" s="240"/>
      <c r="F75" s="241"/>
      <c r="G75" s="239"/>
      <c r="H75" s="240"/>
      <c r="I75" s="270"/>
      <c r="J75" s="259"/>
      <c r="K75" s="260"/>
      <c r="L75" s="259"/>
      <c r="M75" s="261">
        <f t="shared" si="7"/>
        <v>0</v>
      </c>
      <c r="N75" s="262"/>
      <c r="O75" s="751"/>
      <c r="P75" s="752"/>
      <c r="R75" s="233"/>
      <c r="S75" s="263"/>
      <c r="T75" s="263"/>
      <c r="U75" s="233"/>
      <c r="V75" s="233"/>
      <c r="W75" s="233"/>
      <c r="X75" s="233"/>
      <c r="Y75" s="233"/>
      <c r="Z75" s="233"/>
      <c r="AA75" s="233"/>
      <c r="AB75" s="233"/>
      <c r="AC75" s="233"/>
      <c r="AD75" s="233"/>
      <c r="AE75" s="233"/>
      <c r="AF75" s="233"/>
      <c r="AG75" s="233"/>
      <c r="AH75" s="233"/>
    </row>
    <row r="76" spans="1:75" s="136" customFormat="1" ht="20.149999999999999" customHeight="1">
      <c r="A76" s="795"/>
      <c r="B76" s="798"/>
      <c r="C76" s="258">
        <v>4</v>
      </c>
      <c r="D76" s="239"/>
      <c r="E76" s="240"/>
      <c r="F76" s="241"/>
      <c r="G76" s="239"/>
      <c r="H76" s="240"/>
      <c r="I76" s="241"/>
      <c r="J76" s="259"/>
      <c r="K76" s="260"/>
      <c r="L76" s="259"/>
      <c r="M76" s="261">
        <f t="shared" si="7"/>
        <v>0</v>
      </c>
      <c r="N76" s="262"/>
      <c r="O76" s="751"/>
      <c r="P76" s="752"/>
      <c r="R76" s="233"/>
      <c r="S76" s="211"/>
      <c r="T76" s="211"/>
      <c r="U76" s="233"/>
      <c r="V76" s="233"/>
      <c r="W76" s="233"/>
      <c r="X76" s="233"/>
      <c r="Y76" s="233"/>
      <c r="Z76" s="233"/>
      <c r="AA76" s="233"/>
      <c r="AB76" s="233"/>
      <c r="AC76" s="233"/>
      <c r="AD76" s="233"/>
      <c r="AE76" s="233"/>
      <c r="AF76" s="233"/>
      <c r="AG76" s="233"/>
      <c r="AH76" s="233"/>
    </row>
    <row r="77" spans="1:75" s="136" customFormat="1" ht="20.149999999999999" customHeight="1" thickBot="1">
      <c r="A77" s="795"/>
      <c r="B77" s="798"/>
      <c r="C77" s="264">
        <v>5</v>
      </c>
      <c r="D77" s="246"/>
      <c r="E77" s="247"/>
      <c r="F77" s="248"/>
      <c r="G77" s="239"/>
      <c r="H77" s="240"/>
      <c r="I77" s="241"/>
      <c r="J77" s="265"/>
      <c r="K77" s="266"/>
      <c r="L77" s="265"/>
      <c r="M77" s="267">
        <f t="shared" si="7"/>
        <v>0</v>
      </c>
      <c r="N77" s="268"/>
      <c r="O77" s="751"/>
      <c r="P77" s="752"/>
      <c r="R77" s="233"/>
      <c r="S77" s="233"/>
      <c r="T77" s="233"/>
      <c r="U77" s="233"/>
      <c r="V77" s="233"/>
      <c r="W77" s="233"/>
      <c r="X77" s="233"/>
      <c r="Y77" s="233"/>
      <c r="Z77" s="233"/>
      <c r="AA77" s="233"/>
      <c r="AB77" s="233"/>
      <c r="AC77" s="233"/>
      <c r="AD77" s="233"/>
      <c r="AE77" s="233"/>
      <c r="AF77" s="233"/>
      <c r="AG77" s="233"/>
      <c r="AH77" s="233"/>
    </row>
    <row r="78" spans="1:75" s="136" customFormat="1" ht="15.75" customHeight="1" thickTop="1">
      <c r="A78" s="796"/>
      <c r="B78" s="799"/>
      <c r="C78" s="660"/>
      <c r="D78" s="661"/>
      <c r="E78" s="661"/>
      <c r="F78" s="661"/>
      <c r="G78" s="661"/>
      <c r="H78" s="661"/>
      <c r="I78" s="802"/>
      <c r="J78" s="251" t="s">
        <v>58</v>
      </c>
      <c r="K78" s="213" t="e">
        <f>M78/'生產管理報表 7-1 (週)'!$B$31</f>
        <v>#DIV/0!</v>
      </c>
      <c r="L78" s="251" t="s">
        <v>59</v>
      </c>
      <c r="M78" s="252">
        <f>SUM(M73:M77)</f>
        <v>0</v>
      </c>
      <c r="N78" s="753"/>
      <c r="O78" s="754"/>
      <c r="P78" s="755"/>
      <c r="R78" s="233"/>
      <c r="S78" s="233"/>
      <c r="T78" s="233"/>
      <c r="U78" s="233"/>
      <c r="V78" s="233"/>
      <c r="W78" s="233"/>
      <c r="X78" s="233"/>
      <c r="Y78" s="233"/>
      <c r="Z78" s="233"/>
      <c r="AA78" s="233"/>
      <c r="AB78" s="233"/>
      <c r="AC78" s="233"/>
      <c r="AD78" s="233"/>
      <c r="AE78" s="233"/>
      <c r="AF78" s="233"/>
      <c r="AG78" s="233"/>
      <c r="AH78" s="233"/>
    </row>
    <row r="79" spans="1:75" s="136" customFormat="1" ht="15.75" customHeight="1">
      <c r="B79" s="234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69"/>
      <c r="O79" s="269"/>
      <c r="P79" s="269"/>
      <c r="R79" s="233"/>
      <c r="S79" s="233"/>
      <c r="T79" s="233"/>
      <c r="U79" s="233"/>
      <c r="V79" s="233"/>
      <c r="W79" s="233"/>
      <c r="X79" s="233"/>
      <c r="Y79" s="233"/>
      <c r="Z79" s="233"/>
      <c r="AA79" s="233"/>
      <c r="AB79" s="233"/>
      <c r="AC79" s="233"/>
      <c r="AD79" s="233"/>
      <c r="AE79" s="233"/>
      <c r="AF79" s="233"/>
      <c r="AG79" s="233"/>
      <c r="AH79" s="233"/>
    </row>
    <row r="80" spans="1:75" s="136" customFormat="1" ht="15.75" customHeight="1">
      <c r="A80" s="682" t="s">
        <v>191</v>
      </c>
      <c r="B80" s="683"/>
      <c r="C80" s="254" t="s">
        <v>47</v>
      </c>
      <c r="D80" s="670" t="s">
        <v>12</v>
      </c>
      <c r="E80" s="671"/>
      <c r="F80" s="672"/>
      <c r="G80" s="670" t="s">
        <v>53</v>
      </c>
      <c r="H80" s="671"/>
      <c r="I80" s="793"/>
      <c r="J80" s="255" t="s">
        <v>54</v>
      </c>
      <c r="K80" s="256" t="s">
        <v>55</v>
      </c>
      <c r="L80" s="256" t="s">
        <v>56</v>
      </c>
      <c r="M80" s="256" t="s">
        <v>11</v>
      </c>
      <c r="N80" s="257" t="s">
        <v>333</v>
      </c>
      <c r="O80" s="761" t="s">
        <v>51</v>
      </c>
      <c r="P80" s="762"/>
      <c r="R80" s="233"/>
      <c r="S80" s="233"/>
      <c r="T80" s="233"/>
      <c r="U80" s="233"/>
      <c r="V80" s="233"/>
      <c r="W80" s="233"/>
      <c r="X80" s="233"/>
      <c r="Y80" s="233"/>
      <c r="Z80" s="233"/>
      <c r="AA80" s="233"/>
      <c r="AB80" s="233"/>
      <c r="AC80" s="233"/>
      <c r="AD80" s="233"/>
      <c r="AE80" s="233"/>
      <c r="AF80" s="233"/>
      <c r="AG80" s="233"/>
      <c r="AH80" s="233"/>
      <c r="AI80" s="233"/>
      <c r="AJ80" s="233"/>
    </row>
    <row r="81" spans="1:75" s="136" customFormat="1" ht="50.15" customHeight="1">
      <c r="A81" s="794">
        <v>3</v>
      </c>
      <c r="B81" s="797" t="s">
        <v>429</v>
      </c>
      <c r="C81" s="258">
        <v>1</v>
      </c>
      <c r="D81" s="239" t="s">
        <v>342</v>
      </c>
      <c r="E81" s="240"/>
      <c r="F81" s="241"/>
      <c r="G81" s="248" t="s">
        <v>586</v>
      </c>
      <c r="H81" s="247"/>
      <c r="I81" s="248"/>
      <c r="J81" s="259">
        <v>1.1599999999999999</v>
      </c>
      <c r="K81" s="260">
        <v>1.1569353697615381E-2</v>
      </c>
      <c r="L81" s="259">
        <v>2224</v>
      </c>
      <c r="M81" s="327">
        <f t="shared" ref="M81:M85" si="8">L81*J81</f>
        <v>2579.8399999999997</v>
      </c>
      <c r="N81" s="461">
        <f>K81-K54</f>
        <v>3.5304185066712349E-3</v>
      </c>
      <c r="O81" s="800" t="s">
        <v>635</v>
      </c>
      <c r="P81" s="801"/>
      <c r="R81" s="233"/>
      <c r="S81" s="410"/>
      <c r="T81" s="410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3"/>
      <c r="AF81" s="233"/>
      <c r="AG81" s="233"/>
      <c r="AH81" s="233"/>
      <c r="AI81" s="233"/>
      <c r="AJ81" s="233"/>
    </row>
    <row r="82" spans="1:75" s="136" customFormat="1" ht="50.15" customHeight="1">
      <c r="A82" s="795"/>
      <c r="B82" s="798"/>
      <c r="C82" s="258">
        <v>2</v>
      </c>
      <c r="D82" s="239" t="s">
        <v>342</v>
      </c>
      <c r="E82" s="240"/>
      <c r="F82" s="241"/>
      <c r="G82" s="248" t="s">
        <v>459</v>
      </c>
      <c r="H82" s="247"/>
      <c r="I82" s="248"/>
      <c r="J82" s="259">
        <v>2.4499999999999997</v>
      </c>
      <c r="K82" s="260">
        <v>4.6212825135838629E-3</v>
      </c>
      <c r="L82" s="259">
        <v>751</v>
      </c>
      <c r="M82" s="327">
        <f t="shared" si="8"/>
        <v>1839.9499999999998</v>
      </c>
      <c r="N82" s="461">
        <f>K82-K55</f>
        <v>5.4710972296588296E-4</v>
      </c>
      <c r="O82" s="756" t="s">
        <v>478</v>
      </c>
      <c r="P82" s="757"/>
      <c r="R82" s="233"/>
      <c r="S82" s="410"/>
      <c r="T82" s="417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3"/>
      <c r="AF82" s="233"/>
      <c r="AG82" s="233"/>
      <c r="AH82" s="233"/>
      <c r="AI82" s="233"/>
      <c r="AJ82" s="233"/>
    </row>
    <row r="83" spans="1:75" s="136" customFormat="1" ht="50.15" customHeight="1">
      <c r="A83" s="795"/>
      <c r="B83" s="798"/>
      <c r="C83" s="258">
        <v>3</v>
      </c>
      <c r="D83" s="239" t="s">
        <v>553</v>
      </c>
      <c r="E83" s="240"/>
      <c r="F83" s="241"/>
      <c r="G83" s="248" t="s">
        <v>556</v>
      </c>
      <c r="H83" s="247"/>
      <c r="I83" s="248"/>
      <c r="J83" s="259">
        <v>16.099999999999998</v>
      </c>
      <c r="K83" s="260">
        <v>6.6854327938071778E-3</v>
      </c>
      <c r="L83" s="259">
        <v>95</v>
      </c>
      <c r="M83" s="327">
        <f t="shared" si="8"/>
        <v>1529.4999999999998</v>
      </c>
      <c r="N83" s="461">
        <f>K83-K53</f>
        <v>-8.5851892490182262E-4</v>
      </c>
      <c r="O83" s="756" t="s">
        <v>636</v>
      </c>
      <c r="P83" s="757"/>
      <c r="R83" s="233"/>
      <c r="S83" s="410"/>
      <c r="T83" s="417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3"/>
      <c r="AF83" s="233"/>
      <c r="AG83" s="233"/>
      <c r="AH83" s="233"/>
      <c r="AI83" s="233"/>
      <c r="AJ83" s="233"/>
    </row>
    <row r="84" spans="1:75" s="136" customFormat="1" ht="50.15" customHeight="1">
      <c r="A84" s="795"/>
      <c r="B84" s="798"/>
      <c r="C84" s="258">
        <v>4</v>
      </c>
      <c r="D84" s="239" t="s">
        <v>342</v>
      </c>
      <c r="E84" s="240"/>
      <c r="F84" s="241"/>
      <c r="G84" s="248" t="s">
        <v>458</v>
      </c>
      <c r="H84" s="247"/>
      <c r="I84" s="248"/>
      <c r="J84" s="271">
        <v>1.17</v>
      </c>
      <c r="K84" s="260">
        <v>3.8105736009624216E-3</v>
      </c>
      <c r="L84" s="259">
        <v>1286</v>
      </c>
      <c r="M84" s="327">
        <f t="shared" si="8"/>
        <v>1504.62</v>
      </c>
      <c r="N84" s="461">
        <f>K84-K56</f>
        <v>-4.7746118179710362E-5</v>
      </c>
      <c r="O84" s="756" t="s">
        <v>602</v>
      </c>
      <c r="P84" s="757"/>
      <c r="R84" s="233"/>
      <c r="S84" s="233"/>
      <c r="T84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3"/>
      <c r="AF84" s="233"/>
      <c r="AG84" s="233"/>
      <c r="AH84" s="233"/>
      <c r="AI84" s="233"/>
      <c r="AJ84" s="233"/>
    </row>
    <row r="85" spans="1:75" s="136" customFormat="1" ht="30" customHeight="1" thickBot="1">
      <c r="A85" s="795"/>
      <c r="B85" s="798"/>
      <c r="C85" s="264">
        <v>5</v>
      </c>
      <c r="D85" s="246"/>
      <c r="E85" s="247"/>
      <c r="F85" s="248"/>
      <c r="G85" s="391"/>
      <c r="H85" s="392"/>
      <c r="I85" s="393"/>
      <c r="J85" s="274"/>
      <c r="K85" s="266"/>
      <c r="L85" s="275"/>
      <c r="M85" s="327">
        <f t="shared" si="8"/>
        <v>0</v>
      </c>
      <c r="N85" s="272"/>
      <c r="O85" s="756"/>
      <c r="P85" s="757"/>
      <c r="R85" s="233"/>
      <c r="S85" s="233"/>
      <c r="T85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3"/>
      <c r="AF85" s="233"/>
      <c r="AG85" s="233"/>
      <c r="AH85" s="233"/>
      <c r="AI85" s="233"/>
      <c r="AJ85" s="233"/>
    </row>
    <row r="86" spans="1:75" s="136" customFormat="1" ht="15.75" customHeight="1" thickTop="1">
      <c r="A86" s="796"/>
      <c r="B86" s="799"/>
      <c r="C86" s="660"/>
      <c r="D86" s="661"/>
      <c r="E86" s="661"/>
      <c r="F86" s="661"/>
      <c r="G86" s="661"/>
      <c r="H86" s="661"/>
      <c r="I86" s="802"/>
      <c r="J86" s="276" t="s">
        <v>58</v>
      </c>
      <c r="K86" s="213" t="e">
        <f>M86/'生產管理報表 7-1 (週)'!$B$31</f>
        <v>#DIV/0!</v>
      </c>
      <c r="L86" s="276" t="s">
        <v>59</v>
      </c>
      <c r="M86" s="328">
        <f>SUM(M81:M85)</f>
        <v>7453.9099999999989</v>
      </c>
      <c r="N86" s="758"/>
      <c r="O86" s="759"/>
      <c r="P86" s="760"/>
      <c r="R86" s="233"/>
      <c r="S86" s="233"/>
      <c r="T86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3"/>
      <c r="AF86" s="233"/>
      <c r="AG86" s="233"/>
      <c r="AH86" s="233"/>
      <c r="AI86" s="233"/>
      <c r="AJ86" s="233"/>
    </row>
    <row r="87" spans="1:75" s="136" customFormat="1" ht="15.75" customHeight="1">
      <c r="A87" s="813" t="s">
        <v>632</v>
      </c>
      <c r="B87" s="813"/>
      <c r="C87" s="813"/>
      <c r="D87" s="813"/>
      <c r="E87" s="813"/>
      <c r="F87" s="813"/>
      <c r="G87" s="813"/>
      <c r="H87" s="813"/>
      <c r="I87" s="813"/>
      <c r="J87" s="813"/>
      <c r="K87" s="813"/>
      <c r="L87" s="813"/>
      <c r="M87" s="813"/>
      <c r="R87" s="233"/>
      <c r="S87" s="233"/>
      <c r="T87" s="233"/>
      <c r="U87" s="233"/>
    </row>
    <row r="88" spans="1:75" s="137" customFormat="1" ht="15.75" customHeight="1">
      <c r="A88" s="679"/>
      <c r="B88" s="679"/>
      <c r="C88" s="679"/>
      <c r="D88" s="679"/>
      <c r="E88" s="679"/>
      <c r="F88" s="679"/>
      <c r="G88" s="679"/>
      <c r="H88" s="679"/>
      <c r="I88" s="679"/>
      <c r="J88" s="679"/>
      <c r="K88" s="679"/>
      <c r="L88" s="679"/>
      <c r="M88" s="679"/>
    </row>
    <row r="89" spans="1:75" s="136" customFormat="1" ht="15.75" customHeight="1">
      <c r="A89" s="680" t="s">
        <v>191</v>
      </c>
      <c r="B89" s="673">
        <v>1</v>
      </c>
      <c r="C89" s="674"/>
      <c r="D89" s="673">
        <v>2</v>
      </c>
      <c r="E89" s="674"/>
      <c r="F89" s="673">
        <v>3</v>
      </c>
      <c r="G89" s="674"/>
      <c r="H89" s="682">
        <v>4</v>
      </c>
      <c r="I89" s="683"/>
      <c r="J89" s="682">
        <v>5</v>
      </c>
      <c r="K89" s="683"/>
      <c r="L89" s="682">
        <v>6</v>
      </c>
      <c r="M89" s="683"/>
      <c r="N89" s="682">
        <v>7</v>
      </c>
      <c r="O89" s="683"/>
      <c r="P89" s="682">
        <v>8</v>
      </c>
      <c r="Q89" s="683"/>
      <c r="R89" s="233"/>
      <c r="S89" s="233"/>
      <c r="T89" s="233"/>
      <c r="U89" s="233"/>
    </row>
    <row r="90" spans="1:75" s="136" customFormat="1" ht="15.75" customHeight="1">
      <c r="A90" s="681"/>
      <c r="B90" s="675" t="s">
        <v>463</v>
      </c>
      <c r="C90" s="676"/>
      <c r="D90" s="675" t="s">
        <v>212</v>
      </c>
      <c r="E90" s="676"/>
      <c r="F90" s="675" t="s">
        <v>166</v>
      </c>
      <c r="G90" s="676"/>
      <c r="H90" s="677" t="s">
        <v>436</v>
      </c>
      <c r="I90" s="678"/>
      <c r="J90" s="677" t="s">
        <v>189</v>
      </c>
      <c r="K90" s="678"/>
      <c r="L90" s="677" t="s">
        <v>167</v>
      </c>
      <c r="M90" s="678"/>
      <c r="N90" s="677" t="s">
        <v>190</v>
      </c>
      <c r="O90" s="678"/>
      <c r="P90" s="803" t="s">
        <v>217</v>
      </c>
      <c r="Q90" s="804"/>
      <c r="R90" s="233"/>
      <c r="S90" s="233"/>
      <c r="T90" s="233"/>
      <c r="U90" s="233"/>
    </row>
    <row r="91" spans="1:75" s="136" customFormat="1" ht="15.75" customHeight="1">
      <c r="B91" s="234"/>
      <c r="C91" s="235"/>
      <c r="R91" s="233"/>
      <c r="S91" s="233"/>
      <c r="T91" s="233"/>
      <c r="U91" s="233"/>
    </row>
    <row r="92" spans="1:75" s="237" customFormat="1" ht="15.75" customHeight="1">
      <c r="A92" s="682" t="s">
        <v>191</v>
      </c>
      <c r="B92" s="683"/>
      <c r="C92" s="236" t="s">
        <v>47</v>
      </c>
      <c r="D92" s="805" t="s">
        <v>12</v>
      </c>
      <c r="E92" s="671"/>
      <c r="F92" s="793"/>
      <c r="G92" s="806" t="s">
        <v>53</v>
      </c>
      <c r="H92" s="807"/>
      <c r="I92" s="808"/>
      <c r="J92" s="236" t="s">
        <v>54</v>
      </c>
      <c r="K92" s="236" t="s">
        <v>55</v>
      </c>
      <c r="L92" s="236" t="s">
        <v>56</v>
      </c>
      <c r="M92" s="236" t="s">
        <v>11</v>
      </c>
      <c r="N92" s="236" t="s">
        <v>333</v>
      </c>
      <c r="O92" s="809" t="s">
        <v>51</v>
      </c>
      <c r="P92" s="810"/>
    </row>
    <row r="93" spans="1:75" s="136" customFormat="1" ht="50.15" customHeight="1">
      <c r="A93" s="794">
        <v>1</v>
      </c>
      <c r="B93" s="797" t="s">
        <v>464</v>
      </c>
      <c r="C93" s="238">
        <v>1</v>
      </c>
      <c r="D93" s="239" t="s">
        <v>553</v>
      </c>
      <c r="E93" s="240"/>
      <c r="F93" s="240"/>
      <c r="G93" s="364" t="s">
        <v>554</v>
      </c>
      <c r="H93" s="307"/>
      <c r="I93" s="308"/>
      <c r="J93" s="238">
        <v>98.470000000000013</v>
      </c>
      <c r="K93" s="244">
        <v>1.3640305921311992E-2</v>
      </c>
      <c r="L93" s="238">
        <v>12.11</v>
      </c>
      <c r="M93" s="324">
        <f>L93*J93</f>
        <v>1192.4717000000001</v>
      </c>
      <c r="N93" s="245"/>
      <c r="O93" s="700" t="s">
        <v>483</v>
      </c>
      <c r="P93" s="701"/>
      <c r="R93" s="233"/>
      <c r="S93" s="408"/>
      <c r="T93" s="263"/>
      <c r="U93" s="233"/>
    </row>
    <row r="94" spans="1:75" s="136" customFormat="1" ht="50.15" customHeight="1">
      <c r="A94" s="795"/>
      <c r="B94" s="798"/>
      <c r="C94" s="238">
        <v>2</v>
      </c>
      <c r="D94" s="239" t="s">
        <v>447</v>
      </c>
      <c r="E94" s="240"/>
      <c r="F94" s="240"/>
      <c r="G94" s="364" t="s">
        <v>448</v>
      </c>
      <c r="H94" s="307"/>
      <c r="I94" s="308"/>
      <c r="J94" s="238">
        <v>181.60999999999999</v>
      </c>
      <c r="K94" s="244">
        <v>1.46350373296194E-2</v>
      </c>
      <c r="L94" s="238">
        <v>6.410000000000001</v>
      </c>
      <c r="M94" s="324">
        <f t="shared" ref="M94:M97" si="9">L94*J94</f>
        <v>1164.1201000000001</v>
      </c>
      <c r="N94" s="460">
        <f>K94-K67</f>
        <v>-5.1092841421341434E-4</v>
      </c>
      <c r="O94" s="811" t="s">
        <v>604</v>
      </c>
      <c r="P94" s="801"/>
      <c r="R94" s="233"/>
      <c r="S94" s="409"/>
      <c r="T94" s="409"/>
      <c r="U94" s="233"/>
      <c r="V94" s="233"/>
      <c r="W94" s="233"/>
      <c r="X94" s="233"/>
      <c r="Y94" s="233"/>
      <c r="Z94" s="233"/>
      <c r="AA94" s="233"/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33"/>
      <c r="AU94" s="233"/>
      <c r="AV94" s="233"/>
      <c r="AW94" s="233"/>
      <c r="AX94" s="233"/>
      <c r="AY94" s="233"/>
      <c r="AZ94" s="233"/>
      <c r="BA94" s="233"/>
      <c r="BB94" s="233"/>
      <c r="BC94" s="233"/>
      <c r="BD94" s="233"/>
      <c r="BE94" s="233"/>
      <c r="BF94" s="233"/>
      <c r="BG94" s="233"/>
      <c r="BH94" s="233"/>
      <c r="BI94" s="233"/>
      <c r="BJ94" s="233"/>
      <c r="BK94" s="233"/>
      <c r="BL94" s="233"/>
      <c r="BM94" s="233"/>
      <c r="BN94" s="233"/>
      <c r="BO94" s="233"/>
      <c r="BP94" s="233"/>
      <c r="BQ94" s="233"/>
      <c r="BR94" s="233"/>
      <c r="BS94" s="233"/>
      <c r="BT94" s="233"/>
      <c r="BU94" s="233"/>
      <c r="BV94" s="233"/>
      <c r="BW94" s="233"/>
    </row>
    <row r="95" spans="1:75" s="136" customFormat="1" ht="50.15" customHeight="1">
      <c r="A95" s="795"/>
      <c r="B95" s="798"/>
      <c r="C95" s="238">
        <v>3</v>
      </c>
      <c r="D95" s="239" t="s">
        <v>475</v>
      </c>
      <c r="E95" s="240"/>
      <c r="F95" s="240"/>
      <c r="G95" s="364" t="s">
        <v>474</v>
      </c>
      <c r="H95" s="307"/>
      <c r="I95" s="308"/>
      <c r="J95" s="238">
        <v>153.19000000000003</v>
      </c>
      <c r="K95" s="244">
        <v>2.586415276770607E-2</v>
      </c>
      <c r="L95" s="238">
        <v>7.49</v>
      </c>
      <c r="M95" s="324">
        <f t="shared" si="9"/>
        <v>1147.3931000000002</v>
      </c>
      <c r="N95" s="460">
        <f>K95-K68</f>
        <v>-2.0198443897505303E-3</v>
      </c>
      <c r="O95" s="812" t="s">
        <v>605</v>
      </c>
      <c r="P95" s="757"/>
      <c r="R95" s="233"/>
      <c r="S95" s="408"/>
      <c r="T95" s="408"/>
      <c r="U95" s="233"/>
      <c r="V95" s="233"/>
      <c r="W95" s="233"/>
      <c r="X95" s="233"/>
      <c r="Y95" s="233"/>
      <c r="Z95" s="233"/>
      <c r="AA95" s="233"/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3"/>
      <c r="AP95" s="233"/>
      <c r="AQ95" s="233"/>
      <c r="AR95" s="233"/>
      <c r="AS95" s="233"/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3"/>
      <c r="BH95" s="233"/>
      <c r="BI95" s="233"/>
      <c r="BJ95" s="233"/>
      <c r="BK95" s="233"/>
      <c r="BL95" s="233"/>
      <c r="BM95" s="233"/>
      <c r="BN95" s="233"/>
      <c r="BO95" s="233"/>
      <c r="BP95" s="233"/>
      <c r="BQ95" s="233"/>
      <c r="BR95" s="233"/>
      <c r="BS95" s="233"/>
      <c r="BT95" s="233"/>
      <c r="BU95" s="233"/>
      <c r="BV95" s="233"/>
      <c r="BW95" s="233"/>
    </row>
    <row r="96" spans="1:75" s="136" customFormat="1" ht="50.15" customHeight="1">
      <c r="A96" s="795"/>
      <c r="B96" s="798"/>
      <c r="C96" s="238">
        <v>4</v>
      </c>
      <c r="D96" s="239" t="s">
        <v>353</v>
      </c>
      <c r="E96" s="240"/>
      <c r="F96" s="240"/>
      <c r="G96" s="364" t="s">
        <v>361</v>
      </c>
      <c r="H96" s="307"/>
      <c r="I96" s="308"/>
      <c r="J96" s="238">
        <v>253.92000000000002</v>
      </c>
      <c r="K96" s="244">
        <v>1.8784438136583738E-2</v>
      </c>
      <c r="L96" s="238">
        <v>4.5</v>
      </c>
      <c r="M96" s="324">
        <f t="shared" si="9"/>
        <v>1142.6400000000001</v>
      </c>
      <c r="N96" s="245"/>
      <c r="O96" s="812" t="s">
        <v>528</v>
      </c>
      <c r="P96" s="757"/>
      <c r="R96" s="233"/>
      <c r="S96" s="409"/>
      <c r="T96" s="409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3"/>
      <c r="AP96" s="233"/>
      <c r="AQ96" s="233"/>
      <c r="AR96" s="233"/>
      <c r="AS96" s="233"/>
      <c r="AT96" s="233"/>
      <c r="AU96" s="233"/>
      <c r="AV96" s="233"/>
      <c r="AW96" s="233"/>
      <c r="AX96" s="233"/>
      <c r="AY96" s="233"/>
      <c r="AZ96" s="233"/>
      <c r="BA96" s="233"/>
      <c r="BB96" s="233"/>
      <c r="BC96" s="233"/>
      <c r="BD96" s="233"/>
      <c r="BE96" s="233"/>
      <c r="BF96" s="233"/>
      <c r="BG96" s="233"/>
      <c r="BH96" s="233"/>
      <c r="BI96" s="233"/>
      <c r="BJ96" s="233"/>
      <c r="BK96" s="233"/>
      <c r="BL96" s="233"/>
      <c r="BM96" s="233"/>
      <c r="BN96" s="233"/>
      <c r="BO96" s="233"/>
      <c r="BP96" s="233"/>
      <c r="BQ96" s="233"/>
      <c r="BR96" s="233"/>
      <c r="BS96" s="233"/>
      <c r="BT96" s="233"/>
      <c r="BU96" s="233"/>
      <c r="BV96" s="233"/>
      <c r="BW96" s="233"/>
    </row>
    <row r="97" spans="1:75" s="136" customFormat="1" ht="50.15" customHeight="1" thickBot="1">
      <c r="A97" s="795"/>
      <c r="B97" s="798"/>
      <c r="C97" s="238">
        <v>5</v>
      </c>
      <c r="D97" s="246" t="s">
        <v>353</v>
      </c>
      <c r="E97" s="247"/>
      <c r="F97" s="247"/>
      <c r="G97" s="394" t="s">
        <v>360</v>
      </c>
      <c r="H97" s="307"/>
      <c r="I97" s="308"/>
      <c r="J97" s="249">
        <v>183.65000000000003</v>
      </c>
      <c r="K97" s="250">
        <v>2.0869858395144977E-2</v>
      </c>
      <c r="L97" s="249">
        <v>6.19</v>
      </c>
      <c r="M97" s="325">
        <f t="shared" si="9"/>
        <v>1136.7935000000002</v>
      </c>
      <c r="N97" s="245"/>
      <c r="O97" s="812" t="s">
        <v>656</v>
      </c>
      <c r="P97" s="757"/>
      <c r="R97" s="233"/>
      <c r="S97" s="408"/>
      <c r="T97" s="408"/>
      <c r="U97" s="233"/>
      <c r="V97" s="410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3"/>
      <c r="AP97" s="233"/>
      <c r="AQ97" s="233"/>
      <c r="AR97" s="233"/>
      <c r="AS97" s="233"/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3"/>
      <c r="BH97" s="233"/>
      <c r="BI97" s="233"/>
      <c r="BJ97" s="233"/>
      <c r="BK97" s="233"/>
      <c r="BL97" s="233"/>
      <c r="BM97" s="233"/>
      <c r="BN97" s="233"/>
      <c r="BO97" s="233"/>
      <c r="BP97" s="233"/>
      <c r="BQ97" s="233"/>
      <c r="BR97" s="233"/>
      <c r="BS97" s="233"/>
      <c r="BT97" s="233"/>
      <c r="BU97" s="233"/>
      <c r="BV97" s="233"/>
      <c r="BW97" s="233"/>
    </row>
    <row r="98" spans="1:75" s="136" customFormat="1" ht="15.75" customHeight="1" thickTop="1">
      <c r="A98" s="796"/>
      <c r="B98" s="799"/>
      <c r="C98" s="660"/>
      <c r="D98" s="661"/>
      <c r="E98" s="661"/>
      <c r="F98" s="661"/>
      <c r="G98" s="661"/>
      <c r="H98" s="661"/>
      <c r="I98" s="802"/>
      <c r="J98" s="251" t="s">
        <v>58</v>
      </c>
      <c r="K98" s="213" t="e">
        <f>M98/'生產管理報表 7-1 (週)'!$B$42</f>
        <v>#DIV/0!</v>
      </c>
      <c r="L98" s="251" t="s">
        <v>59</v>
      </c>
      <c r="M98" s="326">
        <f>SUM(M93:M97)</f>
        <v>5783.4184000000005</v>
      </c>
      <c r="N98" s="746"/>
      <c r="O98" s="747"/>
      <c r="P98" s="748"/>
      <c r="R98" s="233"/>
      <c r="S98" s="211"/>
      <c r="T98" s="211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  <c r="AR98" s="233"/>
      <c r="AS98" s="233"/>
      <c r="AT98" s="233"/>
      <c r="AU98" s="233"/>
      <c r="AV98" s="233"/>
      <c r="AW98" s="233"/>
      <c r="AX98" s="233"/>
      <c r="AY98" s="233"/>
      <c r="AZ98" s="233"/>
      <c r="BA98" s="233"/>
      <c r="BB98" s="233"/>
      <c r="BC98" s="233"/>
      <c r="BD98" s="233"/>
      <c r="BE98" s="233"/>
      <c r="BF98" s="233"/>
      <c r="BG98" s="233"/>
      <c r="BH98" s="233"/>
      <c r="BI98" s="233"/>
      <c r="BJ98" s="233"/>
      <c r="BK98" s="233"/>
      <c r="BL98" s="233"/>
      <c r="BM98" s="233"/>
      <c r="BN98" s="233"/>
      <c r="BO98" s="233"/>
      <c r="BP98" s="233"/>
      <c r="BQ98" s="233"/>
      <c r="BR98" s="233"/>
      <c r="BS98" s="233"/>
      <c r="BT98" s="233"/>
      <c r="BU98" s="233"/>
      <c r="BV98" s="233"/>
      <c r="BW98" s="233"/>
    </row>
    <row r="99" spans="1:75" s="136" customFormat="1" ht="15.75" customHeight="1">
      <c r="B99" s="234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53"/>
      <c r="O99" s="253"/>
      <c r="P99" s="253"/>
      <c r="R99" s="233"/>
      <c r="S99" s="263"/>
      <c r="T99" s="26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3"/>
      <c r="AP99" s="233"/>
      <c r="AQ99" s="233"/>
      <c r="AR99" s="233"/>
      <c r="AS99" s="233"/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3"/>
      <c r="BH99" s="233"/>
      <c r="BI99" s="233"/>
      <c r="BJ99" s="233"/>
      <c r="BK99" s="233"/>
      <c r="BL99" s="233"/>
      <c r="BM99" s="233"/>
      <c r="BN99" s="233"/>
      <c r="BO99" s="233"/>
      <c r="BP99" s="233"/>
      <c r="BQ99" s="233"/>
      <c r="BR99" s="233"/>
      <c r="BS99" s="233"/>
      <c r="BT99" s="233"/>
      <c r="BU99" s="233"/>
      <c r="BV99" s="233"/>
      <c r="BW99" s="233"/>
    </row>
    <row r="100" spans="1:75" s="136" customFormat="1" ht="15.75" customHeight="1">
      <c r="A100" s="682" t="s">
        <v>191</v>
      </c>
      <c r="B100" s="683"/>
      <c r="C100" s="254" t="s">
        <v>47</v>
      </c>
      <c r="D100" s="670" t="s">
        <v>12</v>
      </c>
      <c r="E100" s="671"/>
      <c r="F100" s="672"/>
      <c r="G100" s="670" t="s">
        <v>53</v>
      </c>
      <c r="H100" s="671"/>
      <c r="I100" s="672"/>
      <c r="J100" s="256" t="s">
        <v>54</v>
      </c>
      <c r="K100" s="256" t="s">
        <v>55</v>
      </c>
      <c r="L100" s="256" t="s">
        <v>56</v>
      </c>
      <c r="M100" s="256" t="s">
        <v>11</v>
      </c>
      <c r="N100" s="257" t="s">
        <v>333</v>
      </c>
      <c r="O100" s="749" t="s">
        <v>51</v>
      </c>
      <c r="P100" s="750"/>
      <c r="R100" s="233"/>
      <c r="S100" s="211"/>
      <c r="T100" s="211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</row>
    <row r="101" spans="1:75" s="136" customFormat="1" ht="20.149999999999999" customHeight="1">
      <c r="A101" s="794">
        <v>2</v>
      </c>
      <c r="B101" s="797" t="s">
        <v>213</v>
      </c>
      <c r="C101" s="258">
        <v>1</v>
      </c>
      <c r="D101" s="239"/>
      <c r="E101" s="240"/>
      <c r="F101" s="241"/>
      <c r="G101" s="239"/>
      <c r="H101" s="240"/>
      <c r="I101" s="241"/>
      <c r="J101" s="259"/>
      <c r="K101" s="260"/>
      <c r="L101" s="259"/>
      <c r="M101" s="261">
        <f t="shared" ref="M101:M105" si="10">L101*J101</f>
        <v>0</v>
      </c>
      <c r="N101" s="262"/>
      <c r="O101" s="751"/>
      <c r="P101" s="752"/>
      <c r="R101" s="233"/>
      <c r="S101" s="263"/>
      <c r="T101" s="263"/>
      <c r="U101" s="233"/>
      <c r="V101" s="233"/>
      <c r="W101" s="233"/>
      <c r="X101" s="233"/>
      <c r="Y101" s="233"/>
      <c r="Z101" s="233"/>
      <c r="AA101" s="233"/>
      <c r="AB101" s="233"/>
      <c r="AC101" s="233"/>
      <c r="AD101" s="233"/>
      <c r="AE101" s="233"/>
      <c r="AF101" s="233"/>
      <c r="AG101" s="233"/>
      <c r="AH101" s="233"/>
      <c r="AI101" s="233"/>
      <c r="AJ101" s="233"/>
    </row>
    <row r="102" spans="1:75" s="136" customFormat="1" ht="20.149999999999999" customHeight="1">
      <c r="A102" s="795"/>
      <c r="B102" s="798"/>
      <c r="C102" s="258">
        <v>2</v>
      </c>
      <c r="D102" s="239"/>
      <c r="E102" s="240"/>
      <c r="F102" s="241"/>
      <c r="G102" s="239"/>
      <c r="H102" s="240"/>
      <c r="I102" s="241"/>
      <c r="J102" s="259"/>
      <c r="K102" s="260"/>
      <c r="L102" s="259"/>
      <c r="M102" s="261">
        <f t="shared" si="10"/>
        <v>0</v>
      </c>
      <c r="N102" s="262"/>
      <c r="O102" s="751"/>
      <c r="P102" s="752"/>
      <c r="R102" s="233"/>
      <c r="S102" s="211"/>
      <c r="T102" s="211"/>
      <c r="U102" s="233"/>
      <c r="V102" s="233"/>
      <c r="W102" s="233"/>
      <c r="X102" s="233"/>
      <c r="Y102" s="233"/>
      <c r="Z102" s="233"/>
      <c r="AA102" s="233"/>
      <c r="AB102" s="233"/>
      <c r="AC102" s="233"/>
      <c r="AD102" s="233"/>
      <c r="AE102" s="233"/>
      <c r="AF102" s="233"/>
      <c r="AG102" s="233"/>
      <c r="AH102" s="233"/>
      <c r="AI102" s="233"/>
      <c r="AJ102" s="233"/>
    </row>
    <row r="103" spans="1:75" s="136" customFormat="1" ht="20.149999999999999" customHeight="1">
      <c r="A103" s="795"/>
      <c r="B103" s="798"/>
      <c r="C103" s="258">
        <v>3</v>
      </c>
      <c r="D103" s="239"/>
      <c r="E103" s="240"/>
      <c r="F103" s="241"/>
      <c r="G103" s="239"/>
      <c r="H103" s="240"/>
      <c r="I103" s="270"/>
      <c r="J103" s="259"/>
      <c r="K103" s="260"/>
      <c r="L103" s="259"/>
      <c r="M103" s="261">
        <f t="shared" si="10"/>
        <v>0</v>
      </c>
      <c r="N103" s="262"/>
      <c r="O103" s="751"/>
      <c r="P103" s="752"/>
      <c r="R103" s="233"/>
      <c r="S103" s="263"/>
      <c r="T103" s="263"/>
      <c r="U103" s="233"/>
      <c r="V103" s="233"/>
      <c r="W103" s="233"/>
      <c r="X103" s="233"/>
      <c r="Y103" s="233"/>
      <c r="Z103" s="233"/>
      <c r="AA103" s="233"/>
      <c r="AB103" s="233"/>
      <c r="AC103" s="233"/>
      <c r="AD103" s="233"/>
      <c r="AE103" s="233"/>
      <c r="AF103" s="233"/>
      <c r="AG103" s="233"/>
      <c r="AH103" s="233"/>
    </row>
    <row r="104" spans="1:75" s="136" customFormat="1" ht="20.149999999999999" customHeight="1">
      <c r="A104" s="795"/>
      <c r="B104" s="798"/>
      <c r="C104" s="258">
        <v>4</v>
      </c>
      <c r="D104" s="239"/>
      <c r="E104" s="240"/>
      <c r="F104" s="241"/>
      <c r="G104" s="239"/>
      <c r="H104" s="240"/>
      <c r="I104" s="241"/>
      <c r="J104" s="259"/>
      <c r="K104" s="260"/>
      <c r="L104" s="259"/>
      <c r="M104" s="261">
        <f t="shared" si="10"/>
        <v>0</v>
      </c>
      <c r="N104" s="262"/>
      <c r="O104" s="751"/>
      <c r="P104" s="752"/>
      <c r="R104" s="233"/>
      <c r="S104" s="211"/>
      <c r="T104" s="211"/>
      <c r="U104" s="233"/>
      <c r="V104" s="233"/>
      <c r="W104" s="233"/>
      <c r="X104" s="233"/>
      <c r="Y104" s="233"/>
      <c r="Z104" s="233"/>
      <c r="AA104" s="233"/>
      <c r="AB104" s="233"/>
      <c r="AC104" s="233"/>
      <c r="AD104" s="233"/>
      <c r="AE104" s="233"/>
      <c r="AF104" s="233"/>
      <c r="AG104" s="233"/>
      <c r="AH104" s="233"/>
    </row>
    <row r="105" spans="1:75" s="136" customFormat="1" ht="20.149999999999999" customHeight="1" thickBot="1">
      <c r="A105" s="795"/>
      <c r="B105" s="798"/>
      <c r="C105" s="264">
        <v>5</v>
      </c>
      <c r="D105" s="246"/>
      <c r="E105" s="247"/>
      <c r="F105" s="248"/>
      <c r="G105" s="239"/>
      <c r="H105" s="240"/>
      <c r="I105" s="241"/>
      <c r="J105" s="265"/>
      <c r="K105" s="266"/>
      <c r="L105" s="265"/>
      <c r="M105" s="267">
        <f t="shared" si="10"/>
        <v>0</v>
      </c>
      <c r="N105" s="268"/>
      <c r="O105" s="751"/>
      <c r="P105" s="752"/>
      <c r="R105" s="233"/>
      <c r="S105" s="233"/>
      <c r="T105" s="233"/>
      <c r="U105" s="233"/>
      <c r="V105" s="233"/>
      <c r="W105" s="233"/>
      <c r="X105" s="233"/>
      <c r="Y105" s="233"/>
      <c r="Z105" s="233"/>
      <c r="AA105" s="233"/>
      <c r="AB105" s="233"/>
      <c r="AC105" s="233"/>
      <c r="AD105" s="233"/>
      <c r="AE105" s="233"/>
      <c r="AF105" s="233"/>
      <c r="AG105" s="233"/>
      <c r="AH105" s="233"/>
    </row>
    <row r="106" spans="1:75" s="136" customFormat="1" ht="15.75" customHeight="1" thickTop="1">
      <c r="A106" s="796"/>
      <c r="B106" s="799"/>
      <c r="C106" s="660"/>
      <c r="D106" s="661"/>
      <c r="E106" s="661"/>
      <c r="F106" s="661"/>
      <c r="G106" s="661"/>
      <c r="H106" s="661"/>
      <c r="I106" s="802"/>
      <c r="J106" s="251" t="s">
        <v>58</v>
      </c>
      <c r="K106" s="213" t="e">
        <f>M106/'生產管理報表 7-1 (週)'!$B$42</f>
        <v>#DIV/0!</v>
      </c>
      <c r="L106" s="251" t="s">
        <v>59</v>
      </c>
      <c r="M106" s="252">
        <f>SUM(M101:M105)</f>
        <v>0</v>
      </c>
      <c r="N106" s="753"/>
      <c r="O106" s="754"/>
      <c r="P106" s="755"/>
      <c r="R106" s="233"/>
      <c r="S106" s="233"/>
      <c r="T106" s="233"/>
      <c r="U106" s="233"/>
      <c r="V106" s="233"/>
      <c r="W106" s="233"/>
      <c r="X106" s="233"/>
      <c r="Y106" s="233"/>
      <c r="Z106" s="233"/>
      <c r="AA106" s="233"/>
      <c r="AB106" s="233"/>
      <c r="AC106" s="233"/>
      <c r="AD106" s="233"/>
      <c r="AE106" s="233"/>
      <c r="AF106" s="233"/>
      <c r="AG106" s="233"/>
      <c r="AH106" s="233"/>
    </row>
    <row r="107" spans="1:75" s="136" customFormat="1" ht="15.75" customHeight="1">
      <c r="B107" s="234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69"/>
      <c r="O107" s="269"/>
      <c r="P107" s="269"/>
      <c r="R107" s="233"/>
      <c r="S107" s="233"/>
      <c r="T107" s="233"/>
      <c r="U107" s="233"/>
      <c r="V107" s="233"/>
      <c r="W107" s="233"/>
      <c r="X107" s="233"/>
      <c r="Y107" s="233"/>
      <c r="Z107" s="233"/>
      <c r="AA107" s="233"/>
      <c r="AB107" s="233"/>
      <c r="AC107" s="233"/>
      <c r="AD107" s="233"/>
      <c r="AE107" s="233"/>
      <c r="AF107" s="233"/>
      <c r="AG107" s="233"/>
      <c r="AH107" s="233"/>
    </row>
    <row r="108" spans="1:75" s="136" customFormat="1" ht="15.75" customHeight="1">
      <c r="A108" s="682" t="s">
        <v>191</v>
      </c>
      <c r="B108" s="683"/>
      <c r="C108" s="254" t="s">
        <v>47</v>
      </c>
      <c r="D108" s="670" t="s">
        <v>12</v>
      </c>
      <c r="E108" s="671"/>
      <c r="F108" s="672"/>
      <c r="G108" s="670" t="s">
        <v>53</v>
      </c>
      <c r="H108" s="671"/>
      <c r="I108" s="793"/>
      <c r="J108" s="255" t="s">
        <v>54</v>
      </c>
      <c r="K108" s="256" t="s">
        <v>55</v>
      </c>
      <c r="L108" s="256" t="s">
        <v>56</v>
      </c>
      <c r="M108" s="256" t="s">
        <v>11</v>
      </c>
      <c r="N108" s="257" t="s">
        <v>333</v>
      </c>
      <c r="O108" s="761" t="s">
        <v>51</v>
      </c>
      <c r="P108" s="762"/>
      <c r="R108" s="233"/>
      <c r="S108" s="233"/>
      <c r="T108" s="233"/>
      <c r="U108" s="233"/>
      <c r="V108" s="233"/>
      <c r="W108" s="233"/>
      <c r="X108" s="233"/>
      <c r="Y108" s="233"/>
      <c r="Z108" s="233"/>
      <c r="AA108" s="233"/>
      <c r="AB108" s="233"/>
      <c r="AC108" s="233"/>
      <c r="AD108" s="233"/>
      <c r="AE108" s="233"/>
      <c r="AF108" s="233"/>
      <c r="AG108" s="233"/>
      <c r="AH108" s="233"/>
      <c r="AI108" s="233"/>
      <c r="AJ108" s="233"/>
    </row>
    <row r="109" spans="1:75" s="136" customFormat="1" ht="50.15" customHeight="1">
      <c r="A109" s="794">
        <v>3</v>
      </c>
      <c r="B109" s="797" t="s">
        <v>429</v>
      </c>
      <c r="C109" s="258">
        <v>1</v>
      </c>
      <c r="D109" s="239" t="s">
        <v>342</v>
      </c>
      <c r="E109" s="240"/>
      <c r="F109" s="241"/>
      <c r="G109" s="248" t="s">
        <v>459</v>
      </c>
      <c r="H109" s="247"/>
      <c r="I109" s="248"/>
      <c r="J109" s="259">
        <v>2.4499999999999997</v>
      </c>
      <c r="K109" s="260">
        <v>4.7257438972721048E-3</v>
      </c>
      <c r="L109" s="259">
        <v>725</v>
      </c>
      <c r="M109" s="327">
        <f t="shared" ref="M109:M113" si="11">L109*J109</f>
        <v>1776.2499999999998</v>
      </c>
      <c r="N109" s="461">
        <f>K109-K82</f>
        <v>1.0446138368824191E-4</v>
      </c>
      <c r="O109" s="800" t="s">
        <v>478</v>
      </c>
      <c r="P109" s="801"/>
      <c r="R109" s="233"/>
      <c r="S109" s="410"/>
      <c r="T109" s="410"/>
      <c r="U109" s="233"/>
      <c r="V109" s="233"/>
      <c r="W109" s="233"/>
      <c r="X109" s="233"/>
      <c r="Y109" s="233"/>
      <c r="Z109" s="233"/>
      <c r="AA109" s="233"/>
      <c r="AB109" s="233"/>
      <c r="AC109" s="233"/>
      <c r="AD109" s="233"/>
      <c r="AE109" s="233"/>
      <c r="AF109" s="233"/>
      <c r="AG109" s="233"/>
      <c r="AH109" s="233"/>
      <c r="AI109" s="233"/>
      <c r="AJ109" s="233"/>
    </row>
    <row r="110" spans="1:75" s="136" customFormat="1" ht="50.15" customHeight="1">
      <c r="A110" s="795"/>
      <c r="B110" s="798"/>
      <c r="C110" s="258">
        <v>2</v>
      </c>
      <c r="D110" s="239" t="s">
        <v>342</v>
      </c>
      <c r="E110" s="240"/>
      <c r="F110" s="241"/>
      <c r="G110" s="248" t="s">
        <v>458</v>
      </c>
      <c r="H110" s="247"/>
      <c r="I110" s="248"/>
      <c r="J110" s="259">
        <v>1.17</v>
      </c>
      <c r="K110" s="260">
        <v>4.7322414077466662E-3</v>
      </c>
      <c r="L110" s="259">
        <v>1492</v>
      </c>
      <c r="M110" s="327">
        <f t="shared" si="11"/>
        <v>1745.6399999999999</v>
      </c>
      <c r="N110" s="461">
        <f>K110-K84</f>
        <v>9.2166780678424459E-4</v>
      </c>
      <c r="O110" s="756" t="s">
        <v>602</v>
      </c>
      <c r="P110" s="757"/>
      <c r="R110" s="233"/>
      <c r="S110" s="410"/>
      <c r="T110" s="417"/>
      <c r="U110" s="233"/>
      <c r="V110" s="233"/>
      <c r="W110" s="233"/>
      <c r="X110" s="233"/>
      <c r="Y110" s="233"/>
      <c r="Z110" s="233"/>
      <c r="AA110" s="233"/>
      <c r="AB110" s="233"/>
      <c r="AC110" s="233"/>
      <c r="AD110" s="233"/>
      <c r="AE110" s="233"/>
      <c r="AF110" s="233"/>
      <c r="AG110" s="233"/>
      <c r="AH110" s="233"/>
      <c r="AI110" s="233"/>
      <c r="AJ110" s="233"/>
    </row>
    <row r="111" spans="1:75" s="136" customFormat="1" ht="50.15" customHeight="1">
      <c r="A111" s="795"/>
      <c r="B111" s="798"/>
      <c r="C111" s="258">
        <v>3</v>
      </c>
      <c r="D111" s="239" t="s">
        <v>553</v>
      </c>
      <c r="E111" s="240"/>
      <c r="F111" s="241"/>
      <c r="G111" s="248" t="s">
        <v>556</v>
      </c>
      <c r="H111" s="247"/>
      <c r="I111" s="248"/>
      <c r="J111" s="259">
        <v>16.099999999999998</v>
      </c>
      <c r="K111" s="260">
        <v>5.9922731215012225E-3</v>
      </c>
      <c r="L111" s="259">
        <v>76</v>
      </c>
      <c r="M111" s="327">
        <f t="shared" si="11"/>
        <v>1223.5999999999999</v>
      </c>
      <c r="N111" s="461">
        <f>K111-K83</f>
        <v>-6.9315967230595531E-4</v>
      </c>
      <c r="O111" s="756" t="s">
        <v>654</v>
      </c>
      <c r="P111" s="757"/>
      <c r="R111" s="233"/>
      <c r="S111" s="410"/>
      <c r="T111" s="417"/>
      <c r="U111" s="233"/>
      <c r="V111" s="233"/>
      <c r="W111" s="233"/>
      <c r="X111" s="233"/>
      <c r="Y111" s="233"/>
      <c r="Z111" s="233"/>
      <c r="AA111" s="233"/>
      <c r="AB111" s="233"/>
      <c r="AC111" s="233"/>
      <c r="AD111" s="233"/>
      <c r="AE111" s="233"/>
      <c r="AF111" s="233"/>
      <c r="AG111" s="233"/>
      <c r="AH111" s="233"/>
      <c r="AI111" s="233"/>
      <c r="AJ111" s="233"/>
    </row>
    <row r="112" spans="1:75" s="136" customFormat="1" ht="50.15" customHeight="1">
      <c r="A112" s="795"/>
      <c r="B112" s="798"/>
      <c r="C112" s="258">
        <v>4</v>
      </c>
      <c r="D112" s="239" t="s">
        <v>356</v>
      </c>
      <c r="E112" s="240"/>
      <c r="F112" s="241"/>
      <c r="G112" s="248" t="s">
        <v>526</v>
      </c>
      <c r="H112" s="247"/>
      <c r="I112" s="248"/>
      <c r="J112" s="271">
        <v>122.06999999999996</v>
      </c>
      <c r="K112" s="260">
        <v>1.276921767259726E-2</v>
      </c>
      <c r="L112" s="259">
        <v>9</v>
      </c>
      <c r="M112" s="327">
        <f t="shared" si="11"/>
        <v>1098.6299999999997</v>
      </c>
      <c r="N112" s="272"/>
      <c r="O112" s="756" t="s">
        <v>655</v>
      </c>
      <c r="P112" s="757"/>
      <c r="R112" s="233"/>
      <c r="S112" s="233"/>
      <c r="T112"/>
      <c r="U112" s="233"/>
      <c r="V112" s="233"/>
      <c r="W112" s="233"/>
      <c r="X112" s="233"/>
      <c r="Y112" s="233"/>
      <c r="Z112" s="233"/>
      <c r="AA112" s="233"/>
      <c r="AB112" s="233"/>
      <c r="AC112" s="233"/>
      <c r="AD112" s="233"/>
      <c r="AE112" s="233"/>
      <c r="AF112" s="233"/>
      <c r="AG112" s="233"/>
      <c r="AH112" s="233"/>
      <c r="AI112" s="233"/>
      <c r="AJ112" s="233"/>
    </row>
    <row r="113" spans="1:75" s="136" customFormat="1" ht="30" customHeight="1" thickBot="1">
      <c r="A113" s="795"/>
      <c r="B113" s="798"/>
      <c r="C113" s="264">
        <v>5</v>
      </c>
      <c r="D113" s="246"/>
      <c r="E113" s="247"/>
      <c r="F113" s="248"/>
      <c r="G113" s="391"/>
      <c r="H113" s="392"/>
      <c r="I113" s="393"/>
      <c r="J113" s="274"/>
      <c r="K113" s="266"/>
      <c r="L113" s="275"/>
      <c r="M113" s="327">
        <f t="shared" si="11"/>
        <v>0</v>
      </c>
      <c r="N113" s="272"/>
      <c r="O113" s="756"/>
      <c r="P113" s="757"/>
      <c r="R113" s="233"/>
      <c r="S113" s="233"/>
      <c r="T113"/>
      <c r="U113" s="233"/>
      <c r="V113" s="233"/>
      <c r="W113" s="233"/>
      <c r="X113" s="233"/>
      <c r="Y113" s="233"/>
      <c r="Z113" s="233"/>
      <c r="AA113" s="233"/>
      <c r="AB113" s="233"/>
      <c r="AC113" s="233"/>
      <c r="AD113" s="233"/>
      <c r="AE113" s="233"/>
      <c r="AF113" s="233"/>
      <c r="AG113" s="233"/>
      <c r="AH113" s="233"/>
      <c r="AI113" s="233"/>
      <c r="AJ113" s="233"/>
    </row>
    <row r="114" spans="1:75" s="136" customFormat="1" ht="15.75" customHeight="1" thickTop="1">
      <c r="A114" s="796"/>
      <c r="B114" s="799"/>
      <c r="C114" s="660"/>
      <c r="D114" s="661"/>
      <c r="E114" s="661"/>
      <c r="F114" s="661"/>
      <c r="G114" s="661"/>
      <c r="H114" s="661"/>
      <c r="I114" s="802"/>
      <c r="J114" s="276" t="s">
        <v>58</v>
      </c>
      <c r="K114" s="213" t="e">
        <f>M114/'生產管理報表 7-1 (週)'!$B$42</f>
        <v>#DIV/0!</v>
      </c>
      <c r="L114" s="276" t="s">
        <v>59</v>
      </c>
      <c r="M114" s="328">
        <f>SUM(M109:M113)</f>
        <v>5844.119999999999</v>
      </c>
      <c r="N114" s="758"/>
      <c r="O114" s="759"/>
      <c r="P114" s="760"/>
      <c r="R114" s="233"/>
      <c r="S114" s="233"/>
      <c r="T114"/>
      <c r="U114" s="233"/>
      <c r="V114" s="233"/>
      <c r="W114" s="233"/>
      <c r="X114" s="233"/>
      <c r="Y114" s="233"/>
      <c r="Z114" s="233"/>
      <c r="AA114" s="233"/>
      <c r="AB114" s="233"/>
      <c r="AC114" s="233"/>
      <c r="AD114" s="233"/>
      <c r="AE114" s="233"/>
      <c r="AF114" s="233"/>
      <c r="AG114" s="233"/>
      <c r="AH114" s="233"/>
      <c r="AI114" s="233"/>
      <c r="AJ114" s="233"/>
    </row>
    <row r="115" spans="1:75" s="136" customFormat="1" ht="15.75" customHeight="1">
      <c r="A115" s="813" t="s">
        <v>649</v>
      </c>
      <c r="B115" s="813"/>
      <c r="C115" s="813"/>
      <c r="D115" s="813"/>
      <c r="E115" s="813"/>
      <c r="F115" s="813"/>
      <c r="G115" s="813"/>
      <c r="H115" s="813"/>
      <c r="I115" s="813"/>
      <c r="J115" s="813"/>
      <c r="K115" s="813"/>
      <c r="L115" s="813"/>
      <c r="M115" s="813"/>
      <c r="R115" s="233"/>
      <c r="S115" s="233"/>
      <c r="T115" s="233"/>
      <c r="U115" s="233"/>
    </row>
    <row r="116" spans="1:75" s="137" customFormat="1" ht="15.75" customHeight="1">
      <c r="A116" s="679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</row>
    <row r="117" spans="1:75" s="136" customFormat="1" ht="15.75" customHeight="1">
      <c r="A117" s="680" t="s">
        <v>191</v>
      </c>
      <c r="B117" s="673">
        <v>1</v>
      </c>
      <c r="C117" s="674"/>
      <c r="D117" s="673">
        <v>2</v>
      </c>
      <c r="E117" s="674"/>
      <c r="F117" s="673">
        <v>3</v>
      </c>
      <c r="G117" s="674"/>
      <c r="H117" s="682">
        <v>4</v>
      </c>
      <c r="I117" s="683"/>
      <c r="J117" s="682">
        <v>5</v>
      </c>
      <c r="K117" s="683"/>
      <c r="L117" s="682">
        <v>6</v>
      </c>
      <c r="M117" s="683"/>
      <c r="N117" s="682">
        <v>7</v>
      </c>
      <c r="O117" s="683"/>
      <c r="P117" s="682">
        <v>8</v>
      </c>
      <c r="Q117" s="683"/>
      <c r="R117" s="233"/>
      <c r="S117" s="233"/>
      <c r="T117" s="233"/>
      <c r="U117" s="233"/>
    </row>
    <row r="118" spans="1:75" s="136" customFormat="1" ht="15.75" customHeight="1">
      <c r="A118" s="681"/>
      <c r="B118" s="675" t="s">
        <v>463</v>
      </c>
      <c r="C118" s="676"/>
      <c r="D118" s="675" t="s">
        <v>212</v>
      </c>
      <c r="E118" s="676"/>
      <c r="F118" s="675" t="s">
        <v>166</v>
      </c>
      <c r="G118" s="676"/>
      <c r="H118" s="677" t="s">
        <v>436</v>
      </c>
      <c r="I118" s="678"/>
      <c r="J118" s="677" t="s">
        <v>189</v>
      </c>
      <c r="K118" s="678"/>
      <c r="L118" s="677" t="s">
        <v>167</v>
      </c>
      <c r="M118" s="678"/>
      <c r="N118" s="677" t="s">
        <v>190</v>
      </c>
      <c r="O118" s="678"/>
      <c r="P118" s="803" t="s">
        <v>217</v>
      </c>
      <c r="Q118" s="804"/>
      <c r="R118" s="233"/>
      <c r="S118" s="233"/>
      <c r="T118" s="233"/>
      <c r="U118" s="233"/>
    </row>
    <row r="119" spans="1:75" s="136" customFormat="1" ht="15.75" customHeight="1">
      <c r="B119" s="234"/>
      <c r="C119" s="235"/>
      <c r="R119" s="233"/>
      <c r="S119" s="233"/>
      <c r="T119" s="233"/>
      <c r="U119" s="233"/>
    </row>
    <row r="120" spans="1:75" s="237" customFormat="1" ht="15.75" customHeight="1">
      <c r="A120" s="682" t="s">
        <v>191</v>
      </c>
      <c r="B120" s="683"/>
      <c r="C120" s="236" t="s">
        <v>47</v>
      </c>
      <c r="D120" s="805" t="s">
        <v>12</v>
      </c>
      <c r="E120" s="671"/>
      <c r="F120" s="793"/>
      <c r="G120" s="806" t="s">
        <v>53</v>
      </c>
      <c r="H120" s="807"/>
      <c r="I120" s="808"/>
      <c r="J120" s="236" t="s">
        <v>54</v>
      </c>
      <c r="K120" s="236" t="s">
        <v>55</v>
      </c>
      <c r="L120" s="236" t="s">
        <v>56</v>
      </c>
      <c r="M120" s="236" t="s">
        <v>11</v>
      </c>
      <c r="N120" s="236" t="s">
        <v>333</v>
      </c>
      <c r="O120" s="809" t="s">
        <v>51</v>
      </c>
      <c r="P120" s="810"/>
    </row>
    <row r="121" spans="1:75" s="136" customFormat="1" ht="50.15" customHeight="1">
      <c r="A121" s="794">
        <v>1</v>
      </c>
      <c r="B121" s="797" t="s">
        <v>464</v>
      </c>
      <c r="C121" s="238">
        <v>1</v>
      </c>
      <c r="D121" s="239" t="s">
        <v>344</v>
      </c>
      <c r="E121" s="240"/>
      <c r="F121" s="240"/>
      <c r="G121" s="308" t="s">
        <v>336</v>
      </c>
      <c r="H121" s="307"/>
      <c r="I121" s="308"/>
      <c r="J121" s="238">
        <v>141.66999999999999</v>
      </c>
      <c r="K121" s="244">
        <v>1.4505572262515478E-2</v>
      </c>
      <c r="L121" s="238">
        <v>8.1999999999999993</v>
      </c>
      <c r="M121" s="324">
        <f>L121*J121</f>
        <v>1161.6939999999997</v>
      </c>
      <c r="N121" s="245"/>
      <c r="O121" s="700" t="s">
        <v>483</v>
      </c>
      <c r="P121" s="701"/>
      <c r="R121" s="233"/>
      <c r="S121" s="408"/>
      <c r="T121" s="263"/>
      <c r="U121" s="233"/>
    </row>
    <row r="122" spans="1:75" s="136" customFormat="1" ht="50.15" customHeight="1">
      <c r="A122" s="795"/>
      <c r="B122" s="798"/>
      <c r="C122" s="238">
        <v>2</v>
      </c>
      <c r="D122" s="239" t="s">
        <v>355</v>
      </c>
      <c r="E122" s="240"/>
      <c r="F122" s="240"/>
      <c r="G122" s="308" t="s">
        <v>619</v>
      </c>
      <c r="H122" s="307"/>
      <c r="I122" s="308"/>
      <c r="J122" s="238">
        <v>189.18000000000004</v>
      </c>
      <c r="K122" s="244">
        <v>1.2543039842597145E-2</v>
      </c>
      <c r="L122" s="238">
        <v>6.1199999999999992</v>
      </c>
      <c r="M122" s="324">
        <f t="shared" ref="M122:M125" si="12">L122*J122</f>
        <v>1157.7816</v>
      </c>
      <c r="N122" s="245"/>
      <c r="O122" s="811" t="s">
        <v>604</v>
      </c>
      <c r="P122" s="801"/>
      <c r="R122" s="233"/>
      <c r="S122" s="409"/>
      <c r="T122" s="409"/>
      <c r="U122" s="233"/>
      <c r="V122" s="233"/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3"/>
      <c r="AT122" s="233"/>
      <c r="AU122" s="233"/>
      <c r="AV122" s="233"/>
      <c r="AW122" s="233"/>
      <c r="AX122" s="233"/>
      <c r="AY122" s="233"/>
      <c r="AZ122" s="233"/>
      <c r="BA122" s="233"/>
      <c r="BB122" s="233"/>
      <c r="BC122" s="233"/>
      <c r="BD122" s="233"/>
      <c r="BE122" s="233"/>
      <c r="BF122" s="233"/>
      <c r="BG122" s="233"/>
      <c r="BH122" s="233"/>
      <c r="BI122" s="233"/>
      <c r="BJ122" s="233"/>
      <c r="BK122" s="233"/>
      <c r="BL122" s="233"/>
      <c r="BM122" s="233"/>
      <c r="BN122" s="233"/>
      <c r="BO122" s="233"/>
      <c r="BP122" s="233"/>
      <c r="BQ122" s="233"/>
      <c r="BR122" s="233"/>
      <c r="BS122" s="233"/>
      <c r="BT122" s="233"/>
      <c r="BU122" s="233"/>
      <c r="BV122" s="233"/>
      <c r="BW122" s="233"/>
    </row>
    <row r="123" spans="1:75" s="136" customFormat="1" ht="50.15" customHeight="1">
      <c r="A123" s="795"/>
      <c r="B123" s="798"/>
      <c r="C123" s="238">
        <v>3</v>
      </c>
      <c r="D123" s="239" t="s">
        <v>353</v>
      </c>
      <c r="E123" s="240"/>
      <c r="F123" s="240"/>
      <c r="G123" s="308" t="s">
        <v>361</v>
      </c>
      <c r="H123" s="307"/>
      <c r="I123" s="308"/>
      <c r="J123" s="238">
        <v>253.92000000000002</v>
      </c>
      <c r="K123" s="244">
        <v>1.9292050641632936E-2</v>
      </c>
      <c r="L123" s="238">
        <v>4.4799999999999995</v>
      </c>
      <c r="M123" s="324">
        <f t="shared" si="12"/>
        <v>1137.5616</v>
      </c>
      <c r="N123" s="245"/>
      <c r="O123" s="812" t="s">
        <v>528</v>
      </c>
      <c r="P123" s="757"/>
      <c r="R123" s="233"/>
      <c r="S123" s="408"/>
      <c r="T123" s="408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33"/>
      <c r="AK123" s="233"/>
      <c r="AL123" s="233"/>
      <c r="AM123" s="233"/>
      <c r="AN123" s="233"/>
      <c r="AO123" s="233"/>
      <c r="AP123" s="233"/>
      <c r="AQ123" s="233"/>
      <c r="AR123" s="233"/>
      <c r="AS123" s="233"/>
      <c r="AT123" s="233"/>
      <c r="AU123" s="233"/>
      <c r="AV123" s="233"/>
      <c r="AW123" s="233"/>
      <c r="AX123" s="233"/>
      <c r="AY123" s="233"/>
      <c r="AZ123" s="233"/>
      <c r="BA123" s="233"/>
      <c r="BB123" s="233"/>
      <c r="BC123" s="233"/>
      <c r="BD123" s="233"/>
      <c r="BE123" s="233"/>
      <c r="BF123" s="233"/>
      <c r="BG123" s="233"/>
      <c r="BH123" s="233"/>
      <c r="BI123" s="233"/>
      <c r="BJ123" s="233"/>
      <c r="BK123" s="233"/>
      <c r="BL123" s="233"/>
      <c r="BM123" s="233"/>
      <c r="BN123" s="233"/>
      <c r="BO123" s="233"/>
      <c r="BP123" s="233"/>
      <c r="BQ123" s="233"/>
      <c r="BR123" s="233"/>
      <c r="BS123" s="233"/>
      <c r="BT123" s="233"/>
      <c r="BU123" s="233"/>
      <c r="BV123" s="233"/>
      <c r="BW123" s="233"/>
    </row>
    <row r="124" spans="1:75" s="136" customFormat="1" ht="50.15" customHeight="1">
      <c r="A124" s="795"/>
      <c r="B124" s="798"/>
      <c r="C124" s="238">
        <v>4</v>
      </c>
      <c r="D124" s="239" t="s">
        <v>344</v>
      </c>
      <c r="E124" s="240"/>
      <c r="F124" s="240"/>
      <c r="G124" s="308" t="s">
        <v>500</v>
      </c>
      <c r="H124" s="307"/>
      <c r="I124" s="308"/>
      <c r="J124" s="238">
        <v>203.57999999999998</v>
      </c>
      <c r="K124" s="244">
        <v>2.9347768402059115E-2</v>
      </c>
      <c r="L124" s="238">
        <v>5.5299999999999994</v>
      </c>
      <c r="M124" s="324">
        <f t="shared" si="12"/>
        <v>1125.7973999999997</v>
      </c>
      <c r="N124" s="245"/>
      <c r="O124" s="812" t="s">
        <v>700</v>
      </c>
      <c r="P124" s="757"/>
      <c r="R124" s="233"/>
      <c r="S124" s="409"/>
      <c r="T124" s="409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33"/>
      <c r="AK124" s="233"/>
      <c r="AL124" s="233"/>
      <c r="AM124" s="233"/>
      <c r="AN124" s="233"/>
      <c r="AO124" s="233"/>
      <c r="AP124" s="233"/>
      <c r="AQ124" s="233"/>
      <c r="AR124" s="233"/>
      <c r="AS124" s="233"/>
      <c r="AT124" s="233"/>
      <c r="AU124" s="233"/>
      <c r="AV124" s="233"/>
      <c r="AW124" s="233"/>
      <c r="AX124" s="233"/>
      <c r="AY124" s="233"/>
      <c r="AZ124" s="233"/>
      <c r="BA124" s="233"/>
      <c r="BB124" s="233"/>
      <c r="BC124" s="233"/>
      <c r="BD124" s="233"/>
      <c r="BE124" s="233"/>
      <c r="BF124" s="233"/>
      <c r="BG124" s="233"/>
      <c r="BH124" s="233"/>
      <c r="BI124" s="233"/>
      <c r="BJ124" s="233"/>
      <c r="BK124" s="233"/>
      <c r="BL124" s="233"/>
      <c r="BM124" s="233"/>
      <c r="BN124" s="233"/>
      <c r="BO124" s="233"/>
      <c r="BP124" s="233"/>
      <c r="BQ124" s="233"/>
      <c r="BR124" s="233"/>
      <c r="BS124" s="233"/>
      <c r="BT124" s="233"/>
      <c r="BU124" s="233"/>
      <c r="BV124" s="233"/>
      <c r="BW124" s="233"/>
    </row>
    <row r="125" spans="1:75" s="136" customFormat="1" ht="50.15" customHeight="1" thickBot="1">
      <c r="A125" s="795"/>
      <c r="B125" s="798"/>
      <c r="C125" s="238">
        <v>5</v>
      </c>
      <c r="D125" s="246" t="s">
        <v>447</v>
      </c>
      <c r="E125" s="247"/>
      <c r="F125" s="247"/>
      <c r="G125" s="308" t="s">
        <v>448</v>
      </c>
      <c r="H125" s="307"/>
      <c r="I125" s="308"/>
      <c r="J125" s="249">
        <v>181.60999999999999</v>
      </c>
      <c r="K125" s="250">
        <v>1.3401655498620416E-2</v>
      </c>
      <c r="L125" s="249">
        <v>6.1199999999999992</v>
      </c>
      <c r="M125" s="325">
        <f t="shared" si="12"/>
        <v>1111.4531999999997</v>
      </c>
      <c r="N125" s="245"/>
      <c r="O125" s="812" t="s">
        <v>604</v>
      </c>
      <c r="P125" s="757"/>
      <c r="R125" s="233"/>
      <c r="S125" s="408"/>
      <c r="T125" s="408"/>
      <c r="U125" s="233"/>
      <c r="V125" s="410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33"/>
      <c r="AK125" s="233"/>
      <c r="AL125" s="233"/>
      <c r="AM125" s="233"/>
      <c r="AN125" s="233"/>
      <c r="AO125" s="233"/>
      <c r="AP125" s="233"/>
      <c r="AQ125" s="233"/>
      <c r="AR125" s="233"/>
      <c r="AS125" s="233"/>
      <c r="AT125" s="233"/>
      <c r="AU125" s="233"/>
      <c r="AV125" s="233"/>
      <c r="AW125" s="233"/>
      <c r="AX125" s="233"/>
      <c r="AY125" s="233"/>
      <c r="AZ125" s="233"/>
      <c r="BA125" s="233"/>
      <c r="BB125" s="233"/>
      <c r="BC125" s="233"/>
      <c r="BD125" s="233"/>
      <c r="BE125" s="233"/>
      <c r="BF125" s="233"/>
      <c r="BG125" s="233"/>
      <c r="BH125" s="233"/>
      <c r="BI125" s="233"/>
      <c r="BJ125" s="233"/>
      <c r="BK125" s="233"/>
      <c r="BL125" s="233"/>
      <c r="BM125" s="233"/>
      <c r="BN125" s="233"/>
      <c r="BO125" s="233"/>
      <c r="BP125" s="233"/>
      <c r="BQ125" s="233"/>
      <c r="BR125" s="233"/>
      <c r="BS125" s="233"/>
      <c r="BT125" s="233"/>
      <c r="BU125" s="233"/>
      <c r="BV125" s="233"/>
      <c r="BW125" s="233"/>
    </row>
    <row r="126" spans="1:75" s="136" customFormat="1" ht="15.75" customHeight="1" thickTop="1">
      <c r="A126" s="796"/>
      <c r="B126" s="799"/>
      <c r="C126" s="660"/>
      <c r="D126" s="661"/>
      <c r="E126" s="661"/>
      <c r="F126" s="661"/>
      <c r="G126" s="661"/>
      <c r="H126" s="661"/>
      <c r="I126" s="802"/>
      <c r="J126" s="251" t="s">
        <v>58</v>
      </c>
      <c r="K126" s="213" t="e">
        <f>M126/'生產管理報表 7-1 (週)'!$B$53</f>
        <v>#DIV/0!</v>
      </c>
      <c r="L126" s="251" t="s">
        <v>59</v>
      </c>
      <c r="M126" s="326">
        <f>SUM(M121:M125)</f>
        <v>5694.2877999999992</v>
      </c>
      <c r="N126" s="746"/>
      <c r="O126" s="747"/>
      <c r="P126" s="748"/>
      <c r="R126" s="233"/>
      <c r="S126" s="211"/>
      <c r="T126" s="211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33"/>
      <c r="AK126" s="233"/>
      <c r="AL126" s="233"/>
      <c r="AM126" s="233"/>
      <c r="AN126" s="233"/>
      <c r="AO126" s="233"/>
      <c r="AP126" s="233"/>
      <c r="AQ126" s="233"/>
      <c r="AR126" s="233"/>
      <c r="AS126" s="233"/>
      <c r="AT126" s="233"/>
      <c r="AU126" s="233"/>
      <c r="AV126" s="233"/>
      <c r="AW126" s="233"/>
      <c r="AX126" s="233"/>
      <c r="AY126" s="233"/>
      <c r="AZ126" s="233"/>
      <c r="BA126" s="233"/>
      <c r="BB126" s="233"/>
      <c r="BC126" s="233"/>
      <c r="BD126" s="233"/>
      <c r="BE126" s="233"/>
      <c r="BF126" s="233"/>
      <c r="BG126" s="233"/>
      <c r="BH126" s="233"/>
      <c r="BI126" s="233"/>
      <c r="BJ126" s="233"/>
      <c r="BK126" s="233"/>
      <c r="BL126" s="233"/>
      <c r="BM126" s="233"/>
      <c r="BN126" s="233"/>
      <c r="BO126" s="233"/>
      <c r="BP126" s="233"/>
      <c r="BQ126" s="233"/>
      <c r="BR126" s="233"/>
      <c r="BS126" s="233"/>
      <c r="BT126" s="233"/>
      <c r="BU126" s="233"/>
      <c r="BV126" s="233"/>
      <c r="BW126" s="233"/>
    </row>
    <row r="127" spans="1:75" s="136" customFormat="1" ht="15.75" customHeight="1">
      <c r="B127" s="234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53"/>
      <c r="O127" s="253"/>
      <c r="P127" s="253"/>
      <c r="R127" s="233"/>
      <c r="S127" s="263"/>
      <c r="T127" s="26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33"/>
      <c r="AK127" s="233"/>
      <c r="AL127" s="233"/>
      <c r="AM127" s="233"/>
      <c r="AN127" s="233"/>
      <c r="AO127" s="233"/>
      <c r="AP127" s="233"/>
      <c r="AQ127" s="233"/>
      <c r="AR127" s="233"/>
      <c r="AS127" s="233"/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3"/>
      <c r="BH127" s="233"/>
      <c r="BI127" s="233"/>
      <c r="BJ127" s="233"/>
      <c r="BK127" s="233"/>
      <c r="BL127" s="233"/>
      <c r="BM127" s="233"/>
      <c r="BN127" s="233"/>
      <c r="BO127" s="233"/>
      <c r="BP127" s="233"/>
      <c r="BQ127" s="233"/>
      <c r="BR127" s="233"/>
      <c r="BS127" s="233"/>
      <c r="BT127" s="233"/>
      <c r="BU127" s="233"/>
      <c r="BV127" s="233"/>
      <c r="BW127" s="233"/>
    </row>
    <row r="128" spans="1:75" s="136" customFormat="1" ht="15.75" customHeight="1">
      <c r="A128" s="682" t="s">
        <v>191</v>
      </c>
      <c r="B128" s="683"/>
      <c r="C128" s="254" t="s">
        <v>47</v>
      </c>
      <c r="D128" s="670" t="s">
        <v>12</v>
      </c>
      <c r="E128" s="671"/>
      <c r="F128" s="672"/>
      <c r="G128" s="670" t="s">
        <v>53</v>
      </c>
      <c r="H128" s="671"/>
      <c r="I128" s="672"/>
      <c r="J128" s="256" t="s">
        <v>54</v>
      </c>
      <c r="K128" s="256" t="s">
        <v>55</v>
      </c>
      <c r="L128" s="256" t="s">
        <v>56</v>
      </c>
      <c r="M128" s="256" t="s">
        <v>11</v>
      </c>
      <c r="N128" s="257" t="s">
        <v>333</v>
      </c>
      <c r="O128" s="749" t="s">
        <v>51</v>
      </c>
      <c r="P128" s="750"/>
      <c r="R128" s="233"/>
      <c r="S128" s="211"/>
      <c r="T128" s="211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33"/>
    </row>
    <row r="129" spans="1:36" s="136" customFormat="1" ht="20.149999999999999" customHeight="1">
      <c r="A129" s="794">
        <v>2</v>
      </c>
      <c r="B129" s="797" t="s">
        <v>213</v>
      </c>
      <c r="C129" s="258">
        <v>1</v>
      </c>
      <c r="D129" s="239"/>
      <c r="E129" s="240"/>
      <c r="F129" s="241"/>
      <c r="G129" s="239"/>
      <c r="H129" s="240"/>
      <c r="I129" s="241"/>
      <c r="J129" s="259"/>
      <c r="K129" s="260"/>
      <c r="L129" s="259"/>
      <c r="M129" s="261">
        <f t="shared" ref="M129:M133" si="13">L129*J129</f>
        <v>0</v>
      </c>
      <c r="N129" s="262"/>
      <c r="O129" s="751"/>
      <c r="P129" s="752"/>
      <c r="R129" s="233"/>
      <c r="S129" s="263"/>
      <c r="T129" s="263"/>
      <c r="U129" s="233"/>
      <c r="V129" s="233"/>
      <c r="W129" s="233"/>
      <c r="X129" s="233"/>
      <c r="Y129" s="233"/>
      <c r="Z129" s="233"/>
      <c r="AA129" s="233"/>
      <c r="AB129" s="233"/>
      <c r="AC129" s="233"/>
      <c r="AD129" s="233"/>
      <c r="AE129" s="233"/>
      <c r="AF129" s="233"/>
      <c r="AG129" s="233"/>
      <c r="AH129" s="233"/>
      <c r="AI129" s="233"/>
      <c r="AJ129" s="233"/>
    </row>
    <row r="130" spans="1:36" s="136" customFormat="1" ht="20.149999999999999" customHeight="1">
      <c r="A130" s="795"/>
      <c r="B130" s="798"/>
      <c r="C130" s="258">
        <v>2</v>
      </c>
      <c r="D130" s="239"/>
      <c r="E130" s="240"/>
      <c r="F130" s="241"/>
      <c r="G130" s="239"/>
      <c r="H130" s="240"/>
      <c r="I130" s="241"/>
      <c r="J130" s="259"/>
      <c r="K130" s="260"/>
      <c r="L130" s="259"/>
      <c r="M130" s="261">
        <f t="shared" si="13"/>
        <v>0</v>
      </c>
      <c r="N130" s="262"/>
      <c r="O130" s="751"/>
      <c r="P130" s="752"/>
      <c r="R130" s="233"/>
      <c r="S130" s="211"/>
      <c r="T130" s="211"/>
      <c r="U130" s="233"/>
      <c r="V130" s="233"/>
      <c r="W130" s="233"/>
      <c r="X130" s="233"/>
      <c r="Y130" s="233"/>
      <c r="Z130" s="233"/>
      <c r="AA130" s="233"/>
      <c r="AB130" s="233"/>
      <c r="AC130" s="233"/>
      <c r="AD130" s="233"/>
      <c r="AE130" s="233"/>
      <c r="AF130" s="233"/>
      <c r="AG130" s="233"/>
      <c r="AH130" s="233"/>
      <c r="AI130" s="233"/>
      <c r="AJ130" s="233"/>
    </row>
    <row r="131" spans="1:36" s="136" customFormat="1" ht="20.149999999999999" customHeight="1">
      <c r="A131" s="795"/>
      <c r="B131" s="798"/>
      <c r="C131" s="258">
        <v>3</v>
      </c>
      <c r="D131" s="239"/>
      <c r="E131" s="240"/>
      <c r="F131" s="241"/>
      <c r="G131" s="239"/>
      <c r="H131" s="240"/>
      <c r="I131" s="270"/>
      <c r="J131" s="259"/>
      <c r="K131" s="260"/>
      <c r="L131" s="259"/>
      <c r="M131" s="261">
        <f t="shared" si="13"/>
        <v>0</v>
      </c>
      <c r="N131" s="262"/>
      <c r="O131" s="751"/>
      <c r="P131" s="752"/>
      <c r="R131" s="233"/>
      <c r="S131" s="263"/>
      <c r="T131" s="26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</row>
    <row r="132" spans="1:36" s="136" customFormat="1" ht="20.149999999999999" customHeight="1">
      <c r="A132" s="795"/>
      <c r="B132" s="798"/>
      <c r="C132" s="258">
        <v>4</v>
      </c>
      <c r="D132" s="239"/>
      <c r="E132" s="240"/>
      <c r="F132" s="241"/>
      <c r="G132" s="239"/>
      <c r="H132" s="240"/>
      <c r="I132" s="241"/>
      <c r="J132" s="259"/>
      <c r="K132" s="260"/>
      <c r="L132" s="259"/>
      <c r="M132" s="261">
        <f t="shared" si="13"/>
        <v>0</v>
      </c>
      <c r="N132" s="262"/>
      <c r="O132" s="751"/>
      <c r="P132" s="752"/>
      <c r="R132" s="233"/>
      <c r="S132" s="211"/>
      <c r="T132" s="211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</row>
    <row r="133" spans="1:36" s="136" customFormat="1" ht="20.149999999999999" customHeight="1" thickBot="1">
      <c r="A133" s="795"/>
      <c r="B133" s="798"/>
      <c r="C133" s="264">
        <v>5</v>
      </c>
      <c r="D133" s="246"/>
      <c r="E133" s="247"/>
      <c r="F133" s="248"/>
      <c r="G133" s="239"/>
      <c r="H133" s="240"/>
      <c r="I133" s="241"/>
      <c r="J133" s="265"/>
      <c r="K133" s="266"/>
      <c r="L133" s="265"/>
      <c r="M133" s="267">
        <f t="shared" si="13"/>
        <v>0</v>
      </c>
      <c r="N133" s="268"/>
      <c r="O133" s="751"/>
      <c r="P133" s="752"/>
      <c r="R133" s="233"/>
      <c r="S133" s="233"/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</row>
    <row r="134" spans="1:36" s="136" customFormat="1" ht="15.75" customHeight="1" thickTop="1">
      <c r="A134" s="796"/>
      <c r="B134" s="799"/>
      <c r="C134" s="660"/>
      <c r="D134" s="661"/>
      <c r="E134" s="661"/>
      <c r="F134" s="661"/>
      <c r="G134" s="661"/>
      <c r="H134" s="661"/>
      <c r="I134" s="802"/>
      <c r="J134" s="251" t="s">
        <v>58</v>
      </c>
      <c r="K134" s="213" t="e">
        <f>M134/'生產管理報表 7-1 (週)'!$B$53</f>
        <v>#DIV/0!</v>
      </c>
      <c r="L134" s="251" t="s">
        <v>59</v>
      </c>
      <c r="M134" s="252">
        <f>SUM(M129:M133)</f>
        <v>0</v>
      </c>
      <c r="N134" s="753"/>
      <c r="O134" s="754"/>
      <c r="P134" s="755"/>
      <c r="R134" s="233"/>
      <c r="S134" s="233"/>
      <c r="T134" s="233"/>
      <c r="U134" s="233"/>
      <c r="V134" s="233"/>
      <c r="W134" s="233"/>
      <c r="X134" s="233"/>
      <c r="Y134" s="233"/>
      <c r="Z134" s="233"/>
      <c r="AA134" s="233"/>
      <c r="AB134" s="233"/>
      <c r="AC134" s="233"/>
      <c r="AD134" s="233"/>
      <c r="AE134" s="233"/>
      <c r="AF134" s="233"/>
      <c r="AG134" s="233"/>
      <c r="AH134" s="233"/>
    </row>
    <row r="135" spans="1:36" s="136" customFormat="1" ht="15.75" customHeight="1">
      <c r="B135" s="234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69"/>
      <c r="O135" s="269"/>
      <c r="P135" s="269"/>
      <c r="R135" s="233"/>
      <c r="S135" s="233"/>
      <c r="T135" s="233"/>
      <c r="U135" s="233"/>
      <c r="V135" s="233"/>
      <c r="W135" s="233"/>
      <c r="X135" s="233"/>
      <c r="Y135" s="233"/>
      <c r="Z135" s="233"/>
      <c r="AA135" s="233"/>
      <c r="AB135" s="233"/>
      <c r="AC135" s="233"/>
      <c r="AD135" s="233"/>
      <c r="AE135" s="233"/>
      <c r="AF135" s="233"/>
      <c r="AG135" s="233"/>
      <c r="AH135" s="233"/>
    </row>
    <row r="136" spans="1:36" s="136" customFormat="1" ht="15.75" customHeight="1">
      <c r="A136" s="682" t="s">
        <v>191</v>
      </c>
      <c r="B136" s="683"/>
      <c r="C136" s="254" t="s">
        <v>47</v>
      </c>
      <c r="D136" s="670" t="s">
        <v>12</v>
      </c>
      <c r="E136" s="671"/>
      <c r="F136" s="672"/>
      <c r="G136" s="670" t="s">
        <v>53</v>
      </c>
      <c r="H136" s="671"/>
      <c r="I136" s="793"/>
      <c r="J136" s="255" t="s">
        <v>54</v>
      </c>
      <c r="K136" s="256" t="s">
        <v>55</v>
      </c>
      <c r="L136" s="256" t="s">
        <v>56</v>
      </c>
      <c r="M136" s="256" t="s">
        <v>11</v>
      </c>
      <c r="N136" s="257" t="s">
        <v>333</v>
      </c>
      <c r="O136" s="761" t="s">
        <v>51</v>
      </c>
      <c r="P136" s="762"/>
      <c r="R136" s="233"/>
      <c r="S136" s="233"/>
      <c r="T136" s="233"/>
      <c r="U136" s="233"/>
      <c r="V136" s="233"/>
      <c r="W136" s="233"/>
      <c r="X136" s="233"/>
      <c r="Y136" s="233"/>
      <c r="Z136" s="233"/>
      <c r="AA136" s="233"/>
      <c r="AB136" s="233"/>
      <c r="AC136" s="233"/>
      <c r="AD136" s="233"/>
      <c r="AE136" s="233"/>
      <c r="AF136" s="233"/>
      <c r="AG136" s="233"/>
      <c r="AH136" s="233"/>
      <c r="AI136" s="233"/>
      <c r="AJ136" s="233"/>
    </row>
    <row r="137" spans="1:36" s="136" customFormat="1" ht="50.15" customHeight="1">
      <c r="A137" s="794">
        <v>3</v>
      </c>
      <c r="B137" s="797" t="s">
        <v>429</v>
      </c>
      <c r="C137" s="258">
        <v>1</v>
      </c>
      <c r="D137" s="239" t="s">
        <v>342</v>
      </c>
      <c r="E137" s="240"/>
      <c r="F137" s="241"/>
      <c r="G137" s="248" t="s">
        <v>459</v>
      </c>
      <c r="H137" s="247"/>
      <c r="I137" s="248"/>
      <c r="J137" s="259">
        <v>2.4499999999999997</v>
      </c>
      <c r="K137" s="260">
        <v>4.5906498960413362E-3</v>
      </c>
      <c r="L137" s="259">
        <v>669</v>
      </c>
      <c r="M137" s="327">
        <f t="shared" ref="M137:M141" si="14">L137*J137</f>
        <v>1639.0499999999997</v>
      </c>
      <c r="N137" s="272"/>
      <c r="O137" s="800" t="s">
        <v>478</v>
      </c>
      <c r="P137" s="801"/>
      <c r="R137" s="233"/>
      <c r="S137" s="410"/>
      <c r="T137" s="410"/>
      <c r="U137" s="233"/>
      <c r="V137" s="233"/>
      <c r="W137" s="233"/>
      <c r="X137" s="233"/>
      <c r="Y137" s="233"/>
      <c r="Z137" s="233"/>
      <c r="AA137" s="233"/>
      <c r="AB137" s="233"/>
      <c r="AC137" s="233"/>
      <c r="AD137" s="233"/>
      <c r="AE137" s="233"/>
      <c r="AF137" s="233"/>
      <c r="AG137" s="233"/>
      <c r="AH137" s="233"/>
      <c r="AI137" s="233"/>
      <c r="AJ137" s="233"/>
    </row>
    <row r="138" spans="1:36" s="136" customFormat="1" ht="50.15" customHeight="1">
      <c r="A138" s="795"/>
      <c r="B138" s="798"/>
      <c r="C138" s="258">
        <v>2</v>
      </c>
      <c r="D138" s="239" t="s">
        <v>342</v>
      </c>
      <c r="E138" s="240"/>
      <c r="F138" s="241"/>
      <c r="G138" s="248" t="s">
        <v>458</v>
      </c>
      <c r="H138" s="247"/>
      <c r="I138" s="248"/>
      <c r="J138" s="259">
        <v>1.17</v>
      </c>
      <c r="K138" s="260">
        <v>4.7437248432290495E-3</v>
      </c>
      <c r="L138" s="259">
        <v>1373</v>
      </c>
      <c r="M138" s="327">
        <f t="shared" si="14"/>
        <v>1606.4099999999999</v>
      </c>
      <c r="N138" s="272"/>
      <c r="O138" s="756" t="s">
        <v>602</v>
      </c>
      <c r="P138" s="757"/>
      <c r="R138" s="233"/>
      <c r="S138" s="410"/>
      <c r="T138" s="417"/>
      <c r="U138" s="233"/>
      <c r="V138" s="233"/>
      <c r="W138" s="233"/>
      <c r="X138" s="233"/>
      <c r="Y138" s="233"/>
      <c r="Z138" s="233"/>
      <c r="AA138" s="233"/>
      <c r="AB138" s="233"/>
      <c r="AC138" s="233"/>
      <c r="AD138" s="233"/>
      <c r="AE138" s="233"/>
      <c r="AF138" s="233"/>
      <c r="AG138" s="233"/>
      <c r="AH138" s="233"/>
      <c r="AI138" s="233"/>
      <c r="AJ138" s="233"/>
    </row>
    <row r="139" spans="1:36" s="136" customFormat="1" ht="50.15" customHeight="1">
      <c r="A139" s="795"/>
      <c r="B139" s="798"/>
      <c r="C139" s="258">
        <v>3</v>
      </c>
      <c r="D139" s="239" t="s">
        <v>342</v>
      </c>
      <c r="E139" s="240"/>
      <c r="F139" s="241"/>
      <c r="G139" s="248" t="s">
        <v>586</v>
      </c>
      <c r="H139" s="247"/>
      <c r="I139" s="248"/>
      <c r="J139" s="259">
        <v>1.1599999999999999</v>
      </c>
      <c r="K139" s="260">
        <v>6.2600436524116758E-3</v>
      </c>
      <c r="L139" s="259">
        <v>1044</v>
      </c>
      <c r="M139" s="327">
        <f t="shared" si="14"/>
        <v>1211.04</v>
      </c>
      <c r="N139" s="272"/>
      <c r="O139" s="756" t="s">
        <v>699</v>
      </c>
      <c r="P139" s="757"/>
      <c r="R139" s="410"/>
      <c r="S139" s="410"/>
      <c r="T139" s="417"/>
      <c r="U139" s="233"/>
      <c r="V139" s="233"/>
      <c r="W139" s="233"/>
      <c r="X139" s="233"/>
      <c r="Y139" s="233"/>
      <c r="Z139" s="233"/>
      <c r="AA139" s="233"/>
      <c r="AB139" s="233"/>
      <c r="AC139" s="233"/>
      <c r="AD139" s="233"/>
      <c r="AE139" s="233"/>
      <c r="AF139" s="233"/>
      <c r="AG139" s="233"/>
      <c r="AH139" s="233"/>
      <c r="AI139" s="233"/>
      <c r="AJ139" s="233"/>
    </row>
    <row r="140" spans="1:36" s="136" customFormat="1" ht="50.15" customHeight="1">
      <c r="A140" s="795"/>
      <c r="B140" s="798"/>
      <c r="C140" s="258">
        <v>4</v>
      </c>
      <c r="D140" s="239"/>
      <c r="E140" s="240"/>
      <c r="F140" s="241"/>
      <c r="G140" s="246"/>
      <c r="H140" s="247"/>
      <c r="I140" s="248"/>
      <c r="J140" s="271"/>
      <c r="K140" s="260"/>
      <c r="L140" s="259"/>
      <c r="M140" s="327">
        <f t="shared" si="14"/>
        <v>0</v>
      </c>
      <c r="N140" s="272"/>
      <c r="O140" s="756"/>
      <c r="P140" s="757"/>
      <c r="R140" s="233"/>
      <c r="S140" s="233"/>
      <c r="T140"/>
      <c r="U140" s="233"/>
      <c r="V140" s="233"/>
      <c r="W140" s="233"/>
      <c r="X140" s="233"/>
      <c r="Y140" s="233"/>
      <c r="Z140" s="233"/>
      <c r="AA140" s="233"/>
      <c r="AB140" s="233"/>
      <c r="AC140" s="233"/>
      <c r="AD140" s="233"/>
      <c r="AE140" s="233"/>
      <c r="AF140" s="233"/>
      <c r="AG140" s="233"/>
      <c r="AH140" s="233"/>
      <c r="AI140" s="233"/>
      <c r="AJ140" s="233"/>
    </row>
    <row r="141" spans="1:36" s="136" customFormat="1" ht="30" customHeight="1" thickBot="1">
      <c r="A141" s="795"/>
      <c r="B141" s="798"/>
      <c r="C141" s="264">
        <v>5</v>
      </c>
      <c r="D141" s="246"/>
      <c r="E141" s="247"/>
      <c r="F141" s="248"/>
      <c r="G141" s="391"/>
      <c r="H141" s="392"/>
      <c r="I141" s="393"/>
      <c r="J141" s="274"/>
      <c r="K141" s="266"/>
      <c r="L141" s="275"/>
      <c r="M141" s="327">
        <f t="shared" si="14"/>
        <v>0</v>
      </c>
      <c r="N141" s="272"/>
      <c r="O141" s="756"/>
      <c r="P141" s="757"/>
      <c r="R141" s="233"/>
      <c r="S141" s="233"/>
      <c r="T141"/>
      <c r="U141" s="233"/>
      <c r="V141" s="233"/>
      <c r="W141" s="233"/>
      <c r="X141" s="233"/>
      <c r="Y141" s="233"/>
      <c r="Z141" s="233"/>
      <c r="AA141" s="233"/>
      <c r="AB141" s="233"/>
      <c r="AC141" s="233"/>
      <c r="AD141" s="233"/>
      <c r="AE141" s="233"/>
      <c r="AF141" s="233"/>
      <c r="AG141" s="233"/>
      <c r="AH141" s="233"/>
      <c r="AI141" s="233"/>
      <c r="AJ141" s="233"/>
    </row>
    <row r="142" spans="1:36" s="136" customFormat="1" ht="15.75" customHeight="1" thickTop="1">
      <c r="A142" s="796"/>
      <c r="B142" s="799"/>
      <c r="C142" s="660"/>
      <c r="D142" s="661"/>
      <c r="E142" s="661"/>
      <c r="F142" s="661"/>
      <c r="G142" s="661"/>
      <c r="H142" s="661"/>
      <c r="I142" s="802"/>
      <c r="J142" s="276" t="s">
        <v>58</v>
      </c>
      <c r="K142" s="213" t="e">
        <f>M142/'生產管理報表 7-1 (週)'!$B$53</f>
        <v>#DIV/0!</v>
      </c>
      <c r="L142" s="276" t="s">
        <v>59</v>
      </c>
      <c r="M142" s="328">
        <f>SUM(M137:M141)</f>
        <v>4456.5</v>
      </c>
      <c r="N142" s="758"/>
      <c r="O142" s="759"/>
      <c r="P142" s="760"/>
      <c r="R142" s="233"/>
      <c r="S142" s="233"/>
      <c r="T142"/>
      <c r="U142" s="233"/>
      <c r="V142" s="233"/>
      <c r="W142" s="233"/>
      <c r="X142" s="233"/>
      <c r="Y142" s="233"/>
      <c r="Z142" s="233"/>
      <c r="AA142" s="233"/>
      <c r="AB142" s="233"/>
      <c r="AC142" s="233"/>
      <c r="AD142" s="233"/>
      <c r="AE142" s="233"/>
      <c r="AF142" s="233"/>
      <c r="AG142" s="233"/>
      <c r="AH142" s="233"/>
      <c r="AI142" s="233"/>
      <c r="AJ142" s="233"/>
    </row>
  </sheetData>
  <mergeCells count="286"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1:M32"/>
    <mergeCell ref="A33:A34"/>
    <mergeCell ref="B33:C33"/>
    <mergeCell ref="D33:E33"/>
    <mergeCell ref="F33:G33"/>
    <mergeCell ref="H33:I33"/>
    <mergeCell ref="J33:K33"/>
    <mergeCell ref="L33:M33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N5:O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2" manualBreakCount="2">
    <brk id="58" max="16" man="1"/>
    <brk id="86" max="16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92D050"/>
    <outlinePr summaryBelow="0" summaryRight="0"/>
  </sheetPr>
  <dimension ref="A1:U183"/>
  <sheetViews>
    <sheetView view="pageBreakPreview" topLeftCell="A158" zoomScale="91" zoomScaleNormal="60" zoomScaleSheetLayoutView="91" workbookViewId="0">
      <selection activeCell="O169" sqref="O169:P169"/>
    </sheetView>
  </sheetViews>
  <sheetFormatPr defaultColWidth="12.54296875" defaultRowHeight="15.75" customHeight="1"/>
  <cols>
    <col min="1" max="1" width="5.453125" style="2" customWidth="1"/>
    <col min="2" max="2" width="11.453125" style="98" customWidth="1"/>
    <col min="3" max="3" width="4" style="97" customWidth="1"/>
    <col min="4" max="4" width="9.54296875" style="2" customWidth="1"/>
    <col min="5" max="5" width="10.26953125" style="2" customWidth="1"/>
    <col min="6" max="15" width="9.54296875" style="2" customWidth="1"/>
    <col min="16" max="16" width="51.453125" style="2" customWidth="1"/>
    <col min="17" max="16384" width="12.54296875" style="2"/>
  </cols>
  <sheetData>
    <row r="1" spans="1:21" s="99" customFormat="1" ht="15.75" customHeight="1">
      <c r="A1" s="508" t="s">
        <v>367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</row>
    <row r="2" spans="1:21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</row>
    <row r="3" spans="1:21" s="136" customFormat="1" ht="15.75" customHeight="1">
      <c r="A3" s="813" t="s">
        <v>570</v>
      </c>
      <c r="B3" s="813"/>
      <c r="C3" s="813"/>
      <c r="D3" s="813"/>
      <c r="E3" s="813"/>
      <c r="F3" s="813"/>
      <c r="G3" s="813"/>
      <c r="H3" s="813"/>
      <c r="I3" s="813"/>
      <c r="J3" s="813"/>
      <c r="K3" s="813"/>
      <c r="L3" s="813"/>
      <c r="M3" s="813"/>
      <c r="R3" s="233"/>
      <c r="S3" s="233"/>
      <c r="T3" s="233"/>
      <c r="U3" s="233"/>
    </row>
    <row r="4" spans="1:21" s="137" customFormat="1" ht="15.75" customHeight="1">
      <c r="A4" s="679"/>
      <c r="B4" s="679"/>
      <c r="C4" s="679"/>
      <c r="D4" s="679"/>
      <c r="E4" s="679"/>
      <c r="F4" s="679"/>
      <c r="G4" s="679"/>
      <c r="H4" s="679"/>
      <c r="I4" s="679"/>
      <c r="J4" s="679"/>
      <c r="K4" s="679"/>
      <c r="L4" s="679"/>
      <c r="M4" s="679"/>
    </row>
    <row r="5" spans="1:21" s="136" customFormat="1" ht="15.75" customHeight="1">
      <c r="A5" s="680" t="s">
        <v>191</v>
      </c>
      <c r="B5" s="682">
        <v>1</v>
      </c>
      <c r="C5" s="683"/>
      <c r="D5" s="682">
        <v>2</v>
      </c>
      <c r="E5" s="683"/>
      <c r="F5" s="682">
        <v>3</v>
      </c>
      <c r="G5" s="683"/>
      <c r="H5" s="673">
        <v>4</v>
      </c>
      <c r="I5" s="674"/>
      <c r="J5" s="673">
        <v>5</v>
      </c>
      <c r="K5" s="674"/>
      <c r="L5" s="673">
        <v>6</v>
      </c>
      <c r="M5" s="674"/>
      <c r="N5" s="673">
        <v>7</v>
      </c>
      <c r="O5" s="674"/>
      <c r="P5" s="329">
        <v>8</v>
      </c>
    </row>
    <row r="6" spans="1:21" s="136" customFormat="1" ht="15.75" customHeight="1">
      <c r="A6" s="681"/>
      <c r="B6" s="677" t="s">
        <v>463</v>
      </c>
      <c r="C6" s="678"/>
      <c r="D6" s="677" t="s">
        <v>212</v>
      </c>
      <c r="E6" s="678"/>
      <c r="F6" s="677" t="s">
        <v>166</v>
      </c>
      <c r="G6" s="678"/>
      <c r="H6" s="675" t="s">
        <v>436</v>
      </c>
      <c r="I6" s="676"/>
      <c r="J6" s="675" t="s">
        <v>189</v>
      </c>
      <c r="K6" s="676"/>
      <c r="L6" s="675" t="s">
        <v>167</v>
      </c>
      <c r="M6" s="676"/>
      <c r="N6" s="675" t="s">
        <v>190</v>
      </c>
      <c r="O6" s="676"/>
      <c r="P6" s="330" t="s">
        <v>217</v>
      </c>
    </row>
    <row r="7" spans="1:21" s="136" customFormat="1" ht="15.75" customHeight="1">
      <c r="B7" s="234"/>
      <c r="C7" s="235"/>
    </row>
    <row r="8" spans="1:21" s="280" customFormat="1" ht="15.75" customHeight="1">
      <c r="A8" s="684" t="s">
        <v>191</v>
      </c>
      <c r="B8" s="685"/>
      <c r="C8" s="277" t="s">
        <v>47</v>
      </c>
      <c r="D8" s="686" t="s">
        <v>12</v>
      </c>
      <c r="E8" s="687"/>
      <c r="F8" s="688"/>
      <c r="G8" s="689" t="s">
        <v>53</v>
      </c>
      <c r="H8" s="690"/>
      <c r="I8" s="691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692" t="s">
        <v>51</v>
      </c>
      <c r="P8" s="693"/>
      <c r="R8" s="211"/>
      <c r="S8" s="263"/>
    </row>
    <row r="9" spans="1:21" s="300" customFormat="1" ht="20.149999999999999" customHeight="1">
      <c r="A9" s="694">
        <v>4</v>
      </c>
      <c r="B9" s="697" t="s">
        <v>436</v>
      </c>
      <c r="C9" s="281">
        <v>1</v>
      </c>
      <c r="D9" s="239"/>
      <c r="E9" s="240"/>
      <c r="F9" s="241"/>
      <c r="G9" s="356"/>
      <c r="H9" s="307"/>
      <c r="I9" s="308"/>
      <c r="J9" s="314"/>
      <c r="K9" s="315"/>
      <c r="L9" s="316"/>
      <c r="M9" s="324">
        <f t="shared" ref="M9:M13" si="0">L9*J9</f>
        <v>0</v>
      </c>
      <c r="N9" s="316"/>
      <c r="O9" s="700"/>
      <c r="P9" s="701"/>
      <c r="R9" s="317"/>
      <c r="S9" s="263"/>
    </row>
    <row r="10" spans="1:21" s="300" customFormat="1" ht="20.149999999999999" customHeight="1">
      <c r="A10" s="695"/>
      <c r="B10" s="698"/>
      <c r="C10" s="281">
        <v>2</v>
      </c>
      <c r="D10" s="239"/>
      <c r="E10" s="240"/>
      <c r="F10" s="241"/>
      <c r="G10" s="356"/>
      <c r="H10" s="307"/>
      <c r="I10" s="308"/>
      <c r="J10" s="314"/>
      <c r="K10" s="315"/>
      <c r="L10" s="316"/>
      <c r="M10" s="324">
        <f t="shared" si="0"/>
        <v>0</v>
      </c>
      <c r="N10" s="316"/>
      <c r="O10" s="702"/>
      <c r="P10" s="703"/>
      <c r="R10" s="317"/>
      <c r="S10" s="211"/>
      <c r="T10" s="338"/>
    </row>
    <row r="11" spans="1:21" s="300" customFormat="1" ht="20.149999999999999" customHeight="1">
      <c r="A11" s="695"/>
      <c r="B11" s="698"/>
      <c r="C11" s="281">
        <v>3</v>
      </c>
      <c r="D11" s="239"/>
      <c r="E11" s="240"/>
      <c r="F11" s="241"/>
      <c r="G11" s="356"/>
      <c r="H11" s="307"/>
      <c r="I11" s="308"/>
      <c r="J11" s="314"/>
      <c r="K11" s="315"/>
      <c r="L11" s="316"/>
      <c r="M11" s="324">
        <f t="shared" si="0"/>
        <v>0</v>
      </c>
      <c r="N11" s="316"/>
      <c r="O11" s="700"/>
      <c r="P11" s="701"/>
      <c r="R11" s="317"/>
      <c r="S11" s="263"/>
    </row>
    <row r="12" spans="1:21" s="300" customFormat="1" ht="20.149999999999999" customHeight="1">
      <c r="A12" s="695"/>
      <c r="B12" s="698"/>
      <c r="C12" s="281">
        <v>4</v>
      </c>
      <c r="D12" s="239"/>
      <c r="E12" s="240"/>
      <c r="F12" s="241"/>
      <c r="G12" s="356"/>
      <c r="H12" s="307"/>
      <c r="I12" s="308"/>
      <c r="J12" s="314"/>
      <c r="K12" s="315"/>
      <c r="L12" s="316"/>
      <c r="M12" s="324">
        <f t="shared" si="0"/>
        <v>0</v>
      </c>
      <c r="N12" s="316"/>
      <c r="O12" s="700"/>
      <c r="P12" s="701"/>
      <c r="R12" s="317"/>
      <c r="S12" s="211"/>
      <c r="T12" s="338"/>
    </row>
    <row r="13" spans="1:21" s="300" customFormat="1" ht="20.149999999999999" customHeight="1" thickBot="1">
      <c r="A13" s="695"/>
      <c r="B13" s="698"/>
      <c r="C13" s="281">
        <v>5</v>
      </c>
      <c r="D13" s="239"/>
      <c r="E13" s="247"/>
      <c r="F13" s="248"/>
      <c r="G13" s="356"/>
      <c r="H13" s="307"/>
      <c r="I13" s="308"/>
      <c r="J13" s="406"/>
      <c r="K13" s="400"/>
      <c r="L13" s="319"/>
      <c r="M13" s="324">
        <f t="shared" si="0"/>
        <v>0</v>
      </c>
      <c r="N13" s="316"/>
      <c r="O13" s="700"/>
      <c r="P13" s="701"/>
      <c r="R13" s="320"/>
      <c r="S13" s="263"/>
      <c r="T13" s="291"/>
    </row>
    <row r="14" spans="1:21" s="291" customFormat="1" ht="15.75" customHeight="1" thickTop="1" thickBot="1">
      <c r="A14" s="696"/>
      <c r="B14" s="699"/>
      <c r="C14" s="708"/>
      <c r="D14" s="709"/>
      <c r="E14" s="709"/>
      <c r="F14" s="709"/>
      <c r="G14" s="709"/>
      <c r="H14" s="709"/>
      <c r="I14" s="710"/>
      <c r="J14" s="351" t="s">
        <v>58</v>
      </c>
      <c r="K14" s="213">
        <f>M14/'生產管理報表 7-1 (週)'!$B$9</f>
        <v>0</v>
      </c>
      <c r="L14" s="352" t="s">
        <v>59</v>
      </c>
      <c r="M14" s="407">
        <f>SUM(M9:M13)</f>
        <v>0</v>
      </c>
      <c r="N14" s="711"/>
      <c r="O14" s="712"/>
      <c r="P14" s="713"/>
      <c r="R14" s="211"/>
      <c r="S14" s="211"/>
    </row>
    <row r="15" spans="1:21" s="291" customFormat="1" ht="15.75" customHeight="1" thickTop="1">
      <c r="B15" s="299"/>
      <c r="C15" s="300"/>
      <c r="M15" s="331"/>
      <c r="S15" s="263"/>
    </row>
    <row r="16" spans="1:21" s="291" customFormat="1" ht="15.75" customHeight="1">
      <c r="A16" s="684" t="s">
        <v>191</v>
      </c>
      <c r="B16" s="685"/>
      <c r="C16" s="277" t="s">
        <v>47</v>
      </c>
      <c r="D16" s="686" t="s">
        <v>12</v>
      </c>
      <c r="E16" s="687"/>
      <c r="F16" s="688"/>
      <c r="G16" s="689" t="s">
        <v>53</v>
      </c>
      <c r="H16" s="690"/>
      <c r="I16" s="691"/>
      <c r="J16" s="278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692" t="s">
        <v>51</v>
      </c>
      <c r="P16" s="693"/>
      <c r="S16" s="211"/>
      <c r="T16" s="338"/>
    </row>
    <row r="17" spans="1:20" s="300" customFormat="1" ht="40" customHeight="1">
      <c r="A17" s="694">
        <v>5</v>
      </c>
      <c r="B17" s="714" t="s">
        <v>215</v>
      </c>
      <c r="C17" s="281">
        <v>1</v>
      </c>
      <c r="D17" s="239"/>
      <c r="E17" s="240"/>
      <c r="F17" s="241"/>
      <c r="G17" s="308"/>
      <c r="H17" s="307"/>
      <c r="I17" s="308"/>
      <c r="J17" s="314"/>
      <c r="K17" s="315"/>
      <c r="L17" s="316"/>
      <c r="M17" s="324">
        <f>L17*J17</f>
        <v>0</v>
      </c>
      <c r="N17" s="316"/>
      <c r="O17" s="702"/>
      <c r="P17" s="703"/>
      <c r="R17" s="415"/>
      <c r="S17" s="408"/>
    </row>
    <row r="18" spans="1:20" s="300" customFormat="1" ht="20.149999999999999" customHeight="1">
      <c r="A18" s="695"/>
      <c r="B18" s="715"/>
      <c r="C18" s="281">
        <v>2</v>
      </c>
      <c r="D18" s="239"/>
      <c r="E18" s="240"/>
      <c r="F18" s="241"/>
      <c r="G18" s="356"/>
      <c r="H18" s="307"/>
      <c r="I18" s="308"/>
      <c r="J18" s="314"/>
      <c r="K18" s="315"/>
      <c r="L18" s="316"/>
      <c r="M18" s="324">
        <f t="shared" ref="M18:M21" si="1">L18*J18</f>
        <v>0</v>
      </c>
      <c r="N18" s="316"/>
      <c r="O18" s="702"/>
      <c r="P18" s="703"/>
      <c r="S18" s="211"/>
      <c r="T18" s="339"/>
    </row>
    <row r="19" spans="1:20" s="291" customFormat="1" ht="20.149999999999999" customHeight="1">
      <c r="A19" s="695"/>
      <c r="B19" s="715"/>
      <c r="C19" s="281">
        <v>3</v>
      </c>
      <c r="D19" s="239"/>
      <c r="E19" s="283"/>
      <c r="F19" s="284"/>
      <c r="G19" s="356"/>
      <c r="H19" s="307"/>
      <c r="I19" s="308"/>
      <c r="J19" s="314"/>
      <c r="K19" s="315"/>
      <c r="L19" s="316"/>
      <c r="M19" s="324">
        <f t="shared" si="1"/>
        <v>0</v>
      </c>
      <c r="N19" s="290"/>
      <c r="O19" s="719"/>
      <c r="P19" s="720"/>
    </row>
    <row r="20" spans="1:20" s="291" customFormat="1" ht="20.149999999999999" customHeight="1">
      <c r="A20" s="695"/>
      <c r="B20" s="715"/>
      <c r="C20" s="281">
        <v>4</v>
      </c>
      <c r="D20" s="239"/>
      <c r="E20" s="283"/>
      <c r="F20" s="284"/>
      <c r="G20" s="356"/>
      <c r="H20" s="307"/>
      <c r="I20" s="308"/>
      <c r="J20" s="314"/>
      <c r="K20" s="315"/>
      <c r="L20" s="316"/>
      <c r="M20" s="324">
        <f t="shared" si="1"/>
        <v>0</v>
      </c>
      <c r="N20" s="290"/>
      <c r="O20" s="702"/>
      <c r="P20" s="703"/>
    </row>
    <row r="21" spans="1:20" s="291" customFormat="1" ht="20.149999999999999" customHeight="1" thickBot="1">
      <c r="A21" s="695"/>
      <c r="B21" s="715"/>
      <c r="C21" s="281">
        <v>5</v>
      </c>
      <c r="D21" s="246"/>
      <c r="E21" s="293"/>
      <c r="F21" s="294"/>
      <c r="G21" s="356"/>
      <c r="H21" s="307"/>
      <c r="I21" s="308"/>
      <c r="J21" s="406"/>
      <c r="K21" s="400"/>
      <c r="L21" s="319"/>
      <c r="M21" s="324">
        <f t="shared" si="1"/>
        <v>0</v>
      </c>
      <c r="N21" s="290"/>
      <c r="O21" s="814"/>
      <c r="P21" s="815"/>
      <c r="R21" s="212"/>
    </row>
    <row r="22" spans="1:20" s="291" customFormat="1" ht="15.75" customHeight="1" thickTop="1" thickBot="1">
      <c r="A22" s="696"/>
      <c r="B22" s="716"/>
      <c r="C22" s="723"/>
      <c r="D22" s="724"/>
      <c r="E22" s="724"/>
      <c r="F22" s="724"/>
      <c r="G22" s="724"/>
      <c r="H22" s="724"/>
      <c r="I22" s="725"/>
      <c r="J22" s="351" t="s">
        <v>58</v>
      </c>
      <c r="K22" s="213">
        <f>M22/'生產管理報表 7-1 (週)'!$B$9</f>
        <v>0</v>
      </c>
      <c r="L22" s="352" t="s">
        <v>59</v>
      </c>
      <c r="M22" s="407">
        <f>SUM(M17:M21)</f>
        <v>0</v>
      </c>
      <c r="N22" s="711"/>
      <c r="O22" s="712"/>
      <c r="P22" s="713"/>
      <c r="R22" s="211"/>
    </row>
    <row r="23" spans="1:20" s="291" customFormat="1" ht="15.75" customHeight="1" thickTop="1">
      <c r="B23" s="299"/>
      <c r="C23" s="300"/>
      <c r="M23" s="331"/>
      <c r="R23" s="211"/>
    </row>
    <row r="24" spans="1:20" s="291" customFormat="1" ht="15.75" customHeight="1">
      <c r="A24" s="684" t="s">
        <v>191</v>
      </c>
      <c r="B24" s="685"/>
      <c r="C24" s="305" t="s">
        <v>47</v>
      </c>
      <c r="D24" s="728" t="s">
        <v>12</v>
      </c>
      <c r="E24" s="729"/>
      <c r="F24" s="730"/>
      <c r="G24" s="731" t="s">
        <v>53</v>
      </c>
      <c r="H24" s="732"/>
      <c r="I24" s="733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692" t="s">
        <v>51</v>
      </c>
      <c r="P24" s="693"/>
      <c r="R24" s="211"/>
      <c r="S24" s="2"/>
    </row>
    <row r="25" spans="1:20" s="291" customFormat="1" ht="40" customHeight="1">
      <c r="A25" s="694">
        <v>6</v>
      </c>
      <c r="B25" s="714" t="s">
        <v>216</v>
      </c>
      <c r="C25" s="281">
        <v>1</v>
      </c>
      <c r="D25" s="340" t="s">
        <v>341</v>
      </c>
      <c r="E25" s="283"/>
      <c r="F25" s="284"/>
      <c r="G25" s="308" t="s">
        <v>335</v>
      </c>
      <c r="H25" s="307"/>
      <c r="I25" s="308"/>
      <c r="J25" s="314">
        <v>15.450000000000001</v>
      </c>
      <c r="K25" s="315">
        <v>5.0821163002193331E-3</v>
      </c>
      <c r="L25" s="316">
        <v>95</v>
      </c>
      <c r="M25" s="324">
        <f t="shared" ref="M25" si="2">L25*J25</f>
        <v>1467.75</v>
      </c>
      <c r="N25" s="290"/>
      <c r="O25" s="719" t="s">
        <v>493</v>
      </c>
      <c r="P25" s="720"/>
      <c r="R25" s="339"/>
      <c r="S25" s="416"/>
    </row>
    <row r="26" spans="1:20" s="291" customFormat="1" ht="20.149999999999999" customHeight="1">
      <c r="A26" s="695"/>
      <c r="B26" s="715"/>
      <c r="C26" s="281">
        <v>2</v>
      </c>
      <c r="D26" s="282"/>
      <c r="E26" s="283"/>
      <c r="F26" s="284"/>
      <c r="G26" s="285"/>
      <c r="H26" s="286"/>
      <c r="I26" s="287"/>
      <c r="J26" s="288"/>
      <c r="K26" s="289"/>
      <c r="L26" s="290"/>
      <c r="M26" s="333">
        <v>0</v>
      </c>
      <c r="N26" s="290"/>
      <c r="O26" s="301"/>
      <c r="P26" s="302"/>
      <c r="S26" s="2"/>
    </row>
    <row r="27" spans="1:20" s="291" customFormat="1" ht="20.149999999999999" customHeight="1">
      <c r="A27" s="695"/>
      <c r="B27" s="715"/>
      <c r="C27" s="281">
        <v>3</v>
      </c>
      <c r="D27" s="282"/>
      <c r="E27" s="283"/>
      <c r="F27" s="284"/>
      <c r="G27" s="285"/>
      <c r="H27" s="286"/>
      <c r="I27" s="287"/>
      <c r="J27" s="288"/>
      <c r="K27" s="289"/>
      <c r="L27" s="290"/>
      <c r="M27" s="333">
        <v>0</v>
      </c>
      <c r="N27" s="290"/>
      <c r="O27" s="301"/>
      <c r="P27" s="302"/>
      <c r="S27" s="2"/>
    </row>
    <row r="28" spans="1:20" s="291" customFormat="1" ht="20.149999999999999" customHeight="1">
      <c r="A28" s="695"/>
      <c r="B28" s="715"/>
      <c r="C28" s="281">
        <v>4</v>
      </c>
      <c r="D28" s="282"/>
      <c r="E28" s="283"/>
      <c r="F28" s="284"/>
      <c r="G28" s="285"/>
      <c r="H28" s="286"/>
      <c r="I28" s="287"/>
      <c r="J28" s="288"/>
      <c r="K28" s="289"/>
      <c r="L28" s="290"/>
      <c r="M28" s="333">
        <v>0</v>
      </c>
      <c r="N28" s="290"/>
      <c r="O28" s="301"/>
      <c r="P28" s="302"/>
      <c r="R28" s="2"/>
      <c r="S28" s="2"/>
    </row>
    <row r="29" spans="1:20" s="291" customFormat="1" ht="20.149999999999999" customHeight="1" thickBot="1">
      <c r="A29" s="695"/>
      <c r="B29" s="715"/>
      <c r="C29" s="281">
        <v>5</v>
      </c>
      <c r="D29" s="292"/>
      <c r="E29" s="293"/>
      <c r="F29" s="294"/>
      <c r="G29" s="285"/>
      <c r="H29" s="286"/>
      <c r="I29" s="287"/>
      <c r="J29" s="406"/>
      <c r="K29" s="400"/>
      <c r="L29" s="319"/>
      <c r="M29" s="324">
        <v>0</v>
      </c>
      <c r="N29" s="290"/>
      <c r="O29" s="303"/>
      <c r="P29" s="304"/>
      <c r="R29" s="2"/>
      <c r="S29" s="2"/>
    </row>
    <row r="30" spans="1:20" s="291" customFormat="1" ht="15.75" customHeight="1" thickTop="1" thickBot="1">
      <c r="A30" s="696"/>
      <c r="B30" s="716"/>
      <c r="C30" s="723"/>
      <c r="D30" s="724"/>
      <c r="E30" s="724"/>
      <c r="F30" s="724"/>
      <c r="G30" s="724"/>
      <c r="H30" s="724"/>
      <c r="I30" s="725"/>
      <c r="J30" s="351" t="s">
        <v>58</v>
      </c>
      <c r="K30" s="213">
        <f>M30/'生產管理報表 7-1 (週)'!$B$9</f>
        <v>1.9478953320397379E-2</v>
      </c>
      <c r="L30" s="352" t="s">
        <v>59</v>
      </c>
      <c r="M30" s="407">
        <f>SUM(M25:M29)</f>
        <v>1467.75</v>
      </c>
      <c r="N30" s="711"/>
      <c r="O30" s="712"/>
      <c r="P30" s="713"/>
      <c r="R30" s="2"/>
      <c r="S30" s="2"/>
    </row>
    <row r="31" spans="1:20" s="291" customFormat="1" ht="15.75" customHeight="1" thickTop="1">
      <c r="B31" s="299"/>
      <c r="C31" s="300"/>
      <c r="M31" s="331"/>
      <c r="R31" s="2"/>
      <c r="S31" s="2"/>
    </row>
    <row r="32" spans="1:20" s="291" customFormat="1" ht="15.75" customHeight="1">
      <c r="A32" s="684" t="s">
        <v>191</v>
      </c>
      <c r="B32" s="685"/>
      <c r="C32" s="305" t="s">
        <v>47</v>
      </c>
      <c r="D32" s="728" t="s">
        <v>12</v>
      </c>
      <c r="E32" s="729"/>
      <c r="F32" s="730"/>
      <c r="G32" s="731" t="s">
        <v>53</v>
      </c>
      <c r="H32" s="732"/>
      <c r="I32" s="733"/>
      <c r="J32" s="306" t="s">
        <v>54</v>
      </c>
      <c r="K32" s="278" t="s">
        <v>55</v>
      </c>
      <c r="L32" s="278" t="s">
        <v>56</v>
      </c>
      <c r="M32" s="332" t="s">
        <v>11</v>
      </c>
      <c r="N32" s="279" t="s">
        <v>333</v>
      </c>
      <c r="O32" s="692" t="s">
        <v>51</v>
      </c>
      <c r="P32" s="693"/>
      <c r="R32" s="2"/>
      <c r="S32" s="2"/>
    </row>
    <row r="33" spans="1:21" s="291" customFormat="1" ht="20.149999999999999" customHeight="1">
      <c r="A33" s="694">
        <v>7</v>
      </c>
      <c r="B33" s="736" t="s">
        <v>249</v>
      </c>
      <c r="C33" s="281">
        <v>1</v>
      </c>
      <c r="D33" s="282"/>
      <c r="E33" s="283"/>
      <c r="F33" s="284"/>
      <c r="G33" s="285"/>
      <c r="H33" s="286"/>
      <c r="I33" s="287"/>
      <c r="J33" s="288"/>
      <c r="K33" s="289"/>
      <c r="L33" s="290"/>
      <c r="M33" s="333">
        <f t="shared" ref="M33:M35" si="3">L33*J33</f>
        <v>0</v>
      </c>
      <c r="N33" s="290"/>
      <c r="O33" s="739"/>
      <c r="P33" s="740"/>
      <c r="R33" s="2"/>
      <c r="S33" s="2"/>
    </row>
    <row r="34" spans="1:21" s="291" customFormat="1" ht="20.149999999999999" customHeight="1">
      <c r="A34" s="695"/>
      <c r="B34" s="737"/>
      <c r="C34" s="281">
        <v>2</v>
      </c>
      <c r="D34" s="282"/>
      <c r="E34" s="283"/>
      <c r="F34" s="284"/>
      <c r="G34" s="285"/>
      <c r="H34" s="286"/>
      <c r="I34" s="287"/>
      <c r="J34" s="288"/>
      <c r="K34" s="289"/>
      <c r="L34" s="290"/>
      <c r="M34" s="333">
        <f t="shared" si="3"/>
        <v>0</v>
      </c>
      <c r="N34" s="290"/>
      <c r="O34" s="741"/>
      <c r="P34" s="742"/>
      <c r="R34" s="2"/>
      <c r="S34" s="2"/>
    </row>
    <row r="35" spans="1:21" s="291" customFormat="1" ht="20.149999999999999" customHeight="1">
      <c r="A35" s="695"/>
      <c r="B35" s="737"/>
      <c r="C35" s="281">
        <v>3</v>
      </c>
      <c r="D35" s="282"/>
      <c r="E35" s="283"/>
      <c r="F35" s="284"/>
      <c r="G35" s="285"/>
      <c r="H35" s="286"/>
      <c r="I35" s="287"/>
      <c r="J35" s="288"/>
      <c r="K35" s="289"/>
      <c r="L35" s="290"/>
      <c r="M35" s="333">
        <f t="shared" si="3"/>
        <v>0</v>
      </c>
      <c r="N35" s="290"/>
      <c r="O35" s="741"/>
      <c r="P35" s="742"/>
      <c r="R35" s="2"/>
      <c r="S35" s="2"/>
    </row>
    <row r="36" spans="1:21" s="291" customFormat="1" ht="20.149999999999999" customHeight="1">
      <c r="A36" s="695"/>
      <c r="B36" s="737"/>
      <c r="C36" s="281">
        <v>4</v>
      </c>
      <c r="D36" s="282"/>
      <c r="E36" s="283"/>
      <c r="F36" s="284"/>
      <c r="G36" s="285"/>
      <c r="H36" s="286"/>
      <c r="I36" s="287"/>
      <c r="J36" s="288"/>
      <c r="K36" s="289"/>
      <c r="L36" s="290"/>
      <c r="M36" s="334">
        <v>0</v>
      </c>
      <c r="N36" s="290"/>
      <c r="O36" s="301"/>
      <c r="P36" s="302"/>
      <c r="R36" s="2"/>
      <c r="S36" s="2"/>
    </row>
    <row r="37" spans="1:21" s="291" customFormat="1" ht="20.149999999999999" customHeight="1" thickBot="1">
      <c r="A37" s="695"/>
      <c r="B37" s="737"/>
      <c r="C37" s="281">
        <v>5</v>
      </c>
      <c r="D37" s="292"/>
      <c r="E37" s="293"/>
      <c r="F37" s="294"/>
      <c r="G37" s="285"/>
      <c r="H37" s="286"/>
      <c r="I37" s="287"/>
      <c r="J37" s="406"/>
      <c r="K37" s="400"/>
      <c r="L37" s="319"/>
      <c r="M37" s="335">
        <v>0</v>
      </c>
      <c r="N37" s="290"/>
      <c r="O37" s="303"/>
      <c r="P37" s="304"/>
      <c r="R37" s="2"/>
      <c r="S37" s="2"/>
    </row>
    <row r="38" spans="1:21" s="291" customFormat="1" ht="15.75" customHeight="1" thickTop="1" thickBot="1">
      <c r="A38" s="696"/>
      <c r="B38" s="738"/>
      <c r="C38" s="723"/>
      <c r="D38" s="724"/>
      <c r="E38" s="724"/>
      <c r="F38" s="724"/>
      <c r="G38" s="724"/>
      <c r="H38" s="724"/>
      <c r="I38" s="725"/>
      <c r="J38" s="351" t="s">
        <v>58</v>
      </c>
      <c r="K38" s="213">
        <f>M38/'生產管理報表 7-1 (週)'!$B$9</f>
        <v>0</v>
      </c>
      <c r="L38" s="352" t="s">
        <v>59</v>
      </c>
      <c r="M38" s="407">
        <f>SUM(M33:M37)</f>
        <v>0</v>
      </c>
      <c r="N38" s="711"/>
      <c r="O38" s="712"/>
      <c r="P38" s="713"/>
      <c r="R38" s="2"/>
      <c r="S38" s="2"/>
      <c r="T38" s="2"/>
    </row>
    <row r="39" spans="1:21" s="136" customFormat="1" ht="15.75" customHeight="1" thickTop="1">
      <c r="A39" s="813" t="s">
        <v>596</v>
      </c>
      <c r="B39" s="813"/>
      <c r="C39" s="813"/>
      <c r="D39" s="813"/>
      <c r="E39" s="813"/>
      <c r="F39" s="813"/>
      <c r="G39" s="813"/>
      <c r="H39" s="813"/>
      <c r="I39" s="813"/>
      <c r="J39" s="813"/>
      <c r="K39" s="813"/>
      <c r="L39" s="813"/>
      <c r="M39" s="813"/>
      <c r="R39" s="233"/>
      <c r="S39" s="233"/>
      <c r="T39" s="233"/>
      <c r="U39" s="233"/>
    </row>
    <row r="40" spans="1:21" s="137" customFormat="1" ht="15.75" customHeight="1">
      <c r="A40" s="679"/>
      <c r="B40" s="679"/>
      <c r="C40" s="679"/>
      <c r="D40" s="679"/>
      <c r="E40" s="679"/>
      <c r="F40" s="679"/>
      <c r="G40" s="679"/>
      <c r="H40" s="679"/>
      <c r="I40" s="679"/>
      <c r="J40" s="679"/>
      <c r="K40" s="679"/>
      <c r="L40" s="679"/>
      <c r="M40" s="679"/>
    </row>
    <row r="41" spans="1:21" s="136" customFormat="1" ht="15.75" customHeight="1">
      <c r="A41" s="680" t="s">
        <v>191</v>
      </c>
      <c r="B41" s="682">
        <v>1</v>
      </c>
      <c r="C41" s="683"/>
      <c r="D41" s="682">
        <v>2</v>
      </c>
      <c r="E41" s="683"/>
      <c r="F41" s="682">
        <v>3</v>
      </c>
      <c r="G41" s="683"/>
      <c r="H41" s="673">
        <v>4</v>
      </c>
      <c r="I41" s="674"/>
      <c r="J41" s="673">
        <v>5</v>
      </c>
      <c r="K41" s="674"/>
      <c r="L41" s="673">
        <v>6</v>
      </c>
      <c r="M41" s="674"/>
      <c r="N41" s="673">
        <v>7</v>
      </c>
      <c r="O41" s="674"/>
      <c r="P41" s="329">
        <v>8</v>
      </c>
    </row>
    <row r="42" spans="1:21" s="136" customFormat="1" ht="15.75" customHeight="1">
      <c r="A42" s="681"/>
      <c r="B42" s="677" t="s">
        <v>463</v>
      </c>
      <c r="C42" s="678"/>
      <c r="D42" s="677" t="s">
        <v>212</v>
      </c>
      <c r="E42" s="678"/>
      <c r="F42" s="677" t="s">
        <v>166</v>
      </c>
      <c r="G42" s="678"/>
      <c r="H42" s="675" t="s">
        <v>436</v>
      </c>
      <c r="I42" s="676"/>
      <c r="J42" s="675" t="s">
        <v>189</v>
      </c>
      <c r="K42" s="676"/>
      <c r="L42" s="675" t="s">
        <v>167</v>
      </c>
      <c r="M42" s="676"/>
      <c r="N42" s="675" t="s">
        <v>190</v>
      </c>
      <c r="O42" s="676"/>
      <c r="P42" s="330" t="s">
        <v>217</v>
      </c>
    </row>
    <row r="43" spans="1:21" s="136" customFormat="1" ht="15.75" customHeight="1">
      <c r="B43" s="234"/>
      <c r="C43" s="235"/>
    </row>
    <row r="44" spans="1:21" s="280" customFormat="1" ht="15.75" customHeight="1">
      <c r="A44" s="684" t="s">
        <v>191</v>
      </c>
      <c r="B44" s="685"/>
      <c r="C44" s="277" t="s">
        <v>47</v>
      </c>
      <c r="D44" s="686" t="s">
        <v>12</v>
      </c>
      <c r="E44" s="687"/>
      <c r="F44" s="688"/>
      <c r="G44" s="689" t="s">
        <v>53</v>
      </c>
      <c r="H44" s="690"/>
      <c r="I44" s="691"/>
      <c r="J44" s="278" t="s">
        <v>54</v>
      </c>
      <c r="K44" s="278" t="s">
        <v>55</v>
      </c>
      <c r="L44" s="278" t="s">
        <v>56</v>
      </c>
      <c r="M44" s="279" t="s">
        <v>11</v>
      </c>
      <c r="N44" s="279" t="s">
        <v>333</v>
      </c>
      <c r="O44" s="692" t="s">
        <v>51</v>
      </c>
      <c r="P44" s="693"/>
      <c r="R44" s="211"/>
      <c r="S44" s="263"/>
    </row>
    <row r="45" spans="1:21" s="300" customFormat="1" ht="20.149999999999999" customHeight="1">
      <c r="A45" s="694">
        <v>4</v>
      </c>
      <c r="B45" s="697" t="s">
        <v>436</v>
      </c>
      <c r="C45" s="281">
        <v>1</v>
      </c>
      <c r="D45" s="239"/>
      <c r="E45" s="240"/>
      <c r="F45" s="241"/>
      <c r="G45" s="356"/>
      <c r="H45" s="307"/>
      <c r="I45" s="308"/>
      <c r="J45" s="314"/>
      <c r="K45" s="315"/>
      <c r="L45" s="316"/>
      <c r="M45" s="324">
        <f t="shared" ref="M45:M49" si="4">L45*J45</f>
        <v>0</v>
      </c>
      <c r="N45" s="316"/>
      <c r="O45" s="700"/>
      <c r="P45" s="701"/>
      <c r="R45" s="317"/>
      <c r="S45" s="263"/>
    </row>
    <row r="46" spans="1:21" s="300" customFormat="1" ht="20.149999999999999" customHeight="1">
      <c r="A46" s="695"/>
      <c r="B46" s="698"/>
      <c r="C46" s="281">
        <v>2</v>
      </c>
      <c r="D46" s="239"/>
      <c r="E46" s="240"/>
      <c r="F46" s="241"/>
      <c r="G46" s="356"/>
      <c r="H46" s="307"/>
      <c r="I46" s="308"/>
      <c r="J46" s="314"/>
      <c r="K46" s="315"/>
      <c r="L46" s="316"/>
      <c r="M46" s="324">
        <f t="shared" si="4"/>
        <v>0</v>
      </c>
      <c r="N46" s="316"/>
      <c r="O46" s="702"/>
      <c r="P46" s="703"/>
      <c r="R46" s="317"/>
      <c r="S46" s="211"/>
      <c r="T46" s="338"/>
    </row>
    <row r="47" spans="1:21" s="300" customFormat="1" ht="20.149999999999999" customHeight="1">
      <c r="A47" s="695"/>
      <c r="B47" s="698"/>
      <c r="C47" s="281">
        <v>3</v>
      </c>
      <c r="D47" s="239"/>
      <c r="E47" s="240"/>
      <c r="F47" s="241"/>
      <c r="G47" s="356"/>
      <c r="H47" s="307"/>
      <c r="I47" s="308"/>
      <c r="J47" s="314"/>
      <c r="K47" s="315"/>
      <c r="L47" s="316"/>
      <c r="M47" s="324">
        <f t="shared" si="4"/>
        <v>0</v>
      </c>
      <c r="N47" s="316"/>
      <c r="O47" s="700"/>
      <c r="P47" s="701"/>
      <c r="R47" s="317"/>
      <c r="S47" s="263"/>
    </row>
    <row r="48" spans="1:21" s="300" customFormat="1" ht="20.149999999999999" customHeight="1">
      <c r="A48" s="695"/>
      <c r="B48" s="698"/>
      <c r="C48" s="281">
        <v>4</v>
      </c>
      <c r="D48" s="239"/>
      <c r="E48" s="240"/>
      <c r="F48" s="241"/>
      <c r="G48" s="356"/>
      <c r="H48" s="307"/>
      <c r="I48" s="308"/>
      <c r="J48" s="314"/>
      <c r="K48" s="315"/>
      <c r="L48" s="316"/>
      <c r="M48" s="324">
        <f t="shared" si="4"/>
        <v>0</v>
      </c>
      <c r="N48" s="316"/>
      <c r="O48" s="700"/>
      <c r="P48" s="701"/>
      <c r="R48" s="317"/>
      <c r="S48" s="211"/>
      <c r="T48" s="338"/>
    </row>
    <row r="49" spans="1:20" s="300" customFormat="1" ht="20.149999999999999" customHeight="1" thickBot="1">
      <c r="A49" s="695"/>
      <c r="B49" s="698"/>
      <c r="C49" s="281">
        <v>5</v>
      </c>
      <c r="D49" s="239"/>
      <c r="E49" s="247"/>
      <c r="F49" s="248"/>
      <c r="G49" s="356"/>
      <c r="H49" s="307"/>
      <c r="I49" s="308"/>
      <c r="J49" s="406"/>
      <c r="K49" s="400"/>
      <c r="L49" s="319"/>
      <c r="M49" s="324">
        <f t="shared" si="4"/>
        <v>0</v>
      </c>
      <c r="N49" s="316"/>
      <c r="O49" s="700"/>
      <c r="P49" s="701"/>
      <c r="R49" s="320"/>
      <c r="S49" s="263"/>
      <c r="T49" s="291"/>
    </row>
    <row r="50" spans="1:20" s="291" customFormat="1" ht="15.75" customHeight="1" thickTop="1" thickBot="1">
      <c r="A50" s="696"/>
      <c r="B50" s="699"/>
      <c r="C50" s="708"/>
      <c r="D50" s="709"/>
      <c r="E50" s="709"/>
      <c r="F50" s="709"/>
      <c r="G50" s="709"/>
      <c r="H50" s="709"/>
      <c r="I50" s="710"/>
      <c r="J50" s="351" t="s">
        <v>58</v>
      </c>
      <c r="K50" s="213">
        <f>M50/'生產管理報表 7-1 (週)'!$B$20</f>
        <v>0</v>
      </c>
      <c r="L50" s="352" t="s">
        <v>59</v>
      </c>
      <c r="M50" s="407">
        <f>SUM(M45:M49)</f>
        <v>0</v>
      </c>
      <c r="N50" s="711"/>
      <c r="O50" s="712"/>
      <c r="P50" s="713"/>
      <c r="R50" s="211"/>
      <c r="S50" s="211"/>
    </row>
    <row r="51" spans="1:20" s="291" customFormat="1" ht="15.75" customHeight="1" thickTop="1">
      <c r="B51" s="299"/>
      <c r="C51" s="300"/>
      <c r="M51" s="331"/>
      <c r="S51" s="263"/>
    </row>
    <row r="52" spans="1:20" s="291" customFormat="1" ht="15.75" customHeight="1">
      <c r="A52" s="684" t="s">
        <v>191</v>
      </c>
      <c r="B52" s="685"/>
      <c r="C52" s="277" t="s">
        <v>47</v>
      </c>
      <c r="D52" s="686" t="s">
        <v>12</v>
      </c>
      <c r="E52" s="687"/>
      <c r="F52" s="688"/>
      <c r="G52" s="689" t="s">
        <v>53</v>
      </c>
      <c r="H52" s="690"/>
      <c r="I52" s="691"/>
      <c r="J52" s="278" t="s">
        <v>54</v>
      </c>
      <c r="K52" s="278" t="s">
        <v>55</v>
      </c>
      <c r="L52" s="278" t="s">
        <v>56</v>
      </c>
      <c r="M52" s="332" t="s">
        <v>11</v>
      </c>
      <c r="N52" s="279" t="s">
        <v>333</v>
      </c>
      <c r="O52" s="692" t="s">
        <v>51</v>
      </c>
      <c r="P52" s="693"/>
      <c r="S52" s="211"/>
      <c r="T52" s="338"/>
    </row>
    <row r="53" spans="1:20" s="300" customFormat="1" ht="40" customHeight="1">
      <c r="A53" s="694">
        <v>5</v>
      </c>
      <c r="B53" s="714" t="s">
        <v>215</v>
      </c>
      <c r="C53" s="281">
        <v>1</v>
      </c>
      <c r="D53" s="239"/>
      <c r="E53" s="240"/>
      <c r="F53" s="241"/>
      <c r="G53" s="308"/>
      <c r="H53" s="307"/>
      <c r="I53" s="308"/>
      <c r="J53" s="314"/>
      <c r="K53" s="315"/>
      <c r="L53" s="316"/>
      <c r="M53" s="324">
        <f>L53*J53</f>
        <v>0</v>
      </c>
      <c r="N53" s="316"/>
      <c r="O53" s="702"/>
      <c r="P53" s="703"/>
      <c r="R53" s="415"/>
      <c r="S53" s="408"/>
    </row>
    <row r="54" spans="1:20" s="300" customFormat="1" ht="20.149999999999999" customHeight="1">
      <c r="A54" s="695"/>
      <c r="B54" s="715"/>
      <c r="C54" s="281">
        <v>2</v>
      </c>
      <c r="D54" s="239"/>
      <c r="E54" s="240"/>
      <c r="F54" s="241"/>
      <c r="G54" s="356"/>
      <c r="H54" s="307"/>
      <c r="I54" s="308"/>
      <c r="J54" s="314"/>
      <c r="K54" s="315"/>
      <c r="L54" s="316"/>
      <c r="M54" s="324">
        <f t="shared" ref="M54:M57" si="5">L54*J54</f>
        <v>0</v>
      </c>
      <c r="N54" s="316"/>
      <c r="O54" s="702"/>
      <c r="P54" s="703"/>
      <c r="S54" s="211"/>
      <c r="T54" s="339"/>
    </row>
    <row r="55" spans="1:20" s="291" customFormat="1" ht="20.149999999999999" customHeight="1">
      <c r="A55" s="695"/>
      <c r="B55" s="715"/>
      <c r="C55" s="281">
        <v>3</v>
      </c>
      <c r="D55" s="239"/>
      <c r="E55" s="283"/>
      <c r="F55" s="284"/>
      <c r="G55" s="356"/>
      <c r="H55" s="307"/>
      <c r="I55" s="308"/>
      <c r="J55" s="314"/>
      <c r="K55" s="315"/>
      <c r="L55" s="316"/>
      <c r="M55" s="324">
        <f t="shared" si="5"/>
        <v>0</v>
      </c>
      <c r="N55" s="290"/>
      <c r="O55" s="719"/>
      <c r="P55" s="720"/>
    </row>
    <row r="56" spans="1:20" s="291" customFormat="1" ht="20.149999999999999" customHeight="1">
      <c r="A56" s="695"/>
      <c r="B56" s="715"/>
      <c r="C56" s="281">
        <v>4</v>
      </c>
      <c r="D56" s="239"/>
      <c r="E56" s="283"/>
      <c r="F56" s="284"/>
      <c r="G56" s="356"/>
      <c r="H56" s="307"/>
      <c r="I56" s="308"/>
      <c r="J56" s="314"/>
      <c r="K56" s="315"/>
      <c r="L56" s="316"/>
      <c r="M56" s="324">
        <f t="shared" si="5"/>
        <v>0</v>
      </c>
      <c r="N56" s="290"/>
      <c r="O56" s="702"/>
      <c r="P56" s="703"/>
    </row>
    <row r="57" spans="1:20" s="291" customFormat="1" ht="20.149999999999999" customHeight="1" thickBot="1">
      <c r="A57" s="695"/>
      <c r="B57" s="715"/>
      <c r="C57" s="281">
        <v>5</v>
      </c>
      <c r="D57" s="246"/>
      <c r="E57" s="293"/>
      <c r="F57" s="294"/>
      <c r="G57" s="356"/>
      <c r="H57" s="307"/>
      <c r="I57" s="308"/>
      <c r="J57" s="406"/>
      <c r="K57" s="400"/>
      <c r="L57" s="319"/>
      <c r="M57" s="324">
        <f t="shared" si="5"/>
        <v>0</v>
      </c>
      <c r="N57" s="290"/>
      <c r="O57" s="814"/>
      <c r="P57" s="815"/>
      <c r="R57" s="212"/>
    </row>
    <row r="58" spans="1:20" s="291" customFormat="1" ht="15.75" customHeight="1" thickTop="1" thickBot="1">
      <c r="A58" s="696"/>
      <c r="B58" s="716"/>
      <c r="C58" s="723"/>
      <c r="D58" s="724"/>
      <c r="E58" s="724"/>
      <c r="F58" s="724"/>
      <c r="G58" s="724"/>
      <c r="H58" s="724"/>
      <c r="I58" s="725"/>
      <c r="J58" s="351" t="s">
        <v>58</v>
      </c>
      <c r="K58" s="213">
        <f>M58/'生產管理報表 7-1 (週)'!$B$20</f>
        <v>0</v>
      </c>
      <c r="L58" s="352" t="s">
        <v>59</v>
      </c>
      <c r="M58" s="407">
        <f>SUM(M53:M57)</f>
        <v>0</v>
      </c>
      <c r="N58" s="711"/>
      <c r="O58" s="712"/>
      <c r="P58" s="713"/>
      <c r="R58" s="211"/>
    </row>
    <row r="59" spans="1:20" s="291" customFormat="1" ht="15.75" customHeight="1" thickTop="1">
      <c r="B59" s="299"/>
      <c r="C59" s="300"/>
      <c r="M59" s="331"/>
      <c r="R59" s="211"/>
    </row>
    <row r="60" spans="1:20" s="291" customFormat="1" ht="15.75" customHeight="1">
      <c r="A60" s="684" t="s">
        <v>191</v>
      </c>
      <c r="B60" s="685"/>
      <c r="C60" s="305" t="s">
        <v>47</v>
      </c>
      <c r="D60" s="728" t="s">
        <v>12</v>
      </c>
      <c r="E60" s="729"/>
      <c r="F60" s="730"/>
      <c r="G60" s="731" t="s">
        <v>53</v>
      </c>
      <c r="H60" s="732"/>
      <c r="I60" s="733"/>
      <c r="J60" s="306" t="s">
        <v>54</v>
      </c>
      <c r="K60" s="278" t="s">
        <v>55</v>
      </c>
      <c r="L60" s="278" t="s">
        <v>56</v>
      </c>
      <c r="M60" s="332" t="s">
        <v>11</v>
      </c>
      <c r="N60" s="279" t="s">
        <v>333</v>
      </c>
      <c r="O60" s="692" t="s">
        <v>51</v>
      </c>
      <c r="P60" s="693"/>
      <c r="R60" s="211"/>
      <c r="S60" s="2"/>
    </row>
    <row r="61" spans="1:20" s="291" customFormat="1" ht="40" customHeight="1">
      <c r="A61" s="694">
        <v>6</v>
      </c>
      <c r="B61" s="714" t="s">
        <v>216</v>
      </c>
      <c r="C61" s="281">
        <v>1</v>
      </c>
      <c r="D61" s="459" t="s">
        <v>603</v>
      </c>
      <c r="E61" s="283"/>
      <c r="F61" s="284"/>
      <c r="G61" s="308" t="s">
        <v>335</v>
      </c>
      <c r="H61" s="307"/>
      <c r="I61" s="308"/>
      <c r="J61" s="314">
        <v>15.450000000000001</v>
      </c>
      <c r="K61" s="315">
        <v>4.0112314480545532E-3</v>
      </c>
      <c r="L61" s="316">
        <v>110</v>
      </c>
      <c r="M61" s="324">
        <f t="shared" ref="M61" si="6">L61*J61</f>
        <v>1699.5000000000002</v>
      </c>
      <c r="N61" s="290"/>
      <c r="O61" s="719" t="s">
        <v>493</v>
      </c>
      <c r="P61" s="720"/>
      <c r="R61" s="339"/>
      <c r="S61" s="416"/>
    </row>
    <row r="62" spans="1:20" s="291" customFormat="1" ht="20.149999999999999" customHeight="1">
      <c r="A62" s="695"/>
      <c r="B62" s="715"/>
      <c r="C62" s="281">
        <v>2</v>
      </c>
      <c r="D62" s="282"/>
      <c r="E62" s="283"/>
      <c r="F62" s="284"/>
      <c r="G62" s="285"/>
      <c r="H62" s="286"/>
      <c r="I62" s="287"/>
      <c r="J62" s="288"/>
      <c r="K62" s="289"/>
      <c r="L62" s="290"/>
      <c r="M62" s="333">
        <v>0</v>
      </c>
      <c r="N62" s="290"/>
      <c r="O62" s="301"/>
      <c r="P62" s="302"/>
      <c r="S62" s="2"/>
    </row>
    <row r="63" spans="1:20" s="291" customFormat="1" ht="20.149999999999999" customHeight="1">
      <c r="A63" s="695"/>
      <c r="B63" s="715"/>
      <c r="C63" s="281">
        <v>3</v>
      </c>
      <c r="D63" s="282"/>
      <c r="E63" s="283"/>
      <c r="F63" s="284"/>
      <c r="G63" s="285"/>
      <c r="H63" s="286"/>
      <c r="I63" s="287"/>
      <c r="J63" s="288"/>
      <c r="K63" s="289"/>
      <c r="L63" s="290"/>
      <c r="M63" s="333">
        <v>0</v>
      </c>
      <c r="N63" s="290"/>
      <c r="O63" s="301"/>
      <c r="P63" s="302"/>
      <c r="S63" s="2"/>
    </row>
    <row r="64" spans="1:20" s="291" customFormat="1" ht="20.149999999999999" customHeight="1">
      <c r="A64" s="695"/>
      <c r="B64" s="715"/>
      <c r="C64" s="281">
        <v>4</v>
      </c>
      <c r="D64" s="282"/>
      <c r="E64" s="283"/>
      <c r="F64" s="284"/>
      <c r="G64" s="285"/>
      <c r="H64" s="286"/>
      <c r="I64" s="287"/>
      <c r="J64" s="288"/>
      <c r="K64" s="289"/>
      <c r="L64" s="290"/>
      <c r="M64" s="333">
        <v>0</v>
      </c>
      <c r="N64" s="290"/>
      <c r="O64" s="301"/>
      <c r="P64" s="302"/>
      <c r="R64" s="2"/>
      <c r="S64" s="2"/>
    </row>
    <row r="65" spans="1:21" s="291" customFormat="1" ht="20.149999999999999" customHeight="1" thickBot="1">
      <c r="A65" s="695"/>
      <c r="B65" s="715"/>
      <c r="C65" s="281">
        <v>5</v>
      </c>
      <c r="D65" s="292"/>
      <c r="E65" s="293"/>
      <c r="F65" s="294"/>
      <c r="G65" s="285"/>
      <c r="H65" s="286"/>
      <c r="I65" s="287"/>
      <c r="J65" s="406"/>
      <c r="K65" s="400"/>
      <c r="L65" s="319"/>
      <c r="M65" s="324">
        <v>0</v>
      </c>
      <c r="N65" s="290"/>
      <c r="O65" s="303"/>
      <c r="P65" s="304"/>
      <c r="R65" s="2"/>
      <c r="S65" s="2"/>
    </row>
    <row r="66" spans="1:21" s="291" customFormat="1" ht="15.75" customHeight="1" thickTop="1" thickBot="1">
      <c r="A66" s="696"/>
      <c r="B66" s="716"/>
      <c r="C66" s="723"/>
      <c r="D66" s="724"/>
      <c r="E66" s="724"/>
      <c r="F66" s="724"/>
      <c r="G66" s="724"/>
      <c r="H66" s="724"/>
      <c r="I66" s="725"/>
      <c r="J66" s="351" t="s">
        <v>58</v>
      </c>
      <c r="K66" s="213">
        <f>M66/'生產管理報表 7-1 (週)'!$B$20</f>
        <v>2.2061483827544671E-2</v>
      </c>
      <c r="L66" s="352" t="s">
        <v>59</v>
      </c>
      <c r="M66" s="407">
        <f>SUM(M61:M65)</f>
        <v>1699.5000000000002</v>
      </c>
      <c r="N66" s="711"/>
      <c r="O66" s="712"/>
      <c r="P66" s="713"/>
      <c r="R66" s="2"/>
      <c r="S66" s="2"/>
    </row>
    <row r="67" spans="1:21" s="291" customFormat="1" ht="15.75" customHeight="1" thickTop="1">
      <c r="B67" s="299"/>
      <c r="C67" s="300"/>
      <c r="M67" s="331"/>
      <c r="R67" s="2"/>
      <c r="S67" s="2"/>
    </row>
    <row r="68" spans="1:21" s="291" customFormat="1" ht="15.75" customHeight="1">
      <c r="A68" s="684" t="s">
        <v>191</v>
      </c>
      <c r="B68" s="685"/>
      <c r="C68" s="305" t="s">
        <v>47</v>
      </c>
      <c r="D68" s="728" t="s">
        <v>12</v>
      </c>
      <c r="E68" s="729"/>
      <c r="F68" s="730"/>
      <c r="G68" s="731" t="s">
        <v>53</v>
      </c>
      <c r="H68" s="732"/>
      <c r="I68" s="733"/>
      <c r="J68" s="306" t="s">
        <v>54</v>
      </c>
      <c r="K68" s="278" t="s">
        <v>55</v>
      </c>
      <c r="L68" s="278" t="s">
        <v>56</v>
      </c>
      <c r="M68" s="332" t="s">
        <v>11</v>
      </c>
      <c r="N68" s="279" t="s">
        <v>333</v>
      </c>
      <c r="O68" s="692" t="s">
        <v>51</v>
      </c>
      <c r="P68" s="693"/>
      <c r="R68" s="2"/>
      <c r="S68" s="2"/>
    </row>
    <row r="69" spans="1:21" s="291" customFormat="1" ht="20.149999999999999" customHeight="1">
      <c r="A69" s="694">
        <v>7</v>
      </c>
      <c r="B69" s="736" t="s">
        <v>249</v>
      </c>
      <c r="C69" s="281">
        <v>1</v>
      </c>
      <c r="D69" s="282"/>
      <c r="E69" s="283"/>
      <c r="F69" s="284"/>
      <c r="G69" s="285"/>
      <c r="H69" s="286"/>
      <c r="I69" s="287"/>
      <c r="J69" s="288"/>
      <c r="K69" s="289"/>
      <c r="L69" s="290"/>
      <c r="M69" s="333">
        <f t="shared" ref="M69:M71" si="7">L69*J69</f>
        <v>0</v>
      </c>
      <c r="N69" s="290"/>
      <c r="O69" s="739"/>
      <c r="P69" s="740"/>
      <c r="R69" s="2"/>
      <c r="S69" s="2"/>
    </row>
    <row r="70" spans="1:21" s="291" customFormat="1" ht="20.149999999999999" customHeight="1">
      <c r="A70" s="695"/>
      <c r="B70" s="737"/>
      <c r="C70" s="281">
        <v>2</v>
      </c>
      <c r="D70" s="282"/>
      <c r="E70" s="283"/>
      <c r="F70" s="284"/>
      <c r="G70" s="285"/>
      <c r="H70" s="286"/>
      <c r="I70" s="287"/>
      <c r="J70" s="288"/>
      <c r="K70" s="289"/>
      <c r="L70" s="290"/>
      <c r="M70" s="333">
        <f t="shared" si="7"/>
        <v>0</v>
      </c>
      <c r="N70" s="290"/>
      <c r="O70" s="741"/>
      <c r="P70" s="742"/>
      <c r="R70" s="2"/>
      <c r="S70" s="2"/>
    </row>
    <row r="71" spans="1:21" s="291" customFormat="1" ht="20.149999999999999" customHeight="1">
      <c r="A71" s="695"/>
      <c r="B71" s="737"/>
      <c r="C71" s="281">
        <v>3</v>
      </c>
      <c r="D71" s="282"/>
      <c r="E71" s="283"/>
      <c r="F71" s="284"/>
      <c r="G71" s="285"/>
      <c r="H71" s="286"/>
      <c r="I71" s="287"/>
      <c r="J71" s="288"/>
      <c r="K71" s="289"/>
      <c r="L71" s="290"/>
      <c r="M71" s="333">
        <f t="shared" si="7"/>
        <v>0</v>
      </c>
      <c r="N71" s="290"/>
      <c r="O71" s="741"/>
      <c r="P71" s="742"/>
      <c r="R71" s="2"/>
      <c r="S71" s="2"/>
    </row>
    <row r="72" spans="1:21" s="291" customFormat="1" ht="20.149999999999999" customHeight="1">
      <c r="A72" s="695"/>
      <c r="B72" s="737"/>
      <c r="C72" s="281">
        <v>4</v>
      </c>
      <c r="D72" s="282"/>
      <c r="E72" s="283"/>
      <c r="F72" s="284"/>
      <c r="G72" s="285"/>
      <c r="H72" s="286"/>
      <c r="I72" s="287"/>
      <c r="J72" s="288"/>
      <c r="K72" s="289"/>
      <c r="L72" s="290"/>
      <c r="M72" s="334">
        <v>0</v>
      </c>
      <c r="N72" s="290"/>
      <c r="O72" s="301"/>
      <c r="P72" s="302"/>
      <c r="R72" s="2"/>
      <c r="S72" s="2"/>
    </row>
    <row r="73" spans="1:21" s="291" customFormat="1" ht="20.149999999999999" customHeight="1" thickBot="1">
      <c r="A73" s="695"/>
      <c r="B73" s="737"/>
      <c r="C73" s="281">
        <v>5</v>
      </c>
      <c r="D73" s="292"/>
      <c r="E73" s="293"/>
      <c r="F73" s="294"/>
      <c r="G73" s="285"/>
      <c r="H73" s="286"/>
      <c r="I73" s="287"/>
      <c r="J73" s="406"/>
      <c r="K73" s="400"/>
      <c r="L73" s="319"/>
      <c r="M73" s="335">
        <v>0</v>
      </c>
      <c r="N73" s="290"/>
      <c r="O73" s="303"/>
      <c r="P73" s="304"/>
      <c r="R73" s="2"/>
      <c r="S73" s="2"/>
    </row>
    <row r="74" spans="1:21" s="291" customFormat="1" ht="15.75" customHeight="1" thickTop="1" thickBot="1">
      <c r="A74" s="696"/>
      <c r="B74" s="738"/>
      <c r="C74" s="723"/>
      <c r="D74" s="724"/>
      <c r="E74" s="724"/>
      <c r="F74" s="724"/>
      <c r="G74" s="724"/>
      <c r="H74" s="724"/>
      <c r="I74" s="725"/>
      <c r="J74" s="351" t="s">
        <v>58</v>
      </c>
      <c r="K74" s="213">
        <f>M74/'生產管理報表 7-1 (週)'!$B$20</f>
        <v>0</v>
      </c>
      <c r="L74" s="352" t="s">
        <v>59</v>
      </c>
      <c r="M74" s="407">
        <f>SUM(M69:M73)</f>
        <v>0</v>
      </c>
      <c r="N74" s="711"/>
      <c r="O74" s="712"/>
      <c r="P74" s="713"/>
      <c r="R74" s="2"/>
      <c r="S74" s="2"/>
      <c r="T74" s="2"/>
    </row>
    <row r="75" spans="1:21" s="136" customFormat="1" ht="15.75" customHeight="1" thickTop="1">
      <c r="A75" s="813" t="s">
        <v>597</v>
      </c>
      <c r="B75" s="813"/>
      <c r="C75" s="813"/>
      <c r="D75" s="813"/>
      <c r="E75" s="813"/>
      <c r="F75" s="813"/>
      <c r="G75" s="813"/>
      <c r="H75" s="813"/>
      <c r="I75" s="813"/>
      <c r="J75" s="813"/>
      <c r="K75" s="813"/>
      <c r="L75" s="813"/>
      <c r="M75" s="813"/>
      <c r="R75" s="233"/>
      <c r="S75" s="233"/>
      <c r="T75" s="233"/>
      <c r="U75" s="233"/>
    </row>
    <row r="76" spans="1:21" s="137" customFormat="1" ht="15.75" customHeight="1">
      <c r="A76" s="679"/>
      <c r="B76" s="679"/>
      <c r="C76" s="679"/>
      <c r="D76" s="679"/>
      <c r="E76" s="679"/>
      <c r="F76" s="679"/>
      <c r="G76" s="679"/>
      <c r="H76" s="679"/>
      <c r="I76" s="679"/>
      <c r="J76" s="679"/>
      <c r="K76" s="679"/>
      <c r="L76" s="679"/>
      <c r="M76" s="679"/>
    </row>
    <row r="77" spans="1:21" s="136" customFormat="1" ht="15.75" customHeight="1">
      <c r="A77" s="680" t="s">
        <v>191</v>
      </c>
      <c r="B77" s="682">
        <v>1</v>
      </c>
      <c r="C77" s="683"/>
      <c r="D77" s="682">
        <v>2</v>
      </c>
      <c r="E77" s="683"/>
      <c r="F77" s="682">
        <v>3</v>
      </c>
      <c r="G77" s="683"/>
      <c r="H77" s="673">
        <v>4</v>
      </c>
      <c r="I77" s="674"/>
      <c r="J77" s="673">
        <v>5</v>
      </c>
      <c r="K77" s="674"/>
      <c r="L77" s="673">
        <v>6</v>
      </c>
      <c r="M77" s="674"/>
      <c r="N77" s="673">
        <v>7</v>
      </c>
      <c r="O77" s="674"/>
      <c r="P77" s="329">
        <v>8</v>
      </c>
    </row>
    <row r="78" spans="1:21" s="136" customFormat="1" ht="15.75" customHeight="1">
      <c r="A78" s="681"/>
      <c r="B78" s="677" t="s">
        <v>463</v>
      </c>
      <c r="C78" s="678"/>
      <c r="D78" s="677" t="s">
        <v>212</v>
      </c>
      <c r="E78" s="678"/>
      <c r="F78" s="677" t="s">
        <v>166</v>
      </c>
      <c r="G78" s="678"/>
      <c r="H78" s="675" t="s">
        <v>436</v>
      </c>
      <c r="I78" s="676"/>
      <c r="J78" s="675" t="s">
        <v>189</v>
      </c>
      <c r="K78" s="676"/>
      <c r="L78" s="675" t="s">
        <v>167</v>
      </c>
      <c r="M78" s="676"/>
      <c r="N78" s="675" t="s">
        <v>190</v>
      </c>
      <c r="O78" s="676"/>
      <c r="P78" s="330" t="s">
        <v>217</v>
      </c>
    </row>
    <row r="79" spans="1:21" s="136" customFormat="1" ht="15.75" customHeight="1">
      <c r="B79" s="234"/>
      <c r="C79" s="235"/>
    </row>
    <row r="80" spans="1:21" s="280" customFormat="1" ht="15.75" customHeight="1">
      <c r="A80" s="684" t="s">
        <v>191</v>
      </c>
      <c r="B80" s="685"/>
      <c r="C80" s="277" t="s">
        <v>47</v>
      </c>
      <c r="D80" s="686" t="s">
        <v>12</v>
      </c>
      <c r="E80" s="687"/>
      <c r="F80" s="688"/>
      <c r="G80" s="689" t="s">
        <v>53</v>
      </c>
      <c r="H80" s="690"/>
      <c r="I80" s="691"/>
      <c r="J80" s="278" t="s">
        <v>54</v>
      </c>
      <c r="K80" s="278" t="s">
        <v>55</v>
      </c>
      <c r="L80" s="278" t="s">
        <v>56</v>
      </c>
      <c r="M80" s="279" t="s">
        <v>11</v>
      </c>
      <c r="N80" s="279" t="s">
        <v>333</v>
      </c>
      <c r="O80" s="692" t="s">
        <v>51</v>
      </c>
      <c r="P80" s="693"/>
      <c r="R80" s="211"/>
      <c r="S80" s="263"/>
    </row>
    <row r="81" spans="1:20" s="300" customFormat="1" ht="20.149999999999999" customHeight="1">
      <c r="A81" s="694">
        <v>4</v>
      </c>
      <c r="B81" s="697" t="s">
        <v>436</v>
      </c>
      <c r="C81" s="281">
        <v>1</v>
      </c>
      <c r="D81" s="239"/>
      <c r="E81" s="240"/>
      <c r="F81" s="241"/>
      <c r="G81" s="356"/>
      <c r="H81" s="307"/>
      <c r="I81" s="308"/>
      <c r="J81" s="314"/>
      <c r="K81" s="315"/>
      <c r="L81" s="316"/>
      <c r="M81" s="324">
        <f t="shared" ref="M81:M85" si="8">L81*J81</f>
        <v>0</v>
      </c>
      <c r="N81" s="316"/>
      <c r="O81" s="700"/>
      <c r="P81" s="701"/>
      <c r="R81" s="317"/>
      <c r="S81" s="263"/>
    </row>
    <row r="82" spans="1:20" s="300" customFormat="1" ht="20.149999999999999" customHeight="1">
      <c r="A82" s="695"/>
      <c r="B82" s="698"/>
      <c r="C82" s="281">
        <v>2</v>
      </c>
      <c r="D82" s="239"/>
      <c r="E82" s="240"/>
      <c r="F82" s="241"/>
      <c r="G82" s="356"/>
      <c r="H82" s="307"/>
      <c r="I82" s="308"/>
      <c r="J82" s="314"/>
      <c r="K82" s="315"/>
      <c r="L82" s="316"/>
      <c r="M82" s="324">
        <f t="shared" si="8"/>
        <v>0</v>
      </c>
      <c r="N82" s="316"/>
      <c r="O82" s="702"/>
      <c r="P82" s="703"/>
      <c r="R82" s="317"/>
      <c r="S82" s="211"/>
      <c r="T82" s="338"/>
    </row>
    <row r="83" spans="1:20" s="300" customFormat="1" ht="20.149999999999999" customHeight="1">
      <c r="A83" s="695"/>
      <c r="B83" s="698"/>
      <c r="C83" s="281">
        <v>3</v>
      </c>
      <c r="D83" s="239"/>
      <c r="E83" s="240"/>
      <c r="F83" s="241"/>
      <c r="G83" s="356"/>
      <c r="H83" s="307"/>
      <c r="I83" s="308"/>
      <c r="J83" s="314"/>
      <c r="K83" s="315"/>
      <c r="L83" s="316"/>
      <c r="M83" s="324">
        <f t="shared" si="8"/>
        <v>0</v>
      </c>
      <c r="N83" s="316"/>
      <c r="O83" s="700"/>
      <c r="P83" s="701"/>
      <c r="R83" s="317"/>
      <c r="S83" s="263"/>
    </row>
    <row r="84" spans="1:20" s="300" customFormat="1" ht="20.149999999999999" customHeight="1">
      <c r="A84" s="695"/>
      <c r="B84" s="698"/>
      <c r="C84" s="281">
        <v>4</v>
      </c>
      <c r="D84" s="239"/>
      <c r="E84" s="240"/>
      <c r="F84" s="241"/>
      <c r="G84" s="356"/>
      <c r="H84" s="307"/>
      <c r="I84" s="308"/>
      <c r="J84" s="314"/>
      <c r="K84" s="315"/>
      <c r="L84" s="316"/>
      <c r="M84" s="324">
        <f t="shared" si="8"/>
        <v>0</v>
      </c>
      <c r="N84" s="316"/>
      <c r="O84" s="700"/>
      <c r="P84" s="701"/>
      <c r="R84" s="317"/>
      <c r="S84" s="211"/>
      <c r="T84" s="338"/>
    </row>
    <row r="85" spans="1:20" s="300" customFormat="1" ht="20.149999999999999" customHeight="1" thickBot="1">
      <c r="A85" s="695"/>
      <c r="B85" s="698"/>
      <c r="C85" s="281">
        <v>5</v>
      </c>
      <c r="D85" s="239"/>
      <c r="E85" s="247"/>
      <c r="F85" s="248"/>
      <c r="G85" s="356"/>
      <c r="H85" s="307"/>
      <c r="I85" s="308"/>
      <c r="J85" s="406"/>
      <c r="K85" s="400"/>
      <c r="L85" s="319"/>
      <c r="M85" s="324">
        <f t="shared" si="8"/>
        <v>0</v>
      </c>
      <c r="N85" s="316"/>
      <c r="O85" s="700"/>
      <c r="P85" s="701"/>
      <c r="R85" s="320"/>
      <c r="S85" s="263"/>
      <c r="T85" s="291"/>
    </row>
    <row r="86" spans="1:20" s="291" customFormat="1" ht="15.75" customHeight="1" thickTop="1" thickBot="1">
      <c r="A86" s="696"/>
      <c r="B86" s="699"/>
      <c r="C86" s="708"/>
      <c r="D86" s="709"/>
      <c r="E86" s="709"/>
      <c r="F86" s="709"/>
      <c r="G86" s="709"/>
      <c r="H86" s="709"/>
      <c r="I86" s="710"/>
      <c r="J86" s="351" t="s">
        <v>58</v>
      </c>
      <c r="K86" s="213" t="e">
        <f>M86/'生產管理報表 7-1 (週)'!$B$31</f>
        <v>#DIV/0!</v>
      </c>
      <c r="L86" s="352" t="s">
        <v>59</v>
      </c>
      <c r="M86" s="407">
        <f>SUM(M81:M85)</f>
        <v>0</v>
      </c>
      <c r="N86" s="711"/>
      <c r="O86" s="712"/>
      <c r="P86" s="713"/>
      <c r="R86" s="211"/>
      <c r="S86" s="211"/>
    </row>
    <row r="87" spans="1:20" s="291" customFormat="1" ht="15.75" customHeight="1" thickTop="1">
      <c r="B87" s="299"/>
      <c r="C87" s="300"/>
      <c r="M87" s="331"/>
      <c r="S87" s="263"/>
    </row>
    <row r="88" spans="1:20" s="291" customFormat="1" ht="15.75" customHeight="1">
      <c r="A88" s="684" t="s">
        <v>191</v>
      </c>
      <c r="B88" s="685"/>
      <c r="C88" s="277" t="s">
        <v>47</v>
      </c>
      <c r="D88" s="686" t="s">
        <v>12</v>
      </c>
      <c r="E88" s="687"/>
      <c r="F88" s="688"/>
      <c r="G88" s="689" t="s">
        <v>53</v>
      </c>
      <c r="H88" s="690"/>
      <c r="I88" s="691"/>
      <c r="J88" s="278" t="s">
        <v>54</v>
      </c>
      <c r="K88" s="278" t="s">
        <v>55</v>
      </c>
      <c r="L88" s="278" t="s">
        <v>56</v>
      </c>
      <c r="M88" s="332" t="s">
        <v>11</v>
      </c>
      <c r="N88" s="279" t="s">
        <v>333</v>
      </c>
      <c r="O88" s="692" t="s">
        <v>51</v>
      </c>
      <c r="P88" s="693"/>
      <c r="S88" s="211"/>
      <c r="T88" s="338"/>
    </row>
    <row r="89" spans="1:20" s="300" customFormat="1" ht="20.149999999999999" customHeight="1">
      <c r="A89" s="694">
        <v>5</v>
      </c>
      <c r="B89" s="714" t="s">
        <v>215</v>
      </c>
      <c r="C89" s="281">
        <v>1</v>
      </c>
      <c r="D89" s="239"/>
      <c r="E89" s="240"/>
      <c r="F89" s="241"/>
      <c r="G89" s="356"/>
      <c r="H89" s="307"/>
      <c r="I89" s="308"/>
      <c r="J89" s="314"/>
      <c r="K89" s="315"/>
      <c r="L89" s="316"/>
      <c r="M89" s="324">
        <f>L89*J89</f>
        <v>0</v>
      </c>
      <c r="N89" s="316"/>
      <c r="O89" s="702"/>
      <c r="P89" s="703"/>
      <c r="R89" s="415"/>
      <c r="S89" s="408"/>
    </row>
    <row r="90" spans="1:20" s="300" customFormat="1" ht="20.149999999999999" customHeight="1">
      <c r="A90" s="695"/>
      <c r="B90" s="715"/>
      <c r="C90" s="281">
        <v>2</v>
      </c>
      <c r="D90" s="239"/>
      <c r="E90" s="240"/>
      <c r="F90" s="241"/>
      <c r="G90" s="356"/>
      <c r="H90" s="307"/>
      <c r="I90" s="308"/>
      <c r="J90" s="314"/>
      <c r="K90" s="315"/>
      <c r="L90" s="316"/>
      <c r="M90" s="324">
        <f t="shared" ref="M90:M93" si="9">L90*J90</f>
        <v>0</v>
      </c>
      <c r="N90" s="316"/>
      <c r="O90" s="702"/>
      <c r="P90" s="703"/>
      <c r="S90" s="211"/>
      <c r="T90" s="339"/>
    </row>
    <row r="91" spans="1:20" s="291" customFormat="1" ht="20.149999999999999" customHeight="1">
      <c r="A91" s="695"/>
      <c r="B91" s="715"/>
      <c r="C91" s="281">
        <v>3</v>
      </c>
      <c r="D91" s="239"/>
      <c r="E91" s="283"/>
      <c r="F91" s="284"/>
      <c r="G91" s="356"/>
      <c r="H91" s="307"/>
      <c r="I91" s="308"/>
      <c r="J91" s="314"/>
      <c r="K91" s="315"/>
      <c r="L91" s="316"/>
      <c r="M91" s="324">
        <f t="shared" si="9"/>
        <v>0</v>
      </c>
      <c r="N91" s="290"/>
      <c r="O91" s="719"/>
      <c r="P91" s="720"/>
    </row>
    <row r="92" spans="1:20" s="291" customFormat="1" ht="20.149999999999999" customHeight="1">
      <c r="A92" s="695"/>
      <c r="B92" s="715"/>
      <c r="C92" s="281">
        <v>4</v>
      </c>
      <c r="D92" s="239"/>
      <c r="E92" s="283"/>
      <c r="F92" s="284"/>
      <c r="G92" s="356"/>
      <c r="H92" s="307"/>
      <c r="I92" s="308"/>
      <c r="J92" s="314"/>
      <c r="K92" s="315"/>
      <c r="L92" s="316"/>
      <c r="M92" s="324">
        <f t="shared" si="9"/>
        <v>0</v>
      </c>
      <c r="N92" s="290"/>
      <c r="O92" s="702"/>
      <c r="P92" s="703"/>
    </row>
    <row r="93" spans="1:20" s="291" customFormat="1" ht="20.149999999999999" customHeight="1" thickBot="1">
      <c r="A93" s="695"/>
      <c r="B93" s="715"/>
      <c r="C93" s="281">
        <v>5</v>
      </c>
      <c r="D93" s="246"/>
      <c r="E93" s="293"/>
      <c r="F93" s="294"/>
      <c r="G93" s="356"/>
      <c r="H93" s="307"/>
      <c r="I93" s="308"/>
      <c r="J93" s="406"/>
      <c r="K93" s="400"/>
      <c r="L93" s="319"/>
      <c r="M93" s="324">
        <f t="shared" si="9"/>
        <v>0</v>
      </c>
      <c r="N93" s="290"/>
      <c r="O93" s="814"/>
      <c r="P93" s="815"/>
      <c r="R93" s="212"/>
    </row>
    <row r="94" spans="1:20" s="291" customFormat="1" ht="15.75" customHeight="1" thickTop="1" thickBot="1">
      <c r="A94" s="696"/>
      <c r="B94" s="716"/>
      <c r="C94" s="723"/>
      <c r="D94" s="724"/>
      <c r="E94" s="724"/>
      <c r="F94" s="724"/>
      <c r="G94" s="724"/>
      <c r="H94" s="724"/>
      <c r="I94" s="725"/>
      <c r="J94" s="351" t="s">
        <v>58</v>
      </c>
      <c r="K94" s="213" t="e">
        <f>M94/'生產管理報表 7-1 (週)'!$B$31</f>
        <v>#DIV/0!</v>
      </c>
      <c r="L94" s="352" t="s">
        <v>59</v>
      </c>
      <c r="M94" s="407">
        <f>SUM(M89:M93)</f>
        <v>0</v>
      </c>
      <c r="N94" s="711"/>
      <c r="O94" s="712"/>
      <c r="P94" s="713"/>
      <c r="R94" s="211"/>
    </row>
    <row r="95" spans="1:20" s="291" customFormat="1" ht="15.75" customHeight="1" thickTop="1">
      <c r="B95" s="299"/>
      <c r="C95" s="300"/>
      <c r="M95" s="331"/>
      <c r="R95" s="211"/>
    </row>
    <row r="96" spans="1:20" s="291" customFormat="1" ht="15.75" customHeight="1">
      <c r="A96" s="684" t="s">
        <v>191</v>
      </c>
      <c r="B96" s="685"/>
      <c r="C96" s="305" t="s">
        <v>47</v>
      </c>
      <c r="D96" s="728" t="s">
        <v>12</v>
      </c>
      <c r="E96" s="729"/>
      <c r="F96" s="730"/>
      <c r="G96" s="731" t="s">
        <v>53</v>
      </c>
      <c r="H96" s="732"/>
      <c r="I96" s="733"/>
      <c r="J96" s="306" t="s">
        <v>54</v>
      </c>
      <c r="K96" s="278" t="s">
        <v>55</v>
      </c>
      <c r="L96" s="278" t="s">
        <v>56</v>
      </c>
      <c r="M96" s="332" t="s">
        <v>11</v>
      </c>
      <c r="N96" s="279" t="s">
        <v>333</v>
      </c>
      <c r="O96" s="692" t="s">
        <v>51</v>
      </c>
      <c r="P96" s="693"/>
      <c r="R96" s="211"/>
      <c r="S96" s="2"/>
    </row>
    <row r="97" spans="1:21" s="291" customFormat="1" ht="40" customHeight="1">
      <c r="A97" s="694">
        <v>6</v>
      </c>
      <c r="B97" s="714" t="s">
        <v>216</v>
      </c>
      <c r="C97" s="281">
        <v>1</v>
      </c>
      <c r="D97" s="340" t="s">
        <v>587</v>
      </c>
      <c r="E97" s="283"/>
      <c r="F97" s="284"/>
      <c r="G97" s="308" t="s">
        <v>335</v>
      </c>
      <c r="H97" s="307"/>
      <c r="I97" s="308"/>
      <c r="J97" s="314">
        <v>15.450000000000001</v>
      </c>
      <c r="K97" s="315">
        <v>3.0247813411078718E-3</v>
      </c>
      <c r="L97" s="316">
        <v>166</v>
      </c>
      <c r="M97" s="324">
        <f t="shared" ref="M97" si="10">L97*J97</f>
        <v>2564.7000000000003</v>
      </c>
      <c r="N97" s="290"/>
      <c r="O97" s="719" t="s">
        <v>493</v>
      </c>
      <c r="P97" s="720"/>
      <c r="R97" s="339"/>
      <c r="S97" s="416"/>
    </row>
    <row r="98" spans="1:21" s="291" customFormat="1" ht="20.149999999999999" customHeight="1">
      <c r="A98" s="695"/>
      <c r="B98" s="715"/>
      <c r="C98" s="281">
        <v>2</v>
      </c>
      <c r="D98" s="282"/>
      <c r="E98" s="283"/>
      <c r="F98" s="284"/>
      <c r="G98" s="285"/>
      <c r="H98" s="286"/>
      <c r="I98" s="287"/>
      <c r="J98" s="288"/>
      <c r="K98" s="289"/>
      <c r="L98" s="290"/>
      <c r="M98" s="333">
        <v>0</v>
      </c>
      <c r="N98" s="290"/>
      <c r="O98" s="301"/>
      <c r="P98" s="302"/>
      <c r="S98" s="2"/>
    </row>
    <row r="99" spans="1:21" s="291" customFormat="1" ht="20.149999999999999" customHeight="1">
      <c r="A99" s="695"/>
      <c r="B99" s="715"/>
      <c r="C99" s="281">
        <v>3</v>
      </c>
      <c r="D99" s="282"/>
      <c r="E99" s="283"/>
      <c r="F99" s="284"/>
      <c r="G99" s="285"/>
      <c r="H99" s="286"/>
      <c r="I99" s="287"/>
      <c r="J99" s="288"/>
      <c r="K99" s="289"/>
      <c r="L99" s="290"/>
      <c r="M99" s="333">
        <v>0</v>
      </c>
      <c r="N99" s="290"/>
      <c r="O99" s="301"/>
      <c r="P99" s="302"/>
      <c r="S99" s="2"/>
    </row>
    <row r="100" spans="1:21" s="291" customFormat="1" ht="20.149999999999999" customHeight="1">
      <c r="A100" s="695"/>
      <c r="B100" s="715"/>
      <c r="C100" s="281">
        <v>4</v>
      </c>
      <c r="D100" s="282"/>
      <c r="E100" s="283"/>
      <c r="F100" s="284"/>
      <c r="G100" s="285"/>
      <c r="H100" s="286"/>
      <c r="I100" s="287"/>
      <c r="J100" s="288"/>
      <c r="K100" s="289"/>
      <c r="L100" s="290"/>
      <c r="M100" s="333">
        <v>0</v>
      </c>
      <c r="N100" s="290"/>
      <c r="O100" s="301"/>
      <c r="P100" s="302"/>
      <c r="R100" s="2"/>
      <c r="S100" s="2"/>
    </row>
    <row r="101" spans="1:21" s="291" customFormat="1" ht="20.149999999999999" customHeight="1" thickBot="1">
      <c r="A101" s="695"/>
      <c r="B101" s="715"/>
      <c r="C101" s="281">
        <v>5</v>
      </c>
      <c r="D101" s="292"/>
      <c r="E101" s="293"/>
      <c r="F101" s="294"/>
      <c r="G101" s="285"/>
      <c r="H101" s="286"/>
      <c r="I101" s="287"/>
      <c r="J101" s="406"/>
      <c r="K101" s="400"/>
      <c r="L101" s="319"/>
      <c r="M101" s="324">
        <v>0</v>
      </c>
      <c r="N101" s="290"/>
      <c r="O101" s="303"/>
      <c r="P101" s="304"/>
      <c r="R101" s="2"/>
      <c r="S101" s="2"/>
    </row>
    <row r="102" spans="1:21" s="291" customFormat="1" ht="15.75" customHeight="1" thickTop="1" thickBot="1">
      <c r="A102" s="696"/>
      <c r="B102" s="716"/>
      <c r="C102" s="723"/>
      <c r="D102" s="724"/>
      <c r="E102" s="724"/>
      <c r="F102" s="724"/>
      <c r="G102" s="724"/>
      <c r="H102" s="724"/>
      <c r="I102" s="725"/>
      <c r="J102" s="351" t="s">
        <v>58</v>
      </c>
      <c r="K102" s="213" t="e">
        <f>M102/'生產管理報表 7-1 (週)'!$B$31</f>
        <v>#DIV/0!</v>
      </c>
      <c r="L102" s="352" t="s">
        <v>59</v>
      </c>
      <c r="M102" s="407">
        <f>SUM(M97:M101)</f>
        <v>2564.7000000000003</v>
      </c>
      <c r="N102" s="711"/>
      <c r="O102" s="712"/>
      <c r="P102" s="713"/>
      <c r="R102" s="2"/>
      <c r="S102" s="2"/>
    </row>
    <row r="103" spans="1:21" s="291" customFormat="1" ht="15.75" customHeight="1" thickTop="1">
      <c r="B103" s="299"/>
      <c r="C103" s="300"/>
      <c r="M103" s="331"/>
      <c r="R103" s="2"/>
      <c r="S103" s="2"/>
    </row>
    <row r="104" spans="1:21" s="291" customFormat="1" ht="15.75" customHeight="1">
      <c r="A104" s="684" t="s">
        <v>191</v>
      </c>
      <c r="B104" s="685"/>
      <c r="C104" s="305" t="s">
        <v>47</v>
      </c>
      <c r="D104" s="728" t="s">
        <v>12</v>
      </c>
      <c r="E104" s="729"/>
      <c r="F104" s="730"/>
      <c r="G104" s="731" t="s">
        <v>53</v>
      </c>
      <c r="H104" s="732"/>
      <c r="I104" s="733"/>
      <c r="J104" s="306" t="s">
        <v>54</v>
      </c>
      <c r="K104" s="278" t="s">
        <v>55</v>
      </c>
      <c r="L104" s="278" t="s">
        <v>56</v>
      </c>
      <c r="M104" s="332" t="s">
        <v>11</v>
      </c>
      <c r="N104" s="279" t="s">
        <v>333</v>
      </c>
      <c r="O104" s="692" t="s">
        <v>51</v>
      </c>
      <c r="P104" s="693"/>
      <c r="R104" s="2"/>
      <c r="S104" s="2"/>
    </row>
    <row r="105" spans="1:21" s="291" customFormat="1" ht="20.149999999999999" customHeight="1">
      <c r="A105" s="694">
        <v>7</v>
      </c>
      <c r="B105" s="736" t="s">
        <v>249</v>
      </c>
      <c r="C105" s="281">
        <v>1</v>
      </c>
      <c r="D105" s="282"/>
      <c r="E105" s="283"/>
      <c r="F105" s="284"/>
      <c r="G105" s="285"/>
      <c r="H105" s="286"/>
      <c r="I105" s="287"/>
      <c r="J105" s="288"/>
      <c r="K105" s="289"/>
      <c r="L105" s="290"/>
      <c r="M105" s="333">
        <f t="shared" ref="M105:M107" si="11">L105*J105</f>
        <v>0</v>
      </c>
      <c r="N105" s="290"/>
      <c r="O105" s="739"/>
      <c r="P105" s="740"/>
      <c r="R105" s="2"/>
      <c r="S105" s="2"/>
    </row>
    <row r="106" spans="1:21" s="291" customFormat="1" ht="20.149999999999999" customHeight="1">
      <c r="A106" s="695"/>
      <c r="B106" s="737"/>
      <c r="C106" s="281">
        <v>2</v>
      </c>
      <c r="D106" s="282"/>
      <c r="E106" s="283"/>
      <c r="F106" s="284"/>
      <c r="G106" s="285"/>
      <c r="H106" s="286"/>
      <c r="I106" s="287"/>
      <c r="J106" s="288"/>
      <c r="K106" s="289"/>
      <c r="L106" s="290"/>
      <c r="M106" s="333">
        <f t="shared" si="11"/>
        <v>0</v>
      </c>
      <c r="N106" s="290"/>
      <c r="O106" s="741"/>
      <c r="P106" s="742"/>
      <c r="R106" s="2"/>
      <c r="S106" s="2"/>
    </row>
    <row r="107" spans="1:21" s="291" customFormat="1" ht="20.149999999999999" customHeight="1">
      <c r="A107" s="695"/>
      <c r="B107" s="737"/>
      <c r="C107" s="281">
        <v>3</v>
      </c>
      <c r="D107" s="282"/>
      <c r="E107" s="283"/>
      <c r="F107" s="284"/>
      <c r="G107" s="285"/>
      <c r="H107" s="286"/>
      <c r="I107" s="287"/>
      <c r="J107" s="288"/>
      <c r="K107" s="289"/>
      <c r="L107" s="290"/>
      <c r="M107" s="333">
        <f t="shared" si="11"/>
        <v>0</v>
      </c>
      <c r="N107" s="290"/>
      <c r="O107" s="741"/>
      <c r="P107" s="742"/>
      <c r="R107" s="2"/>
      <c r="S107" s="2"/>
    </row>
    <row r="108" spans="1:21" s="291" customFormat="1" ht="20.149999999999999" customHeight="1">
      <c r="A108" s="695"/>
      <c r="B108" s="737"/>
      <c r="C108" s="281">
        <v>4</v>
      </c>
      <c r="D108" s="282"/>
      <c r="E108" s="283"/>
      <c r="F108" s="284"/>
      <c r="G108" s="285"/>
      <c r="H108" s="286"/>
      <c r="I108" s="287"/>
      <c r="J108" s="288"/>
      <c r="K108" s="289"/>
      <c r="L108" s="290"/>
      <c r="M108" s="334">
        <v>0</v>
      </c>
      <c r="N108" s="290"/>
      <c r="O108" s="301"/>
      <c r="P108" s="302"/>
      <c r="R108" s="2"/>
      <c r="S108" s="2"/>
    </row>
    <row r="109" spans="1:21" s="291" customFormat="1" ht="20.149999999999999" customHeight="1" thickBot="1">
      <c r="A109" s="695"/>
      <c r="B109" s="737"/>
      <c r="C109" s="281">
        <v>5</v>
      </c>
      <c r="D109" s="292"/>
      <c r="E109" s="293"/>
      <c r="F109" s="294"/>
      <c r="G109" s="285"/>
      <c r="H109" s="286"/>
      <c r="I109" s="287"/>
      <c r="J109" s="406"/>
      <c r="K109" s="400"/>
      <c r="L109" s="319"/>
      <c r="M109" s="335">
        <v>0</v>
      </c>
      <c r="N109" s="290"/>
      <c r="O109" s="303"/>
      <c r="P109" s="304"/>
      <c r="R109" s="2"/>
      <c r="S109" s="2"/>
    </row>
    <row r="110" spans="1:21" s="291" customFormat="1" ht="15.75" customHeight="1" thickTop="1" thickBot="1">
      <c r="A110" s="696"/>
      <c r="B110" s="738"/>
      <c r="C110" s="723"/>
      <c r="D110" s="724"/>
      <c r="E110" s="724"/>
      <c r="F110" s="724"/>
      <c r="G110" s="724"/>
      <c r="H110" s="724"/>
      <c r="I110" s="725"/>
      <c r="J110" s="351" t="s">
        <v>58</v>
      </c>
      <c r="K110" s="213" t="e">
        <f>M110/'生產管理報表 7-1 (週)'!$B$31</f>
        <v>#DIV/0!</v>
      </c>
      <c r="L110" s="352" t="s">
        <v>59</v>
      </c>
      <c r="M110" s="407">
        <f>SUM(M105:M109)</f>
        <v>0</v>
      </c>
      <c r="N110" s="711"/>
      <c r="O110" s="712"/>
      <c r="P110" s="713"/>
      <c r="R110" s="2"/>
      <c r="S110" s="2"/>
      <c r="T110" s="2"/>
    </row>
    <row r="111" spans="1:21" s="136" customFormat="1" ht="15.75" customHeight="1" thickTop="1">
      <c r="A111" s="813" t="s">
        <v>632</v>
      </c>
      <c r="B111" s="813"/>
      <c r="C111" s="813"/>
      <c r="D111" s="813"/>
      <c r="E111" s="813"/>
      <c r="F111" s="813"/>
      <c r="G111" s="813"/>
      <c r="H111" s="813"/>
      <c r="I111" s="813"/>
      <c r="J111" s="813"/>
      <c r="K111" s="813"/>
      <c r="L111" s="813"/>
      <c r="M111" s="813"/>
      <c r="R111" s="233"/>
      <c r="S111" s="233"/>
      <c r="T111" s="233"/>
      <c r="U111" s="233"/>
    </row>
    <row r="112" spans="1:21" s="137" customFormat="1" ht="15.75" customHeight="1">
      <c r="A112" s="679"/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</row>
    <row r="113" spans="1:20" s="136" customFormat="1" ht="15.75" customHeight="1">
      <c r="A113" s="680" t="s">
        <v>191</v>
      </c>
      <c r="B113" s="682">
        <v>1</v>
      </c>
      <c r="C113" s="683"/>
      <c r="D113" s="682">
        <v>2</v>
      </c>
      <c r="E113" s="683"/>
      <c r="F113" s="682">
        <v>3</v>
      </c>
      <c r="G113" s="683"/>
      <c r="H113" s="673">
        <v>4</v>
      </c>
      <c r="I113" s="674"/>
      <c r="J113" s="673">
        <v>5</v>
      </c>
      <c r="K113" s="674"/>
      <c r="L113" s="673">
        <v>6</v>
      </c>
      <c r="M113" s="674"/>
      <c r="N113" s="673">
        <v>7</v>
      </c>
      <c r="O113" s="674"/>
      <c r="P113" s="329">
        <v>8</v>
      </c>
    </row>
    <row r="114" spans="1:20" s="136" customFormat="1" ht="15.75" customHeight="1">
      <c r="A114" s="681"/>
      <c r="B114" s="677" t="s">
        <v>463</v>
      </c>
      <c r="C114" s="678"/>
      <c r="D114" s="677" t="s">
        <v>212</v>
      </c>
      <c r="E114" s="678"/>
      <c r="F114" s="677" t="s">
        <v>166</v>
      </c>
      <c r="G114" s="678"/>
      <c r="H114" s="675" t="s">
        <v>436</v>
      </c>
      <c r="I114" s="676"/>
      <c r="J114" s="675" t="s">
        <v>189</v>
      </c>
      <c r="K114" s="676"/>
      <c r="L114" s="675" t="s">
        <v>167</v>
      </c>
      <c r="M114" s="676"/>
      <c r="N114" s="675" t="s">
        <v>190</v>
      </c>
      <c r="O114" s="676"/>
      <c r="P114" s="330" t="s">
        <v>217</v>
      </c>
    </row>
    <row r="115" spans="1:20" s="136" customFormat="1" ht="15.75" customHeight="1">
      <c r="B115" s="234"/>
      <c r="C115" s="235"/>
    </row>
    <row r="116" spans="1:20" s="280" customFormat="1" ht="15.75" customHeight="1">
      <c r="A116" s="684" t="s">
        <v>191</v>
      </c>
      <c r="B116" s="685"/>
      <c r="C116" s="277" t="s">
        <v>47</v>
      </c>
      <c r="D116" s="686" t="s">
        <v>12</v>
      </c>
      <c r="E116" s="687"/>
      <c r="F116" s="688"/>
      <c r="G116" s="689" t="s">
        <v>53</v>
      </c>
      <c r="H116" s="690"/>
      <c r="I116" s="691"/>
      <c r="J116" s="278" t="s">
        <v>54</v>
      </c>
      <c r="K116" s="278" t="s">
        <v>55</v>
      </c>
      <c r="L116" s="278" t="s">
        <v>56</v>
      </c>
      <c r="M116" s="279" t="s">
        <v>11</v>
      </c>
      <c r="N116" s="279" t="s">
        <v>333</v>
      </c>
      <c r="O116" s="692" t="s">
        <v>51</v>
      </c>
      <c r="P116" s="693"/>
      <c r="R116" s="211"/>
      <c r="S116" s="263"/>
    </row>
    <row r="117" spans="1:20" s="300" customFormat="1" ht="20.149999999999999" customHeight="1">
      <c r="A117" s="694">
        <v>4</v>
      </c>
      <c r="B117" s="697" t="s">
        <v>436</v>
      </c>
      <c r="C117" s="281">
        <v>1</v>
      </c>
      <c r="D117" s="239"/>
      <c r="E117" s="240"/>
      <c r="F117" s="241"/>
      <c r="G117" s="356"/>
      <c r="H117" s="307"/>
      <c r="I117" s="308"/>
      <c r="J117" s="314"/>
      <c r="K117" s="315"/>
      <c r="L117" s="316"/>
      <c r="M117" s="324">
        <f t="shared" ref="M117:M121" si="12">L117*J117</f>
        <v>0</v>
      </c>
      <c r="N117" s="316"/>
      <c r="O117" s="700"/>
      <c r="P117" s="701"/>
      <c r="R117" s="317"/>
      <c r="S117" s="263"/>
    </row>
    <row r="118" spans="1:20" s="300" customFormat="1" ht="20.149999999999999" customHeight="1">
      <c r="A118" s="695"/>
      <c r="B118" s="698"/>
      <c r="C118" s="281">
        <v>2</v>
      </c>
      <c r="D118" s="239"/>
      <c r="E118" s="240"/>
      <c r="F118" s="241"/>
      <c r="G118" s="356"/>
      <c r="H118" s="307"/>
      <c r="I118" s="308"/>
      <c r="J118" s="314"/>
      <c r="K118" s="315"/>
      <c r="L118" s="316"/>
      <c r="M118" s="324">
        <f t="shared" si="12"/>
        <v>0</v>
      </c>
      <c r="N118" s="316"/>
      <c r="O118" s="702"/>
      <c r="P118" s="703"/>
      <c r="R118" s="317"/>
      <c r="S118" s="211"/>
      <c r="T118" s="338"/>
    </row>
    <row r="119" spans="1:20" s="300" customFormat="1" ht="20.149999999999999" customHeight="1">
      <c r="A119" s="695"/>
      <c r="B119" s="698"/>
      <c r="C119" s="281">
        <v>3</v>
      </c>
      <c r="D119" s="239"/>
      <c r="E119" s="240"/>
      <c r="F119" s="241"/>
      <c r="G119" s="356"/>
      <c r="H119" s="307"/>
      <c r="I119" s="308"/>
      <c r="J119" s="314"/>
      <c r="K119" s="315"/>
      <c r="L119" s="316"/>
      <c r="M119" s="324">
        <f t="shared" si="12"/>
        <v>0</v>
      </c>
      <c r="N119" s="316"/>
      <c r="O119" s="700"/>
      <c r="P119" s="701"/>
      <c r="R119" s="317"/>
      <c r="S119" s="263"/>
    </row>
    <row r="120" spans="1:20" s="300" customFormat="1" ht="20.149999999999999" customHeight="1">
      <c r="A120" s="695"/>
      <c r="B120" s="698"/>
      <c r="C120" s="281">
        <v>4</v>
      </c>
      <c r="D120" s="239"/>
      <c r="E120" s="240"/>
      <c r="F120" s="241"/>
      <c r="G120" s="356"/>
      <c r="H120" s="307"/>
      <c r="I120" s="308"/>
      <c r="J120" s="314"/>
      <c r="K120" s="315"/>
      <c r="L120" s="316"/>
      <c r="M120" s="324">
        <f t="shared" si="12"/>
        <v>0</v>
      </c>
      <c r="N120" s="316"/>
      <c r="O120" s="700"/>
      <c r="P120" s="701"/>
      <c r="R120" s="317"/>
      <c r="S120" s="211"/>
      <c r="T120" s="338"/>
    </row>
    <row r="121" spans="1:20" s="300" customFormat="1" ht="20.149999999999999" customHeight="1" thickBot="1">
      <c r="A121" s="695"/>
      <c r="B121" s="698"/>
      <c r="C121" s="281">
        <v>5</v>
      </c>
      <c r="D121" s="239"/>
      <c r="E121" s="247"/>
      <c r="F121" s="248"/>
      <c r="G121" s="356"/>
      <c r="H121" s="307"/>
      <c r="I121" s="308"/>
      <c r="J121" s="406"/>
      <c r="K121" s="400"/>
      <c r="L121" s="319"/>
      <c r="M121" s="324">
        <f t="shared" si="12"/>
        <v>0</v>
      </c>
      <c r="N121" s="316"/>
      <c r="O121" s="700"/>
      <c r="P121" s="701"/>
      <c r="R121" s="320"/>
      <c r="S121" s="263"/>
      <c r="T121" s="291"/>
    </row>
    <row r="122" spans="1:20" s="291" customFormat="1" ht="15.75" customHeight="1" thickTop="1" thickBot="1">
      <c r="A122" s="696"/>
      <c r="B122" s="699"/>
      <c r="C122" s="708"/>
      <c r="D122" s="709"/>
      <c r="E122" s="709"/>
      <c r="F122" s="709"/>
      <c r="G122" s="709"/>
      <c r="H122" s="709"/>
      <c r="I122" s="710"/>
      <c r="J122" s="351" t="s">
        <v>58</v>
      </c>
      <c r="K122" s="213" t="e">
        <f>M122/'生產管理報表 7-1 (週)'!$B$42</f>
        <v>#DIV/0!</v>
      </c>
      <c r="L122" s="352" t="s">
        <v>59</v>
      </c>
      <c r="M122" s="407">
        <f>SUM(M117:M121)</f>
        <v>0</v>
      </c>
      <c r="N122" s="711"/>
      <c r="O122" s="712"/>
      <c r="P122" s="713"/>
      <c r="R122" s="211"/>
      <c r="S122" s="211"/>
    </row>
    <row r="123" spans="1:20" s="291" customFormat="1" ht="15.75" customHeight="1" thickTop="1">
      <c r="B123" s="299"/>
      <c r="C123" s="300"/>
      <c r="M123" s="331"/>
      <c r="S123" s="263"/>
    </row>
    <row r="124" spans="1:20" s="291" customFormat="1" ht="15.75" customHeight="1">
      <c r="A124" s="684" t="s">
        <v>191</v>
      </c>
      <c r="B124" s="685"/>
      <c r="C124" s="277" t="s">
        <v>47</v>
      </c>
      <c r="D124" s="686" t="s">
        <v>12</v>
      </c>
      <c r="E124" s="687"/>
      <c r="F124" s="688"/>
      <c r="G124" s="689" t="s">
        <v>53</v>
      </c>
      <c r="H124" s="690"/>
      <c r="I124" s="691"/>
      <c r="J124" s="278" t="s">
        <v>54</v>
      </c>
      <c r="K124" s="278" t="s">
        <v>55</v>
      </c>
      <c r="L124" s="278" t="s">
        <v>56</v>
      </c>
      <c r="M124" s="332" t="s">
        <v>11</v>
      </c>
      <c r="N124" s="279" t="s">
        <v>333</v>
      </c>
      <c r="O124" s="692" t="s">
        <v>51</v>
      </c>
      <c r="P124" s="693"/>
      <c r="S124" s="211"/>
      <c r="T124" s="338"/>
    </row>
    <row r="125" spans="1:20" s="300" customFormat="1" ht="40" customHeight="1">
      <c r="A125" s="694">
        <v>5</v>
      </c>
      <c r="B125" s="714" t="s">
        <v>215</v>
      </c>
      <c r="C125" s="281">
        <v>1</v>
      </c>
      <c r="D125" s="239" t="s">
        <v>553</v>
      </c>
      <c r="E125" s="240"/>
      <c r="F125" s="241"/>
      <c r="G125" s="308" t="s">
        <v>588</v>
      </c>
      <c r="H125" s="307"/>
      <c r="I125" s="308"/>
      <c r="J125" s="314">
        <v>130</v>
      </c>
      <c r="K125" s="315">
        <v>3.3469999211543006E-2</v>
      </c>
      <c r="L125" s="316">
        <v>8.4899999999999984</v>
      </c>
      <c r="M125" s="324">
        <f>L125*J125</f>
        <v>1103.6999999999998</v>
      </c>
      <c r="N125" s="316"/>
      <c r="O125" s="702" t="s">
        <v>653</v>
      </c>
      <c r="P125" s="703"/>
      <c r="R125" s="415"/>
      <c r="S125" s="408"/>
    </row>
    <row r="126" spans="1:20" s="300" customFormat="1" ht="20.149999999999999" customHeight="1">
      <c r="A126" s="695"/>
      <c r="B126" s="715"/>
      <c r="C126" s="281">
        <v>2</v>
      </c>
      <c r="D126" s="239"/>
      <c r="E126" s="240"/>
      <c r="F126" s="241"/>
      <c r="G126" s="356"/>
      <c r="H126" s="307"/>
      <c r="I126" s="308"/>
      <c r="J126" s="314"/>
      <c r="K126" s="315"/>
      <c r="L126" s="316"/>
      <c r="M126" s="324">
        <f t="shared" ref="M126:M129" si="13">L126*J126</f>
        <v>0</v>
      </c>
      <c r="N126" s="316"/>
      <c r="O126" s="702"/>
      <c r="P126" s="703"/>
      <c r="S126" s="211"/>
      <c r="T126" s="339"/>
    </row>
    <row r="127" spans="1:20" s="291" customFormat="1" ht="20.149999999999999" customHeight="1">
      <c r="A127" s="695"/>
      <c r="B127" s="715"/>
      <c r="C127" s="281">
        <v>3</v>
      </c>
      <c r="D127" s="239"/>
      <c r="E127" s="283"/>
      <c r="F127" s="284"/>
      <c r="G127" s="356"/>
      <c r="H127" s="307"/>
      <c r="I127" s="308"/>
      <c r="J127" s="314"/>
      <c r="K127" s="315"/>
      <c r="L127" s="316"/>
      <c r="M127" s="324">
        <f t="shared" si="13"/>
        <v>0</v>
      </c>
      <c r="N127" s="290"/>
      <c r="O127" s="719"/>
      <c r="P127" s="720"/>
    </row>
    <row r="128" spans="1:20" s="291" customFormat="1" ht="20.149999999999999" customHeight="1">
      <c r="A128" s="695"/>
      <c r="B128" s="715"/>
      <c r="C128" s="281">
        <v>4</v>
      </c>
      <c r="D128" s="239"/>
      <c r="E128" s="283"/>
      <c r="F128" s="284"/>
      <c r="G128" s="356"/>
      <c r="H128" s="307"/>
      <c r="I128" s="308"/>
      <c r="J128" s="314"/>
      <c r="K128" s="315"/>
      <c r="L128" s="316"/>
      <c r="M128" s="324">
        <f t="shared" si="13"/>
        <v>0</v>
      </c>
      <c r="N128" s="290"/>
      <c r="O128" s="702"/>
      <c r="P128" s="703"/>
    </row>
    <row r="129" spans="1:19" s="291" customFormat="1" ht="20.149999999999999" customHeight="1" thickBot="1">
      <c r="A129" s="695"/>
      <c r="B129" s="715"/>
      <c r="C129" s="281">
        <v>5</v>
      </c>
      <c r="D129" s="246"/>
      <c r="E129" s="293"/>
      <c r="F129" s="294"/>
      <c r="G129" s="356"/>
      <c r="H129" s="307"/>
      <c r="I129" s="308"/>
      <c r="J129" s="406"/>
      <c r="K129" s="400"/>
      <c r="L129" s="319"/>
      <c r="M129" s="324">
        <f t="shared" si="13"/>
        <v>0</v>
      </c>
      <c r="N129" s="290"/>
      <c r="O129" s="814"/>
      <c r="P129" s="815"/>
      <c r="R129" s="212"/>
    </row>
    <row r="130" spans="1:19" s="291" customFormat="1" ht="15.75" customHeight="1" thickTop="1" thickBot="1">
      <c r="A130" s="696"/>
      <c r="B130" s="716"/>
      <c r="C130" s="723"/>
      <c r="D130" s="724"/>
      <c r="E130" s="724"/>
      <c r="F130" s="724"/>
      <c r="G130" s="724"/>
      <c r="H130" s="724"/>
      <c r="I130" s="725"/>
      <c r="J130" s="351" t="s">
        <v>58</v>
      </c>
      <c r="K130" s="213" t="e">
        <f>M130/'生產管理報表 7-1 (週)'!$B$42</f>
        <v>#DIV/0!</v>
      </c>
      <c r="L130" s="352" t="s">
        <v>59</v>
      </c>
      <c r="M130" s="407">
        <f>SUM(M125:M129)</f>
        <v>1103.6999999999998</v>
      </c>
      <c r="N130" s="711"/>
      <c r="O130" s="712"/>
      <c r="P130" s="713"/>
      <c r="R130" s="211"/>
    </row>
    <row r="131" spans="1:19" s="291" customFormat="1" ht="15.75" customHeight="1" thickTop="1">
      <c r="B131" s="299"/>
      <c r="C131" s="300"/>
      <c r="M131" s="331"/>
      <c r="R131" s="211"/>
    </row>
    <row r="132" spans="1:19" s="291" customFormat="1" ht="15.75" customHeight="1">
      <c r="A132" s="684" t="s">
        <v>191</v>
      </c>
      <c r="B132" s="685"/>
      <c r="C132" s="305" t="s">
        <v>47</v>
      </c>
      <c r="D132" s="728" t="s">
        <v>12</v>
      </c>
      <c r="E132" s="729"/>
      <c r="F132" s="730"/>
      <c r="G132" s="731" t="s">
        <v>53</v>
      </c>
      <c r="H132" s="732"/>
      <c r="I132" s="733"/>
      <c r="J132" s="306" t="s">
        <v>54</v>
      </c>
      <c r="K132" s="278" t="s">
        <v>55</v>
      </c>
      <c r="L132" s="278" t="s">
        <v>56</v>
      </c>
      <c r="M132" s="332" t="s">
        <v>11</v>
      </c>
      <c r="N132" s="279" t="s">
        <v>333</v>
      </c>
      <c r="O132" s="692" t="s">
        <v>51</v>
      </c>
      <c r="P132" s="693"/>
      <c r="R132" s="211"/>
      <c r="S132" s="2"/>
    </row>
    <row r="133" spans="1:19" s="291" customFormat="1" ht="40" customHeight="1">
      <c r="A133" s="694">
        <v>6</v>
      </c>
      <c r="B133" s="714" t="s">
        <v>216</v>
      </c>
      <c r="C133" s="281">
        <v>1</v>
      </c>
      <c r="D133" s="340"/>
      <c r="E133" s="283"/>
      <c r="F133" s="284"/>
      <c r="G133" s="308"/>
      <c r="H133" s="307"/>
      <c r="I133" s="308"/>
      <c r="J133" s="314"/>
      <c r="K133" s="315"/>
      <c r="L133" s="316"/>
      <c r="M133" s="324">
        <f t="shared" ref="M133" si="14">L133*J133</f>
        <v>0</v>
      </c>
      <c r="N133" s="290"/>
      <c r="O133" s="719"/>
      <c r="P133" s="720"/>
      <c r="R133" s="339"/>
      <c r="S133" s="416"/>
    </row>
    <row r="134" spans="1:19" s="291" customFormat="1" ht="20.149999999999999" customHeight="1">
      <c r="A134" s="695"/>
      <c r="B134" s="715"/>
      <c r="C134" s="281">
        <v>2</v>
      </c>
      <c r="D134" s="282"/>
      <c r="E134" s="283"/>
      <c r="F134" s="284"/>
      <c r="G134" s="285"/>
      <c r="H134" s="286"/>
      <c r="I134" s="287"/>
      <c r="J134" s="288"/>
      <c r="K134" s="289"/>
      <c r="L134" s="290"/>
      <c r="M134" s="333">
        <v>0</v>
      </c>
      <c r="N134" s="290"/>
      <c r="O134" s="301"/>
      <c r="P134" s="302"/>
      <c r="S134" s="2"/>
    </row>
    <row r="135" spans="1:19" s="291" customFormat="1" ht="20.149999999999999" customHeight="1">
      <c r="A135" s="695"/>
      <c r="B135" s="715"/>
      <c r="C135" s="281">
        <v>3</v>
      </c>
      <c r="D135" s="282"/>
      <c r="E135" s="283"/>
      <c r="F135" s="284"/>
      <c r="G135" s="285"/>
      <c r="H135" s="286"/>
      <c r="I135" s="287"/>
      <c r="J135" s="288"/>
      <c r="K135" s="289"/>
      <c r="L135" s="290"/>
      <c r="M135" s="333">
        <v>0</v>
      </c>
      <c r="N135" s="290"/>
      <c r="O135" s="301"/>
      <c r="P135" s="302"/>
      <c r="S135" s="2"/>
    </row>
    <row r="136" spans="1:19" s="291" customFormat="1" ht="20.149999999999999" customHeight="1">
      <c r="A136" s="695"/>
      <c r="B136" s="715"/>
      <c r="C136" s="281">
        <v>4</v>
      </c>
      <c r="D136" s="282"/>
      <c r="E136" s="283"/>
      <c r="F136" s="284"/>
      <c r="G136" s="285"/>
      <c r="H136" s="286"/>
      <c r="I136" s="287"/>
      <c r="J136" s="288"/>
      <c r="K136" s="289"/>
      <c r="L136" s="290"/>
      <c r="M136" s="333">
        <v>0</v>
      </c>
      <c r="N136" s="290"/>
      <c r="O136" s="301"/>
      <c r="P136" s="302"/>
      <c r="R136" s="2"/>
      <c r="S136" s="2"/>
    </row>
    <row r="137" spans="1:19" s="291" customFormat="1" ht="20.149999999999999" customHeight="1" thickBot="1">
      <c r="A137" s="695"/>
      <c r="B137" s="715"/>
      <c r="C137" s="281">
        <v>5</v>
      </c>
      <c r="D137" s="292"/>
      <c r="E137" s="293"/>
      <c r="F137" s="294"/>
      <c r="G137" s="285"/>
      <c r="H137" s="286"/>
      <c r="I137" s="287"/>
      <c r="J137" s="406"/>
      <c r="K137" s="400"/>
      <c r="L137" s="319"/>
      <c r="M137" s="324">
        <v>0</v>
      </c>
      <c r="N137" s="290"/>
      <c r="O137" s="303"/>
      <c r="P137" s="304"/>
      <c r="R137" s="2"/>
      <c r="S137" s="2"/>
    </row>
    <row r="138" spans="1:19" s="291" customFormat="1" ht="15.75" customHeight="1" thickTop="1" thickBot="1">
      <c r="A138" s="696"/>
      <c r="B138" s="716"/>
      <c r="C138" s="723"/>
      <c r="D138" s="724"/>
      <c r="E138" s="724"/>
      <c r="F138" s="724"/>
      <c r="G138" s="724"/>
      <c r="H138" s="724"/>
      <c r="I138" s="725"/>
      <c r="J138" s="351" t="s">
        <v>58</v>
      </c>
      <c r="K138" s="213" t="e">
        <f>M138/'生產管理報表 7-1 (週)'!$B$42</f>
        <v>#DIV/0!</v>
      </c>
      <c r="L138" s="352" t="s">
        <v>59</v>
      </c>
      <c r="M138" s="407">
        <f>SUM(M133:M137)</f>
        <v>0</v>
      </c>
      <c r="N138" s="711"/>
      <c r="O138" s="712"/>
      <c r="P138" s="713"/>
      <c r="R138" s="2"/>
      <c r="S138" s="2"/>
    </row>
    <row r="139" spans="1:19" s="291" customFormat="1" ht="15.75" customHeight="1" thickTop="1">
      <c r="B139" s="299"/>
      <c r="C139" s="300"/>
      <c r="M139" s="331"/>
      <c r="R139" s="2"/>
      <c r="S139" s="2"/>
    </row>
    <row r="140" spans="1:19" s="291" customFormat="1" ht="15.75" customHeight="1">
      <c r="A140" s="684" t="s">
        <v>191</v>
      </c>
      <c r="B140" s="685"/>
      <c r="C140" s="305" t="s">
        <v>47</v>
      </c>
      <c r="D140" s="728" t="s">
        <v>12</v>
      </c>
      <c r="E140" s="729"/>
      <c r="F140" s="730"/>
      <c r="G140" s="731" t="s">
        <v>53</v>
      </c>
      <c r="H140" s="732"/>
      <c r="I140" s="733"/>
      <c r="J140" s="306" t="s">
        <v>54</v>
      </c>
      <c r="K140" s="278" t="s">
        <v>55</v>
      </c>
      <c r="L140" s="278" t="s">
        <v>56</v>
      </c>
      <c r="M140" s="332" t="s">
        <v>11</v>
      </c>
      <c r="N140" s="279" t="s">
        <v>333</v>
      </c>
      <c r="O140" s="692" t="s">
        <v>51</v>
      </c>
      <c r="P140" s="693"/>
      <c r="R140" s="2"/>
      <c r="S140" s="2"/>
    </row>
    <row r="141" spans="1:19" s="291" customFormat="1" ht="20.149999999999999" customHeight="1">
      <c r="A141" s="694">
        <v>7</v>
      </c>
      <c r="B141" s="736" t="s">
        <v>249</v>
      </c>
      <c r="C141" s="281">
        <v>1</v>
      </c>
      <c r="D141" s="282"/>
      <c r="E141" s="283"/>
      <c r="F141" s="284"/>
      <c r="G141" s="285"/>
      <c r="H141" s="286"/>
      <c r="I141" s="287"/>
      <c r="J141" s="288"/>
      <c r="K141" s="289"/>
      <c r="L141" s="290"/>
      <c r="M141" s="333">
        <f t="shared" ref="M141:M143" si="15">L141*J141</f>
        <v>0</v>
      </c>
      <c r="N141" s="290"/>
      <c r="O141" s="739"/>
      <c r="P141" s="740"/>
      <c r="R141" s="2"/>
      <c r="S141" s="2"/>
    </row>
    <row r="142" spans="1:19" s="291" customFormat="1" ht="20.149999999999999" customHeight="1">
      <c r="A142" s="695"/>
      <c r="B142" s="737"/>
      <c r="C142" s="281">
        <v>2</v>
      </c>
      <c r="D142" s="282"/>
      <c r="E142" s="283"/>
      <c r="F142" s="284"/>
      <c r="G142" s="285"/>
      <c r="H142" s="286"/>
      <c r="I142" s="287"/>
      <c r="J142" s="288"/>
      <c r="K142" s="289"/>
      <c r="L142" s="290"/>
      <c r="M142" s="333">
        <f t="shared" si="15"/>
        <v>0</v>
      </c>
      <c r="N142" s="290"/>
      <c r="O142" s="741"/>
      <c r="P142" s="742"/>
      <c r="R142" s="2"/>
      <c r="S142" s="2"/>
    </row>
    <row r="143" spans="1:19" s="291" customFormat="1" ht="20.149999999999999" customHeight="1">
      <c r="A143" s="695"/>
      <c r="B143" s="737"/>
      <c r="C143" s="281">
        <v>3</v>
      </c>
      <c r="D143" s="282"/>
      <c r="E143" s="283"/>
      <c r="F143" s="284"/>
      <c r="G143" s="285"/>
      <c r="H143" s="286"/>
      <c r="I143" s="287"/>
      <c r="J143" s="288"/>
      <c r="K143" s="289"/>
      <c r="L143" s="290"/>
      <c r="M143" s="333">
        <f t="shared" si="15"/>
        <v>0</v>
      </c>
      <c r="N143" s="290"/>
      <c r="O143" s="741"/>
      <c r="P143" s="742"/>
      <c r="R143" s="2"/>
      <c r="S143" s="2"/>
    </row>
    <row r="144" spans="1:19" s="291" customFormat="1" ht="20.149999999999999" customHeight="1">
      <c r="A144" s="695"/>
      <c r="B144" s="737"/>
      <c r="C144" s="281">
        <v>4</v>
      </c>
      <c r="D144" s="282"/>
      <c r="E144" s="283"/>
      <c r="F144" s="284"/>
      <c r="G144" s="285"/>
      <c r="H144" s="286"/>
      <c r="I144" s="287"/>
      <c r="J144" s="288"/>
      <c r="K144" s="289"/>
      <c r="L144" s="290"/>
      <c r="M144" s="334">
        <v>0</v>
      </c>
      <c r="N144" s="290"/>
      <c r="O144" s="301"/>
      <c r="P144" s="302"/>
      <c r="R144" s="2"/>
      <c r="S144" s="2"/>
    </row>
    <row r="145" spans="1:21" s="291" customFormat="1" ht="20.149999999999999" customHeight="1" thickBot="1">
      <c r="A145" s="695"/>
      <c r="B145" s="737"/>
      <c r="C145" s="281">
        <v>5</v>
      </c>
      <c r="D145" s="292"/>
      <c r="E145" s="293"/>
      <c r="F145" s="294"/>
      <c r="G145" s="285"/>
      <c r="H145" s="286"/>
      <c r="I145" s="287"/>
      <c r="J145" s="406"/>
      <c r="K145" s="400"/>
      <c r="L145" s="319"/>
      <c r="M145" s="335">
        <v>0</v>
      </c>
      <c r="N145" s="290"/>
      <c r="O145" s="303"/>
      <c r="P145" s="304"/>
      <c r="R145" s="2"/>
      <c r="S145" s="2"/>
    </row>
    <row r="146" spans="1:21" s="291" customFormat="1" ht="15.75" customHeight="1" thickTop="1" thickBot="1">
      <c r="A146" s="696"/>
      <c r="B146" s="738"/>
      <c r="C146" s="723"/>
      <c r="D146" s="724"/>
      <c r="E146" s="724"/>
      <c r="F146" s="724"/>
      <c r="G146" s="724"/>
      <c r="H146" s="724"/>
      <c r="I146" s="725"/>
      <c r="J146" s="351" t="s">
        <v>58</v>
      </c>
      <c r="K146" s="213" t="e">
        <f>M146/'生產管理報表 7-1 (週)'!$B$42</f>
        <v>#DIV/0!</v>
      </c>
      <c r="L146" s="352" t="s">
        <v>59</v>
      </c>
      <c r="M146" s="407">
        <f>SUM(M141:M145)</f>
        <v>0</v>
      </c>
      <c r="N146" s="711"/>
      <c r="O146" s="712"/>
      <c r="P146" s="713"/>
      <c r="R146" s="2"/>
      <c r="S146" s="2"/>
      <c r="T146" s="2"/>
    </row>
    <row r="147" spans="1:21" s="136" customFormat="1" ht="15.75" customHeight="1" thickTop="1">
      <c r="A147" s="813" t="s">
        <v>649</v>
      </c>
      <c r="B147" s="813"/>
      <c r="C147" s="813"/>
      <c r="D147" s="813"/>
      <c r="E147" s="813"/>
      <c r="F147" s="813"/>
      <c r="G147" s="813"/>
      <c r="H147" s="813"/>
      <c r="I147" s="813"/>
      <c r="J147" s="813"/>
      <c r="K147" s="813"/>
      <c r="L147" s="813"/>
      <c r="M147" s="813"/>
      <c r="R147" s="233"/>
      <c r="S147" s="233"/>
      <c r="T147" s="233"/>
      <c r="U147" s="233"/>
    </row>
    <row r="148" spans="1:21" s="137" customFormat="1" ht="15.75" customHeight="1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</row>
    <row r="149" spans="1:21" s="136" customFormat="1" ht="15.75" customHeight="1">
      <c r="A149" s="680" t="s">
        <v>191</v>
      </c>
      <c r="B149" s="682">
        <v>1</v>
      </c>
      <c r="C149" s="683"/>
      <c r="D149" s="682">
        <v>2</v>
      </c>
      <c r="E149" s="683"/>
      <c r="F149" s="682">
        <v>3</v>
      </c>
      <c r="G149" s="683"/>
      <c r="H149" s="673">
        <v>4</v>
      </c>
      <c r="I149" s="674"/>
      <c r="J149" s="673">
        <v>5</v>
      </c>
      <c r="K149" s="674"/>
      <c r="L149" s="673">
        <v>6</v>
      </c>
      <c r="M149" s="674"/>
      <c r="N149" s="673">
        <v>7</v>
      </c>
      <c r="O149" s="674"/>
      <c r="P149" s="329">
        <v>8</v>
      </c>
    </row>
    <row r="150" spans="1:21" s="136" customFormat="1" ht="15.75" customHeight="1">
      <c r="A150" s="681"/>
      <c r="B150" s="677" t="s">
        <v>463</v>
      </c>
      <c r="C150" s="678"/>
      <c r="D150" s="677" t="s">
        <v>212</v>
      </c>
      <c r="E150" s="678"/>
      <c r="F150" s="677" t="s">
        <v>166</v>
      </c>
      <c r="G150" s="678"/>
      <c r="H150" s="675" t="s">
        <v>436</v>
      </c>
      <c r="I150" s="676"/>
      <c r="J150" s="675" t="s">
        <v>189</v>
      </c>
      <c r="K150" s="676"/>
      <c r="L150" s="675" t="s">
        <v>167</v>
      </c>
      <c r="M150" s="676"/>
      <c r="N150" s="675" t="s">
        <v>190</v>
      </c>
      <c r="O150" s="676"/>
      <c r="P150" s="330" t="s">
        <v>217</v>
      </c>
    </row>
    <row r="151" spans="1:21" s="136" customFormat="1" ht="15.75" customHeight="1">
      <c r="B151" s="234"/>
      <c r="C151" s="235"/>
    </row>
    <row r="152" spans="1:21" s="280" customFormat="1" ht="15.75" customHeight="1">
      <c r="A152" s="684" t="s">
        <v>191</v>
      </c>
      <c r="B152" s="685"/>
      <c r="C152" s="277" t="s">
        <v>47</v>
      </c>
      <c r="D152" s="686" t="s">
        <v>12</v>
      </c>
      <c r="E152" s="687"/>
      <c r="F152" s="688"/>
      <c r="G152" s="689" t="s">
        <v>53</v>
      </c>
      <c r="H152" s="690"/>
      <c r="I152" s="691"/>
      <c r="J152" s="278" t="s">
        <v>54</v>
      </c>
      <c r="K152" s="278" t="s">
        <v>55</v>
      </c>
      <c r="L152" s="278" t="s">
        <v>56</v>
      </c>
      <c r="M152" s="279" t="s">
        <v>11</v>
      </c>
      <c r="N152" s="279" t="s">
        <v>333</v>
      </c>
      <c r="O152" s="692" t="s">
        <v>51</v>
      </c>
      <c r="P152" s="693"/>
      <c r="R152" s="211"/>
      <c r="S152" s="263"/>
    </row>
    <row r="153" spans="1:21" s="300" customFormat="1" ht="20.149999999999999" customHeight="1">
      <c r="A153" s="694">
        <v>4</v>
      </c>
      <c r="B153" s="697" t="s">
        <v>436</v>
      </c>
      <c r="C153" s="281">
        <v>1</v>
      </c>
      <c r="D153" s="239"/>
      <c r="E153" s="240"/>
      <c r="F153" s="241"/>
      <c r="G153" s="356"/>
      <c r="H153" s="307"/>
      <c r="I153" s="308"/>
      <c r="J153" s="314"/>
      <c r="K153" s="315"/>
      <c r="L153" s="316"/>
      <c r="M153" s="324">
        <f t="shared" ref="M153:M157" si="16">L153*J153</f>
        <v>0</v>
      </c>
      <c r="N153" s="316"/>
      <c r="O153" s="700"/>
      <c r="P153" s="701"/>
      <c r="R153" s="317"/>
      <c r="S153" s="263"/>
    </row>
    <row r="154" spans="1:21" s="300" customFormat="1" ht="20.149999999999999" customHeight="1">
      <c r="A154" s="695"/>
      <c r="B154" s="698"/>
      <c r="C154" s="281">
        <v>2</v>
      </c>
      <c r="D154" s="239"/>
      <c r="E154" s="240"/>
      <c r="F154" s="241"/>
      <c r="G154" s="356"/>
      <c r="H154" s="307"/>
      <c r="I154" s="308"/>
      <c r="J154" s="314"/>
      <c r="K154" s="315"/>
      <c r="L154" s="316"/>
      <c r="M154" s="324">
        <f t="shared" si="16"/>
        <v>0</v>
      </c>
      <c r="N154" s="316"/>
      <c r="O154" s="702"/>
      <c r="P154" s="703"/>
      <c r="R154" s="317"/>
      <c r="S154" s="211"/>
      <c r="T154" s="338"/>
    </row>
    <row r="155" spans="1:21" s="300" customFormat="1" ht="20.149999999999999" customHeight="1">
      <c r="A155" s="695"/>
      <c r="B155" s="698"/>
      <c r="C155" s="281">
        <v>3</v>
      </c>
      <c r="D155" s="239"/>
      <c r="E155" s="240"/>
      <c r="F155" s="241"/>
      <c r="G155" s="356"/>
      <c r="H155" s="307"/>
      <c r="I155" s="308"/>
      <c r="J155" s="314"/>
      <c r="K155" s="315"/>
      <c r="L155" s="316"/>
      <c r="M155" s="324">
        <f t="shared" si="16"/>
        <v>0</v>
      </c>
      <c r="N155" s="316"/>
      <c r="O155" s="700"/>
      <c r="P155" s="701"/>
      <c r="R155" s="317"/>
      <c r="S155" s="263"/>
    </row>
    <row r="156" spans="1:21" s="300" customFormat="1" ht="20.149999999999999" customHeight="1">
      <c r="A156" s="695"/>
      <c r="B156" s="698"/>
      <c r="C156" s="281">
        <v>4</v>
      </c>
      <c r="D156" s="239"/>
      <c r="E156" s="240"/>
      <c r="F156" s="241"/>
      <c r="G156" s="356"/>
      <c r="H156" s="307"/>
      <c r="I156" s="308"/>
      <c r="J156" s="314"/>
      <c r="K156" s="315"/>
      <c r="L156" s="316"/>
      <c r="M156" s="324">
        <f t="shared" si="16"/>
        <v>0</v>
      </c>
      <c r="N156" s="316"/>
      <c r="O156" s="700"/>
      <c r="P156" s="701"/>
      <c r="R156" s="317"/>
      <c r="S156" s="211"/>
      <c r="T156" s="338"/>
    </row>
    <row r="157" spans="1:21" s="300" customFormat="1" ht="20.149999999999999" customHeight="1" thickBot="1">
      <c r="A157" s="695"/>
      <c r="B157" s="698"/>
      <c r="C157" s="281">
        <v>5</v>
      </c>
      <c r="D157" s="239"/>
      <c r="E157" s="247"/>
      <c r="F157" s="248"/>
      <c r="G157" s="356"/>
      <c r="H157" s="307"/>
      <c r="I157" s="308"/>
      <c r="J157" s="406"/>
      <c r="K157" s="400"/>
      <c r="L157" s="319"/>
      <c r="M157" s="324">
        <f t="shared" si="16"/>
        <v>0</v>
      </c>
      <c r="N157" s="316"/>
      <c r="O157" s="700"/>
      <c r="P157" s="701"/>
      <c r="R157" s="320"/>
      <c r="S157" s="263"/>
      <c r="T157" s="291"/>
    </row>
    <row r="158" spans="1:21" s="291" customFormat="1" ht="15.75" customHeight="1" thickTop="1" thickBot="1">
      <c r="A158" s="696"/>
      <c r="B158" s="699"/>
      <c r="C158" s="708"/>
      <c r="D158" s="709"/>
      <c r="E158" s="709"/>
      <c r="F158" s="709"/>
      <c r="G158" s="709"/>
      <c r="H158" s="709"/>
      <c r="I158" s="710"/>
      <c r="J158" s="351" t="s">
        <v>58</v>
      </c>
      <c r="K158" s="213" t="e">
        <f>M158/'生產管理報表 7-1 (週)'!$B$53</f>
        <v>#DIV/0!</v>
      </c>
      <c r="L158" s="352" t="s">
        <v>59</v>
      </c>
      <c r="M158" s="407">
        <f>SUM(M153:M157)</f>
        <v>0</v>
      </c>
      <c r="N158" s="711"/>
      <c r="O158" s="712"/>
      <c r="P158" s="713"/>
      <c r="R158" s="211"/>
      <c r="S158" s="211"/>
    </row>
    <row r="159" spans="1:21" s="291" customFormat="1" ht="15.75" customHeight="1" thickTop="1">
      <c r="B159" s="299"/>
      <c r="C159" s="300"/>
      <c r="M159" s="331"/>
      <c r="S159" s="263"/>
    </row>
    <row r="160" spans="1:21" s="291" customFormat="1" ht="15.75" customHeight="1">
      <c r="A160" s="684" t="s">
        <v>191</v>
      </c>
      <c r="B160" s="685"/>
      <c r="C160" s="277" t="s">
        <v>47</v>
      </c>
      <c r="D160" s="686" t="s">
        <v>12</v>
      </c>
      <c r="E160" s="687"/>
      <c r="F160" s="688"/>
      <c r="G160" s="689" t="s">
        <v>53</v>
      </c>
      <c r="H160" s="690"/>
      <c r="I160" s="691"/>
      <c r="J160" s="278" t="s">
        <v>54</v>
      </c>
      <c r="K160" s="278" t="s">
        <v>55</v>
      </c>
      <c r="L160" s="278" t="s">
        <v>56</v>
      </c>
      <c r="M160" s="332" t="s">
        <v>11</v>
      </c>
      <c r="N160" s="279" t="s">
        <v>333</v>
      </c>
      <c r="O160" s="692" t="s">
        <v>51</v>
      </c>
      <c r="P160" s="693"/>
      <c r="S160" s="211"/>
      <c r="T160" s="338"/>
    </row>
    <row r="161" spans="1:20" s="300" customFormat="1" ht="40" customHeight="1">
      <c r="A161" s="694">
        <v>5</v>
      </c>
      <c r="B161" s="714" t="s">
        <v>215</v>
      </c>
      <c r="C161" s="281">
        <v>1</v>
      </c>
      <c r="D161" s="239" t="s">
        <v>352</v>
      </c>
      <c r="E161" s="240"/>
      <c r="F161" s="241"/>
      <c r="G161" s="308" t="s">
        <v>686</v>
      </c>
      <c r="H161" s="307"/>
      <c r="I161" s="308"/>
      <c r="J161" s="314">
        <v>105</v>
      </c>
      <c r="K161" s="315">
        <v>1.5639603713627017E-2</v>
      </c>
      <c r="L161" s="316">
        <v>10.040000000000001</v>
      </c>
      <c r="M161" s="324">
        <f>L161*J161</f>
        <v>1054.2</v>
      </c>
      <c r="N161" s="316"/>
      <c r="O161" s="702" t="s">
        <v>698</v>
      </c>
      <c r="P161" s="703"/>
      <c r="R161" s="415"/>
      <c r="S161" s="408"/>
    </row>
    <row r="162" spans="1:20" s="300" customFormat="1" ht="20.149999999999999" customHeight="1">
      <c r="A162" s="695"/>
      <c r="B162" s="715"/>
      <c r="C162" s="281">
        <v>2</v>
      </c>
      <c r="D162" s="239"/>
      <c r="E162" s="240"/>
      <c r="F162" s="241"/>
      <c r="G162" s="356"/>
      <c r="H162" s="307"/>
      <c r="I162" s="308"/>
      <c r="J162" s="314"/>
      <c r="K162" s="315"/>
      <c r="L162" s="316"/>
      <c r="M162" s="324">
        <f t="shared" ref="M162:M165" si="17">L162*J162</f>
        <v>0</v>
      </c>
      <c r="N162" s="316"/>
      <c r="O162" s="702"/>
      <c r="P162" s="703"/>
      <c r="S162" s="211"/>
      <c r="T162" s="339"/>
    </row>
    <row r="163" spans="1:20" s="291" customFormat="1" ht="20.149999999999999" customHeight="1">
      <c r="A163" s="695"/>
      <c r="B163" s="715"/>
      <c r="C163" s="281">
        <v>3</v>
      </c>
      <c r="D163" s="239"/>
      <c r="E163" s="283"/>
      <c r="F163" s="284"/>
      <c r="G163" s="356"/>
      <c r="H163" s="307"/>
      <c r="I163" s="308"/>
      <c r="J163" s="314"/>
      <c r="K163" s="315"/>
      <c r="L163" s="316"/>
      <c r="M163" s="324">
        <f t="shared" si="17"/>
        <v>0</v>
      </c>
      <c r="N163" s="290"/>
      <c r="O163" s="719"/>
      <c r="P163" s="720"/>
    </row>
    <row r="164" spans="1:20" s="291" customFormat="1" ht="20.149999999999999" customHeight="1">
      <c r="A164" s="695"/>
      <c r="B164" s="715"/>
      <c r="C164" s="281">
        <v>4</v>
      </c>
      <c r="D164" s="239"/>
      <c r="E164" s="283"/>
      <c r="F164" s="284"/>
      <c r="G164" s="356"/>
      <c r="H164" s="307"/>
      <c r="I164" s="308"/>
      <c r="J164" s="314"/>
      <c r="K164" s="315"/>
      <c r="L164" s="316"/>
      <c r="M164" s="324">
        <f t="shared" si="17"/>
        <v>0</v>
      </c>
      <c r="N164" s="290"/>
      <c r="O164" s="702"/>
      <c r="P164" s="703"/>
    </row>
    <row r="165" spans="1:20" s="291" customFormat="1" ht="20.149999999999999" customHeight="1" thickBot="1">
      <c r="A165" s="695"/>
      <c r="B165" s="715"/>
      <c r="C165" s="281">
        <v>5</v>
      </c>
      <c r="D165" s="246"/>
      <c r="E165" s="293"/>
      <c r="F165" s="294"/>
      <c r="G165" s="356"/>
      <c r="H165" s="307"/>
      <c r="I165" s="308"/>
      <c r="J165" s="406"/>
      <c r="K165" s="400"/>
      <c r="L165" s="319"/>
      <c r="M165" s="324">
        <f t="shared" si="17"/>
        <v>0</v>
      </c>
      <c r="N165" s="290"/>
      <c r="O165" s="814"/>
      <c r="P165" s="815"/>
      <c r="R165" s="212"/>
    </row>
    <row r="166" spans="1:20" s="291" customFormat="1" ht="15.75" customHeight="1" thickTop="1" thickBot="1">
      <c r="A166" s="696"/>
      <c r="B166" s="716"/>
      <c r="C166" s="723"/>
      <c r="D166" s="724"/>
      <c r="E166" s="724"/>
      <c r="F166" s="724"/>
      <c r="G166" s="724"/>
      <c r="H166" s="724"/>
      <c r="I166" s="725"/>
      <c r="J166" s="351" t="s">
        <v>58</v>
      </c>
      <c r="K166" s="213" t="e">
        <f>M166/'生產管理報表 7-1 (週)'!$B$53</f>
        <v>#DIV/0!</v>
      </c>
      <c r="L166" s="352" t="s">
        <v>59</v>
      </c>
      <c r="M166" s="407">
        <f>SUM(M161:M165)</f>
        <v>1054.2</v>
      </c>
      <c r="N166" s="711"/>
      <c r="O166" s="712"/>
      <c r="P166" s="713"/>
      <c r="R166" s="211"/>
    </row>
    <row r="167" spans="1:20" s="291" customFormat="1" ht="15.75" customHeight="1" thickTop="1">
      <c r="B167" s="299"/>
      <c r="C167" s="300"/>
      <c r="M167" s="331"/>
      <c r="R167" s="211"/>
    </row>
    <row r="168" spans="1:20" s="291" customFormat="1" ht="15.75" customHeight="1">
      <c r="A168" s="684" t="s">
        <v>191</v>
      </c>
      <c r="B168" s="685"/>
      <c r="C168" s="305" t="s">
        <v>47</v>
      </c>
      <c r="D168" s="728" t="s">
        <v>12</v>
      </c>
      <c r="E168" s="729"/>
      <c r="F168" s="730"/>
      <c r="G168" s="731" t="s">
        <v>53</v>
      </c>
      <c r="H168" s="732"/>
      <c r="I168" s="733"/>
      <c r="J168" s="306" t="s">
        <v>54</v>
      </c>
      <c r="K168" s="278" t="s">
        <v>55</v>
      </c>
      <c r="L168" s="278" t="s">
        <v>56</v>
      </c>
      <c r="M168" s="332" t="s">
        <v>11</v>
      </c>
      <c r="N168" s="279" t="s">
        <v>333</v>
      </c>
      <c r="O168" s="692" t="s">
        <v>51</v>
      </c>
      <c r="P168" s="693"/>
      <c r="R168" s="211"/>
      <c r="S168" s="2"/>
    </row>
    <row r="169" spans="1:20" s="291" customFormat="1" ht="40" customHeight="1">
      <c r="A169" s="694">
        <v>6</v>
      </c>
      <c r="B169" s="714" t="s">
        <v>216</v>
      </c>
      <c r="C169" s="281">
        <v>1</v>
      </c>
      <c r="D169" s="340"/>
      <c r="E169" s="283"/>
      <c r="F169" s="284"/>
      <c r="G169" s="464"/>
      <c r="H169" s="243"/>
      <c r="I169" s="242"/>
      <c r="J169" s="314"/>
      <c r="K169" s="315"/>
      <c r="L169" s="316"/>
      <c r="M169" s="324">
        <f t="shared" ref="M169" si="18">L169*J169</f>
        <v>0</v>
      </c>
      <c r="N169" s="290"/>
      <c r="O169" s="719"/>
      <c r="P169" s="720"/>
      <c r="R169" s="339"/>
      <c r="S169" s="416"/>
    </row>
    <row r="170" spans="1:20" s="291" customFormat="1" ht="20.149999999999999" customHeight="1">
      <c r="A170" s="695"/>
      <c r="B170" s="715"/>
      <c r="C170" s="281">
        <v>2</v>
      </c>
      <c r="D170" s="282"/>
      <c r="E170" s="283"/>
      <c r="F170" s="284"/>
      <c r="G170" s="285"/>
      <c r="H170" s="286"/>
      <c r="I170" s="287"/>
      <c r="J170" s="288"/>
      <c r="K170" s="289"/>
      <c r="L170" s="290"/>
      <c r="M170" s="333">
        <v>0</v>
      </c>
      <c r="N170" s="290"/>
      <c r="O170" s="301"/>
      <c r="P170" s="302"/>
      <c r="S170" s="2"/>
    </row>
    <row r="171" spans="1:20" s="291" customFormat="1" ht="20.149999999999999" customHeight="1">
      <c r="A171" s="695"/>
      <c r="B171" s="715"/>
      <c r="C171" s="281">
        <v>3</v>
      </c>
      <c r="D171" s="282"/>
      <c r="E171" s="283"/>
      <c r="F171" s="284"/>
      <c r="G171" s="285"/>
      <c r="H171" s="286"/>
      <c r="I171" s="287"/>
      <c r="J171" s="288"/>
      <c r="K171" s="289"/>
      <c r="L171" s="290"/>
      <c r="M171" s="333">
        <v>0</v>
      </c>
      <c r="N171" s="290"/>
      <c r="O171" s="301"/>
      <c r="P171" s="302"/>
      <c r="S171" s="2"/>
    </row>
    <row r="172" spans="1:20" s="291" customFormat="1" ht="20.149999999999999" customHeight="1">
      <c r="A172" s="695"/>
      <c r="B172" s="715"/>
      <c r="C172" s="281">
        <v>4</v>
      </c>
      <c r="D172" s="282"/>
      <c r="E172" s="283"/>
      <c r="F172" s="284"/>
      <c r="G172" s="285"/>
      <c r="H172" s="286"/>
      <c r="I172" s="287"/>
      <c r="J172" s="288"/>
      <c r="K172" s="289"/>
      <c r="L172" s="290"/>
      <c r="M172" s="333">
        <v>0</v>
      </c>
      <c r="N172" s="290"/>
      <c r="O172" s="301"/>
      <c r="P172" s="302"/>
      <c r="R172" s="2"/>
      <c r="S172" s="2"/>
    </row>
    <row r="173" spans="1:20" s="291" customFormat="1" ht="20.149999999999999" customHeight="1" thickBot="1">
      <c r="A173" s="695"/>
      <c r="B173" s="715"/>
      <c r="C173" s="281">
        <v>5</v>
      </c>
      <c r="D173" s="292"/>
      <c r="E173" s="293"/>
      <c r="F173" s="294"/>
      <c r="G173" s="285"/>
      <c r="H173" s="286"/>
      <c r="I173" s="287"/>
      <c r="J173" s="406"/>
      <c r="K173" s="400"/>
      <c r="L173" s="319"/>
      <c r="M173" s="324">
        <v>0</v>
      </c>
      <c r="N173" s="290"/>
      <c r="O173" s="303"/>
      <c r="P173" s="304"/>
      <c r="R173" s="2"/>
      <c r="S173" s="2"/>
    </row>
    <row r="174" spans="1:20" s="291" customFormat="1" ht="15.75" customHeight="1" thickTop="1" thickBot="1">
      <c r="A174" s="696"/>
      <c r="B174" s="716"/>
      <c r="C174" s="723"/>
      <c r="D174" s="724"/>
      <c r="E174" s="724"/>
      <c r="F174" s="724"/>
      <c r="G174" s="724"/>
      <c r="H174" s="724"/>
      <c r="I174" s="725"/>
      <c r="J174" s="351" t="s">
        <v>58</v>
      </c>
      <c r="K174" s="213" t="e">
        <f>M174/'生產管理報表 7-1 (週)'!$B$53</f>
        <v>#DIV/0!</v>
      </c>
      <c r="L174" s="352" t="s">
        <v>59</v>
      </c>
      <c r="M174" s="407">
        <f>SUM(M169:M173)</f>
        <v>0</v>
      </c>
      <c r="N174" s="711"/>
      <c r="O174" s="712"/>
      <c r="P174" s="713"/>
      <c r="R174" s="2"/>
      <c r="S174" s="2"/>
    </row>
    <row r="175" spans="1:20" s="291" customFormat="1" ht="15.75" customHeight="1" thickTop="1">
      <c r="B175" s="299"/>
      <c r="C175" s="300"/>
      <c r="M175" s="331"/>
      <c r="R175" s="2"/>
      <c r="S175" s="2"/>
    </row>
    <row r="176" spans="1:20" s="291" customFormat="1" ht="15.75" customHeight="1">
      <c r="A176" s="684" t="s">
        <v>191</v>
      </c>
      <c r="B176" s="685"/>
      <c r="C176" s="305" t="s">
        <v>47</v>
      </c>
      <c r="D176" s="728" t="s">
        <v>12</v>
      </c>
      <c r="E176" s="729"/>
      <c r="F176" s="730"/>
      <c r="G176" s="731" t="s">
        <v>53</v>
      </c>
      <c r="H176" s="732"/>
      <c r="I176" s="733"/>
      <c r="J176" s="306" t="s">
        <v>54</v>
      </c>
      <c r="K176" s="278" t="s">
        <v>55</v>
      </c>
      <c r="L176" s="278" t="s">
        <v>56</v>
      </c>
      <c r="M176" s="332" t="s">
        <v>11</v>
      </c>
      <c r="N176" s="279" t="s">
        <v>333</v>
      </c>
      <c r="O176" s="692" t="s">
        <v>51</v>
      </c>
      <c r="P176" s="693"/>
      <c r="R176" s="2"/>
      <c r="S176" s="2"/>
    </row>
    <row r="177" spans="1:20" s="291" customFormat="1" ht="20.149999999999999" customHeight="1">
      <c r="A177" s="694">
        <v>7</v>
      </c>
      <c r="B177" s="736" t="s">
        <v>249</v>
      </c>
      <c r="C177" s="281">
        <v>1</v>
      </c>
      <c r="D177" s="282"/>
      <c r="E177" s="283"/>
      <c r="F177" s="284"/>
      <c r="G177" s="285"/>
      <c r="H177" s="286"/>
      <c r="I177" s="287"/>
      <c r="J177" s="288"/>
      <c r="K177" s="289"/>
      <c r="L177" s="290"/>
      <c r="M177" s="333">
        <f t="shared" ref="M177:M179" si="19">L177*J177</f>
        <v>0</v>
      </c>
      <c r="N177" s="290"/>
      <c r="O177" s="739"/>
      <c r="P177" s="740"/>
      <c r="R177" s="2"/>
      <c r="S177" s="2"/>
    </row>
    <row r="178" spans="1:20" s="291" customFormat="1" ht="20.149999999999999" customHeight="1">
      <c r="A178" s="695"/>
      <c r="B178" s="737"/>
      <c r="C178" s="281">
        <v>2</v>
      </c>
      <c r="D178" s="282"/>
      <c r="E178" s="283"/>
      <c r="F178" s="284"/>
      <c r="G178" s="285"/>
      <c r="H178" s="286"/>
      <c r="I178" s="287"/>
      <c r="J178" s="288"/>
      <c r="K178" s="289"/>
      <c r="L178" s="290"/>
      <c r="M178" s="333">
        <f t="shared" si="19"/>
        <v>0</v>
      </c>
      <c r="N178" s="290"/>
      <c r="O178" s="741"/>
      <c r="P178" s="742"/>
      <c r="R178" s="2"/>
      <c r="S178" s="2"/>
    </row>
    <row r="179" spans="1:20" s="291" customFormat="1" ht="20.149999999999999" customHeight="1">
      <c r="A179" s="695"/>
      <c r="B179" s="737"/>
      <c r="C179" s="281">
        <v>3</v>
      </c>
      <c r="D179" s="282"/>
      <c r="E179" s="283"/>
      <c r="F179" s="284"/>
      <c r="G179" s="285"/>
      <c r="H179" s="286"/>
      <c r="I179" s="287"/>
      <c r="J179" s="288"/>
      <c r="K179" s="289"/>
      <c r="L179" s="290"/>
      <c r="M179" s="333">
        <f t="shared" si="19"/>
        <v>0</v>
      </c>
      <c r="N179" s="290"/>
      <c r="O179" s="741"/>
      <c r="P179" s="742"/>
      <c r="R179" s="2"/>
      <c r="S179" s="2"/>
    </row>
    <row r="180" spans="1:20" s="291" customFormat="1" ht="20.149999999999999" customHeight="1">
      <c r="A180" s="695"/>
      <c r="B180" s="737"/>
      <c r="C180" s="281">
        <v>4</v>
      </c>
      <c r="D180" s="282"/>
      <c r="E180" s="283"/>
      <c r="F180" s="284"/>
      <c r="G180" s="285"/>
      <c r="H180" s="286"/>
      <c r="I180" s="287"/>
      <c r="J180" s="288"/>
      <c r="K180" s="289"/>
      <c r="L180" s="290"/>
      <c r="M180" s="334">
        <v>0</v>
      </c>
      <c r="N180" s="290"/>
      <c r="O180" s="301"/>
      <c r="P180" s="302"/>
      <c r="R180" s="2"/>
      <c r="S180" s="2"/>
    </row>
    <row r="181" spans="1:20" s="291" customFormat="1" ht="20.149999999999999" customHeight="1" thickBot="1">
      <c r="A181" s="695"/>
      <c r="B181" s="737"/>
      <c r="C181" s="281">
        <v>5</v>
      </c>
      <c r="D181" s="292"/>
      <c r="E181" s="293"/>
      <c r="F181" s="294"/>
      <c r="G181" s="285"/>
      <c r="H181" s="286"/>
      <c r="I181" s="287"/>
      <c r="J181" s="406"/>
      <c r="K181" s="400"/>
      <c r="L181" s="319"/>
      <c r="M181" s="335">
        <v>0</v>
      </c>
      <c r="N181" s="290"/>
      <c r="O181" s="303"/>
      <c r="P181" s="304"/>
      <c r="R181" s="2"/>
      <c r="S181" s="2"/>
    </row>
    <row r="182" spans="1:20" s="291" customFormat="1" ht="15.75" customHeight="1" thickTop="1" thickBot="1">
      <c r="A182" s="696"/>
      <c r="B182" s="738"/>
      <c r="C182" s="723"/>
      <c r="D182" s="724"/>
      <c r="E182" s="724"/>
      <c r="F182" s="724"/>
      <c r="G182" s="724"/>
      <c r="H182" s="724"/>
      <c r="I182" s="725"/>
      <c r="J182" s="351" t="s">
        <v>58</v>
      </c>
      <c r="K182" s="213" t="e">
        <f>M182/'生產管理報表 7-1 (週)'!$B$53</f>
        <v>#DIV/0!</v>
      </c>
      <c r="L182" s="352" t="s">
        <v>59</v>
      </c>
      <c r="M182" s="407">
        <f>SUM(M177:M181)</f>
        <v>0</v>
      </c>
      <c r="N182" s="711"/>
      <c r="O182" s="712"/>
      <c r="P182" s="713"/>
      <c r="R182" s="2"/>
      <c r="S182" s="2"/>
      <c r="T182" s="2"/>
    </row>
    <row r="183" spans="1:20" ht="15.75" customHeight="1" thickTop="1"/>
  </sheetData>
  <mergeCells count="311"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  <mergeCell ref="A168:B168"/>
    <mergeCell ref="D168:F168"/>
    <mergeCell ref="G168:I168"/>
    <mergeCell ref="O168:P168"/>
    <mergeCell ref="A169:A174"/>
    <mergeCell ref="B169:B174"/>
    <mergeCell ref="O169:P169"/>
    <mergeCell ref="C174:I174"/>
    <mergeCell ref="N174:P174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N77:O77"/>
    <mergeCell ref="B78:C78"/>
    <mergeCell ref="D78:E78"/>
    <mergeCell ref="F78:G78"/>
    <mergeCell ref="H78:I78"/>
    <mergeCell ref="J78:K78"/>
    <mergeCell ref="L78:M78"/>
    <mergeCell ref="N78:O78"/>
    <mergeCell ref="A75:M76"/>
    <mergeCell ref="A77:A78"/>
    <mergeCell ref="B77:C77"/>
    <mergeCell ref="D77:E77"/>
    <mergeCell ref="F77:G77"/>
    <mergeCell ref="H77:I77"/>
    <mergeCell ref="J77:K77"/>
    <mergeCell ref="L77:M77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N41:O41"/>
    <mergeCell ref="B42:C42"/>
    <mergeCell ref="D42:E42"/>
    <mergeCell ref="F42:G42"/>
    <mergeCell ref="H42:I42"/>
    <mergeCell ref="J42:K42"/>
    <mergeCell ref="L42:M42"/>
    <mergeCell ref="N42:O42"/>
    <mergeCell ref="A39:M40"/>
    <mergeCell ref="A41:A42"/>
    <mergeCell ref="B41:C41"/>
    <mergeCell ref="D41:E41"/>
    <mergeCell ref="F41:G41"/>
    <mergeCell ref="H41:I41"/>
    <mergeCell ref="J41:K41"/>
    <mergeCell ref="L41:M41"/>
    <mergeCell ref="A1:P2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</mergeCells>
  <phoneticPr fontId="10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3" manualBreakCount="3">
    <brk id="38" max="15" man="1"/>
    <brk id="74" max="15" man="1"/>
    <brk id="110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92D050"/>
    <outlinePr summaryBelow="0" summaryRight="0"/>
  </sheetPr>
  <dimension ref="A1:BW31"/>
  <sheetViews>
    <sheetView view="pageBreakPreview" topLeftCell="A4" zoomScaleNormal="60" zoomScaleSheetLayoutView="100" workbookViewId="0">
      <selection activeCell="P32" sqref="P32"/>
    </sheetView>
  </sheetViews>
  <sheetFormatPr defaultColWidth="12.54296875" defaultRowHeight="15.75" customHeight="1"/>
  <cols>
    <col min="1" max="1" width="5.453125" style="136" customWidth="1"/>
    <col min="2" max="2" width="11.453125" style="234" customWidth="1"/>
    <col min="3" max="3" width="4" style="235" customWidth="1"/>
    <col min="4" max="15" width="9.54296875" style="136" customWidth="1"/>
    <col min="16" max="16" width="47.81640625" style="136" customWidth="1"/>
    <col min="17" max="17" width="9.54296875" style="136" customWidth="1"/>
    <col min="18" max="21" width="12.54296875" style="233"/>
    <col min="22" max="22" width="24.453125" style="136" bestFit="1" customWidth="1"/>
    <col min="23" max="23" width="19.453125" style="136" bestFit="1" customWidth="1"/>
    <col min="24" max="24" width="23" style="136" bestFit="1" customWidth="1"/>
    <col min="25" max="25" width="11.7265625" style="136" bestFit="1" customWidth="1"/>
    <col min="26" max="26" width="15.81640625" style="136" bestFit="1" customWidth="1"/>
    <col min="27" max="27" width="23.54296875" style="136" bestFit="1" customWidth="1"/>
    <col min="28" max="28" width="23" style="136" bestFit="1" customWidth="1"/>
    <col min="29" max="29" width="11.7265625" style="136" bestFit="1" customWidth="1"/>
    <col min="30" max="30" width="20.54296875" style="136" bestFit="1" customWidth="1"/>
    <col min="31" max="31" width="15" style="136" bestFit="1" customWidth="1"/>
    <col min="32" max="32" width="23" style="136" bestFit="1" customWidth="1"/>
    <col min="33" max="33" width="11.7265625" style="136" bestFit="1" customWidth="1"/>
    <col min="34" max="34" width="15.8164062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265625" style="136" bestFit="1" customWidth="1"/>
    <col min="40" max="40" width="13.81640625" style="136" bestFit="1" customWidth="1"/>
    <col min="41" max="41" width="27.81640625" style="136" bestFit="1" customWidth="1"/>
    <col min="42" max="42" width="23" style="136" bestFit="1" customWidth="1"/>
    <col min="43" max="43" width="8" style="136" bestFit="1" customWidth="1"/>
    <col min="44" max="44" width="30.7265625" style="136" bestFit="1" customWidth="1"/>
    <col min="45" max="45" width="25.726562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265625" style="136" bestFit="1" customWidth="1"/>
    <col min="50" max="50" width="20.1796875" style="136" bestFit="1" customWidth="1"/>
    <col min="51" max="51" width="23.54296875" style="136" bestFit="1" customWidth="1"/>
    <col min="52" max="52" width="23" style="136" bestFit="1" customWidth="1"/>
    <col min="53" max="53" width="11.7265625" style="136" bestFit="1" customWidth="1"/>
    <col min="54" max="54" width="21.453125" style="136" bestFit="1" customWidth="1"/>
    <col min="55" max="55" width="15" style="136" bestFit="1" customWidth="1"/>
    <col min="56" max="56" width="23" style="136" bestFit="1" customWidth="1"/>
    <col min="57" max="57" width="11.7265625" style="136" bestFit="1" customWidth="1"/>
    <col min="58" max="58" width="13.8164062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265625" style="136" bestFit="1" customWidth="1"/>
    <col min="64" max="64" width="24.7265625" style="136" bestFit="1" customWidth="1"/>
    <col min="65" max="65" width="18.726562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1640625" style="136" bestFit="1" customWidth="1"/>
    <col min="73" max="73" width="10.54296875" style="136" bestFit="1" customWidth="1"/>
    <col min="74" max="74" width="21.453125" style="136" bestFit="1" customWidth="1"/>
    <col min="75" max="75" width="5.453125" style="136" bestFit="1" customWidth="1"/>
    <col min="76" max="16384" width="12.54296875" style="136"/>
  </cols>
  <sheetData>
    <row r="1" spans="1:75" ht="15.75" customHeight="1">
      <c r="A1" s="644" t="s">
        <v>367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</row>
    <row r="2" spans="1:75" s="137" customFormat="1" ht="15.75" customHeight="1">
      <c r="A2" s="644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</row>
    <row r="3" spans="1:75" ht="15.75" customHeight="1">
      <c r="A3" s="645" t="s">
        <v>439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</row>
    <row r="4" spans="1:75" s="137" customFormat="1" ht="15.75" customHeight="1">
      <c r="A4" s="645"/>
      <c r="B4" s="645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</row>
    <row r="5" spans="1:75" ht="15.75" customHeight="1">
      <c r="A5" s="647" t="s">
        <v>191</v>
      </c>
      <c r="B5" s="657">
        <v>1</v>
      </c>
      <c r="C5" s="657"/>
      <c r="D5" s="657">
        <v>2</v>
      </c>
      <c r="E5" s="657"/>
      <c r="F5" s="657">
        <v>3</v>
      </c>
      <c r="G5" s="657"/>
      <c r="H5" s="650">
        <v>4</v>
      </c>
      <c r="I5" s="650"/>
      <c r="J5" s="650">
        <v>5</v>
      </c>
      <c r="K5" s="650"/>
      <c r="L5" s="650">
        <v>6</v>
      </c>
      <c r="M5" s="650"/>
      <c r="N5" s="650">
        <v>7</v>
      </c>
      <c r="O5" s="650"/>
      <c r="P5" s="650">
        <v>8</v>
      </c>
      <c r="Q5" s="650"/>
    </row>
    <row r="6" spans="1:75" ht="15.75" customHeight="1">
      <c r="A6" s="647"/>
      <c r="B6" s="658" t="s">
        <v>463</v>
      </c>
      <c r="C6" s="658"/>
      <c r="D6" s="658" t="s">
        <v>212</v>
      </c>
      <c r="E6" s="658"/>
      <c r="F6" s="658" t="s">
        <v>166</v>
      </c>
      <c r="G6" s="658"/>
      <c r="H6" s="647" t="s">
        <v>436</v>
      </c>
      <c r="I6" s="647"/>
      <c r="J6" s="647" t="s">
        <v>189</v>
      </c>
      <c r="K6" s="647"/>
      <c r="L6" s="647" t="s">
        <v>167</v>
      </c>
      <c r="M6" s="647"/>
      <c r="N6" s="647" t="s">
        <v>190</v>
      </c>
      <c r="O6" s="647"/>
      <c r="P6" s="743" t="s">
        <v>217</v>
      </c>
      <c r="Q6" s="743"/>
    </row>
    <row r="8" spans="1:75" s="237" customFormat="1" ht="15.75" customHeight="1">
      <c r="A8" s="682" t="s">
        <v>191</v>
      </c>
      <c r="B8" s="683"/>
      <c r="C8" s="236" t="s">
        <v>47</v>
      </c>
      <c r="D8" s="805" t="s">
        <v>12</v>
      </c>
      <c r="E8" s="671"/>
      <c r="F8" s="793"/>
      <c r="G8" s="806" t="s">
        <v>53</v>
      </c>
      <c r="H8" s="807"/>
      <c r="I8" s="808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809" t="s">
        <v>51</v>
      </c>
      <c r="P8" s="810"/>
    </row>
    <row r="9" spans="1:75" ht="20.149999999999999" customHeight="1">
      <c r="A9" s="794">
        <v>1</v>
      </c>
      <c r="B9" s="797" t="s">
        <v>464</v>
      </c>
      <c r="C9" s="238">
        <v>1</v>
      </c>
      <c r="D9" s="239"/>
      <c r="E9" s="240"/>
      <c r="F9" s="240"/>
      <c r="G9" s="239"/>
      <c r="H9" s="240"/>
      <c r="I9" s="241"/>
      <c r="J9" s="238"/>
      <c r="K9" s="244"/>
      <c r="L9" s="238"/>
      <c r="M9" s="324">
        <f>L9*J9</f>
        <v>0</v>
      </c>
      <c r="N9" s="245"/>
      <c r="O9" s="700"/>
      <c r="P9" s="701"/>
      <c r="S9" s="343"/>
      <c r="T9" s="342"/>
    </row>
    <row r="10" spans="1:75" ht="20.149999999999999" customHeight="1">
      <c r="A10" s="795"/>
      <c r="B10" s="798"/>
      <c r="C10" s="238">
        <v>2</v>
      </c>
      <c r="D10" s="239"/>
      <c r="E10" s="240"/>
      <c r="F10" s="241"/>
      <c r="G10" s="239"/>
      <c r="H10" s="240"/>
      <c r="I10" s="241"/>
      <c r="J10" s="238"/>
      <c r="K10" s="244"/>
      <c r="L10" s="238"/>
      <c r="M10" s="324">
        <f t="shared" ref="M10:M13" si="0">L10*J10</f>
        <v>0</v>
      </c>
      <c r="N10" s="245"/>
      <c r="O10" s="812"/>
      <c r="P10" s="757"/>
      <c r="S10" s="342"/>
      <c r="T10" s="342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</row>
    <row r="11" spans="1:75" ht="20.149999999999999" customHeight="1">
      <c r="A11" s="795"/>
      <c r="B11" s="798"/>
      <c r="C11" s="238">
        <v>3</v>
      </c>
      <c r="D11" s="239"/>
      <c r="E11" s="240"/>
      <c r="F11" s="241"/>
      <c r="G11" s="239"/>
      <c r="H11" s="240"/>
      <c r="I11" s="241"/>
      <c r="J11" s="238"/>
      <c r="K11" s="244"/>
      <c r="L11" s="238"/>
      <c r="M11" s="324">
        <f t="shared" si="0"/>
        <v>0</v>
      </c>
      <c r="N11" s="245"/>
      <c r="O11" s="812"/>
      <c r="P11" s="757"/>
      <c r="S11" s="343"/>
      <c r="T11" s="342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</row>
    <row r="12" spans="1:75" ht="20.149999999999999" customHeight="1">
      <c r="A12" s="795"/>
      <c r="B12" s="798"/>
      <c r="C12" s="238">
        <v>4</v>
      </c>
      <c r="D12" s="239"/>
      <c r="E12" s="240"/>
      <c r="F12" s="241"/>
      <c r="G12" s="239"/>
      <c r="H12" s="240"/>
      <c r="I12" s="241"/>
      <c r="J12" s="238"/>
      <c r="K12" s="244"/>
      <c r="L12" s="238"/>
      <c r="M12" s="324">
        <f t="shared" si="0"/>
        <v>0</v>
      </c>
      <c r="N12" s="245"/>
      <c r="O12" s="812"/>
      <c r="P12" s="757"/>
      <c r="S12" s="342"/>
      <c r="T12" s="342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</row>
    <row r="13" spans="1:75" ht="20.149999999999999" customHeight="1" thickBot="1">
      <c r="A13" s="795"/>
      <c r="B13" s="798"/>
      <c r="C13" s="238">
        <v>5</v>
      </c>
      <c r="D13" s="246"/>
      <c r="E13" s="247"/>
      <c r="F13" s="248"/>
      <c r="G13" s="239"/>
      <c r="H13" s="240"/>
      <c r="I13" s="270"/>
      <c r="J13" s="249"/>
      <c r="K13" s="250"/>
      <c r="L13" s="249"/>
      <c r="M13" s="325">
        <f t="shared" si="0"/>
        <v>0</v>
      </c>
      <c r="N13" s="245"/>
      <c r="O13" s="812"/>
      <c r="P13" s="757"/>
      <c r="S13" s="343"/>
      <c r="T13" s="342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</row>
    <row r="14" spans="1:75" ht="15.75" customHeight="1" thickTop="1" thickBot="1">
      <c r="A14" s="796"/>
      <c r="B14" s="799"/>
      <c r="C14" s="660"/>
      <c r="D14" s="661"/>
      <c r="E14" s="661"/>
      <c r="F14" s="661"/>
      <c r="G14" s="661"/>
      <c r="H14" s="661"/>
      <c r="I14" s="802"/>
      <c r="J14" s="348" t="s">
        <v>58</v>
      </c>
      <c r="K14" s="349">
        <f>M14/'生產管理報表 7-1 (週)'!$B$21</f>
        <v>0</v>
      </c>
      <c r="L14" s="348" t="s">
        <v>59</v>
      </c>
      <c r="M14" s="326">
        <f>SUM(M9:M13)</f>
        <v>0</v>
      </c>
      <c r="N14" s="746"/>
      <c r="O14" s="747"/>
      <c r="P14" s="748"/>
      <c r="S14" s="342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</row>
    <row r="15" spans="1:75" ht="15.75" customHeight="1" thickTop="1"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S15" s="34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</row>
    <row r="16" spans="1:75" ht="15.75" customHeight="1">
      <c r="A16" s="682" t="s">
        <v>191</v>
      </c>
      <c r="B16" s="683"/>
      <c r="C16" s="254" t="s">
        <v>47</v>
      </c>
      <c r="D16" s="670" t="s">
        <v>12</v>
      </c>
      <c r="E16" s="671"/>
      <c r="F16" s="672"/>
      <c r="G16" s="670" t="s">
        <v>53</v>
      </c>
      <c r="H16" s="671"/>
      <c r="I16" s="672"/>
      <c r="J16" s="256" t="s">
        <v>54</v>
      </c>
      <c r="K16" s="256" t="s">
        <v>55</v>
      </c>
      <c r="L16" s="256" t="s">
        <v>56</v>
      </c>
      <c r="M16" s="256" t="s">
        <v>11</v>
      </c>
      <c r="N16" s="257" t="s">
        <v>333</v>
      </c>
      <c r="O16" s="749" t="s">
        <v>51</v>
      </c>
      <c r="P16" s="750"/>
      <c r="S16" s="342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</row>
    <row r="17" spans="1:36" ht="20.149999999999999" customHeight="1">
      <c r="A17" s="794">
        <v>2</v>
      </c>
      <c r="B17" s="797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62"/>
      <c r="O17" s="751"/>
      <c r="P17" s="752"/>
      <c r="S17" s="34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</row>
    <row r="18" spans="1:36" ht="20.149999999999999" customHeight="1">
      <c r="A18" s="795"/>
      <c r="B18" s="798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62"/>
      <c r="O18" s="751"/>
      <c r="P18" s="752"/>
      <c r="S18" s="342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</row>
    <row r="19" spans="1:36" ht="20.149999999999999" customHeight="1">
      <c r="A19" s="795"/>
      <c r="B19" s="798"/>
      <c r="C19" s="258">
        <v>3</v>
      </c>
      <c r="D19" s="239"/>
      <c r="E19" s="240"/>
      <c r="F19" s="241"/>
      <c r="G19" s="239"/>
      <c r="H19" s="240"/>
      <c r="I19" s="241"/>
      <c r="J19" s="259"/>
      <c r="K19" s="260"/>
      <c r="L19" s="259"/>
      <c r="M19" s="261">
        <f t="shared" si="1"/>
        <v>0</v>
      </c>
      <c r="N19" s="262"/>
      <c r="O19" s="751"/>
      <c r="P19" s="752"/>
      <c r="S19" s="34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</row>
    <row r="20" spans="1:36" ht="20.149999999999999" customHeight="1">
      <c r="A20" s="795"/>
      <c r="B20" s="798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62"/>
      <c r="O20" s="751"/>
      <c r="P20" s="752"/>
      <c r="S20" s="342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</row>
    <row r="21" spans="1:36" ht="20.149999999999999" customHeight="1" thickBot="1">
      <c r="A21" s="795"/>
      <c r="B21" s="798"/>
      <c r="C21" s="264">
        <v>5</v>
      </c>
      <c r="D21" s="246"/>
      <c r="E21" s="247"/>
      <c r="F21" s="248"/>
      <c r="G21" s="246"/>
      <c r="H21" s="247"/>
      <c r="I21" s="248"/>
      <c r="J21" s="265"/>
      <c r="K21" s="266"/>
      <c r="L21" s="265"/>
      <c r="M21" s="267">
        <f t="shared" si="1"/>
        <v>0</v>
      </c>
      <c r="N21" s="268"/>
      <c r="O21" s="751"/>
      <c r="P21" s="752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</row>
    <row r="22" spans="1:36" ht="15.75" customHeight="1" thickTop="1" thickBot="1">
      <c r="A22" s="796"/>
      <c r="B22" s="799"/>
      <c r="C22" s="660"/>
      <c r="D22" s="661"/>
      <c r="E22" s="661"/>
      <c r="F22" s="661"/>
      <c r="G22" s="661"/>
      <c r="H22" s="661"/>
      <c r="I22" s="802"/>
      <c r="J22" s="348" t="s">
        <v>58</v>
      </c>
      <c r="K22" s="349">
        <f>M22/'生產管理報表 7-1 (週)'!$B$21</f>
        <v>0</v>
      </c>
      <c r="L22" s="348" t="s">
        <v>59</v>
      </c>
      <c r="M22" s="252">
        <f>SUM(M17:M21)</f>
        <v>0</v>
      </c>
      <c r="N22" s="753"/>
      <c r="O22" s="754"/>
      <c r="P22" s="755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</row>
    <row r="23" spans="1:36" ht="15.75" customHeight="1" thickTop="1"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</row>
    <row r="24" spans="1:36" ht="15.75" customHeight="1">
      <c r="A24" s="682" t="s">
        <v>191</v>
      </c>
      <c r="B24" s="683"/>
      <c r="C24" s="254" t="s">
        <v>47</v>
      </c>
      <c r="D24" s="670" t="s">
        <v>12</v>
      </c>
      <c r="E24" s="671"/>
      <c r="F24" s="672"/>
      <c r="G24" s="670" t="s">
        <v>53</v>
      </c>
      <c r="H24" s="671"/>
      <c r="I24" s="793"/>
      <c r="J24" s="255" t="s">
        <v>54</v>
      </c>
      <c r="K24" s="256" t="s">
        <v>55</v>
      </c>
      <c r="L24" s="256" t="s">
        <v>56</v>
      </c>
      <c r="M24" s="256" t="s">
        <v>11</v>
      </c>
      <c r="N24" s="257" t="s">
        <v>333</v>
      </c>
      <c r="O24" s="761" t="s">
        <v>51</v>
      </c>
      <c r="P24" s="762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</row>
    <row r="25" spans="1:36" ht="20.149999999999999" customHeight="1">
      <c r="A25" s="794">
        <v>3</v>
      </c>
      <c r="B25" s="797" t="s">
        <v>429</v>
      </c>
      <c r="C25" s="258">
        <v>1</v>
      </c>
      <c r="D25" s="239"/>
      <c r="E25" s="240"/>
      <c r="F25" s="241"/>
      <c r="G25" s="239"/>
      <c r="H25" s="240"/>
      <c r="I25" s="241"/>
      <c r="J25" s="259"/>
      <c r="K25" s="260"/>
      <c r="L25" s="259"/>
      <c r="M25" s="327">
        <f t="shared" ref="M25:M29" si="2">L25*J25</f>
        <v>0</v>
      </c>
      <c r="N25" s="272"/>
      <c r="O25" s="756"/>
      <c r="P25" s="757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</row>
    <row r="26" spans="1:36" ht="20.149999999999999" customHeight="1">
      <c r="A26" s="795"/>
      <c r="B26" s="798"/>
      <c r="C26" s="258">
        <v>2</v>
      </c>
      <c r="D26" s="239"/>
      <c r="E26" s="240"/>
      <c r="F26" s="241"/>
      <c r="G26" s="239"/>
      <c r="H26" s="240"/>
      <c r="I26" s="241"/>
      <c r="J26" s="259"/>
      <c r="K26" s="260"/>
      <c r="L26" s="259"/>
      <c r="M26" s="327">
        <f t="shared" si="2"/>
        <v>0</v>
      </c>
      <c r="N26" s="272"/>
      <c r="O26" s="756"/>
      <c r="P26" s="757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</row>
    <row r="27" spans="1:36" ht="20.149999999999999" customHeight="1">
      <c r="A27" s="795"/>
      <c r="B27" s="798"/>
      <c r="C27" s="258">
        <v>3</v>
      </c>
      <c r="D27" s="239"/>
      <c r="E27" s="240"/>
      <c r="F27" s="241"/>
      <c r="G27" s="239"/>
      <c r="H27" s="240"/>
      <c r="I27" s="241"/>
      <c r="J27" s="259"/>
      <c r="K27" s="260"/>
      <c r="L27" s="259"/>
      <c r="M27" s="327">
        <f t="shared" si="2"/>
        <v>0</v>
      </c>
      <c r="N27" s="272"/>
      <c r="O27" s="756"/>
      <c r="P27" s="757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</row>
    <row r="28" spans="1:36" ht="20.149999999999999" customHeight="1">
      <c r="A28" s="795"/>
      <c r="B28" s="798"/>
      <c r="C28" s="258">
        <v>4</v>
      </c>
      <c r="D28" s="239"/>
      <c r="E28" s="240"/>
      <c r="F28" s="241"/>
      <c r="G28" s="239"/>
      <c r="H28" s="240"/>
      <c r="I28" s="270"/>
      <c r="J28" s="271"/>
      <c r="K28" s="260"/>
      <c r="L28" s="259"/>
      <c r="M28" s="327">
        <f t="shared" si="2"/>
        <v>0</v>
      </c>
      <c r="N28" s="272"/>
      <c r="O28" s="756"/>
      <c r="P28" s="757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</row>
    <row r="29" spans="1:36" ht="20.149999999999999" customHeight="1" thickBot="1">
      <c r="A29" s="795"/>
      <c r="B29" s="798"/>
      <c r="C29" s="264">
        <v>5</v>
      </c>
      <c r="D29" s="246"/>
      <c r="E29" s="247"/>
      <c r="F29" s="248"/>
      <c r="G29" s="246"/>
      <c r="H29" s="247"/>
      <c r="I29" s="273"/>
      <c r="J29" s="274"/>
      <c r="K29" s="266"/>
      <c r="L29" s="275"/>
      <c r="M29" s="327">
        <f t="shared" si="2"/>
        <v>0</v>
      </c>
      <c r="N29" s="272"/>
      <c r="O29" s="756"/>
      <c r="P29" s="757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</row>
    <row r="30" spans="1:36" ht="15.75" customHeight="1" thickTop="1" thickBot="1">
      <c r="A30" s="796"/>
      <c r="B30" s="799"/>
      <c r="C30" s="660"/>
      <c r="D30" s="661"/>
      <c r="E30" s="661"/>
      <c r="F30" s="661"/>
      <c r="G30" s="661"/>
      <c r="H30" s="661"/>
      <c r="I30" s="802"/>
      <c r="J30" s="350" t="s">
        <v>58</v>
      </c>
      <c r="K30" s="349">
        <f>M30/'生產管理報表 7-1 (週)'!$B$21</f>
        <v>0</v>
      </c>
      <c r="L30" s="350" t="s">
        <v>59</v>
      </c>
      <c r="M30" s="328">
        <f>SUM(M25:M29)</f>
        <v>0</v>
      </c>
      <c r="N30" s="758"/>
      <c r="O30" s="759"/>
      <c r="P30" s="760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</row>
    <row r="31" spans="1:36" ht="15.75" customHeight="1" thickTop="1"/>
  </sheetData>
  <mergeCells count="58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T143"/>
  <sheetViews>
    <sheetView view="pageBreakPreview" topLeftCell="A119" zoomScale="91" zoomScaleNormal="60" zoomScaleSheetLayoutView="91" workbookViewId="0">
      <selection activeCell="R122" sqref="R122"/>
    </sheetView>
  </sheetViews>
  <sheetFormatPr defaultColWidth="12.54296875" defaultRowHeight="15.75" customHeight="1"/>
  <cols>
    <col min="1" max="1" width="5.453125" style="291" customWidth="1"/>
    <col min="2" max="2" width="11.453125" style="299" customWidth="1"/>
    <col min="3" max="3" width="4" style="300" customWidth="1"/>
    <col min="4" max="4" width="9.54296875" style="291" customWidth="1"/>
    <col min="5" max="5" width="10.26953125" style="291" customWidth="1"/>
    <col min="6" max="15" width="9.54296875" style="291" customWidth="1"/>
    <col min="16" max="16" width="35.453125" style="291" customWidth="1"/>
    <col min="17" max="17" width="12.54296875" style="291"/>
    <col min="18" max="18" width="27.453125" style="291" bestFit="1" customWidth="1"/>
    <col min="19" max="16384" width="12.54296875" style="291"/>
  </cols>
  <sheetData>
    <row r="1" spans="1:20" s="136" customFormat="1" ht="15.75" customHeight="1">
      <c r="A1" s="644" t="s">
        <v>367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</row>
    <row r="2" spans="1:20" s="137" customFormat="1" ht="15.75" customHeight="1">
      <c r="A2" s="644"/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</row>
    <row r="3" spans="1:20" s="136" customFormat="1" ht="15.75" customHeight="1">
      <c r="A3" s="645" t="s">
        <v>573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</row>
    <row r="4" spans="1:20" s="137" customFormat="1" ht="15.75" customHeight="1">
      <c r="A4" s="679"/>
      <c r="B4" s="679"/>
      <c r="C4" s="679"/>
      <c r="D4" s="679"/>
      <c r="E4" s="679"/>
      <c r="F4" s="679"/>
      <c r="G4" s="679"/>
      <c r="H4" s="679"/>
      <c r="I4" s="679"/>
      <c r="J4" s="679"/>
      <c r="K4" s="679"/>
      <c r="L4" s="679"/>
      <c r="M4" s="679"/>
    </row>
    <row r="5" spans="1:20" s="136" customFormat="1" ht="15.75" customHeight="1">
      <c r="A5" s="680" t="s">
        <v>191</v>
      </c>
      <c r="B5" s="682">
        <v>1</v>
      </c>
      <c r="C5" s="683"/>
      <c r="D5" s="682">
        <v>2</v>
      </c>
      <c r="E5" s="683"/>
      <c r="F5" s="682">
        <v>3</v>
      </c>
      <c r="G5" s="683"/>
      <c r="H5" s="673">
        <v>4</v>
      </c>
      <c r="I5" s="674"/>
      <c r="J5" s="673">
        <v>5</v>
      </c>
      <c r="K5" s="674"/>
      <c r="L5" s="673">
        <v>6</v>
      </c>
      <c r="M5" s="674"/>
      <c r="N5" s="673">
        <v>7</v>
      </c>
      <c r="O5" s="674"/>
      <c r="P5" s="329">
        <v>8</v>
      </c>
    </row>
    <row r="6" spans="1:20" s="136" customFormat="1" ht="15.75" customHeight="1">
      <c r="A6" s="681"/>
      <c r="B6" s="677" t="s">
        <v>463</v>
      </c>
      <c r="C6" s="678"/>
      <c r="D6" s="677" t="s">
        <v>212</v>
      </c>
      <c r="E6" s="678"/>
      <c r="F6" s="677" t="s">
        <v>166</v>
      </c>
      <c r="G6" s="678"/>
      <c r="H6" s="675" t="s">
        <v>436</v>
      </c>
      <c r="I6" s="676"/>
      <c r="J6" s="675" t="s">
        <v>189</v>
      </c>
      <c r="K6" s="676"/>
      <c r="L6" s="675" t="s">
        <v>167</v>
      </c>
      <c r="M6" s="676"/>
      <c r="N6" s="675" t="s">
        <v>190</v>
      </c>
      <c r="O6" s="676"/>
      <c r="P6" s="330" t="s">
        <v>217</v>
      </c>
    </row>
    <row r="7" spans="1:20" s="136" customFormat="1" ht="15.75" customHeight="1">
      <c r="B7" s="234"/>
      <c r="C7" s="235"/>
    </row>
    <row r="8" spans="1:20" s="280" customFormat="1" ht="15.75" customHeight="1">
      <c r="A8" s="684" t="s">
        <v>191</v>
      </c>
      <c r="B8" s="685"/>
      <c r="C8" s="277" t="s">
        <v>47</v>
      </c>
      <c r="D8" s="686" t="s">
        <v>12</v>
      </c>
      <c r="E8" s="687"/>
      <c r="F8" s="688"/>
      <c r="G8" s="689" t="s">
        <v>53</v>
      </c>
      <c r="H8" s="690"/>
      <c r="I8" s="691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692" t="s">
        <v>51</v>
      </c>
      <c r="P8" s="693"/>
      <c r="R8" s="342"/>
      <c r="S8" s="343"/>
    </row>
    <row r="9" spans="1:20" s="300" customFormat="1" ht="60" customHeight="1">
      <c r="A9" s="694">
        <v>4</v>
      </c>
      <c r="B9" s="697" t="s">
        <v>436</v>
      </c>
      <c r="C9" s="281">
        <v>1</v>
      </c>
      <c r="D9" s="239" t="s">
        <v>488</v>
      </c>
      <c r="E9" s="240"/>
      <c r="F9" s="241"/>
      <c r="G9" s="308" t="s">
        <v>487</v>
      </c>
      <c r="H9" s="307"/>
      <c r="I9" s="308"/>
      <c r="J9" s="314">
        <v>191.21</v>
      </c>
      <c r="K9" s="315">
        <v>1.1825767032389461E-3</v>
      </c>
      <c r="L9" s="316">
        <v>24.329999999999917</v>
      </c>
      <c r="M9" s="324">
        <f t="shared" ref="M9:M13" si="0">L9*J9</f>
        <v>4652.1392999999844</v>
      </c>
      <c r="N9" s="316"/>
      <c r="O9" s="702" t="s">
        <v>499</v>
      </c>
      <c r="P9" s="703"/>
      <c r="R9" s="411"/>
      <c r="S9" s="343"/>
    </row>
    <row r="10" spans="1:20" s="300" customFormat="1" ht="60" customHeight="1">
      <c r="A10" s="695"/>
      <c r="B10" s="698"/>
      <c r="C10" s="281">
        <v>2</v>
      </c>
      <c r="D10" s="239" t="s">
        <v>497</v>
      </c>
      <c r="E10" s="240"/>
      <c r="F10" s="241"/>
      <c r="G10" s="308" t="s">
        <v>502</v>
      </c>
      <c r="H10" s="307"/>
      <c r="I10" s="308"/>
      <c r="J10" s="314">
        <v>118.30999999999997</v>
      </c>
      <c r="K10" s="315">
        <v>6.3662933703735852E-4</v>
      </c>
      <c r="L10" s="316">
        <v>37.50999999999987</v>
      </c>
      <c r="M10" s="324">
        <f t="shared" si="0"/>
        <v>4437.8080999999838</v>
      </c>
      <c r="N10" s="316"/>
      <c r="O10" s="702" t="s">
        <v>506</v>
      </c>
      <c r="P10" s="703"/>
      <c r="R10" s="411"/>
      <c r="S10" s="412"/>
      <c r="T10" s="338"/>
    </row>
    <row r="11" spans="1:20" s="300" customFormat="1" ht="60" customHeight="1">
      <c r="A11" s="695"/>
      <c r="B11" s="698"/>
      <c r="C11" s="281">
        <v>3</v>
      </c>
      <c r="D11" s="239" t="s">
        <v>475</v>
      </c>
      <c r="E11" s="240"/>
      <c r="F11" s="241"/>
      <c r="G11" s="308" t="s">
        <v>484</v>
      </c>
      <c r="H11" s="307"/>
      <c r="I11" s="308"/>
      <c r="J11" s="314">
        <v>629</v>
      </c>
      <c r="K11" s="315">
        <v>4.5141646809637274E-3</v>
      </c>
      <c r="L11" s="316">
        <v>6.8679999999999826</v>
      </c>
      <c r="M11" s="324">
        <f t="shared" si="0"/>
        <v>4319.9719999999888</v>
      </c>
      <c r="N11" s="316"/>
      <c r="O11" s="704" t="s">
        <v>499</v>
      </c>
      <c r="P11" s="705"/>
      <c r="R11" s="411"/>
      <c r="S11" s="413"/>
    </row>
    <row r="12" spans="1:20" s="300" customFormat="1" ht="60" customHeight="1">
      <c r="A12" s="695"/>
      <c r="B12" s="698"/>
      <c r="C12" s="281">
        <v>4</v>
      </c>
      <c r="D12" s="239" t="s">
        <v>351</v>
      </c>
      <c r="E12" s="240"/>
      <c r="F12" s="241"/>
      <c r="G12" s="356" t="s">
        <v>434</v>
      </c>
      <c r="H12" s="307"/>
      <c r="I12" s="308"/>
      <c r="J12" s="314">
        <v>99.51</v>
      </c>
      <c r="K12" s="315">
        <v>3.5828156329093114E-3</v>
      </c>
      <c r="L12" s="316">
        <v>40.589999999999819</v>
      </c>
      <c r="M12" s="324">
        <f t="shared" si="0"/>
        <v>4039.1108999999819</v>
      </c>
      <c r="N12" s="316"/>
      <c r="O12" s="704" t="s">
        <v>524</v>
      </c>
      <c r="P12" s="705"/>
      <c r="R12" s="411"/>
      <c r="S12" s="412"/>
      <c r="T12" s="338"/>
    </row>
    <row r="13" spans="1:20" s="300" customFormat="1" ht="60" customHeight="1" thickBot="1">
      <c r="A13" s="695"/>
      <c r="B13" s="698"/>
      <c r="C13" s="281">
        <v>5</v>
      </c>
      <c r="D13" s="239" t="s">
        <v>498</v>
      </c>
      <c r="E13" s="247"/>
      <c r="F13" s="248"/>
      <c r="G13" s="308" t="s">
        <v>501</v>
      </c>
      <c r="H13" s="307"/>
      <c r="I13" s="308"/>
      <c r="J13" s="318">
        <v>84.3</v>
      </c>
      <c r="K13" s="250">
        <v>0</v>
      </c>
      <c r="L13" s="319">
        <v>46.509999999999991</v>
      </c>
      <c r="M13" s="324">
        <f t="shared" si="0"/>
        <v>3920.7929999999992</v>
      </c>
      <c r="N13" s="316"/>
      <c r="O13" s="704" t="s">
        <v>576</v>
      </c>
      <c r="P13" s="705"/>
      <c r="R13" s="414"/>
      <c r="S13" s="413"/>
      <c r="T13" s="291"/>
    </row>
    <row r="14" spans="1:20" ht="15.75" customHeight="1" thickTop="1" thickBot="1">
      <c r="A14" s="696"/>
      <c r="B14" s="699"/>
      <c r="C14" s="708"/>
      <c r="D14" s="709"/>
      <c r="E14" s="709"/>
      <c r="F14" s="709"/>
      <c r="G14" s="709"/>
      <c r="H14" s="709"/>
      <c r="I14" s="710"/>
      <c r="J14" s="351" t="s">
        <v>58</v>
      </c>
      <c r="K14" s="349">
        <f>M14/'生產管理報表 7-1 (週)'!$B$10</f>
        <v>0.10605029203891485</v>
      </c>
      <c r="L14" s="352" t="s">
        <v>59</v>
      </c>
      <c r="M14" s="353">
        <f>SUM(M9:M13)</f>
        <v>21369.823299999938</v>
      </c>
      <c r="N14" s="711"/>
      <c r="O14" s="712"/>
      <c r="P14" s="713"/>
      <c r="R14" s="342"/>
      <c r="S14" s="342"/>
    </row>
    <row r="15" spans="1:20" ht="15.75" customHeight="1" thickTop="1">
      <c r="M15" s="331"/>
      <c r="S15" s="343"/>
    </row>
    <row r="16" spans="1:20" ht="15.75" customHeight="1">
      <c r="A16" s="684" t="s">
        <v>191</v>
      </c>
      <c r="B16" s="685"/>
      <c r="C16" s="277" t="s">
        <v>47</v>
      </c>
      <c r="D16" s="686" t="s">
        <v>12</v>
      </c>
      <c r="E16" s="687"/>
      <c r="F16" s="688"/>
      <c r="G16" s="689" t="s">
        <v>53</v>
      </c>
      <c r="H16" s="690"/>
      <c r="I16" s="691"/>
      <c r="J16" s="395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692" t="s">
        <v>51</v>
      </c>
      <c r="P16" s="693"/>
      <c r="S16" s="342"/>
      <c r="T16" s="338"/>
    </row>
    <row r="17" spans="1:20" s="300" customFormat="1" ht="60" customHeight="1">
      <c r="A17" s="694">
        <v>5</v>
      </c>
      <c r="B17" s="714" t="s">
        <v>215</v>
      </c>
      <c r="C17" s="281">
        <v>1</v>
      </c>
      <c r="D17" s="239" t="s">
        <v>342</v>
      </c>
      <c r="E17" s="240"/>
      <c r="F17" s="241"/>
      <c r="G17" s="308" t="s">
        <v>337</v>
      </c>
      <c r="H17" s="307"/>
      <c r="I17" s="308"/>
      <c r="J17" s="314">
        <v>147.43000000000004</v>
      </c>
      <c r="K17" s="315">
        <v>0</v>
      </c>
      <c r="L17" s="316">
        <v>126.11000000000058</v>
      </c>
      <c r="M17" s="324">
        <f>L17*J17</f>
        <v>18592.397300000091</v>
      </c>
      <c r="N17" s="316"/>
      <c r="O17" s="769" t="s">
        <v>529</v>
      </c>
      <c r="P17" s="770"/>
      <c r="S17" s="413"/>
      <c r="T17" s="338"/>
    </row>
    <row r="18" spans="1:20" s="300" customFormat="1" ht="25" customHeight="1">
      <c r="A18" s="695"/>
      <c r="B18" s="715"/>
      <c r="C18" s="281">
        <v>2</v>
      </c>
      <c r="D18" s="239"/>
      <c r="E18" s="240"/>
      <c r="F18" s="241"/>
      <c r="G18" s="356"/>
      <c r="H18" s="307"/>
      <c r="I18" s="308"/>
      <c r="J18" s="314"/>
      <c r="K18" s="315"/>
      <c r="L18" s="316"/>
      <c r="M18" s="324">
        <f t="shared" ref="M18:M21" si="1">L18*J18</f>
        <v>0</v>
      </c>
      <c r="N18" s="316"/>
      <c r="O18" s="719"/>
      <c r="P18" s="720"/>
      <c r="S18" s="342"/>
      <c r="T18" s="339"/>
    </row>
    <row r="19" spans="1:20" ht="25" customHeight="1">
      <c r="A19" s="695"/>
      <c r="B19" s="715"/>
      <c r="C19" s="281">
        <v>3</v>
      </c>
      <c r="D19" s="239"/>
      <c r="E19" s="240"/>
      <c r="F19" s="241"/>
      <c r="G19" s="356"/>
      <c r="H19" s="307"/>
      <c r="I19" s="308"/>
      <c r="J19" s="314"/>
      <c r="K19" s="315"/>
      <c r="L19" s="316"/>
      <c r="M19" s="324">
        <f t="shared" si="1"/>
        <v>0</v>
      </c>
      <c r="N19" s="290"/>
      <c r="O19" s="741"/>
      <c r="P19" s="742"/>
    </row>
    <row r="20" spans="1:20" ht="25" customHeight="1">
      <c r="A20" s="695"/>
      <c r="B20" s="715"/>
      <c r="C20" s="281">
        <v>4</v>
      </c>
      <c r="D20" s="282"/>
      <c r="E20" s="283"/>
      <c r="F20" s="284"/>
      <c r="G20" s="356"/>
      <c r="H20" s="307"/>
      <c r="I20" s="308"/>
      <c r="J20" s="288"/>
      <c r="K20" s="289"/>
      <c r="L20" s="290"/>
      <c r="M20" s="324">
        <f t="shared" si="1"/>
        <v>0</v>
      </c>
      <c r="N20" s="290"/>
      <c r="O20" s="301"/>
      <c r="P20" s="302"/>
    </row>
    <row r="21" spans="1:20" ht="25" customHeight="1" thickBot="1">
      <c r="A21" s="695"/>
      <c r="B21" s="715"/>
      <c r="C21" s="281">
        <v>5</v>
      </c>
      <c r="D21" s="292"/>
      <c r="E21" s="293"/>
      <c r="F21" s="294"/>
      <c r="G21" s="356"/>
      <c r="H21" s="307"/>
      <c r="I21" s="308"/>
      <c r="J21" s="295"/>
      <c r="K21" s="250"/>
      <c r="L21" s="296"/>
      <c r="M21" s="324">
        <f t="shared" si="1"/>
        <v>0</v>
      </c>
      <c r="N21" s="290"/>
      <c r="O21" s="303"/>
      <c r="P21" s="304"/>
      <c r="R21" s="346"/>
    </row>
    <row r="22" spans="1:20" ht="15.75" customHeight="1" thickTop="1" thickBot="1">
      <c r="A22" s="696"/>
      <c r="B22" s="716"/>
      <c r="C22" s="723"/>
      <c r="D22" s="724"/>
      <c r="E22" s="724"/>
      <c r="F22" s="724"/>
      <c r="G22" s="724"/>
      <c r="H22" s="724"/>
      <c r="I22" s="725"/>
      <c r="J22" s="351" t="s">
        <v>58</v>
      </c>
      <c r="K22" s="349">
        <f>M22/'生產管理報表 7-1 (週)'!$B$10</f>
        <v>9.2266984882769118E-2</v>
      </c>
      <c r="L22" s="352" t="s">
        <v>59</v>
      </c>
      <c r="M22" s="353">
        <f>SUM(M17:M21)</f>
        <v>18592.397300000091</v>
      </c>
      <c r="N22" s="711"/>
      <c r="O22" s="712"/>
      <c r="P22" s="713"/>
      <c r="R22" s="342"/>
    </row>
    <row r="23" spans="1:20" ht="15.75" customHeight="1" thickTop="1">
      <c r="K23" s="291" t="s">
        <v>468</v>
      </c>
      <c r="M23" s="331"/>
      <c r="R23" s="342"/>
    </row>
    <row r="24" spans="1:20" ht="25" customHeight="1">
      <c r="A24" s="684" t="s">
        <v>191</v>
      </c>
      <c r="B24" s="685"/>
      <c r="C24" s="305" t="s">
        <v>47</v>
      </c>
      <c r="D24" s="728" t="s">
        <v>12</v>
      </c>
      <c r="E24" s="729"/>
      <c r="F24" s="730"/>
      <c r="G24" s="731" t="s">
        <v>53</v>
      </c>
      <c r="H24" s="732"/>
      <c r="I24" s="733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692" t="s">
        <v>51</v>
      </c>
      <c r="P24" s="693"/>
      <c r="R24" s="342"/>
    </row>
    <row r="25" spans="1:20" ht="55" customHeight="1">
      <c r="A25" s="694">
        <v>6</v>
      </c>
      <c r="B25" s="714" t="s">
        <v>216</v>
      </c>
      <c r="C25" s="281">
        <v>1</v>
      </c>
      <c r="D25" s="347" t="s">
        <v>344</v>
      </c>
      <c r="E25" s="283"/>
      <c r="F25" s="284"/>
      <c r="G25" s="308" t="s">
        <v>476</v>
      </c>
      <c r="H25" s="307"/>
      <c r="I25" s="308"/>
      <c r="J25" s="314">
        <v>605.77999999999986</v>
      </c>
      <c r="K25" s="315">
        <v>4.2115396185548405E-4</v>
      </c>
      <c r="L25" s="316">
        <v>12.230000000000091</v>
      </c>
      <c r="M25" s="324">
        <f t="shared" ref="M25:M29" si="2">L25*J25</f>
        <v>7408.6894000000539</v>
      </c>
      <c r="N25" s="290"/>
      <c r="O25" s="706" t="s">
        <v>479</v>
      </c>
      <c r="P25" s="707"/>
      <c r="R25" s="339"/>
      <c r="S25" s="339"/>
    </row>
    <row r="26" spans="1:20" ht="55" customHeight="1">
      <c r="A26" s="695"/>
      <c r="B26" s="715"/>
      <c r="C26" s="281">
        <v>2</v>
      </c>
      <c r="D26" s="239" t="s">
        <v>342</v>
      </c>
      <c r="E26" s="283"/>
      <c r="F26" s="284"/>
      <c r="G26" s="308" t="s">
        <v>471</v>
      </c>
      <c r="H26" s="307"/>
      <c r="I26" s="308"/>
      <c r="J26" s="314">
        <v>3.2199999999999998</v>
      </c>
      <c r="K26" s="315">
        <v>0</v>
      </c>
      <c r="L26" s="316">
        <v>925</v>
      </c>
      <c r="M26" s="324">
        <f t="shared" si="2"/>
        <v>2978.4999999999995</v>
      </c>
      <c r="N26" s="290"/>
      <c r="O26" s="706" t="s">
        <v>574</v>
      </c>
      <c r="P26" s="707"/>
      <c r="R26" s="339"/>
      <c r="S26" s="339"/>
    </row>
    <row r="27" spans="1:20" ht="55" customHeight="1">
      <c r="A27" s="695"/>
      <c r="B27" s="715"/>
      <c r="C27" s="281">
        <v>3</v>
      </c>
      <c r="D27" s="239" t="s">
        <v>342</v>
      </c>
      <c r="E27" s="283"/>
      <c r="F27" s="284"/>
      <c r="G27" s="308" t="s">
        <v>509</v>
      </c>
      <c r="H27" s="307"/>
      <c r="I27" s="308"/>
      <c r="J27" s="314">
        <v>198</v>
      </c>
      <c r="K27" s="315">
        <v>2.0584263742054474E-3</v>
      </c>
      <c r="L27" s="316">
        <v>12.130000000000109</v>
      </c>
      <c r="M27" s="324">
        <f t="shared" si="2"/>
        <v>2401.7400000000216</v>
      </c>
      <c r="N27" s="290"/>
      <c r="O27" s="706" t="s">
        <v>575</v>
      </c>
      <c r="P27" s="707"/>
      <c r="R27" s="339"/>
    </row>
    <row r="28" spans="1:20" ht="55" customHeight="1">
      <c r="A28" s="695"/>
      <c r="B28" s="715"/>
      <c r="C28" s="281">
        <v>4</v>
      </c>
      <c r="D28" s="239"/>
      <c r="E28" s="283"/>
      <c r="F28" s="284"/>
      <c r="G28" s="356"/>
      <c r="H28" s="307"/>
      <c r="I28" s="308"/>
      <c r="J28" s="314"/>
      <c r="K28" s="315"/>
      <c r="L28" s="316"/>
      <c r="M28" s="324">
        <f t="shared" si="2"/>
        <v>0</v>
      </c>
      <c r="N28" s="290"/>
      <c r="O28" s="706"/>
      <c r="P28" s="707"/>
      <c r="R28" s="339"/>
      <c r="S28" s="339"/>
    </row>
    <row r="29" spans="1:20" ht="55" customHeight="1" thickBot="1">
      <c r="A29" s="695"/>
      <c r="B29" s="715"/>
      <c r="C29" s="281">
        <v>5</v>
      </c>
      <c r="D29" s="246"/>
      <c r="E29" s="293"/>
      <c r="F29" s="294"/>
      <c r="G29" s="356"/>
      <c r="H29" s="307"/>
      <c r="I29" s="308"/>
      <c r="J29" s="318"/>
      <c r="K29" s="250"/>
      <c r="L29" s="319"/>
      <c r="M29" s="324">
        <f t="shared" si="2"/>
        <v>0</v>
      </c>
      <c r="N29" s="290"/>
      <c r="O29" s="706"/>
      <c r="P29" s="707"/>
    </row>
    <row r="30" spans="1:20" ht="15.75" customHeight="1" thickTop="1" thickBot="1">
      <c r="A30" s="696"/>
      <c r="B30" s="716"/>
      <c r="C30" s="723"/>
      <c r="D30" s="724"/>
      <c r="E30" s="724"/>
      <c r="F30" s="724"/>
      <c r="G30" s="724"/>
      <c r="H30" s="724"/>
      <c r="I30" s="725"/>
      <c r="J30" s="351" t="s">
        <v>58</v>
      </c>
      <c r="K30" s="349">
        <f>M30/'生產管理報表 7-1 (週)'!$B$10</f>
        <v>6.3466584570920428E-2</v>
      </c>
      <c r="L30" s="352" t="s">
        <v>59</v>
      </c>
      <c r="M30" s="353">
        <f>SUM(M25:M29)</f>
        <v>12788.929400000075</v>
      </c>
      <c r="N30" s="711"/>
      <c r="O30" s="712"/>
      <c r="P30" s="713"/>
    </row>
    <row r="31" spans="1:20" s="136" customFormat="1" ht="15.75" customHeight="1" thickTop="1">
      <c r="A31" s="645" t="s">
        <v>598</v>
      </c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</row>
    <row r="32" spans="1:20" s="137" customFormat="1" ht="15.75" customHeight="1">
      <c r="A32" s="679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</row>
    <row r="33" spans="1:20" s="136" customFormat="1" ht="15.75" customHeight="1">
      <c r="A33" s="680" t="s">
        <v>191</v>
      </c>
      <c r="B33" s="682">
        <v>1</v>
      </c>
      <c r="C33" s="683"/>
      <c r="D33" s="682">
        <v>2</v>
      </c>
      <c r="E33" s="683"/>
      <c r="F33" s="682">
        <v>3</v>
      </c>
      <c r="G33" s="683"/>
      <c r="H33" s="673">
        <v>4</v>
      </c>
      <c r="I33" s="674"/>
      <c r="J33" s="673">
        <v>5</v>
      </c>
      <c r="K33" s="674"/>
      <c r="L33" s="673">
        <v>6</v>
      </c>
      <c r="M33" s="674"/>
      <c r="N33" s="673">
        <v>7</v>
      </c>
      <c r="O33" s="674"/>
      <c r="P33" s="329">
        <v>8</v>
      </c>
    </row>
    <row r="34" spans="1:20" s="136" customFormat="1" ht="15.75" customHeight="1">
      <c r="A34" s="681"/>
      <c r="B34" s="677" t="s">
        <v>463</v>
      </c>
      <c r="C34" s="678"/>
      <c r="D34" s="677" t="s">
        <v>212</v>
      </c>
      <c r="E34" s="678"/>
      <c r="F34" s="677" t="s">
        <v>166</v>
      </c>
      <c r="G34" s="678"/>
      <c r="H34" s="675" t="s">
        <v>436</v>
      </c>
      <c r="I34" s="676"/>
      <c r="J34" s="675" t="s">
        <v>189</v>
      </c>
      <c r="K34" s="676"/>
      <c r="L34" s="675" t="s">
        <v>167</v>
      </c>
      <c r="M34" s="676"/>
      <c r="N34" s="675" t="s">
        <v>190</v>
      </c>
      <c r="O34" s="676"/>
      <c r="P34" s="330" t="s">
        <v>217</v>
      </c>
    </row>
    <row r="35" spans="1:20" s="136" customFormat="1" ht="15.75" customHeight="1">
      <c r="B35" s="234"/>
      <c r="C35" s="235"/>
    </row>
    <row r="36" spans="1:20" s="280" customFormat="1" ht="15.75" customHeight="1">
      <c r="A36" s="684" t="s">
        <v>191</v>
      </c>
      <c r="B36" s="685"/>
      <c r="C36" s="277" t="s">
        <v>47</v>
      </c>
      <c r="D36" s="686" t="s">
        <v>12</v>
      </c>
      <c r="E36" s="687"/>
      <c r="F36" s="688"/>
      <c r="G36" s="689" t="s">
        <v>53</v>
      </c>
      <c r="H36" s="690"/>
      <c r="I36" s="691"/>
      <c r="J36" s="278" t="s">
        <v>54</v>
      </c>
      <c r="K36" s="278" t="s">
        <v>55</v>
      </c>
      <c r="L36" s="278" t="s">
        <v>56</v>
      </c>
      <c r="M36" s="279" t="s">
        <v>11</v>
      </c>
      <c r="N36" s="279" t="s">
        <v>333</v>
      </c>
      <c r="O36" s="692" t="s">
        <v>51</v>
      </c>
      <c r="P36" s="693"/>
      <c r="R36" s="342"/>
      <c r="S36" s="343"/>
    </row>
    <row r="37" spans="1:20" s="300" customFormat="1" ht="60" customHeight="1">
      <c r="A37" s="694">
        <v>4</v>
      </c>
      <c r="B37" s="697" t="s">
        <v>436</v>
      </c>
      <c r="C37" s="281">
        <v>1</v>
      </c>
      <c r="D37" s="239" t="s">
        <v>497</v>
      </c>
      <c r="E37" s="240"/>
      <c r="F37" s="241"/>
      <c r="G37" s="308" t="s">
        <v>502</v>
      </c>
      <c r="H37" s="307"/>
      <c r="I37" s="308"/>
      <c r="J37" s="314">
        <v>118.30999999999997</v>
      </c>
      <c r="K37" s="315">
        <v>4.4240965793689632E-4</v>
      </c>
      <c r="L37" s="316">
        <v>52.540000000000049</v>
      </c>
      <c r="M37" s="324">
        <f t="shared" ref="M37:M41" si="3">L37*J37</f>
        <v>6216.0074000000041</v>
      </c>
      <c r="N37" s="316"/>
      <c r="O37" s="702" t="s">
        <v>609</v>
      </c>
      <c r="P37" s="703"/>
      <c r="R37" s="411"/>
      <c r="S37" s="343"/>
    </row>
    <row r="38" spans="1:20" s="300" customFormat="1" ht="60" customHeight="1">
      <c r="A38" s="695"/>
      <c r="B38" s="698"/>
      <c r="C38" s="281">
        <v>2</v>
      </c>
      <c r="D38" s="239" t="s">
        <v>475</v>
      </c>
      <c r="E38" s="240"/>
      <c r="F38" s="241"/>
      <c r="G38" s="308" t="s">
        <v>484</v>
      </c>
      <c r="H38" s="307"/>
      <c r="I38" s="308"/>
      <c r="J38" s="314">
        <v>629</v>
      </c>
      <c r="K38" s="315">
        <v>1.331174671703544E-3</v>
      </c>
      <c r="L38" s="316">
        <v>7.7980000000000382</v>
      </c>
      <c r="M38" s="324">
        <f t="shared" si="3"/>
        <v>4904.9420000000237</v>
      </c>
      <c r="N38" s="316"/>
      <c r="O38" s="702" t="s">
        <v>610</v>
      </c>
      <c r="P38" s="703"/>
      <c r="R38" s="411"/>
      <c r="S38" s="412"/>
      <c r="T38" s="338"/>
    </row>
    <row r="39" spans="1:20" s="300" customFormat="1" ht="60" customHeight="1">
      <c r="A39" s="695"/>
      <c r="B39" s="698"/>
      <c r="C39" s="281">
        <v>3</v>
      </c>
      <c r="D39" s="239" t="s">
        <v>450</v>
      </c>
      <c r="E39" s="240"/>
      <c r="F39" s="241"/>
      <c r="G39" s="308" t="s">
        <v>504</v>
      </c>
      <c r="H39" s="307"/>
      <c r="I39" s="308"/>
      <c r="J39" s="314">
        <v>421.40999999999997</v>
      </c>
      <c r="K39" s="315">
        <v>0</v>
      </c>
      <c r="L39" s="316">
        <v>10.129999999999995</v>
      </c>
      <c r="M39" s="324">
        <f t="shared" si="3"/>
        <v>4268.8832999999977</v>
      </c>
      <c r="N39" s="316"/>
      <c r="O39" s="704" t="s">
        <v>608</v>
      </c>
      <c r="P39" s="705"/>
      <c r="R39" s="411"/>
      <c r="S39" s="413"/>
    </row>
    <row r="40" spans="1:20" s="300" customFormat="1" ht="60" customHeight="1">
      <c r="A40" s="695"/>
      <c r="B40" s="698"/>
      <c r="C40" s="281">
        <v>4</v>
      </c>
      <c r="D40" s="239" t="s">
        <v>342</v>
      </c>
      <c r="E40" s="240"/>
      <c r="F40" s="241"/>
      <c r="G40" s="308" t="s">
        <v>392</v>
      </c>
      <c r="H40" s="307"/>
      <c r="I40" s="308"/>
      <c r="J40" s="314">
        <v>127.84000000000002</v>
      </c>
      <c r="K40" s="315">
        <v>1.1140989445142932E-3</v>
      </c>
      <c r="L40" s="316">
        <v>32.870000000000367</v>
      </c>
      <c r="M40" s="324">
        <f t="shared" si="3"/>
        <v>4202.1008000000475</v>
      </c>
      <c r="N40" s="316"/>
      <c r="O40" s="704" t="s">
        <v>611</v>
      </c>
      <c r="P40" s="705"/>
      <c r="R40" s="411"/>
      <c r="S40" s="412"/>
      <c r="T40" s="338"/>
    </row>
    <row r="41" spans="1:20" s="300" customFormat="1" ht="60" customHeight="1" thickBot="1">
      <c r="A41" s="695"/>
      <c r="B41" s="698"/>
      <c r="C41" s="281">
        <v>5</v>
      </c>
      <c r="D41" s="239" t="s">
        <v>364</v>
      </c>
      <c r="E41" s="247"/>
      <c r="F41" s="248"/>
      <c r="G41" s="356" t="s">
        <v>362</v>
      </c>
      <c r="H41" s="307"/>
      <c r="I41" s="308"/>
      <c r="J41" s="318">
        <v>152.75</v>
      </c>
      <c r="K41" s="250">
        <v>0</v>
      </c>
      <c r="L41" s="319">
        <v>27.097999999999956</v>
      </c>
      <c r="M41" s="324">
        <f t="shared" si="3"/>
        <v>4139.2194999999938</v>
      </c>
      <c r="N41" s="316"/>
      <c r="O41" s="704" t="s">
        <v>610</v>
      </c>
      <c r="P41" s="705"/>
      <c r="R41" s="414"/>
      <c r="S41" s="413"/>
      <c r="T41" s="291"/>
    </row>
    <row r="42" spans="1:20" ht="15.75" customHeight="1" thickTop="1" thickBot="1">
      <c r="A42" s="696"/>
      <c r="B42" s="699"/>
      <c r="C42" s="708"/>
      <c r="D42" s="709"/>
      <c r="E42" s="709"/>
      <c r="F42" s="709"/>
      <c r="G42" s="709"/>
      <c r="H42" s="709"/>
      <c r="I42" s="710"/>
      <c r="J42" s="351" t="s">
        <v>58</v>
      </c>
      <c r="K42" s="349">
        <f>M42/'生產管理報表 7-1 (週)'!$B$21</f>
        <v>0.10113284350845032</v>
      </c>
      <c r="L42" s="352" t="s">
        <v>59</v>
      </c>
      <c r="M42" s="353">
        <f>SUM(M37:M41)</f>
        <v>23731.153000000064</v>
      </c>
      <c r="N42" s="711"/>
      <c r="O42" s="712"/>
      <c r="P42" s="713"/>
      <c r="R42" s="342"/>
      <c r="S42" s="342"/>
    </row>
    <row r="43" spans="1:20" ht="15.75" customHeight="1" thickTop="1">
      <c r="M43" s="331"/>
      <c r="S43" s="343"/>
    </row>
    <row r="44" spans="1:20" ht="15.75" customHeight="1">
      <c r="A44" s="684" t="s">
        <v>191</v>
      </c>
      <c r="B44" s="685"/>
      <c r="C44" s="277" t="s">
        <v>47</v>
      </c>
      <c r="D44" s="686" t="s">
        <v>12</v>
      </c>
      <c r="E44" s="687"/>
      <c r="F44" s="688"/>
      <c r="G44" s="689" t="s">
        <v>53</v>
      </c>
      <c r="H44" s="690"/>
      <c r="I44" s="691"/>
      <c r="J44" s="395" t="s">
        <v>54</v>
      </c>
      <c r="K44" s="278" t="s">
        <v>55</v>
      </c>
      <c r="L44" s="278" t="s">
        <v>56</v>
      </c>
      <c r="M44" s="332" t="s">
        <v>11</v>
      </c>
      <c r="N44" s="279" t="s">
        <v>333</v>
      </c>
      <c r="O44" s="692" t="s">
        <v>51</v>
      </c>
      <c r="P44" s="693"/>
      <c r="S44" s="342"/>
      <c r="T44" s="338"/>
    </row>
    <row r="45" spans="1:20" s="300" customFormat="1" ht="60" customHeight="1">
      <c r="A45" s="694">
        <v>5</v>
      </c>
      <c r="B45" s="714" t="s">
        <v>215</v>
      </c>
      <c r="C45" s="281">
        <v>1</v>
      </c>
      <c r="D45" s="239" t="s">
        <v>342</v>
      </c>
      <c r="E45" s="240"/>
      <c r="F45" s="241"/>
      <c r="G45" s="308" t="s">
        <v>337</v>
      </c>
      <c r="H45" s="307"/>
      <c r="I45" s="308"/>
      <c r="J45" s="314">
        <v>147.43000000000004</v>
      </c>
      <c r="K45" s="315">
        <v>0</v>
      </c>
      <c r="L45" s="316">
        <v>124.89999999999873</v>
      </c>
      <c r="M45" s="324">
        <f>L45*J45</f>
        <v>18414.006999999816</v>
      </c>
      <c r="N45" s="316"/>
      <c r="O45" s="769" t="s">
        <v>606</v>
      </c>
      <c r="P45" s="770"/>
      <c r="S45" s="413"/>
      <c r="T45" s="338"/>
    </row>
    <row r="46" spans="1:20" s="300" customFormat="1" ht="25" customHeight="1">
      <c r="A46" s="695"/>
      <c r="B46" s="715"/>
      <c r="C46" s="281">
        <v>2</v>
      </c>
      <c r="D46" s="239"/>
      <c r="E46" s="240"/>
      <c r="F46" s="241"/>
      <c r="G46" s="356"/>
      <c r="H46" s="307"/>
      <c r="I46" s="308"/>
      <c r="J46" s="314"/>
      <c r="K46" s="315"/>
      <c r="L46" s="316"/>
      <c r="M46" s="324">
        <f t="shared" ref="M46:M49" si="4">L46*J46</f>
        <v>0</v>
      </c>
      <c r="N46" s="316"/>
      <c r="O46" s="719"/>
      <c r="P46" s="720"/>
      <c r="S46" s="342"/>
      <c r="T46" s="339"/>
    </row>
    <row r="47" spans="1:20" ht="25" customHeight="1">
      <c r="A47" s="695"/>
      <c r="B47" s="715"/>
      <c r="C47" s="281">
        <v>3</v>
      </c>
      <c r="D47" s="239"/>
      <c r="E47" s="240"/>
      <c r="F47" s="241"/>
      <c r="G47" s="356"/>
      <c r="H47" s="307"/>
      <c r="I47" s="308"/>
      <c r="J47" s="314"/>
      <c r="K47" s="315"/>
      <c r="L47" s="316"/>
      <c r="M47" s="324">
        <f t="shared" si="4"/>
        <v>0</v>
      </c>
      <c r="N47" s="290"/>
      <c r="O47" s="741"/>
      <c r="P47" s="742"/>
    </row>
    <row r="48" spans="1:20" ht="25" customHeight="1">
      <c r="A48" s="695"/>
      <c r="B48" s="715"/>
      <c r="C48" s="281">
        <v>4</v>
      </c>
      <c r="D48" s="282"/>
      <c r="E48" s="283"/>
      <c r="F48" s="284"/>
      <c r="G48" s="356"/>
      <c r="H48" s="307"/>
      <c r="I48" s="308"/>
      <c r="J48" s="288"/>
      <c r="K48" s="289"/>
      <c r="L48" s="290"/>
      <c r="M48" s="324">
        <f t="shared" si="4"/>
        <v>0</v>
      </c>
      <c r="N48" s="290"/>
      <c r="O48" s="301"/>
      <c r="P48" s="302"/>
    </row>
    <row r="49" spans="1:19" ht="25" customHeight="1" thickBot="1">
      <c r="A49" s="695"/>
      <c r="B49" s="715"/>
      <c r="C49" s="281">
        <v>5</v>
      </c>
      <c r="D49" s="292"/>
      <c r="E49" s="293"/>
      <c r="F49" s="294"/>
      <c r="G49" s="356"/>
      <c r="H49" s="307"/>
      <c r="I49" s="308"/>
      <c r="J49" s="295"/>
      <c r="K49" s="250"/>
      <c r="L49" s="296"/>
      <c r="M49" s="324">
        <f t="shared" si="4"/>
        <v>0</v>
      </c>
      <c r="N49" s="290"/>
      <c r="O49" s="303"/>
      <c r="P49" s="304"/>
      <c r="R49" s="346"/>
    </row>
    <row r="50" spans="1:19" ht="15.75" customHeight="1" thickTop="1" thickBot="1">
      <c r="A50" s="696"/>
      <c r="B50" s="716"/>
      <c r="C50" s="723"/>
      <c r="D50" s="724"/>
      <c r="E50" s="724"/>
      <c r="F50" s="724"/>
      <c r="G50" s="724"/>
      <c r="H50" s="724"/>
      <c r="I50" s="725"/>
      <c r="J50" s="351" t="s">
        <v>58</v>
      </c>
      <c r="K50" s="349">
        <f>M50/'生產管理報表 7-1 (週)'!$B$21</f>
        <v>7.8473257843581612E-2</v>
      </c>
      <c r="L50" s="352" t="s">
        <v>59</v>
      </c>
      <c r="M50" s="353">
        <f>SUM(M45:M49)</f>
        <v>18414.006999999816</v>
      </c>
      <c r="N50" s="711"/>
      <c r="O50" s="712"/>
      <c r="P50" s="713"/>
      <c r="R50" s="342"/>
    </row>
    <row r="51" spans="1:19" ht="15.75" customHeight="1" thickTop="1">
      <c r="K51" s="291" t="s">
        <v>468</v>
      </c>
      <c r="M51" s="331"/>
      <c r="R51" s="342"/>
    </row>
    <row r="52" spans="1:19" ht="25" customHeight="1">
      <c r="A52" s="684" t="s">
        <v>191</v>
      </c>
      <c r="B52" s="685"/>
      <c r="C52" s="305" t="s">
        <v>47</v>
      </c>
      <c r="D52" s="728" t="s">
        <v>12</v>
      </c>
      <c r="E52" s="729"/>
      <c r="F52" s="730"/>
      <c r="G52" s="731" t="s">
        <v>53</v>
      </c>
      <c r="H52" s="732"/>
      <c r="I52" s="733"/>
      <c r="J52" s="306" t="s">
        <v>54</v>
      </c>
      <c r="K52" s="278" t="s">
        <v>55</v>
      </c>
      <c r="L52" s="278" t="s">
        <v>56</v>
      </c>
      <c r="M52" s="332" t="s">
        <v>11</v>
      </c>
      <c r="N52" s="279" t="s">
        <v>333</v>
      </c>
      <c r="O52" s="692" t="s">
        <v>51</v>
      </c>
      <c r="P52" s="693"/>
      <c r="R52" s="342"/>
    </row>
    <row r="53" spans="1:19" ht="55" customHeight="1">
      <c r="A53" s="694">
        <v>6</v>
      </c>
      <c r="B53" s="714" t="s">
        <v>216</v>
      </c>
      <c r="C53" s="281">
        <v>1</v>
      </c>
      <c r="D53" s="347" t="s">
        <v>344</v>
      </c>
      <c r="E53" s="283"/>
      <c r="F53" s="284"/>
      <c r="G53" s="308" t="s">
        <v>476</v>
      </c>
      <c r="H53" s="307"/>
      <c r="I53" s="308"/>
      <c r="J53" s="314">
        <v>605.77999999999986</v>
      </c>
      <c r="K53" s="315">
        <v>3.6409675043650233E-4</v>
      </c>
      <c r="L53" s="316">
        <v>9.5699999999999914</v>
      </c>
      <c r="M53" s="324">
        <f t="shared" ref="M53:M57" si="5">L53*J53</f>
        <v>5797.3145999999933</v>
      </c>
      <c r="N53" s="290"/>
      <c r="O53" s="706" t="s">
        <v>607</v>
      </c>
      <c r="P53" s="707"/>
      <c r="R53" s="339"/>
      <c r="S53" s="339"/>
    </row>
    <row r="54" spans="1:19" ht="60" customHeight="1">
      <c r="A54" s="695"/>
      <c r="B54" s="715"/>
      <c r="C54" s="281">
        <v>2</v>
      </c>
      <c r="D54" s="239" t="s">
        <v>470</v>
      </c>
      <c r="E54" s="283"/>
      <c r="F54" s="284"/>
      <c r="G54" s="308" t="s">
        <v>472</v>
      </c>
      <c r="H54" s="307"/>
      <c r="I54" s="308"/>
      <c r="J54" s="314">
        <v>327.16000000000003</v>
      </c>
      <c r="K54" s="315">
        <v>6.0437765436131986E-3</v>
      </c>
      <c r="L54" s="316">
        <v>7.2400000000000357</v>
      </c>
      <c r="M54" s="324">
        <f t="shared" si="5"/>
        <v>2368.6384000000121</v>
      </c>
      <c r="N54" s="290"/>
      <c r="O54" s="706" t="s">
        <v>608</v>
      </c>
      <c r="P54" s="707"/>
      <c r="R54" s="339"/>
      <c r="S54" s="339"/>
    </row>
    <row r="55" spans="1:19" ht="55" customHeight="1">
      <c r="A55" s="695"/>
      <c r="B55" s="715"/>
      <c r="C55" s="281">
        <v>3</v>
      </c>
      <c r="D55" s="239"/>
      <c r="E55" s="283"/>
      <c r="F55" s="284"/>
      <c r="G55" s="356"/>
      <c r="H55" s="307"/>
      <c r="I55" s="308"/>
      <c r="J55" s="314"/>
      <c r="K55" s="315"/>
      <c r="L55" s="316"/>
      <c r="M55" s="324">
        <f t="shared" si="5"/>
        <v>0</v>
      </c>
      <c r="N55" s="290"/>
      <c r="O55" s="706"/>
      <c r="P55" s="707"/>
      <c r="R55" s="339"/>
    </row>
    <row r="56" spans="1:19" ht="55" customHeight="1">
      <c r="A56" s="695"/>
      <c r="B56" s="715"/>
      <c r="C56" s="281">
        <v>4</v>
      </c>
      <c r="D56" s="239"/>
      <c r="E56" s="283"/>
      <c r="F56" s="284"/>
      <c r="G56" s="356"/>
      <c r="H56" s="307"/>
      <c r="I56" s="308"/>
      <c r="J56" s="314"/>
      <c r="K56" s="315"/>
      <c r="L56" s="316"/>
      <c r="M56" s="324">
        <f t="shared" si="5"/>
        <v>0</v>
      </c>
      <c r="N56" s="290"/>
      <c r="O56" s="706"/>
      <c r="P56" s="707"/>
      <c r="R56" s="339"/>
      <c r="S56" s="339"/>
    </row>
    <row r="57" spans="1:19" ht="55" customHeight="1" thickBot="1">
      <c r="A57" s="695"/>
      <c r="B57" s="715"/>
      <c r="C57" s="281">
        <v>5</v>
      </c>
      <c r="D57" s="246"/>
      <c r="E57" s="293"/>
      <c r="F57" s="294"/>
      <c r="G57" s="356"/>
      <c r="H57" s="307"/>
      <c r="I57" s="308"/>
      <c r="J57" s="318"/>
      <c r="K57" s="250"/>
      <c r="L57" s="319"/>
      <c r="M57" s="324">
        <f t="shared" si="5"/>
        <v>0</v>
      </c>
      <c r="N57" s="290"/>
      <c r="O57" s="706"/>
      <c r="P57" s="707"/>
    </row>
    <row r="58" spans="1:19" ht="15.75" customHeight="1" thickTop="1" thickBot="1">
      <c r="A58" s="696"/>
      <c r="B58" s="716"/>
      <c r="C58" s="723"/>
      <c r="D58" s="724"/>
      <c r="E58" s="724"/>
      <c r="F58" s="724"/>
      <c r="G58" s="724"/>
      <c r="H58" s="724"/>
      <c r="I58" s="725"/>
      <c r="J58" s="351" t="s">
        <v>58</v>
      </c>
      <c r="K58" s="349">
        <f>M58/'生產管理報表 7-1 (週)'!$B$21</f>
        <v>3.4800081009395488E-2</v>
      </c>
      <c r="L58" s="352" t="s">
        <v>59</v>
      </c>
      <c r="M58" s="353">
        <f>SUM(M53:M57)</f>
        <v>8165.953000000005</v>
      </c>
      <c r="N58" s="711"/>
      <c r="O58" s="712"/>
      <c r="P58" s="713"/>
    </row>
    <row r="59" spans="1:19" s="136" customFormat="1" ht="15.75" customHeight="1" thickTop="1">
      <c r="A59" s="645" t="s">
        <v>599</v>
      </c>
      <c r="B59" s="645"/>
      <c r="C59" s="645"/>
      <c r="D59" s="645"/>
      <c r="E59" s="645"/>
      <c r="F59" s="645"/>
      <c r="G59" s="645"/>
      <c r="H59" s="645"/>
      <c r="I59" s="645"/>
      <c r="J59" s="645"/>
      <c r="K59" s="645"/>
      <c r="L59" s="645"/>
      <c r="M59" s="645"/>
    </row>
    <row r="60" spans="1:19" s="137" customFormat="1" ht="15.75" customHeight="1">
      <c r="A60" s="679"/>
      <c r="B60" s="679"/>
      <c r="C60" s="679"/>
      <c r="D60" s="679"/>
      <c r="E60" s="679"/>
      <c r="F60" s="679"/>
      <c r="G60" s="679"/>
      <c r="H60" s="679"/>
      <c r="I60" s="679"/>
      <c r="J60" s="679"/>
      <c r="K60" s="679"/>
      <c r="L60" s="679"/>
      <c r="M60" s="679"/>
    </row>
    <row r="61" spans="1:19" s="136" customFormat="1" ht="15.75" customHeight="1">
      <c r="A61" s="680" t="s">
        <v>191</v>
      </c>
      <c r="B61" s="682">
        <v>1</v>
      </c>
      <c r="C61" s="683"/>
      <c r="D61" s="682">
        <v>2</v>
      </c>
      <c r="E61" s="683"/>
      <c r="F61" s="682">
        <v>3</v>
      </c>
      <c r="G61" s="683"/>
      <c r="H61" s="673">
        <v>4</v>
      </c>
      <c r="I61" s="674"/>
      <c r="J61" s="673">
        <v>5</v>
      </c>
      <c r="K61" s="674"/>
      <c r="L61" s="673">
        <v>6</v>
      </c>
      <c r="M61" s="674"/>
      <c r="N61" s="673">
        <v>7</v>
      </c>
      <c r="O61" s="674"/>
      <c r="P61" s="329">
        <v>8</v>
      </c>
    </row>
    <row r="62" spans="1:19" s="136" customFormat="1" ht="15.75" customHeight="1">
      <c r="A62" s="681"/>
      <c r="B62" s="677" t="s">
        <v>463</v>
      </c>
      <c r="C62" s="678"/>
      <c r="D62" s="677" t="s">
        <v>212</v>
      </c>
      <c r="E62" s="678"/>
      <c r="F62" s="677" t="s">
        <v>166</v>
      </c>
      <c r="G62" s="678"/>
      <c r="H62" s="675" t="s">
        <v>436</v>
      </c>
      <c r="I62" s="676"/>
      <c r="J62" s="675" t="s">
        <v>189</v>
      </c>
      <c r="K62" s="676"/>
      <c r="L62" s="675" t="s">
        <v>167</v>
      </c>
      <c r="M62" s="676"/>
      <c r="N62" s="675" t="s">
        <v>190</v>
      </c>
      <c r="O62" s="676"/>
      <c r="P62" s="330" t="s">
        <v>217</v>
      </c>
    </row>
    <row r="63" spans="1:19" s="136" customFormat="1" ht="15.75" customHeight="1">
      <c r="B63" s="234"/>
      <c r="C63" s="235"/>
    </row>
    <row r="64" spans="1:19" s="280" customFormat="1" ht="15.75" customHeight="1">
      <c r="A64" s="684" t="s">
        <v>191</v>
      </c>
      <c r="B64" s="685"/>
      <c r="C64" s="277" t="s">
        <v>47</v>
      </c>
      <c r="D64" s="686" t="s">
        <v>12</v>
      </c>
      <c r="E64" s="687"/>
      <c r="F64" s="688"/>
      <c r="G64" s="689" t="s">
        <v>53</v>
      </c>
      <c r="H64" s="690"/>
      <c r="I64" s="691"/>
      <c r="J64" s="278" t="s">
        <v>54</v>
      </c>
      <c r="K64" s="278" t="s">
        <v>55</v>
      </c>
      <c r="L64" s="278" t="s">
        <v>56</v>
      </c>
      <c r="M64" s="279" t="s">
        <v>11</v>
      </c>
      <c r="N64" s="279" t="s">
        <v>333</v>
      </c>
      <c r="O64" s="692" t="s">
        <v>51</v>
      </c>
      <c r="P64" s="693"/>
      <c r="R64" s="342"/>
      <c r="S64" s="343"/>
    </row>
    <row r="65" spans="1:20" s="300" customFormat="1" ht="60" customHeight="1">
      <c r="A65" s="694">
        <v>4</v>
      </c>
      <c r="B65" s="697" t="s">
        <v>436</v>
      </c>
      <c r="C65" s="281">
        <v>1</v>
      </c>
      <c r="D65" s="239" t="s">
        <v>364</v>
      </c>
      <c r="E65" s="240"/>
      <c r="F65" s="241"/>
      <c r="G65" s="308" t="s">
        <v>363</v>
      </c>
      <c r="H65" s="307"/>
      <c r="I65" s="308"/>
      <c r="J65" s="314">
        <v>426.69</v>
      </c>
      <c r="K65" s="315">
        <v>4.4060950982192026E-4</v>
      </c>
      <c r="L65" s="316">
        <v>16.09999999999981</v>
      </c>
      <c r="M65" s="324">
        <f t="shared" ref="M65:M69" si="6">L65*J65</f>
        <v>6869.7089999999189</v>
      </c>
      <c r="N65" s="316"/>
      <c r="O65" s="702" t="s">
        <v>637</v>
      </c>
      <c r="P65" s="703"/>
      <c r="R65" s="411"/>
      <c r="S65" s="343"/>
    </row>
    <row r="66" spans="1:20" s="300" customFormat="1" ht="60" customHeight="1">
      <c r="A66" s="695"/>
      <c r="B66" s="698"/>
      <c r="C66" s="281">
        <v>2</v>
      </c>
      <c r="D66" s="239" t="s">
        <v>629</v>
      </c>
      <c r="E66" s="240"/>
      <c r="F66" s="241"/>
      <c r="G66" s="308" t="s">
        <v>622</v>
      </c>
      <c r="H66" s="307"/>
      <c r="I66" s="308"/>
      <c r="J66" s="314">
        <v>896</v>
      </c>
      <c r="K66" s="315">
        <v>0</v>
      </c>
      <c r="L66" s="316">
        <v>6.1299999999999955</v>
      </c>
      <c r="M66" s="324">
        <f t="shared" si="6"/>
        <v>5492.4799999999959</v>
      </c>
      <c r="N66" s="316"/>
      <c r="O66" s="702" t="s">
        <v>637</v>
      </c>
      <c r="P66" s="703"/>
      <c r="R66" s="411"/>
      <c r="S66" s="412"/>
      <c r="T66" s="338"/>
    </row>
    <row r="67" spans="1:20" s="300" customFormat="1" ht="60" customHeight="1">
      <c r="A67" s="695"/>
      <c r="B67" s="698"/>
      <c r="C67" s="281">
        <v>3</v>
      </c>
      <c r="D67" s="239" t="s">
        <v>486</v>
      </c>
      <c r="E67" s="240"/>
      <c r="F67" s="241"/>
      <c r="G67" s="308" t="s">
        <v>523</v>
      </c>
      <c r="H67" s="307"/>
      <c r="I67" s="308"/>
      <c r="J67" s="314">
        <v>2465</v>
      </c>
      <c r="K67" s="315">
        <v>0</v>
      </c>
      <c r="L67" s="316">
        <v>2.2099999999999937</v>
      </c>
      <c r="M67" s="324">
        <f t="shared" si="6"/>
        <v>5447.6499999999842</v>
      </c>
      <c r="N67" s="316"/>
      <c r="O67" s="702" t="s">
        <v>637</v>
      </c>
      <c r="P67" s="703"/>
      <c r="R67" s="411"/>
      <c r="S67" s="413"/>
    </row>
    <row r="68" spans="1:20" s="300" customFormat="1" ht="60" customHeight="1">
      <c r="A68" s="695"/>
      <c r="B68" s="698"/>
      <c r="C68" s="281">
        <v>4</v>
      </c>
      <c r="D68" s="239" t="s">
        <v>475</v>
      </c>
      <c r="E68" s="240"/>
      <c r="F68" s="241"/>
      <c r="G68" s="308" t="s">
        <v>484</v>
      </c>
      <c r="H68" s="307"/>
      <c r="I68" s="308"/>
      <c r="J68" s="314">
        <v>629</v>
      </c>
      <c r="K68" s="315">
        <v>2.8429282160625439E-3</v>
      </c>
      <c r="L68" s="316">
        <v>7.3899999999999473</v>
      </c>
      <c r="M68" s="324">
        <f t="shared" si="6"/>
        <v>4648.3099999999667</v>
      </c>
      <c r="N68" s="316"/>
      <c r="O68" s="704" t="s">
        <v>610</v>
      </c>
      <c r="P68" s="705"/>
      <c r="R68" s="411"/>
      <c r="S68" s="412"/>
      <c r="T68" s="338"/>
    </row>
    <row r="69" spans="1:20" s="300" customFormat="1" ht="60" customHeight="1" thickBot="1">
      <c r="A69" s="695"/>
      <c r="B69" s="698"/>
      <c r="C69" s="281">
        <v>5</v>
      </c>
      <c r="D69" s="239" t="s">
        <v>488</v>
      </c>
      <c r="E69" s="247"/>
      <c r="F69" s="248"/>
      <c r="G69" s="308" t="s">
        <v>487</v>
      </c>
      <c r="H69" s="307"/>
      <c r="I69" s="308"/>
      <c r="J69" s="318">
        <v>191.21</v>
      </c>
      <c r="K69" s="250">
        <v>2.6617317005945586E-3</v>
      </c>
      <c r="L69" s="319">
        <v>23.480000000000128</v>
      </c>
      <c r="M69" s="324">
        <f t="shared" si="6"/>
        <v>4489.6108000000249</v>
      </c>
      <c r="N69" s="316"/>
      <c r="O69" s="704" t="s">
        <v>610</v>
      </c>
      <c r="P69" s="705"/>
      <c r="R69" s="414"/>
      <c r="S69" s="413"/>
      <c r="T69" s="291"/>
    </row>
    <row r="70" spans="1:20" ht="15.75" customHeight="1" thickTop="1" thickBot="1">
      <c r="A70" s="696"/>
      <c r="B70" s="699"/>
      <c r="C70" s="708"/>
      <c r="D70" s="709"/>
      <c r="E70" s="709"/>
      <c r="F70" s="709"/>
      <c r="G70" s="709"/>
      <c r="H70" s="709"/>
      <c r="I70" s="710"/>
      <c r="J70" s="351" t="s">
        <v>58</v>
      </c>
      <c r="K70" s="349" t="e">
        <f>M70/'生產管理報表 7-1 (週)'!$B$32</f>
        <v>#DIV/0!</v>
      </c>
      <c r="L70" s="352" t="s">
        <v>59</v>
      </c>
      <c r="M70" s="353">
        <f>SUM(M65:M69)</f>
        <v>26947.759799999891</v>
      </c>
      <c r="N70" s="711"/>
      <c r="O70" s="712"/>
      <c r="P70" s="713"/>
      <c r="R70" s="342"/>
      <c r="S70" s="342"/>
    </row>
    <row r="71" spans="1:20" ht="15.75" customHeight="1" thickTop="1">
      <c r="M71" s="331"/>
      <c r="S71" s="343"/>
    </row>
    <row r="72" spans="1:20" ht="15.75" customHeight="1">
      <c r="A72" s="684" t="s">
        <v>191</v>
      </c>
      <c r="B72" s="685"/>
      <c r="C72" s="277" t="s">
        <v>47</v>
      </c>
      <c r="D72" s="686" t="s">
        <v>12</v>
      </c>
      <c r="E72" s="687"/>
      <c r="F72" s="688"/>
      <c r="G72" s="689" t="s">
        <v>53</v>
      </c>
      <c r="H72" s="690"/>
      <c r="I72" s="691"/>
      <c r="J72" s="395" t="s">
        <v>54</v>
      </c>
      <c r="K72" s="278" t="s">
        <v>55</v>
      </c>
      <c r="L72" s="278" t="s">
        <v>56</v>
      </c>
      <c r="M72" s="332" t="s">
        <v>11</v>
      </c>
      <c r="N72" s="279" t="s">
        <v>333</v>
      </c>
      <c r="O72" s="692" t="s">
        <v>51</v>
      </c>
      <c r="P72" s="693"/>
      <c r="S72" s="342"/>
      <c r="T72" s="338"/>
    </row>
    <row r="73" spans="1:20" s="300" customFormat="1" ht="60" customHeight="1">
      <c r="A73" s="694">
        <v>5</v>
      </c>
      <c r="B73" s="714" t="s">
        <v>215</v>
      </c>
      <c r="C73" s="281">
        <v>1</v>
      </c>
      <c r="D73" s="239" t="s">
        <v>342</v>
      </c>
      <c r="E73" s="240"/>
      <c r="F73" s="241"/>
      <c r="G73" s="308" t="s">
        <v>337</v>
      </c>
      <c r="H73" s="307"/>
      <c r="I73" s="308"/>
      <c r="J73" s="314">
        <v>147.43000000000004</v>
      </c>
      <c r="K73" s="315">
        <v>0</v>
      </c>
      <c r="L73" s="316">
        <v>150.84000000000015</v>
      </c>
      <c r="M73" s="324">
        <f>L73*J73</f>
        <v>22238.341200000028</v>
      </c>
      <c r="N73" s="316"/>
      <c r="O73" s="769" t="s">
        <v>606</v>
      </c>
      <c r="P73" s="770"/>
      <c r="S73" s="413"/>
      <c r="T73" s="338"/>
    </row>
    <row r="74" spans="1:20" s="300" customFormat="1" ht="25" customHeight="1">
      <c r="A74" s="695"/>
      <c r="B74" s="715"/>
      <c r="C74" s="281">
        <v>2</v>
      </c>
      <c r="D74" s="239"/>
      <c r="E74" s="240"/>
      <c r="F74" s="241"/>
      <c r="G74" s="356"/>
      <c r="H74" s="307"/>
      <c r="I74" s="308"/>
      <c r="J74" s="314"/>
      <c r="K74" s="315"/>
      <c r="L74" s="316"/>
      <c r="M74" s="324">
        <f t="shared" ref="M74:M77" si="7">L74*J74</f>
        <v>0</v>
      </c>
      <c r="N74" s="316"/>
      <c r="O74" s="719"/>
      <c r="P74" s="720"/>
      <c r="S74" s="342"/>
      <c r="T74" s="339"/>
    </row>
    <row r="75" spans="1:20" ht="25" customHeight="1">
      <c r="A75" s="695"/>
      <c r="B75" s="715"/>
      <c r="C75" s="281">
        <v>3</v>
      </c>
      <c r="D75" s="239"/>
      <c r="E75" s="240"/>
      <c r="F75" s="241"/>
      <c r="G75" s="356"/>
      <c r="H75" s="307"/>
      <c r="I75" s="308"/>
      <c r="J75" s="314"/>
      <c r="K75" s="315"/>
      <c r="L75" s="316"/>
      <c r="M75" s="324">
        <f t="shared" si="7"/>
        <v>0</v>
      </c>
      <c r="N75" s="290"/>
      <c r="O75" s="741"/>
      <c r="P75" s="742"/>
    </row>
    <row r="76" spans="1:20" ht="25" customHeight="1">
      <c r="A76" s="695"/>
      <c r="B76" s="715"/>
      <c r="C76" s="281">
        <v>4</v>
      </c>
      <c r="D76" s="282"/>
      <c r="E76" s="283"/>
      <c r="F76" s="284"/>
      <c r="G76" s="356"/>
      <c r="H76" s="307"/>
      <c r="I76" s="308"/>
      <c r="J76" s="288"/>
      <c r="K76" s="289"/>
      <c r="L76" s="290"/>
      <c r="M76" s="324">
        <f t="shared" si="7"/>
        <v>0</v>
      </c>
      <c r="N76" s="290"/>
      <c r="O76" s="301"/>
      <c r="P76" s="302"/>
    </row>
    <row r="77" spans="1:20" ht="25" customHeight="1" thickBot="1">
      <c r="A77" s="695"/>
      <c r="B77" s="715"/>
      <c r="C77" s="281">
        <v>5</v>
      </c>
      <c r="D77" s="292"/>
      <c r="E77" s="293"/>
      <c r="F77" s="294"/>
      <c r="G77" s="356"/>
      <c r="H77" s="307"/>
      <c r="I77" s="308"/>
      <c r="J77" s="295"/>
      <c r="K77" s="250"/>
      <c r="L77" s="296"/>
      <c r="M77" s="324">
        <f t="shared" si="7"/>
        <v>0</v>
      </c>
      <c r="N77" s="290"/>
      <c r="O77" s="303"/>
      <c r="P77" s="304"/>
      <c r="R77" s="346"/>
    </row>
    <row r="78" spans="1:20" ht="15.75" customHeight="1" thickTop="1" thickBot="1">
      <c r="A78" s="696"/>
      <c r="B78" s="716"/>
      <c r="C78" s="723"/>
      <c r="D78" s="724"/>
      <c r="E78" s="724"/>
      <c r="F78" s="724"/>
      <c r="G78" s="724"/>
      <c r="H78" s="724"/>
      <c r="I78" s="725"/>
      <c r="J78" s="351" t="s">
        <v>58</v>
      </c>
      <c r="K78" s="349" t="e">
        <f>M78/'生產管理報表 7-1 (週)'!$B$32</f>
        <v>#DIV/0!</v>
      </c>
      <c r="L78" s="352" t="s">
        <v>59</v>
      </c>
      <c r="M78" s="353">
        <f>SUM(M73:M77)</f>
        <v>22238.341200000028</v>
      </c>
      <c r="N78" s="711"/>
      <c r="O78" s="712"/>
      <c r="P78" s="713"/>
      <c r="R78" s="342"/>
    </row>
    <row r="79" spans="1:20" ht="15.75" customHeight="1" thickTop="1">
      <c r="K79" s="291" t="s">
        <v>468</v>
      </c>
      <c r="M79" s="331"/>
      <c r="R79" s="342"/>
    </row>
    <row r="80" spans="1:20" ht="25" customHeight="1">
      <c r="A80" s="684" t="s">
        <v>191</v>
      </c>
      <c r="B80" s="685"/>
      <c r="C80" s="305" t="s">
        <v>47</v>
      </c>
      <c r="D80" s="728" t="s">
        <v>12</v>
      </c>
      <c r="E80" s="729"/>
      <c r="F80" s="730"/>
      <c r="G80" s="731" t="s">
        <v>53</v>
      </c>
      <c r="H80" s="732"/>
      <c r="I80" s="733"/>
      <c r="J80" s="306" t="s">
        <v>54</v>
      </c>
      <c r="K80" s="278" t="s">
        <v>55</v>
      </c>
      <c r="L80" s="278" t="s">
        <v>56</v>
      </c>
      <c r="M80" s="332" t="s">
        <v>11</v>
      </c>
      <c r="N80" s="279" t="s">
        <v>333</v>
      </c>
      <c r="O80" s="692" t="s">
        <v>51</v>
      </c>
      <c r="P80" s="693"/>
      <c r="R80" s="342"/>
    </row>
    <row r="81" spans="1:20" ht="55" customHeight="1">
      <c r="A81" s="694">
        <v>6</v>
      </c>
      <c r="B81" s="714" t="s">
        <v>216</v>
      </c>
      <c r="C81" s="281">
        <v>1</v>
      </c>
      <c r="D81" s="347" t="s">
        <v>342</v>
      </c>
      <c r="E81" s="283"/>
      <c r="F81" s="284"/>
      <c r="G81" s="308" t="s">
        <v>621</v>
      </c>
      <c r="H81" s="307"/>
      <c r="I81" s="308"/>
      <c r="J81" s="314">
        <v>39.389999999999993</v>
      </c>
      <c r="K81" s="315">
        <v>1.636732731873781E-4</v>
      </c>
      <c r="L81" s="316">
        <v>249.3700000000016</v>
      </c>
      <c r="M81" s="324">
        <f t="shared" ref="M81:M85" si="8">L81*J81</f>
        <v>9822.6843000000608</v>
      </c>
      <c r="N81" s="290"/>
      <c r="O81" s="706" t="s">
        <v>638</v>
      </c>
      <c r="P81" s="707"/>
      <c r="R81" s="339"/>
      <c r="S81" s="339"/>
    </row>
    <row r="82" spans="1:20" ht="55" customHeight="1">
      <c r="A82" s="695"/>
      <c r="B82" s="715"/>
      <c r="C82" s="281">
        <v>2</v>
      </c>
      <c r="D82" s="239" t="s">
        <v>344</v>
      </c>
      <c r="E82" s="283"/>
      <c r="F82" s="284"/>
      <c r="G82" s="308" t="s">
        <v>476</v>
      </c>
      <c r="H82" s="307"/>
      <c r="I82" s="308"/>
      <c r="J82" s="314">
        <v>605.77999999999986</v>
      </c>
      <c r="K82" s="315">
        <v>6.5288730821435324E-4</v>
      </c>
      <c r="L82" s="316">
        <v>7.3500000000001275</v>
      </c>
      <c r="M82" s="324">
        <f t="shared" si="8"/>
        <v>4452.4830000000766</v>
      </c>
      <c r="N82" s="290"/>
      <c r="O82" s="706" t="s">
        <v>607</v>
      </c>
      <c r="P82" s="707"/>
      <c r="R82" s="339"/>
      <c r="S82" s="339"/>
    </row>
    <row r="83" spans="1:20" ht="55" customHeight="1">
      <c r="A83" s="695"/>
      <c r="B83" s="715"/>
      <c r="C83" s="281">
        <v>3</v>
      </c>
      <c r="D83" s="239" t="s">
        <v>482</v>
      </c>
      <c r="E83" s="283"/>
      <c r="F83" s="284"/>
      <c r="G83" s="308" t="s">
        <v>480</v>
      </c>
      <c r="H83" s="307"/>
      <c r="I83" s="308"/>
      <c r="J83" s="314">
        <v>407.74000000000007</v>
      </c>
      <c r="K83" s="315">
        <v>1.5957616570389047E-4</v>
      </c>
      <c r="L83" s="316">
        <v>9.0500000000000007</v>
      </c>
      <c r="M83" s="324">
        <f t="shared" si="8"/>
        <v>3690.0470000000009</v>
      </c>
      <c r="N83" s="290"/>
      <c r="O83" s="706" t="s">
        <v>639</v>
      </c>
      <c r="P83" s="707"/>
      <c r="R83" s="339"/>
    </row>
    <row r="84" spans="1:20" ht="55" customHeight="1">
      <c r="A84" s="695"/>
      <c r="B84" s="715"/>
      <c r="C84" s="281">
        <v>4</v>
      </c>
      <c r="D84" s="239"/>
      <c r="E84" s="283"/>
      <c r="F84" s="284"/>
      <c r="G84" s="356"/>
      <c r="H84" s="307"/>
      <c r="I84" s="308"/>
      <c r="J84" s="314"/>
      <c r="K84" s="315"/>
      <c r="L84" s="316"/>
      <c r="M84" s="324">
        <f t="shared" si="8"/>
        <v>0</v>
      </c>
      <c r="N84" s="290"/>
      <c r="O84" s="706"/>
      <c r="P84" s="707"/>
      <c r="R84" s="339"/>
      <c r="S84" s="339"/>
    </row>
    <row r="85" spans="1:20" ht="55" customHeight="1" thickBot="1">
      <c r="A85" s="695"/>
      <c r="B85" s="715"/>
      <c r="C85" s="281">
        <v>5</v>
      </c>
      <c r="D85" s="246"/>
      <c r="E85" s="293"/>
      <c r="F85" s="294"/>
      <c r="G85" s="356"/>
      <c r="H85" s="307"/>
      <c r="I85" s="308"/>
      <c r="J85" s="318"/>
      <c r="K85" s="250"/>
      <c r="L85" s="319"/>
      <c r="M85" s="324">
        <f t="shared" si="8"/>
        <v>0</v>
      </c>
      <c r="N85" s="290"/>
      <c r="O85" s="706"/>
      <c r="P85" s="707"/>
    </row>
    <row r="86" spans="1:20" ht="15.75" customHeight="1" thickTop="1" thickBot="1">
      <c r="A86" s="696"/>
      <c r="B86" s="716"/>
      <c r="C86" s="723"/>
      <c r="D86" s="724"/>
      <c r="E86" s="724"/>
      <c r="F86" s="724"/>
      <c r="G86" s="724"/>
      <c r="H86" s="724"/>
      <c r="I86" s="725"/>
      <c r="J86" s="351" t="s">
        <v>58</v>
      </c>
      <c r="K86" s="349" t="e">
        <f>M86/'生產管理報表 7-1 (週)'!$B$32</f>
        <v>#DIV/0!</v>
      </c>
      <c r="L86" s="352" t="s">
        <v>59</v>
      </c>
      <c r="M86" s="353">
        <f>SUM(M81:M85)</f>
        <v>17965.214300000138</v>
      </c>
      <c r="N86" s="711"/>
      <c r="O86" s="712"/>
      <c r="P86" s="713"/>
    </row>
    <row r="87" spans="1:20" s="136" customFormat="1" ht="15.75" customHeight="1" thickTop="1">
      <c r="A87" s="645" t="s">
        <v>633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</row>
    <row r="88" spans="1:20" s="137" customFormat="1" ht="15.75" customHeight="1">
      <c r="A88" s="679"/>
      <c r="B88" s="679"/>
      <c r="C88" s="679"/>
      <c r="D88" s="679"/>
      <c r="E88" s="679"/>
      <c r="F88" s="679"/>
      <c r="G88" s="679"/>
      <c r="H88" s="679"/>
      <c r="I88" s="679"/>
      <c r="J88" s="679"/>
      <c r="K88" s="679"/>
      <c r="L88" s="679"/>
      <c r="M88" s="679"/>
    </row>
    <row r="89" spans="1:20" s="136" customFormat="1" ht="15.75" customHeight="1">
      <c r="A89" s="680" t="s">
        <v>191</v>
      </c>
      <c r="B89" s="682">
        <v>1</v>
      </c>
      <c r="C89" s="683"/>
      <c r="D89" s="682">
        <v>2</v>
      </c>
      <c r="E89" s="683"/>
      <c r="F89" s="682">
        <v>3</v>
      </c>
      <c r="G89" s="683"/>
      <c r="H89" s="673">
        <v>4</v>
      </c>
      <c r="I89" s="674"/>
      <c r="J89" s="673">
        <v>5</v>
      </c>
      <c r="K89" s="674"/>
      <c r="L89" s="673">
        <v>6</v>
      </c>
      <c r="M89" s="674"/>
      <c r="N89" s="673">
        <v>7</v>
      </c>
      <c r="O89" s="674"/>
      <c r="P89" s="329">
        <v>8</v>
      </c>
    </row>
    <row r="90" spans="1:20" s="136" customFormat="1" ht="15.75" customHeight="1">
      <c r="A90" s="681"/>
      <c r="B90" s="677" t="s">
        <v>463</v>
      </c>
      <c r="C90" s="678"/>
      <c r="D90" s="677" t="s">
        <v>212</v>
      </c>
      <c r="E90" s="678"/>
      <c r="F90" s="677" t="s">
        <v>166</v>
      </c>
      <c r="G90" s="678"/>
      <c r="H90" s="675" t="s">
        <v>436</v>
      </c>
      <c r="I90" s="676"/>
      <c r="J90" s="675" t="s">
        <v>189</v>
      </c>
      <c r="K90" s="676"/>
      <c r="L90" s="675" t="s">
        <v>167</v>
      </c>
      <c r="M90" s="676"/>
      <c r="N90" s="675" t="s">
        <v>190</v>
      </c>
      <c r="O90" s="676"/>
      <c r="P90" s="330" t="s">
        <v>217</v>
      </c>
    </row>
    <row r="91" spans="1:20" s="136" customFormat="1" ht="15.75" customHeight="1">
      <c r="B91" s="234"/>
      <c r="C91" s="235"/>
    </row>
    <row r="92" spans="1:20" s="280" customFormat="1" ht="15.75" customHeight="1">
      <c r="A92" s="684" t="s">
        <v>191</v>
      </c>
      <c r="B92" s="685"/>
      <c r="C92" s="277" t="s">
        <v>47</v>
      </c>
      <c r="D92" s="686" t="s">
        <v>12</v>
      </c>
      <c r="E92" s="687"/>
      <c r="F92" s="688"/>
      <c r="G92" s="689" t="s">
        <v>53</v>
      </c>
      <c r="H92" s="690"/>
      <c r="I92" s="691"/>
      <c r="J92" s="278" t="s">
        <v>54</v>
      </c>
      <c r="K92" s="278" t="s">
        <v>55</v>
      </c>
      <c r="L92" s="278" t="s">
        <v>56</v>
      </c>
      <c r="M92" s="279" t="s">
        <v>11</v>
      </c>
      <c r="N92" s="279" t="s">
        <v>333</v>
      </c>
      <c r="O92" s="692" t="s">
        <v>51</v>
      </c>
      <c r="P92" s="693"/>
      <c r="R92" s="342"/>
      <c r="S92" s="343"/>
    </row>
    <row r="93" spans="1:20" s="300" customFormat="1" ht="60" customHeight="1">
      <c r="A93" s="694">
        <v>4</v>
      </c>
      <c r="B93" s="697" t="s">
        <v>436</v>
      </c>
      <c r="C93" s="281">
        <v>1</v>
      </c>
      <c r="D93" s="239" t="s">
        <v>364</v>
      </c>
      <c r="E93" s="240"/>
      <c r="F93" s="241"/>
      <c r="G93" s="308" t="s">
        <v>363</v>
      </c>
      <c r="H93" s="307"/>
      <c r="I93" s="308"/>
      <c r="J93" s="314">
        <v>426.69</v>
      </c>
      <c r="K93" s="315">
        <v>0</v>
      </c>
      <c r="L93" s="316">
        <v>17.579999999999814</v>
      </c>
      <c r="M93" s="324">
        <f t="shared" ref="M93:M97" si="9">L93*J93</f>
        <v>7501.2101999999204</v>
      </c>
      <c r="N93" s="316"/>
      <c r="O93" s="702" t="s">
        <v>637</v>
      </c>
      <c r="P93" s="703"/>
      <c r="R93" s="411"/>
      <c r="S93" s="343"/>
    </row>
    <row r="94" spans="1:20" s="300" customFormat="1" ht="60" customHeight="1">
      <c r="A94" s="695"/>
      <c r="B94" s="698"/>
      <c r="C94" s="281">
        <v>2</v>
      </c>
      <c r="D94" s="239" t="s">
        <v>612</v>
      </c>
      <c r="E94" s="240"/>
      <c r="F94" s="241"/>
      <c r="G94" s="308" t="s">
        <v>624</v>
      </c>
      <c r="H94" s="307"/>
      <c r="I94" s="308"/>
      <c r="J94" s="314">
        <v>760</v>
      </c>
      <c r="K94" s="315">
        <v>0</v>
      </c>
      <c r="L94" s="316">
        <v>8.7299999999999613</v>
      </c>
      <c r="M94" s="324">
        <f t="shared" si="9"/>
        <v>6634.7999999999702</v>
      </c>
      <c r="N94" s="316"/>
      <c r="O94" s="702" t="s">
        <v>637</v>
      </c>
      <c r="P94" s="703"/>
      <c r="R94" s="411"/>
      <c r="S94" s="412"/>
      <c r="T94" s="338"/>
    </row>
    <row r="95" spans="1:20" s="300" customFormat="1" ht="60" customHeight="1">
      <c r="A95" s="695"/>
      <c r="B95" s="698"/>
      <c r="C95" s="281">
        <v>3</v>
      </c>
      <c r="D95" s="239" t="s">
        <v>497</v>
      </c>
      <c r="E95" s="240"/>
      <c r="F95" s="241"/>
      <c r="G95" s="308" t="s">
        <v>502</v>
      </c>
      <c r="H95" s="307"/>
      <c r="I95" s="308"/>
      <c r="J95" s="314">
        <v>118.30999999999997</v>
      </c>
      <c r="K95" s="315">
        <v>1.7020375588383794E-3</v>
      </c>
      <c r="L95" s="316">
        <v>44.849999999999824</v>
      </c>
      <c r="M95" s="324">
        <f t="shared" si="9"/>
        <v>5306.2034999999778</v>
      </c>
      <c r="N95" s="316"/>
      <c r="O95" s="704" t="s">
        <v>506</v>
      </c>
      <c r="P95" s="705"/>
      <c r="R95" s="411"/>
      <c r="S95" s="413"/>
    </row>
    <row r="96" spans="1:20" s="300" customFormat="1" ht="60" customHeight="1">
      <c r="A96" s="695"/>
      <c r="B96" s="698"/>
      <c r="C96" s="281">
        <v>4</v>
      </c>
      <c r="D96" s="239" t="s">
        <v>486</v>
      </c>
      <c r="E96" s="240"/>
      <c r="F96" s="241"/>
      <c r="G96" s="308" t="s">
        <v>523</v>
      </c>
      <c r="H96" s="307"/>
      <c r="I96" s="308"/>
      <c r="J96" s="314">
        <v>2465</v>
      </c>
      <c r="K96" s="315">
        <v>0</v>
      </c>
      <c r="L96" s="316">
        <v>1.7299999999999898</v>
      </c>
      <c r="M96" s="324">
        <f t="shared" si="9"/>
        <v>4264.4499999999744</v>
      </c>
      <c r="N96" s="316"/>
      <c r="O96" s="704" t="s">
        <v>637</v>
      </c>
      <c r="P96" s="705"/>
      <c r="R96" s="411"/>
      <c r="S96" s="412"/>
      <c r="T96" s="338"/>
    </row>
    <row r="97" spans="1:20" s="300" customFormat="1" ht="60" customHeight="1" thickBot="1">
      <c r="A97" s="695"/>
      <c r="B97" s="698"/>
      <c r="C97" s="281">
        <v>5</v>
      </c>
      <c r="D97" s="239" t="s">
        <v>475</v>
      </c>
      <c r="E97" s="247"/>
      <c r="F97" s="248"/>
      <c r="G97" s="308" t="s">
        <v>484</v>
      </c>
      <c r="H97" s="307"/>
      <c r="I97" s="308"/>
      <c r="J97" s="318">
        <v>629</v>
      </c>
      <c r="K97" s="250">
        <v>7.251631617113851E-3</v>
      </c>
      <c r="L97" s="319">
        <v>5.6500000000000226</v>
      </c>
      <c r="M97" s="324">
        <f t="shared" si="9"/>
        <v>3553.850000000014</v>
      </c>
      <c r="N97" s="316"/>
      <c r="O97" s="704" t="s">
        <v>610</v>
      </c>
      <c r="P97" s="705"/>
      <c r="R97" s="414"/>
      <c r="S97" s="413"/>
      <c r="T97" s="291"/>
    </row>
    <row r="98" spans="1:20" ht="15.75" customHeight="1" thickTop="1" thickBot="1">
      <c r="A98" s="696"/>
      <c r="B98" s="699"/>
      <c r="C98" s="708"/>
      <c r="D98" s="709"/>
      <c r="E98" s="709"/>
      <c r="F98" s="709"/>
      <c r="G98" s="709"/>
      <c r="H98" s="709"/>
      <c r="I98" s="710"/>
      <c r="J98" s="351" t="s">
        <v>58</v>
      </c>
      <c r="K98" s="349" t="e">
        <f>M98/'生產管理報表 7-1 (週)'!$B$43</f>
        <v>#DIV/0!</v>
      </c>
      <c r="L98" s="352" t="s">
        <v>59</v>
      </c>
      <c r="M98" s="353">
        <f>SUM(M93:M97)</f>
        <v>27260.513699999858</v>
      </c>
      <c r="N98" s="711"/>
      <c r="O98" s="712"/>
      <c r="P98" s="713"/>
      <c r="R98" s="342"/>
      <c r="S98" s="342"/>
    </row>
    <row r="99" spans="1:20" ht="15.75" customHeight="1" thickTop="1">
      <c r="M99" s="331"/>
      <c r="S99" s="343"/>
    </row>
    <row r="100" spans="1:20" ht="15.75" customHeight="1">
      <c r="A100" s="684" t="s">
        <v>191</v>
      </c>
      <c r="B100" s="685"/>
      <c r="C100" s="277" t="s">
        <v>47</v>
      </c>
      <c r="D100" s="686" t="s">
        <v>12</v>
      </c>
      <c r="E100" s="687"/>
      <c r="F100" s="688"/>
      <c r="G100" s="689" t="s">
        <v>53</v>
      </c>
      <c r="H100" s="690"/>
      <c r="I100" s="691"/>
      <c r="J100" s="395" t="s">
        <v>54</v>
      </c>
      <c r="K100" s="278" t="s">
        <v>55</v>
      </c>
      <c r="L100" s="278" t="s">
        <v>56</v>
      </c>
      <c r="M100" s="332" t="s">
        <v>11</v>
      </c>
      <c r="N100" s="279" t="s">
        <v>333</v>
      </c>
      <c r="O100" s="692" t="s">
        <v>51</v>
      </c>
      <c r="P100" s="693"/>
      <c r="S100" s="342"/>
      <c r="T100" s="338"/>
    </row>
    <row r="101" spans="1:20" s="300" customFormat="1" ht="60" customHeight="1">
      <c r="A101" s="694">
        <v>5</v>
      </c>
      <c r="B101" s="714" t="s">
        <v>215</v>
      </c>
      <c r="C101" s="281">
        <v>1</v>
      </c>
      <c r="D101" s="239" t="s">
        <v>342</v>
      </c>
      <c r="E101" s="240"/>
      <c r="F101" s="241"/>
      <c r="G101" s="308" t="s">
        <v>337</v>
      </c>
      <c r="H101" s="307"/>
      <c r="I101" s="308"/>
      <c r="J101" s="314">
        <v>147.43000000000004</v>
      </c>
      <c r="K101" s="315">
        <v>0</v>
      </c>
      <c r="L101" s="316">
        <v>111.64999999999964</v>
      </c>
      <c r="M101" s="324">
        <f>L101*J101</f>
        <v>16460.559499999952</v>
      </c>
      <c r="N101" s="316"/>
      <c r="O101" s="769" t="s">
        <v>606</v>
      </c>
      <c r="P101" s="770"/>
      <c r="S101" s="413"/>
      <c r="T101" s="338"/>
    </row>
    <row r="102" spans="1:20" s="300" customFormat="1" ht="25" customHeight="1">
      <c r="A102" s="695"/>
      <c r="B102" s="715"/>
      <c r="C102" s="281">
        <v>2</v>
      </c>
      <c r="D102" s="239"/>
      <c r="E102" s="240"/>
      <c r="F102" s="241"/>
      <c r="G102" s="356"/>
      <c r="H102" s="307"/>
      <c r="I102" s="308"/>
      <c r="J102" s="314"/>
      <c r="K102" s="315"/>
      <c r="L102" s="316"/>
      <c r="M102" s="324">
        <f t="shared" ref="M102:M105" si="10">L102*J102</f>
        <v>0</v>
      </c>
      <c r="N102" s="316"/>
      <c r="O102" s="719"/>
      <c r="P102" s="720"/>
      <c r="S102" s="342"/>
      <c r="T102" s="339"/>
    </row>
    <row r="103" spans="1:20" ht="25" customHeight="1">
      <c r="A103" s="695"/>
      <c r="B103" s="715"/>
      <c r="C103" s="281">
        <v>3</v>
      </c>
      <c r="D103" s="239"/>
      <c r="E103" s="240"/>
      <c r="F103" s="241"/>
      <c r="G103" s="356"/>
      <c r="H103" s="307"/>
      <c r="I103" s="308"/>
      <c r="J103" s="314"/>
      <c r="K103" s="315"/>
      <c r="L103" s="316"/>
      <c r="M103" s="324">
        <f t="shared" si="10"/>
        <v>0</v>
      </c>
      <c r="N103" s="290"/>
      <c r="O103" s="741"/>
      <c r="P103" s="742"/>
    </row>
    <row r="104" spans="1:20" ht="25" customHeight="1">
      <c r="A104" s="695"/>
      <c r="B104" s="715"/>
      <c r="C104" s="281">
        <v>4</v>
      </c>
      <c r="D104" s="282"/>
      <c r="E104" s="283"/>
      <c r="F104" s="284"/>
      <c r="G104" s="356"/>
      <c r="H104" s="307"/>
      <c r="I104" s="308"/>
      <c r="J104" s="288"/>
      <c r="K104" s="289"/>
      <c r="L104" s="290"/>
      <c r="M104" s="324">
        <f t="shared" si="10"/>
        <v>0</v>
      </c>
      <c r="N104" s="290"/>
      <c r="O104" s="301"/>
      <c r="P104" s="302"/>
    </row>
    <row r="105" spans="1:20" ht="25" customHeight="1" thickBot="1">
      <c r="A105" s="695"/>
      <c r="B105" s="715"/>
      <c r="C105" s="281">
        <v>5</v>
      </c>
      <c r="D105" s="292"/>
      <c r="E105" s="293"/>
      <c r="F105" s="294"/>
      <c r="G105" s="356"/>
      <c r="H105" s="307"/>
      <c r="I105" s="308"/>
      <c r="J105" s="295"/>
      <c r="K105" s="250"/>
      <c r="L105" s="296"/>
      <c r="M105" s="324">
        <f t="shared" si="10"/>
        <v>0</v>
      </c>
      <c r="N105" s="290"/>
      <c r="O105" s="303"/>
      <c r="P105" s="304"/>
      <c r="R105" s="346"/>
    </row>
    <row r="106" spans="1:20" ht="15.75" customHeight="1" thickTop="1" thickBot="1">
      <c r="A106" s="696"/>
      <c r="B106" s="716"/>
      <c r="C106" s="723"/>
      <c r="D106" s="724"/>
      <c r="E106" s="724"/>
      <c r="F106" s="724"/>
      <c r="G106" s="724"/>
      <c r="H106" s="724"/>
      <c r="I106" s="725"/>
      <c r="J106" s="351" t="s">
        <v>58</v>
      </c>
      <c r="K106" s="349" t="e">
        <f>M106/'生產管理報表 7-1 (週)'!$B$43</f>
        <v>#DIV/0!</v>
      </c>
      <c r="L106" s="352" t="s">
        <v>59</v>
      </c>
      <c r="M106" s="353">
        <f>SUM(M101:M105)</f>
        <v>16460.559499999952</v>
      </c>
      <c r="N106" s="711"/>
      <c r="O106" s="712"/>
      <c r="P106" s="713"/>
      <c r="R106" s="342"/>
    </row>
    <row r="107" spans="1:20" ht="15.75" customHeight="1" thickTop="1">
      <c r="K107" s="291" t="s">
        <v>468</v>
      </c>
      <c r="M107" s="331"/>
      <c r="R107" s="342"/>
    </row>
    <row r="108" spans="1:20" ht="25" customHeight="1">
      <c r="A108" s="684" t="s">
        <v>191</v>
      </c>
      <c r="B108" s="685"/>
      <c r="C108" s="305" t="s">
        <v>47</v>
      </c>
      <c r="D108" s="728" t="s">
        <v>12</v>
      </c>
      <c r="E108" s="729"/>
      <c r="F108" s="730"/>
      <c r="G108" s="731" t="s">
        <v>53</v>
      </c>
      <c r="H108" s="732"/>
      <c r="I108" s="733"/>
      <c r="J108" s="306" t="s">
        <v>54</v>
      </c>
      <c r="K108" s="278" t="s">
        <v>55</v>
      </c>
      <c r="L108" s="278" t="s">
        <v>56</v>
      </c>
      <c r="M108" s="332" t="s">
        <v>11</v>
      </c>
      <c r="N108" s="279" t="s">
        <v>333</v>
      </c>
      <c r="O108" s="692" t="s">
        <v>51</v>
      </c>
      <c r="P108" s="693"/>
      <c r="R108" s="342"/>
    </row>
    <row r="109" spans="1:20" ht="55" customHeight="1">
      <c r="A109" s="694">
        <v>6</v>
      </c>
      <c r="B109" s="714" t="s">
        <v>216</v>
      </c>
      <c r="C109" s="281">
        <v>1</v>
      </c>
      <c r="D109" s="347" t="s">
        <v>615</v>
      </c>
      <c r="E109" s="283"/>
      <c r="F109" s="284"/>
      <c r="G109" s="308" t="s">
        <v>626</v>
      </c>
      <c r="H109" s="307"/>
      <c r="I109" s="308"/>
      <c r="J109" s="314">
        <v>97.830000000000013</v>
      </c>
      <c r="K109" s="315">
        <v>0</v>
      </c>
      <c r="L109" s="316">
        <v>118.50999999999976</v>
      </c>
      <c r="M109" s="324">
        <f t="shared" ref="M109:M113" si="11">L109*J109</f>
        <v>11593.833299999978</v>
      </c>
      <c r="N109" s="290"/>
      <c r="O109" s="706" t="s">
        <v>657</v>
      </c>
      <c r="P109" s="707"/>
      <c r="R109" s="339"/>
      <c r="S109" s="339"/>
    </row>
    <row r="110" spans="1:20" ht="55" customHeight="1">
      <c r="A110" s="695"/>
      <c r="B110" s="715"/>
      <c r="C110" s="281">
        <v>2</v>
      </c>
      <c r="D110" s="239" t="s">
        <v>342</v>
      </c>
      <c r="E110" s="283"/>
      <c r="F110" s="284"/>
      <c r="G110" s="308" t="s">
        <v>621</v>
      </c>
      <c r="H110" s="307"/>
      <c r="I110" s="308"/>
      <c r="J110" s="314">
        <v>39.389999999999993</v>
      </c>
      <c r="K110" s="315">
        <v>0</v>
      </c>
      <c r="L110" s="316">
        <v>263.05999999999767</v>
      </c>
      <c r="M110" s="324">
        <f t="shared" si="11"/>
        <v>10361.933399999907</v>
      </c>
      <c r="N110" s="290"/>
      <c r="O110" s="706" t="s">
        <v>659</v>
      </c>
      <c r="P110" s="707"/>
      <c r="R110" s="339"/>
      <c r="S110" s="339"/>
    </row>
    <row r="111" spans="1:20" ht="55" customHeight="1">
      <c r="A111" s="695"/>
      <c r="B111" s="715"/>
      <c r="C111" s="281">
        <v>3</v>
      </c>
      <c r="D111" s="239" t="s">
        <v>344</v>
      </c>
      <c r="E111" s="283"/>
      <c r="F111" s="284"/>
      <c r="G111" s="308" t="s">
        <v>476</v>
      </c>
      <c r="H111" s="307"/>
      <c r="I111" s="308"/>
      <c r="J111" s="314">
        <v>605.77999999999986</v>
      </c>
      <c r="K111" s="315">
        <v>4.4643670620820344E-4</v>
      </c>
      <c r="L111" s="316">
        <v>10.309999999999954</v>
      </c>
      <c r="M111" s="324">
        <f t="shared" si="11"/>
        <v>6245.591799999971</v>
      </c>
      <c r="N111" s="290"/>
      <c r="O111" s="706" t="s">
        <v>607</v>
      </c>
      <c r="P111" s="707"/>
      <c r="R111" s="339"/>
    </row>
    <row r="112" spans="1:20" ht="55" customHeight="1">
      <c r="A112" s="695"/>
      <c r="B112" s="715"/>
      <c r="C112" s="281">
        <v>4</v>
      </c>
      <c r="D112" s="239" t="s">
        <v>482</v>
      </c>
      <c r="E112" s="283"/>
      <c r="F112" s="284"/>
      <c r="G112" s="308" t="s">
        <v>480</v>
      </c>
      <c r="H112" s="307"/>
      <c r="I112" s="308"/>
      <c r="J112" s="314">
        <v>407.74000000000007</v>
      </c>
      <c r="K112" s="315">
        <v>3.444089511886414E-4</v>
      </c>
      <c r="L112" s="316">
        <v>13.979999999999881</v>
      </c>
      <c r="M112" s="324">
        <f t="shared" si="11"/>
        <v>5700.2051999999521</v>
      </c>
      <c r="N112" s="290"/>
      <c r="O112" s="706" t="s">
        <v>639</v>
      </c>
      <c r="P112" s="707"/>
      <c r="R112" s="339"/>
      <c r="S112" s="339"/>
    </row>
    <row r="113" spans="1:20" ht="55" customHeight="1" thickBot="1">
      <c r="A113" s="695"/>
      <c r="B113" s="715"/>
      <c r="C113" s="281">
        <v>5</v>
      </c>
      <c r="D113" s="246" t="s">
        <v>342</v>
      </c>
      <c r="E113" s="293"/>
      <c r="F113" s="294"/>
      <c r="G113" s="308" t="s">
        <v>471</v>
      </c>
      <c r="H113" s="307"/>
      <c r="I113" s="308"/>
      <c r="J113" s="318">
        <v>3.2199999999999998</v>
      </c>
      <c r="K113" s="250">
        <v>1.9879942434601473E-4</v>
      </c>
      <c r="L113" s="319">
        <v>796</v>
      </c>
      <c r="M113" s="324">
        <f t="shared" si="11"/>
        <v>2563.12</v>
      </c>
      <c r="N113" s="290"/>
      <c r="O113" s="706" t="s">
        <v>658</v>
      </c>
      <c r="P113" s="707"/>
    </row>
    <row r="114" spans="1:20" ht="15.75" customHeight="1" thickTop="1" thickBot="1">
      <c r="A114" s="696"/>
      <c r="B114" s="716"/>
      <c r="C114" s="723"/>
      <c r="D114" s="724"/>
      <c r="E114" s="724"/>
      <c r="F114" s="724"/>
      <c r="G114" s="724"/>
      <c r="H114" s="724"/>
      <c r="I114" s="725"/>
      <c r="J114" s="351" t="s">
        <v>58</v>
      </c>
      <c r="K114" s="349" t="e">
        <f>M114/'生產管理報表 7-1 (週)'!$B$43</f>
        <v>#DIV/0!</v>
      </c>
      <c r="L114" s="352" t="s">
        <v>59</v>
      </c>
      <c r="M114" s="353">
        <f>SUM(M109:M113)</f>
        <v>36464.683699999812</v>
      </c>
      <c r="N114" s="711"/>
      <c r="O114" s="712"/>
      <c r="P114" s="713"/>
    </row>
    <row r="115" spans="1:20" s="136" customFormat="1" ht="15.75" customHeight="1" thickTop="1">
      <c r="A115" s="645" t="s">
        <v>650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</row>
    <row r="116" spans="1:20" s="137" customFormat="1" ht="15.75" customHeight="1">
      <c r="A116" s="679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</row>
    <row r="117" spans="1:20" s="136" customFormat="1" ht="15.75" customHeight="1">
      <c r="A117" s="680" t="s">
        <v>191</v>
      </c>
      <c r="B117" s="682">
        <v>1</v>
      </c>
      <c r="C117" s="683"/>
      <c r="D117" s="682">
        <v>2</v>
      </c>
      <c r="E117" s="683"/>
      <c r="F117" s="682">
        <v>3</v>
      </c>
      <c r="G117" s="683"/>
      <c r="H117" s="673">
        <v>4</v>
      </c>
      <c r="I117" s="674"/>
      <c r="J117" s="673">
        <v>5</v>
      </c>
      <c r="K117" s="674"/>
      <c r="L117" s="673">
        <v>6</v>
      </c>
      <c r="M117" s="674"/>
      <c r="N117" s="673">
        <v>7</v>
      </c>
      <c r="O117" s="674"/>
      <c r="P117" s="329">
        <v>8</v>
      </c>
    </row>
    <row r="118" spans="1:20" s="136" customFormat="1" ht="15.75" customHeight="1">
      <c r="A118" s="681"/>
      <c r="B118" s="677" t="s">
        <v>463</v>
      </c>
      <c r="C118" s="678"/>
      <c r="D118" s="677" t="s">
        <v>212</v>
      </c>
      <c r="E118" s="678"/>
      <c r="F118" s="677" t="s">
        <v>166</v>
      </c>
      <c r="G118" s="678"/>
      <c r="H118" s="675" t="s">
        <v>436</v>
      </c>
      <c r="I118" s="676"/>
      <c r="J118" s="675" t="s">
        <v>189</v>
      </c>
      <c r="K118" s="676"/>
      <c r="L118" s="675" t="s">
        <v>167</v>
      </c>
      <c r="M118" s="676"/>
      <c r="N118" s="675" t="s">
        <v>190</v>
      </c>
      <c r="O118" s="676"/>
      <c r="P118" s="330" t="s">
        <v>217</v>
      </c>
    </row>
    <row r="119" spans="1:20" s="136" customFormat="1" ht="15.75" customHeight="1">
      <c r="B119" s="234"/>
      <c r="C119" s="235"/>
    </row>
    <row r="120" spans="1:20" s="280" customFormat="1" ht="15.75" customHeight="1">
      <c r="A120" s="684" t="s">
        <v>191</v>
      </c>
      <c r="B120" s="685"/>
      <c r="C120" s="277" t="s">
        <v>47</v>
      </c>
      <c r="D120" s="686" t="s">
        <v>12</v>
      </c>
      <c r="E120" s="687"/>
      <c r="F120" s="688"/>
      <c r="G120" s="689" t="s">
        <v>53</v>
      </c>
      <c r="H120" s="690"/>
      <c r="I120" s="691"/>
      <c r="J120" s="278" t="s">
        <v>54</v>
      </c>
      <c r="K120" s="278" t="s">
        <v>55</v>
      </c>
      <c r="L120" s="278" t="s">
        <v>56</v>
      </c>
      <c r="M120" s="279" t="s">
        <v>11</v>
      </c>
      <c r="N120" s="279" t="s">
        <v>333</v>
      </c>
      <c r="O120" s="692" t="s">
        <v>51</v>
      </c>
      <c r="P120" s="693"/>
      <c r="R120" s="342"/>
      <c r="S120" s="343"/>
    </row>
    <row r="121" spans="1:20" s="300" customFormat="1" ht="60" customHeight="1">
      <c r="A121" s="694">
        <v>4</v>
      </c>
      <c r="B121" s="697" t="s">
        <v>436</v>
      </c>
      <c r="C121" s="281">
        <v>1</v>
      </c>
      <c r="D121" s="239" t="s">
        <v>615</v>
      </c>
      <c r="E121" s="240"/>
      <c r="F121" s="241"/>
      <c r="G121" s="308" t="s">
        <v>626</v>
      </c>
      <c r="H121" s="307"/>
      <c r="I121" s="308"/>
      <c r="J121" s="314">
        <v>97.830000000000013</v>
      </c>
      <c r="K121" s="315">
        <v>0</v>
      </c>
      <c r="L121" s="316">
        <v>78.710000000000491</v>
      </c>
      <c r="M121" s="324">
        <f t="shared" ref="M121:M125" si="12">L121*J121</f>
        <v>7700.1993000000493</v>
      </c>
      <c r="N121" s="316"/>
      <c r="O121" s="702" t="s">
        <v>657</v>
      </c>
      <c r="P121" s="703"/>
      <c r="R121" s="411"/>
      <c r="S121" s="343"/>
    </row>
    <row r="122" spans="1:20" s="300" customFormat="1" ht="60" customHeight="1">
      <c r="A122" s="695"/>
      <c r="B122" s="698"/>
      <c r="C122" s="281">
        <v>2</v>
      </c>
      <c r="D122" s="239" t="s">
        <v>364</v>
      </c>
      <c r="E122" s="240"/>
      <c r="F122" s="241"/>
      <c r="G122" s="308" t="s">
        <v>363</v>
      </c>
      <c r="H122" s="307"/>
      <c r="I122" s="308"/>
      <c r="J122" s="314">
        <v>426.69</v>
      </c>
      <c r="K122" s="315">
        <v>1.2594458438287155E-3</v>
      </c>
      <c r="L122" s="316">
        <v>15.640000000000155</v>
      </c>
      <c r="M122" s="324">
        <f t="shared" si="12"/>
        <v>6673.4316000000663</v>
      </c>
      <c r="N122" s="316"/>
      <c r="O122" s="702" t="s">
        <v>637</v>
      </c>
      <c r="P122" s="703"/>
      <c r="R122" s="411"/>
      <c r="S122" s="412"/>
      <c r="T122" s="338"/>
    </row>
    <row r="123" spans="1:20" s="300" customFormat="1" ht="60" customHeight="1">
      <c r="A123" s="695"/>
      <c r="B123" s="698"/>
      <c r="C123" s="281">
        <v>3</v>
      </c>
      <c r="D123" s="239" t="s">
        <v>497</v>
      </c>
      <c r="E123" s="240"/>
      <c r="F123" s="241"/>
      <c r="G123" s="308" t="s">
        <v>502</v>
      </c>
      <c r="H123" s="307"/>
      <c r="I123" s="308"/>
      <c r="J123" s="314">
        <v>118.30999999999997</v>
      </c>
      <c r="K123" s="315">
        <v>0</v>
      </c>
      <c r="L123" s="316">
        <v>49.349999999999909</v>
      </c>
      <c r="M123" s="324">
        <f t="shared" si="12"/>
        <v>5838.5984999999882</v>
      </c>
      <c r="N123" s="316"/>
      <c r="O123" s="704" t="s">
        <v>657</v>
      </c>
      <c r="P123" s="705"/>
      <c r="R123" s="411"/>
      <c r="S123" s="413"/>
    </row>
    <row r="124" spans="1:20" s="300" customFormat="1" ht="60" customHeight="1">
      <c r="A124" s="695"/>
      <c r="B124" s="698"/>
      <c r="C124" s="281">
        <v>4</v>
      </c>
      <c r="D124" s="239" t="s">
        <v>488</v>
      </c>
      <c r="E124" s="240"/>
      <c r="F124" s="241"/>
      <c r="G124" s="308" t="s">
        <v>487</v>
      </c>
      <c r="H124" s="307"/>
      <c r="I124" s="308"/>
      <c r="J124" s="314">
        <v>191.21</v>
      </c>
      <c r="K124" s="315">
        <v>2.2162742724653498E-4</v>
      </c>
      <c r="L124" s="316">
        <v>30.060000000000162</v>
      </c>
      <c r="M124" s="324">
        <f t="shared" si="12"/>
        <v>5747.7726000000312</v>
      </c>
      <c r="N124" s="316"/>
      <c r="O124" s="704" t="s">
        <v>637</v>
      </c>
      <c r="P124" s="705"/>
      <c r="R124" s="411"/>
      <c r="S124" s="412"/>
      <c r="T124" s="338"/>
    </row>
    <row r="125" spans="1:20" s="300" customFormat="1" ht="60" customHeight="1" thickBot="1">
      <c r="A125" s="695"/>
      <c r="B125" s="698"/>
      <c r="C125" s="281">
        <v>5</v>
      </c>
      <c r="D125" s="239" t="s">
        <v>475</v>
      </c>
      <c r="E125" s="247"/>
      <c r="F125" s="248"/>
      <c r="G125" s="308" t="s">
        <v>484</v>
      </c>
      <c r="H125" s="307"/>
      <c r="I125" s="308"/>
      <c r="J125" s="318">
        <v>629</v>
      </c>
      <c r="K125" s="250">
        <v>0</v>
      </c>
      <c r="L125" s="319">
        <v>8.3300000000000125</v>
      </c>
      <c r="M125" s="324">
        <f t="shared" si="12"/>
        <v>5239.5700000000079</v>
      </c>
      <c r="N125" s="316"/>
      <c r="O125" s="704" t="s">
        <v>702</v>
      </c>
      <c r="P125" s="705"/>
      <c r="R125" s="414"/>
      <c r="S125" s="413"/>
      <c r="T125" s="291"/>
    </row>
    <row r="126" spans="1:20" ht="15.75" customHeight="1" thickTop="1" thickBot="1">
      <c r="A126" s="696"/>
      <c r="B126" s="699"/>
      <c r="C126" s="708"/>
      <c r="D126" s="709"/>
      <c r="E126" s="709"/>
      <c r="F126" s="709"/>
      <c r="G126" s="709"/>
      <c r="H126" s="709"/>
      <c r="I126" s="710"/>
      <c r="J126" s="351" t="s">
        <v>58</v>
      </c>
      <c r="K126" s="349" t="e">
        <f>M126/'生產管理報表 7-1 (週)'!$B$54</f>
        <v>#DIV/0!</v>
      </c>
      <c r="L126" s="352" t="s">
        <v>59</v>
      </c>
      <c r="M126" s="353">
        <f>SUM(M121:M125)</f>
        <v>31199.572000000146</v>
      </c>
      <c r="N126" s="711"/>
      <c r="O126" s="712"/>
      <c r="P126" s="713"/>
      <c r="R126" s="342"/>
      <c r="S126" s="342"/>
    </row>
    <row r="127" spans="1:20" ht="15.75" customHeight="1" thickTop="1">
      <c r="M127" s="331"/>
      <c r="S127" s="343"/>
    </row>
    <row r="128" spans="1:20" ht="15.75" customHeight="1">
      <c r="A128" s="684" t="s">
        <v>191</v>
      </c>
      <c r="B128" s="685"/>
      <c r="C128" s="277" t="s">
        <v>47</v>
      </c>
      <c r="D128" s="686" t="s">
        <v>12</v>
      </c>
      <c r="E128" s="687"/>
      <c r="F128" s="688"/>
      <c r="G128" s="689" t="s">
        <v>53</v>
      </c>
      <c r="H128" s="690"/>
      <c r="I128" s="691"/>
      <c r="J128" s="395" t="s">
        <v>54</v>
      </c>
      <c r="K128" s="278" t="s">
        <v>55</v>
      </c>
      <c r="L128" s="278" t="s">
        <v>56</v>
      </c>
      <c r="M128" s="332" t="s">
        <v>11</v>
      </c>
      <c r="N128" s="279" t="s">
        <v>333</v>
      </c>
      <c r="O128" s="692" t="s">
        <v>51</v>
      </c>
      <c r="P128" s="693"/>
      <c r="S128" s="342"/>
      <c r="T128" s="338"/>
    </row>
    <row r="129" spans="1:20" s="300" customFormat="1" ht="60" customHeight="1">
      <c r="A129" s="694">
        <v>5</v>
      </c>
      <c r="B129" s="714" t="s">
        <v>215</v>
      </c>
      <c r="C129" s="281">
        <v>1</v>
      </c>
      <c r="D129" s="239" t="s">
        <v>342</v>
      </c>
      <c r="E129" s="240"/>
      <c r="F129" s="241"/>
      <c r="G129" s="308" t="s">
        <v>337</v>
      </c>
      <c r="H129" s="307"/>
      <c r="I129" s="308"/>
      <c r="J129" s="314">
        <v>147.43000000000004</v>
      </c>
      <c r="K129" s="315">
        <v>0</v>
      </c>
      <c r="L129" s="316">
        <v>105.28999999999905</v>
      </c>
      <c r="M129" s="324">
        <f>L129*J129</f>
        <v>15522.904699999865</v>
      </c>
      <c r="N129" s="316"/>
      <c r="O129" s="769" t="s">
        <v>606</v>
      </c>
      <c r="P129" s="770"/>
      <c r="S129" s="413"/>
      <c r="T129" s="338"/>
    </row>
    <row r="130" spans="1:20" s="300" customFormat="1" ht="60" customHeight="1">
      <c r="A130" s="695"/>
      <c r="B130" s="715"/>
      <c r="C130" s="281">
        <v>2</v>
      </c>
      <c r="D130" s="239" t="s">
        <v>612</v>
      </c>
      <c r="E130" s="240"/>
      <c r="F130" s="241"/>
      <c r="G130" s="308" t="s">
        <v>624</v>
      </c>
      <c r="H130" s="307"/>
      <c r="I130" s="308"/>
      <c r="J130" s="314">
        <v>760</v>
      </c>
      <c r="K130" s="315">
        <v>1.7814537935422301E-3</v>
      </c>
      <c r="L130" s="316">
        <v>7.4599999999999245</v>
      </c>
      <c r="M130" s="324">
        <f t="shared" ref="M130:M133" si="13">L130*J130</f>
        <v>5669.5999999999422</v>
      </c>
      <c r="N130" s="316"/>
      <c r="O130" s="719" t="s">
        <v>701</v>
      </c>
      <c r="P130" s="720"/>
      <c r="S130" s="342"/>
      <c r="T130" s="339"/>
    </row>
    <row r="131" spans="1:20" ht="25" customHeight="1">
      <c r="A131" s="695"/>
      <c r="B131" s="715"/>
      <c r="C131" s="281">
        <v>3</v>
      </c>
      <c r="D131" s="239"/>
      <c r="E131" s="240"/>
      <c r="F131" s="241"/>
      <c r="G131" s="356"/>
      <c r="H131" s="307"/>
      <c r="I131" s="308"/>
      <c r="J131" s="314"/>
      <c r="K131" s="315"/>
      <c r="L131" s="316"/>
      <c r="M131" s="324">
        <f t="shared" si="13"/>
        <v>0</v>
      </c>
      <c r="N131" s="290"/>
      <c r="O131" s="741"/>
      <c r="P131" s="742"/>
    </row>
    <row r="132" spans="1:20" ht="25" customHeight="1">
      <c r="A132" s="695"/>
      <c r="B132" s="715"/>
      <c r="C132" s="281">
        <v>4</v>
      </c>
      <c r="D132" s="282"/>
      <c r="E132" s="283"/>
      <c r="F132" s="284"/>
      <c r="G132" s="356"/>
      <c r="H132" s="307"/>
      <c r="I132" s="308"/>
      <c r="J132" s="288"/>
      <c r="K132" s="289"/>
      <c r="L132" s="290"/>
      <c r="M132" s="324">
        <f t="shared" si="13"/>
        <v>0</v>
      </c>
      <c r="N132" s="290"/>
      <c r="O132" s="301"/>
      <c r="P132" s="302"/>
    </row>
    <row r="133" spans="1:20" ht="25" customHeight="1" thickBot="1">
      <c r="A133" s="695"/>
      <c r="B133" s="715"/>
      <c r="C133" s="281">
        <v>5</v>
      </c>
      <c r="D133" s="292"/>
      <c r="E133" s="293"/>
      <c r="F133" s="294"/>
      <c r="G133" s="356"/>
      <c r="H133" s="307"/>
      <c r="I133" s="308"/>
      <c r="J133" s="295"/>
      <c r="K133" s="250"/>
      <c r="L133" s="296"/>
      <c r="M133" s="324">
        <f t="shared" si="13"/>
        <v>0</v>
      </c>
      <c r="N133" s="290"/>
      <c r="O133" s="303"/>
      <c r="P133" s="304"/>
      <c r="R133" s="346"/>
    </row>
    <row r="134" spans="1:20" ht="15.75" customHeight="1" thickTop="1" thickBot="1">
      <c r="A134" s="696"/>
      <c r="B134" s="716"/>
      <c r="C134" s="723"/>
      <c r="D134" s="724"/>
      <c r="E134" s="724"/>
      <c r="F134" s="724"/>
      <c r="G134" s="724"/>
      <c r="H134" s="724"/>
      <c r="I134" s="725"/>
      <c r="J134" s="351" t="s">
        <v>58</v>
      </c>
      <c r="K134" s="349" t="e">
        <f>M134/'生產管理報表 7-1 (週)'!$B$54</f>
        <v>#DIV/0!</v>
      </c>
      <c r="L134" s="352" t="s">
        <v>59</v>
      </c>
      <c r="M134" s="353">
        <f>SUM(M129:M133)</f>
        <v>21192.504699999809</v>
      </c>
      <c r="N134" s="711"/>
      <c r="O134" s="712"/>
      <c r="P134" s="713"/>
      <c r="R134" s="342"/>
    </row>
    <row r="135" spans="1:20" ht="15.75" customHeight="1" thickTop="1">
      <c r="K135" s="291" t="s">
        <v>468</v>
      </c>
      <c r="M135" s="331"/>
      <c r="R135" s="342"/>
    </row>
    <row r="136" spans="1:20" ht="25" customHeight="1">
      <c r="A136" s="684" t="s">
        <v>191</v>
      </c>
      <c r="B136" s="685"/>
      <c r="C136" s="305" t="s">
        <v>47</v>
      </c>
      <c r="D136" s="728" t="s">
        <v>12</v>
      </c>
      <c r="E136" s="729"/>
      <c r="F136" s="730"/>
      <c r="G136" s="731" t="s">
        <v>53</v>
      </c>
      <c r="H136" s="732"/>
      <c r="I136" s="733"/>
      <c r="J136" s="306" t="s">
        <v>54</v>
      </c>
      <c r="K136" s="278" t="s">
        <v>55</v>
      </c>
      <c r="L136" s="278" t="s">
        <v>56</v>
      </c>
      <c r="M136" s="332" t="s">
        <v>11</v>
      </c>
      <c r="N136" s="279" t="s">
        <v>333</v>
      </c>
      <c r="O136" s="692" t="s">
        <v>51</v>
      </c>
      <c r="P136" s="693"/>
      <c r="R136" s="342"/>
    </row>
    <row r="137" spans="1:20" ht="55" customHeight="1">
      <c r="A137" s="694">
        <v>6</v>
      </c>
      <c r="B137" s="714" t="s">
        <v>216</v>
      </c>
      <c r="C137" s="281">
        <v>1</v>
      </c>
      <c r="D137" s="347" t="s">
        <v>342</v>
      </c>
      <c r="E137" s="283"/>
      <c r="F137" s="284"/>
      <c r="G137" s="308" t="s">
        <v>621</v>
      </c>
      <c r="H137" s="307"/>
      <c r="I137" s="308"/>
      <c r="J137" s="314">
        <v>39.389999999999993</v>
      </c>
      <c r="K137" s="315">
        <v>3.0681044680805361E-5</v>
      </c>
      <c r="L137" s="316">
        <v>230.09000000000088</v>
      </c>
      <c r="M137" s="324">
        <f t="shared" ref="M137:M141" si="14">L137*J137</f>
        <v>9063.2451000000328</v>
      </c>
      <c r="N137" s="290"/>
      <c r="O137" s="706" t="s">
        <v>659</v>
      </c>
      <c r="P137" s="707"/>
      <c r="R137" s="339"/>
      <c r="S137" s="339"/>
    </row>
    <row r="138" spans="1:20" ht="55" customHeight="1">
      <c r="A138" s="695"/>
      <c r="B138" s="715"/>
      <c r="C138" s="281">
        <v>2</v>
      </c>
      <c r="D138" s="239" t="s">
        <v>344</v>
      </c>
      <c r="E138" s="283"/>
      <c r="F138" s="284"/>
      <c r="G138" s="308" t="s">
        <v>476</v>
      </c>
      <c r="H138" s="307"/>
      <c r="I138" s="308"/>
      <c r="J138" s="314">
        <v>605.77999999999986</v>
      </c>
      <c r="K138" s="315">
        <v>9.1822831302699397E-4</v>
      </c>
      <c r="L138" s="316">
        <v>8.209999999999873</v>
      </c>
      <c r="M138" s="324">
        <f t="shared" si="14"/>
        <v>4973.453799999922</v>
      </c>
      <c r="N138" s="290"/>
      <c r="O138" s="706" t="s">
        <v>607</v>
      </c>
      <c r="P138" s="707"/>
      <c r="R138" s="339"/>
      <c r="S138" s="339"/>
    </row>
    <row r="139" spans="1:20" ht="55" customHeight="1">
      <c r="A139" s="695"/>
      <c r="B139" s="715"/>
      <c r="C139" s="281">
        <v>3</v>
      </c>
      <c r="D139" s="239" t="s">
        <v>482</v>
      </c>
      <c r="E139" s="283"/>
      <c r="F139" s="284"/>
      <c r="G139" s="308" t="s">
        <v>480</v>
      </c>
      <c r="H139" s="307"/>
      <c r="I139" s="308"/>
      <c r="J139" s="314">
        <v>407.74000000000007</v>
      </c>
      <c r="K139" s="315">
        <v>4.3030031376064545E-4</v>
      </c>
      <c r="L139" s="316">
        <v>11.380000000000127</v>
      </c>
      <c r="M139" s="324">
        <f t="shared" si="14"/>
        <v>4640.0812000000524</v>
      </c>
      <c r="N139" s="290"/>
      <c r="O139" s="706" t="s">
        <v>639</v>
      </c>
      <c r="P139" s="707"/>
      <c r="R139" s="339"/>
    </row>
    <row r="140" spans="1:20" ht="55" customHeight="1">
      <c r="A140" s="695"/>
      <c r="B140" s="715"/>
      <c r="C140" s="281">
        <v>4</v>
      </c>
      <c r="D140" s="239" t="s">
        <v>661</v>
      </c>
      <c r="E140" s="283"/>
      <c r="F140" s="284"/>
      <c r="G140" s="308" t="s">
        <v>688</v>
      </c>
      <c r="H140" s="307"/>
      <c r="I140" s="308"/>
      <c r="J140" s="314">
        <v>62.43</v>
      </c>
      <c r="K140" s="315">
        <v>7.5554063129617188E-4</v>
      </c>
      <c r="L140" s="316">
        <v>61.539999999999125</v>
      </c>
      <c r="M140" s="324">
        <f t="shared" si="14"/>
        <v>3841.9421999999454</v>
      </c>
      <c r="N140" s="290"/>
      <c r="O140" s="706" t="s">
        <v>659</v>
      </c>
      <c r="P140" s="707"/>
      <c r="R140" s="339"/>
      <c r="S140" s="339"/>
    </row>
    <row r="141" spans="1:20" ht="55" customHeight="1" thickBot="1">
      <c r="A141" s="695"/>
      <c r="B141" s="715"/>
      <c r="C141" s="281">
        <v>5</v>
      </c>
      <c r="D141" s="246"/>
      <c r="E141" s="293"/>
      <c r="F141" s="294"/>
      <c r="G141" s="356"/>
      <c r="H141" s="307"/>
      <c r="I141" s="308"/>
      <c r="J141" s="318"/>
      <c r="K141" s="250"/>
      <c r="L141" s="319"/>
      <c r="M141" s="324">
        <f t="shared" si="14"/>
        <v>0</v>
      </c>
      <c r="N141" s="290"/>
      <c r="O141" s="706"/>
      <c r="P141" s="707"/>
    </row>
    <row r="142" spans="1:20" ht="15.75" customHeight="1" thickTop="1" thickBot="1">
      <c r="A142" s="696"/>
      <c r="B142" s="716"/>
      <c r="C142" s="723"/>
      <c r="D142" s="724"/>
      <c r="E142" s="724"/>
      <c r="F142" s="724"/>
      <c r="G142" s="724"/>
      <c r="H142" s="724"/>
      <c r="I142" s="725"/>
      <c r="J142" s="351" t="s">
        <v>58</v>
      </c>
      <c r="K142" s="349" t="e">
        <f>M142/'生產管理報表 7-1 (週)'!$B$54</f>
        <v>#DIV/0!</v>
      </c>
      <c r="L142" s="352" t="s">
        <v>59</v>
      </c>
      <c r="M142" s="353">
        <f>SUM(M137:M141)</f>
        <v>22518.722299999954</v>
      </c>
      <c r="N142" s="711"/>
      <c r="O142" s="712"/>
      <c r="P142" s="713"/>
    </row>
    <row r="143" spans="1:20" ht="15.75" customHeight="1" thickTop="1"/>
  </sheetData>
  <mergeCells count="266"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C134:I134"/>
    <mergeCell ref="N134:P134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N61:O61"/>
    <mergeCell ref="B62:C62"/>
    <mergeCell ref="D62:E62"/>
    <mergeCell ref="F62:G62"/>
    <mergeCell ref="H62:I62"/>
    <mergeCell ref="J62:K62"/>
    <mergeCell ref="L62:M62"/>
    <mergeCell ref="N62:O62"/>
    <mergeCell ref="A59:M60"/>
    <mergeCell ref="A61:A62"/>
    <mergeCell ref="B61:C61"/>
    <mergeCell ref="D61:E61"/>
    <mergeCell ref="F61:G61"/>
    <mergeCell ref="H61:I61"/>
    <mergeCell ref="J61:K61"/>
    <mergeCell ref="L61:M61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N33:O33"/>
    <mergeCell ref="B34:C34"/>
    <mergeCell ref="D34:E34"/>
    <mergeCell ref="F34:G34"/>
    <mergeCell ref="H34:I34"/>
    <mergeCell ref="J34:K34"/>
    <mergeCell ref="L34:M34"/>
    <mergeCell ref="N34:O34"/>
    <mergeCell ref="A31:M32"/>
    <mergeCell ref="A33:A34"/>
    <mergeCell ref="B33:C33"/>
    <mergeCell ref="D33:E33"/>
    <mergeCell ref="F33:G33"/>
    <mergeCell ref="H33:I33"/>
    <mergeCell ref="J33:K33"/>
    <mergeCell ref="L33:M33"/>
    <mergeCell ref="A1:P2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3" manualBreakCount="3">
    <brk id="30" max="15" man="1"/>
    <brk id="58" max="15" man="1"/>
    <brk id="86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19" sqref="R19"/>
    </sheetView>
  </sheetViews>
  <sheetFormatPr defaultColWidth="12.54296875" defaultRowHeight="15.75" customHeight="1"/>
  <cols>
    <col min="1" max="1" width="5.453125" style="99" customWidth="1"/>
    <col min="2" max="2" width="7.81640625" style="133" customWidth="1"/>
    <col min="3" max="3" width="4" style="130" customWidth="1"/>
    <col min="4" max="17" width="8.54296875" style="99" customWidth="1"/>
    <col min="18" max="16384" width="12.54296875" style="99"/>
  </cols>
  <sheetData>
    <row r="1" spans="1:17" ht="15.75" customHeight="1">
      <c r="A1" s="508" t="s">
        <v>367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</row>
    <row r="2" spans="1:17" s="100" customFormat="1" ht="15.75" customHeight="1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1:17" ht="15.75" customHeight="1">
      <c r="A3" s="615" t="s">
        <v>388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5"/>
      <c r="N3" s="615"/>
      <c r="O3" s="615"/>
      <c r="P3" s="615"/>
      <c r="Q3" s="615"/>
    </row>
    <row r="4" spans="1:17" s="100" customFormat="1" ht="15.75" customHeight="1">
      <c r="A4" s="823"/>
      <c r="B4" s="823"/>
      <c r="C4" s="823"/>
      <c r="D4" s="823"/>
      <c r="E4" s="823"/>
      <c r="F4" s="823"/>
      <c r="G4" s="823"/>
      <c r="H4" s="823"/>
      <c r="I4" s="823"/>
      <c r="J4" s="823"/>
      <c r="K4" s="823"/>
      <c r="L4" s="823"/>
      <c r="M4" s="823"/>
      <c r="N4" s="823"/>
      <c r="O4" s="823"/>
      <c r="P4" s="823"/>
      <c r="Q4" s="823"/>
    </row>
    <row r="5" spans="1:17" ht="15.75" customHeight="1">
      <c r="A5" s="543" t="s">
        <v>191</v>
      </c>
      <c r="B5" s="822">
        <v>1</v>
      </c>
      <c r="C5" s="822"/>
      <c r="D5" s="822">
        <v>2</v>
      </c>
      <c r="E5" s="822"/>
      <c r="F5" s="822">
        <v>3</v>
      </c>
      <c r="G5" s="822"/>
      <c r="H5" s="822">
        <v>4</v>
      </c>
      <c r="I5" s="822"/>
      <c r="J5" s="822">
        <v>5</v>
      </c>
      <c r="K5" s="822"/>
      <c r="L5" s="822">
        <v>6</v>
      </c>
      <c r="M5" s="822"/>
      <c r="N5" s="822">
        <v>7</v>
      </c>
      <c r="O5" s="822"/>
      <c r="P5" s="824">
        <v>8</v>
      </c>
      <c r="Q5" s="824"/>
    </row>
    <row r="6" spans="1:17" ht="15.75" customHeight="1">
      <c r="A6" s="543"/>
      <c r="B6" s="543" t="s">
        <v>251</v>
      </c>
      <c r="C6" s="543"/>
      <c r="D6" s="543" t="s">
        <v>340</v>
      </c>
      <c r="E6" s="543"/>
      <c r="F6" s="543" t="s">
        <v>166</v>
      </c>
      <c r="G6" s="543"/>
      <c r="H6" s="543" t="s">
        <v>436</v>
      </c>
      <c r="I6" s="543"/>
      <c r="J6" s="543" t="s">
        <v>189</v>
      </c>
      <c r="K6" s="543"/>
      <c r="L6" s="543" t="s">
        <v>167</v>
      </c>
      <c r="M6" s="543"/>
      <c r="N6" s="543" t="s">
        <v>190</v>
      </c>
      <c r="O6" s="543"/>
      <c r="P6" s="821" t="s">
        <v>218</v>
      </c>
      <c r="Q6" s="821"/>
    </row>
    <row r="8" spans="1:17" s="106" customFormat="1" ht="15.75" customHeight="1">
      <c r="A8" s="131" t="s">
        <v>193</v>
      </c>
      <c r="B8" s="131" t="s">
        <v>18</v>
      </c>
      <c r="C8" s="818" t="s">
        <v>12</v>
      </c>
      <c r="D8" s="818"/>
      <c r="E8" s="818"/>
      <c r="F8" s="818" t="s">
        <v>53</v>
      </c>
      <c r="G8" s="818"/>
      <c r="H8" s="818"/>
      <c r="I8" s="131" t="s">
        <v>54</v>
      </c>
      <c r="J8" s="134" t="s">
        <v>19</v>
      </c>
      <c r="K8" s="131" t="s">
        <v>57</v>
      </c>
      <c r="L8" s="131" t="s">
        <v>2</v>
      </c>
      <c r="M8" s="818" t="s">
        <v>50</v>
      </c>
      <c r="N8" s="818"/>
      <c r="O8" s="818"/>
      <c r="P8" s="818"/>
      <c r="Q8" s="818"/>
    </row>
    <row r="9" spans="1:17" ht="15.75" customHeight="1">
      <c r="A9" s="818" t="s">
        <v>192</v>
      </c>
      <c r="B9" s="129">
        <v>1</v>
      </c>
      <c r="C9" s="816"/>
      <c r="D9" s="817"/>
      <c r="E9" s="817"/>
      <c r="F9" s="816"/>
      <c r="G9" s="817"/>
      <c r="H9" s="817"/>
      <c r="I9" s="108"/>
      <c r="J9" s="118"/>
      <c r="K9" s="118"/>
      <c r="L9" s="135">
        <f t="shared" ref="L9:L13" si="0">K9-J9</f>
        <v>0</v>
      </c>
      <c r="M9" s="816"/>
      <c r="N9" s="816"/>
      <c r="O9" s="816"/>
      <c r="P9" s="816"/>
      <c r="Q9" s="816"/>
    </row>
    <row r="10" spans="1:17" ht="15.75" customHeight="1">
      <c r="A10" s="818"/>
      <c r="B10" s="129">
        <v>2</v>
      </c>
      <c r="C10" s="816"/>
      <c r="D10" s="817"/>
      <c r="E10" s="817"/>
      <c r="F10" s="816"/>
      <c r="G10" s="817"/>
      <c r="H10" s="817"/>
      <c r="I10" s="108"/>
      <c r="J10" s="118"/>
      <c r="K10" s="118"/>
      <c r="L10" s="135">
        <f t="shared" si="0"/>
        <v>0</v>
      </c>
      <c r="M10" s="816"/>
      <c r="N10" s="816"/>
      <c r="O10" s="816"/>
      <c r="P10" s="816"/>
      <c r="Q10" s="816"/>
    </row>
    <row r="11" spans="1:17" ht="15.75" customHeight="1">
      <c r="A11" s="818"/>
      <c r="B11" s="129">
        <v>3</v>
      </c>
      <c r="C11" s="816"/>
      <c r="D11" s="817"/>
      <c r="E11" s="817"/>
      <c r="F11" s="816"/>
      <c r="G11" s="817"/>
      <c r="H11" s="817"/>
      <c r="I11" s="108"/>
      <c r="J11" s="118"/>
      <c r="K11" s="118"/>
      <c r="L11" s="135">
        <f t="shared" si="0"/>
        <v>0</v>
      </c>
      <c r="M11" s="816"/>
      <c r="N11" s="816"/>
      <c r="O11" s="816"/>
      <c r="P11" s="816"/>
      <c r="Q11" s="816"/>
    </row>
    <row r="12" spans="1:17" ht="15.75" customHeight="1">
      <c r="A12" s="818"/>
      <c r="B12" s="129">
        <v>4</v>
      </c>
      <c r="C12" s="816"/>
      <c r="D12" s="817"/>
      <c r="E12" s="817"/>
      <c r="F12" s="816"/>
      <c r="G12" s="817"/>
      <c r="H12" s="817"/>
      <c r="I12" s="108"/>
      <c r="J12" s="118"/>
      <c r="K12" s="118"/>
      <c r="L12" s="135">
        <f t="shared" si="0"/>
        <v>0</v>
      </c>
      <c r="M12" s="816"/>
      <c r="N12" s="816"/>
      <c r="O12" s="816"/>
      <c r="P12" s="816"/>
      <c r="Q12" s="816"/>
    </row>
    <row r="13" spans="1:17" ht="15.75" customHeight="1">
      <c r="A13" s="818"/>
      <c r="B13" s="129">
        <v>5</v>
      </c>
      <c r="C13" s="816"/>
      <c r="D13" s="817"/>
      <c r="E13" s="817"/>
      <c r="F13" s="816"/>
      <c r="G13" s="817"/>
      <c r="H13" s="817"/>
      <c r="I13" s="108"/>
      <c r="J13" s="118"/>
      <c r="K13" s="118"/>
      <c r="L13" s="135">
        <f t="shared" si="0"/>
        <v>0</v>
      </c>
      <c r="M13" s="816"/>
      <c r="N13" s="816"/>
      <c r="O13" s="816"/>
      <c r="P13" s="816"/>
      <c r="Q13" s="816"/>
    </row>
    <row r="14" spans="1:17" ht="15.75" customHeight="1">
      <c r="A14" s="819"/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19"/>
      <c r="N14" s="819"/>
      <c r="O14" s="820"/>
    </row>
    <row r="15" spans="1:17" s="106" customFormat="1" ht="15.75" customHeight="1">
      <c r="A15" s="131" t="s">
        <v>193</v>
      </c>
      <c r="B15" s="131" t="s">
        <v>18</v>
      </c>
      <c r="C15" s="818" t="s">
        <v>12</v>
      </c>
      <c r="D15" s="818"/>
      <c r="E15" s="818"/>
      <c r="F15" s="818" t="s">
        <v>53</v>
      </c>
      <c r="G15" s="818"/>
      <c r="H15" s="818"/>
      <c r="I15" s="131" t="s">
        <v>54</v>
      </c>
      <c r="J15" s="134" t="s">
        <v>19</v>
      </c>
      <c r="K15" s="131" t="s">
        <v>57</v>
      </c>
      <c r="L15" s="131" t="s">
        <v>2</v>
      </c>
      <c r="M15" s="818" t="s">
        <v>50</v>
      </c>
      <c r="N15" s="818"/>
      <c r="O15" s="818"/>
      <c r="P15" s="818"/>
      <c r="Q15" s="818"/>
    </row>
    <row r="16" spans="1:17" ht="15.75" customHeight="1">
      <c r="A16" s="818" t="s">
        <v>194</v>
      </c>
      <c r="B16" s="129">
        <v>1</v>
      </c>
      <c r="C16" s="816"/>
      <c r="D16" s="817"/>
      <c r="E16" s="817"/>
      <c r="F16" s="816"/>
      <c r="G16" s="817"/>
      <c r="H16" s="817"/>
      <c r="I16" s="108"/>
      <c r="J16" s="118"/>
      <c r="K16" s="118"/>
      <c r="L16" s="135">
        <f t="shared" ref="L16:L19" si="1">K16-J16</f>
        <v>0</v>
      </c>
      <c r="M16" s="816"/>
      <c r="N16" s="816"/>
      <c r="O16" s="816"/>
      <c r="P16" s="816"/>
      <c r="Q16" s="816"/>
    </row>
    <row r="17" spans="1:17" ht="15.75" customHeight="1">
      <c r="A17" s="818"/>
      <c r="B17" s="129">
        <v>2</v>
      </c>
      <c r="C17" s="816"/>
      <c r="D17" s="817"/>
      <c r="E17" s="817"/>
      <c r="F17" s="816"/>
      <c r="G17" s="817"/>
      <c r="H17" s="817"/>
      <c r="I17" s="108"/>
      <c r="J17" s="118"/>
      <c r="K17" s="118"/>
      <c r="L17" s="135">
        <f t="shared" si="1"/>
        <v>0</v>
      </c>
      <c r="M17" s="816"/>
      <c r="N17" s="816"/>
      <c r="O17" s="816"/>
      <c r="P17" s="816"/>
      <c r="Q17" s="816"/>
    </row>
    <row r="18" spans="1:17" ht="15.75" customHeight="1">
      <c r="A18" s="818"/>
      <c r="B18" s="129">
        <v>3</v>
      </c>
      <c r="C18" s="816"/>
      <c r="D18" s="817"/>
      <c r="E18" s="817"/>
      <c r="F18" s="816"/>
      <c r="G18" s="817"/>
      <c r="H18" s="817"/>
      <c r="I18" s="108"/>
      <c r="J18" s="118"/>
      <c r="K18" s="118"/>
      <c r="L18" s="135">
        <f t="shared" si="1"/>
        <v>0</v>
      </c>
      <c r="M18" s="816"/>
      <c r="N18" s="816"/>
      <c r="O18" s="816"/>
      <c r="P18" s="816"/>
      <c r="Q18" s="816"/>
    </row>
    <row r="19" spans="1:17" ht="15.75" customHeight="1">
      <c r="A19" s="818"/>
      <c r="B19" s="129">
        <v>4</v>
      </c>
      <c r="C19" s="816"/>
      <c r="D19" s="817"/>
      <c r="E19" s="817"/>
      <c r="F19" s="816"/>
      <c r="G19" s="817"/>
      <c r="H19" s="817"/>
      <c r="I19" s="108"/>
      <c r="J19" s="118"/>
      <c r="K19" s="118"/>
      <c r="L19" s="135">
        <f t="shared" si="1"/>
        <v>0</v>
      </c>
      <c r="M19" s="816"/>
      <c r="N19" s="816"/>
      <c r="O19" s="816"/>
      <c r="P19" s="816"/>
      <c r="Q19" s="816"/>
    </row>
    <row r="20" spans="1:17" ht="15.75" customHeight="1">
      <c r="A20" s="818"/>
      <c r="B20" s="129">
        <v>5</v>
      </c>
      <c r="C20" s="816"/>
      <c r="D20" s="817"/>
      <c r="E20" s="817"/>
      <c r="F20" s="816"/>
      <c r="G20" s="817"/>
      <c r="H20" s="817"/>
      <c r="I20" s="108"/>
      <c r="J20" s="118"/>
      <c r="K20" s="118"/>
      <c r="L20" s="135">
        <f>K20-J20</f>
        <v>0</v>
      </c>
      <c r="M20" s="816"/>
      <c r="N20" s="816"/>
      <c r="O20" s="816"/>
      <c r="P20" s="816"/>
      <c r="Q20" s="816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>
    <tabColor rgb="FFFFFFCC"/>
  </sheetPr>
  <dimension ref="A1:AE55"/>
  <sheetViews>
    <sheetView zoomScale="70" zoomScaleNormal="70" workbookViewId="0">
      <selection activeCell="E4" sqref="E4:E17"/>
    </sheetView>
  </sheetViews>
  <sheetFormatPr defaultColWidth="10.1796875" defaultRowHeight="15.5"/>
  <cols>
    <col min="1" max="8" width="25.7265625" style="230" customWidth="1"/>
    <col min="9" max="9" width="10.1796875" style="230"/>
    <col min="10" max="10" width="26.453125" style="230" bestFit="1" customWidth="1"/>
    <col min="11" max="12" width="26.453125" style="230" customWidth="1"/>
    <col min="13" max="13" width="26.1796875" style="230" bestFit="1" customWidth="1"/>
    <col min="14" max="14" width="10.1796875" style="230"/>
    <col min="15" max="16" width="13.7265625" style="230" bestFit="1" customWidth="1"/>
    <col min="17" max="18" width="10.1796875" style="230"/>
    <col min="19" max="19" width="15.1796875" style="230" bestFit="1" customWidth="1"/>
    <col min="20" max="21" width="10.1796875" style="230"/>
    <col min="22" max="22" width="13.7265625" style="230" bestFit="1" customWidth="1"/>
    <col min="23" max="24" width="10.1796875" style="230"/>
    <col min="25" max="25" width="15.1796875" style="230" bestFit="1" customWidth="1"/>
    <col min="26" max="27" width="10.1796875" style="230"/>
    <col min="28" max="28" width="13.7265625" style="230" bestFit="1" customWidth="1"/>
    <col min="29" max="30" width="10.1796875" style="230"/>
    <col min="31" max="31" width="15.1796875" style="230" bestFit="1" customWidth="1"/>
    <col min="32" max="16384" width="10.1796875" style="230"/>
  </cols>
  <sheetData>
    <row r="1" spans="1:31" ht="25.5">
      <c r="A1" s="825" t="s">
        <v>722</v>
      </c>
      <c r="B1" s="826"/>
      <c r="C1" s="826"/>
      <c r="D1" s="826"/>
      <c r="E1" s="826"/>
      <c r="F1" s="826"/>
      <c r="G1" s="826"/>
      <c r="H1" s="826"/>
      <c r="I1" s="474"/>
      <c r="J1" s="474"/>
      <c r="K1" s="474"/>
      <c r="L1" s="474"/>
      <c r="M1" s="474"/>
      <c r="N1" s="474"/>
      <c r="O1" s="474"/>
      <c r="P1" s="474"/>
      <c r="Q1" s="474"/>
      <c r="R1" s="474"/>
      <c r="S1" s="474"/>
      <c r="T1" s="474"/>
    </row>
    <row r="2" spans="1:31" ht="16.5" customHeight="1">
      <c r="A2" s="475" t="s">
        <v>723</v>
      </c>
      <c r="B2" s="476">
        <f>SUM(C7:C37)</f>
        <v>119450.16290000001</v>
      </c>
      <c r="C2" s="475" t="s">
        <v>724</v>
      </c>
      <c r="D2" s="477">
        <f>B2/B54</f>
        <v>2.0050192204631901E-3</v>
      </c>
      <c r="E2" s="475" t="s">
        <v>725</v>
      </c>
      <c r="F2" s="476">
        <f>SUM(E7:E37)</f>
        <v>366692.43819999998</v>
      </c>
      <c r="G2" s="475" t="s">
        <v>726</v>
      </c>
      <c r="H2" s="478">
        <f>F2/B54</f>
        <v>6.1550806523806793E-3</v>
      </c>
      <c r="I2" s="474"/>
      <c r="J2" s="474"/>
      <c r="K2" s="474"/>
      <c r="L2" s="474"/>
      <c r="M2" s="474"/>
      <c r="N2" s="474"/>
      <c r="O2" s="474"/>
      <c r="P2" s="474"/>
      <c r="Q2" s="474"/>
      <c r="R2" s="474"/>
      <c r="S2" s="474"/>
      <c r="T2" s="474"/>
    </row>
    <row r="3" spans="1:31" ht="37.5" customHeight="1">
      <c r="A3" s="479" t="s">
        <v>727</v>
      </c>
      <c r="B3" s="479" t="s">
        <v>728</v>
      </c>
      <c r="C3" s="479" t="s">
        <v>729</v>
      </c>
      <c r="D3" s="479" t="s">
        <v>730</v>
      </c>
      <c r="E3" s="479" t="s">
        <v>731</v>
      </c>
      <c r="F3" s="479" t="s">
        <v>732</v>
      </c>
      <c r="G3" s="480" t="s">
        <v>733</v>
      </c>
      <c r="H3" s="480" t="s">
        <v>734</v>
      </c>
      <c r="I3" s="474"/>
      <c r="J3" s="481"/>
      <c r="K3" s="482"/>
      <c r="L3" s="481"/>
      <c r="M3" s="483"/>
      <c r="N3" s="481"/>
      <c r="O3" s="482"/>
      <c r="P3" s="484"/>
      <c r="Q3" s="474"/>
      <c r="R3" s="485"/>
      <c r="S3" s="484"/>
      <c r="T3" s="474"/>
      <c r="V3" s="354"/>
      <c r="Y3" s="354"/>
      <c r="AB3" s="354"/>
      <c r="AE3" s="354"/>
    </row>
    <row r="4" spans="1:31" ht="18">
      <c r="A4" s="486">
        <v>46140</v>
      </c>
      <c r="B4" s="487">
        <v>6434818.2699999996</v>
      </c>
      <c r="C4" s="488">
        <v>12869.442900000002</v>
      </c>
      <c r="D4" s="489">
        <f t="shared" ref="D4:D52" si="0">C4/B4</f>
        <v>1.9999699074640695E-3</v>
      </c>
      <c r="E4" s="488">
        <v>27506.072999999997</v>
      </c>
      <c r="F4" s="490">
        <f t="shared" ref="F4:F5" si="1">E4/B4</f>
        <v>4.2745687361890328E-3</v>
      </c>
      <c r="G4" s="827">
        <f>SUM(C4:C10)</f>
        <v>75350.5579</v>
      </c>
      <c r="H4" s="827">
        <f>SUM(E4:E10)</f>
        <v>201506.50119999994</v>
      </c>
      <c r="I4" s="474"/>
      <c r="J4" s="491"/>
      <c r="K4" s="491"/>
      <c r="L4" s="491"/>
      <c r="M4" s="492"/>
      <c r="N4" s="474"/>
      <c r="O4" s="474"/>
      <c r="P4" s="484"/>
      <c r="Q4" s="474"/>
      <c r="R4" s="485"/>
      <c r="S4" s="484"/>
      <c r="T4" s="474"/>
      <c r="V4" s="354"/>
      <c r="Y4" s="354"/>
      <c r="AB4" s="354"/>
      <c r="AE4" s="354"/>
    </row>
    <row r="5" spans="1:31" ht="18">
      <c r="A5" s="486">
        <f>A4+1</f>
        <v>46141</v>
      </c>
      <c r="B5" s="487">
        <v>5586966.5599999996</v>
      </c>
      <c r="C5" s="488">
        <v>11174.522699999996</v>
      </c>
      <c r="D5" s="489">
        <f t="shared" si="0"/>
        <v>2.0001055277481376E-3</v>
      </c>
      <c r="E5" s="488">
        <v>23373.221999999972</v>
      </c>
      <c r="F5" s="490">
        <f t="shared" si="1"/>
        <v>4.1835263821589754E-3</v>
      </c>
      <c r="G5" s="827"/>
      <c r="H5" s="827"/>
      <c r="I5" s="474"/>
      <c r="J5" s="491"/>
      <c r="K5" s="491"/>
      <c r="L5" s="491"/>
      <c r="M5" s="492"/>
      <c r="N5" s="474"/>
      <c r="O5" s="474"/>
      <c r="P5" s="484"/>
      <c r="Q5" s="474"/>
      <c r="R5" s="485"/>
      <c r="S5" s="484"/>
      <c r="T5" s="474"/>
      <c r="V5" s="354"/>
      <c r="Y5" s="354"/>
      <c r="AB5" s="354"/>
      <c r="AE5" s="354"/>
    </row>
    <row r="6" spans="1:31" ht="18">
      <c r="A6" s="486">
        <f t="shared" ref="A6:A52" si="2">A5+1</f>
        <v>46142</v>
      </c>
      <c r="B6" s="487">
        <v>4446498.88</v>
      </c>
      <c r="C6" s="488">
        <v>8891.139000000001</v>
      </c>
      <c r="D6" s="489">
        <f t="shared" si="0"/>
        <v>1.9995819722324996E-3</v>
      </c>
      <c r="E6" s="488">
        <v>18588.04359999999</v>
      </c>
      <c r="F6" s="490">
        <f>E6/B6</f>
        <v>4.1803774388896259E-3</v>
      </c>
      <c r="G6" s="827"/>
      <c r="H6" s="827"/>
      <c r="I6" s="474"/>
      <c r="J6" s="491"/>
      <c r="K6" s="491"/>
      <c r="L6" s="491"/>
      <c r="M6" s="492"/>
      <c r="N6" s="474"/>
      <c r="O6" s="474"/>
      <c r="P6" s="484"/>
      <c r="Q6" s="474"/>
      <c r="R6" s="485"/>
      <c r="S6" s="484"/>
      <c r="T6" s="474"/>
      <c r="V6" s="354"/>
      <c r="Y6" s="354"/>
      <c r="AB6" s="354"/>
      <c r="AE6" s="354"/>
    </row>
    <row r="7" spans="1:31" ht="17.5">
      <c r="A7" s="486">
        <f t="shared" si="2"/>
        <v>46143</v>
      </c>
      <c r="B7" s="487">
        <v>4128529.58</v>
      </c>
      <c r="C7" s="488">
        <v>8250.4066999999995</v>
      </c>
      <c r="D7" s="489">
        <f t="shared" si="0"/>
        <v>1.9983886611755846E-3</v>
      </c>
      <c r="E7" s="488">
        <v>26762.687600000001</v>
      </c>
      <c r="F7" s="490">
        <f>E7/B7</f>
        <v>6.4823775829650227E-3</v>
      </c>
      <c r="G7" s="827"/>
      <c r="H7" s="827"/>
      <c r="I7" s="474"/>
      <c r="J7" s="474"/>
      <c r="K7" s="474"/>
      <c r="L7" s="474"/>
      <c r="M7" s="474"/>
      <c r="N7" s="474"/>
      <c r="O7" s="474"/>
      <c r="P7" s="474"/>
      <c r="Q7" s="474"/>
      <c r="R7" s="474"/>
      <c r="S7" s="474"/>
      <c r="T7" s="474"/>
    </row>
    <row r="8" spans="1:31" ht="17.5">
      <c r="A8" s="486">
        <f t="shared" si="2"/>
        <v>46144</v>
      </c>
      <c r="B8" s="487">
        <v>4422738.33</v>
      </c>
      <c r="C8" s="488">
        <v>8863.4772999999986</v>
      </c>
      <c r="D8" s="489">
        <f t="shared" si="0"/>
        <v>2.004070021479204E-3</v>
      </c>
      <c r="E8" s="488">
        <v>28128.679200000013</v>
      </c>
      <c r="F8" s="490">
        <f t="shared" ref="F8:F52" si="3">E8/B8</f>
        <v>6.3600143398038229E-3</v>
      </c>
      <c r="G8" s="827"/>
      <c r="H8" s="827"/>
      <c r="I8" s="474"/>
      <c r="J8" s="474"/>
      <c r="K8" s="474"/>
      <c r="L8" s="474"/>
      <c r="M8" s="474"/>
      <c r="N8" s="474"/>
      <c r="O8" s="474"/>
      <c r="P8" s="474"/>
      <c r="Q8" s="474"/>
      <c r="R8" s="474"/>
      <c r="S8" s="474"/>
      <c r="T8" s="474"/>
    </row>
    <row r="9" spans="1:31" s="337" customFormat="1" ht="17.5">
      <c r="A9" s="486">
        <f t="shared" si="2"/>
        <v>46145</v>
      </c>
      <c r="B9" s="487">
        <v>6472238.8600000003</v>
      </c>
      <c r="C9" s="488">
        <v>12998.566500000001</v>
      </c>
      <c r="D9" s="489">
        <f t="shared" si="0"/>
        <v>2.0083570432380487E-3</v>
      </c>
      <c r="E9" s="488">
        <v>39638.562199999993</v>
      </c>
      <c r="F9" s="490">
        <f t="shared" si="3"/>
        <v>6.1243973001330158E-3</v>
      </c>
      <c r="G9" s="827"/>
      <c r="H9" s="827"/>
      <c r="I9" s="474"/>
      <c r="J9" s="474"/>
      <c r="K9" s="474"/>
      <c r="L9" s="474"/>
      <c r="M9" s="493"/>
      <c r="N9" s="493"/>
      <c r="O9" s="493"/>
      <c r="P9" s="493"/>
      <c r="Q9" s="493"/>
      <c r="R9" s="493"/>
      <c r="S9" s="493"/>
      <c r="T9" s="493"/>
    </row>
    <row r="10" spans="1:31" s="337" customFormat="1" ht="17.5">
      <c r="A10" s="486">
        <f t="shared" si="2"/>
        <v>46146</v>
      </c>
      <c r="B10" s="487">
        <v>6132490.6700000009</v>
      </c>
      <c r="C10" s="488">
        <v>12303.002800000002</v>
      </c>
      <c r="D10" s="489">
        <f t="shared" si="0"/>
        <v>2.0062000029100737E-3</v>
      </c>
      <c r="E10" s="488">
        <v>37509.23359999997</v>
      </c>
      <c r="F10" s="490">
        <f t="shared" si="3"/>
        <v>6.1164762603707259E-3</v>
      </c>
      <c r="G10" s="827"/>
      <c r="H10" s="827"/>
      <c r="I10" s="474"/>
      <c r="J10" s="474"/>
      <c r="K10" s="474"/>
      <c r="L10" s="474"/>
      <c r="M10" s="493"/>
      <c r="N10" s="493"/>
      <c r="O10" s="493"/>
      <c r="P10" s="493"/>
      <c r="Q10" s="493"/>
      <c r="R10" s="493"/>
      <c r="S10" s="493"/>
      <c r="T10" s="493"/>
    </row>
    <row r="11" spans="1:31" s="337" customFormat="1" ht="17.5">
      <c r="A11" s="494">
        <f t="shared" si="2"/>
        <v>46147</v>
      </c>
      <c r="B11" s="487">
        <v>5984383.9400000004</v>
      </c>
      <c r="C11" s="488">
        <v>11994.588200000002</v>
      </c>
      <c r="D11" s="489">
        <f t="shared" si="0"/>
        <v>2.0043146162176222E-3</v>
      </c>
      <c r="E11" s="488">
        <v>36062.868699999999</v>
      </c>
      <c r="F11" s="490">
        <f t="shared" si="3"/>
        <v>6.0261622685926792E-3</v>
      </c>
      <c r="G11" s="828">
        <f>SUM(C11:C17)</f>
        <v>77034.709600000002</v>
      </c>
      <c r="H11" s="828">
        <f>SUM(E11:E17)</f>
        <v>234653.27559999999</v>
      </c>
      <c r="I11" s="474"/>
      <c r="J11" s="474"/>
      <c r="K11" s="474"/>
      <c r="L11" s="474"/>
      <c r="M11" s="493"/>
      <c r="N11" s="493"/>
      <c r="O11" s="493"/>
      <c r="P11" s="493"/>
      <c r="Q11" s="493"/>
      <c r="R11" s="493"/>
      <c r="S11" s="493"/>
      <c r="T11" s="493"/>
    </row>
    <row r="12" spans="1:31" s="337" customFormat="1" ht="17.5">
      <c r="A12" s="494">
        <f t="shared" si="2"/>
        <v>46148</v>
      </c>
      <c r="B12" s="487">
        <v>5601506.8700000001</v>
      </c>
      <c r="C12" s="488">
        <v>11226.473800000003</v>
      </c>
      <c r="D12" s="489">
        <f t="shared" si="0"/>
        <v>2.0041881694594804E-3</v>
      </c>
      <c r="E12" s="488">
        <v>33764.994100000004</v>
      </c>
      <c r="F12" s="490">
        <f t="shared" si="3"/>
        <v>6.0278412369420163E-3</v>
      </c>
      <c r="G12" s="828"/>
      <c r="H12" s="828"/>
      <c r="I12" s="474"/>
      <c r="J12" s="474"/>
      <c r="K12" s="474"/>
      <c r="L12" s="474"/>
      <c r="M12" s="493"/>
      <c r="N12" s="493"/>
      <c r="O12" s="493"/>
      <c r="P12" s="493"/>
      <c r="Q12" s="493"/>
      <c r="R12" s="493"/>
      <c r="S12" s="493"/>
      <c r="T12" s="493"/>
    </row>
    <row r="13" spans="1:31" s="337" customFormat="1" ht="17.5">
      <c r="A13" s="494">
        <f>A12+1</f>
        <v>46149</v>
      </c>
      <c r="B13" s="487">
        <v>5146313.3899999987</v>
      </c>
      <c r="C13" s="488">
        <v>10313.073699999999</v>
      </c>
      <c r="D13" s="489">
        <f t="shared" si="0"/>
        <v>2.0039731198725156E-3</v>
      </c>
      <c r="E13" s="488">
        <v>31917.384500000007</v>
      </c>
      <c r="F13" s="490">
        <f t="shared" si="3"/>
        <v>6.2019900618605767E-3</v>
      </c>
      <c r="G13" s="828"/>
      <c r="H13" s="828"/>
      <c r="I13" s="474"/>
      <c r="J13" s="474"/>
      <c r="K13" s="474"/>
      <c r="L13" s="474"/>
      <c r="M13" s="493"/>
      <c r="N13" s="493"/>
      <c r="O13" s="493"/>
      <c r="P13" s="493"/>
      <c r="Q13" s="493"/>
      <c r="R13" s="493"/>
      <c r="S13" s="493"/>
      <c r="T13" s="493"/>
    </row>
    <row r="14" spans="1:31" s="337" customFormat="1" ht="17.5">
      <c r="A14" s="494">
        <f t="shared" si="2"/>
        <v>46150</v>
      </c>
      <c r="B14" s="487">
        <v>4462931.74</v>
      </c>
      <c r="C14" s="488">
        <v>8927.295500000002</v>
      </c>
      <c r="D14" s="489">
        <f t="shared" si="0"/>
        <v>2.0003208697966781E-3</v>
      </c>
      <c r="E14" s="488">
        <v>27135.552999999967</v>
      </c>
      <c r="F14" s="490">
        <f t="shared" si="3"/>
        <v>6.0802079397252818E-3</v>
      </c>
      <c r="G14" s="828"/>
      <c r="H14" s="828"/>
      <c r="I14" s="474"/>
      <c r="J14" s="474"/>
      <c r="K14" s="474"/>
      <c r="L14" s="474"/>
      <c r="M14" s="493"/>
      <c r="N14" s="493"/>
      <c r="O14" s="493"/>
      <c r="P14" s="493"/>
      <c r="Q14" s="493"/>
      <c r="R14" s="493"/>
      <c r="S14" s="493"/>
      <c r="T14" s="493"/>
    </row>
    <row r="15" spans="1:31" s="337" customFormat="1" ht="17.5">
      <c r="A15" s="494">
        <f t="shared" si="2"/>
        <v>46151</v>
      </c>
      <c r="B15" s="487">
        <v>4779377.7499999991</v>
      </c>
      <c r="C15" s="488">
        <v>9558.0511999999981</v>
      </c>
      <c r="D15" s="489">
        <f t="shared" si="0"/>
        <v>1.9998526377204649E-3</v>
      </c>
      <c r="E15" s="488">
        <v>29202.252100000012</v>
      </c>
      <c r="F15" s="490">
        <f t="shared" si="3"/>
        <v>6.1100531549321494E-3</v>
      </c>
      <c r="G15" s="828"/>
      <c r="H15" s="828"/>
      <c r="I15" s="474"/>
      <c r="J15" s="474"/>
      <c r="K15" s="474"/>
      <c r="L15" s="474"/>
      <c r="M15" s="493"/>
      <c r="N15" s="493"/>
      <c r="O15" s="493"/>
      <c r="P15" s="493"/>
      <c r="Q15" s="493"/>
      <c r="R15" s="493"/>
      <c r="S15" s="493"/>
      <c r="T15" s="493"/>
    </row>
    <row r="16" spans="1:31" s="337" customFormat="1" ht="17.5">
      <c r="A16" s="494">
        <f t="shared" si="2"/>
        <v>46152</v>
      </c>
      <c r="B16" s="487">
        <v>6245830.3399999999</v>
      </c>
      <c r="C16" s="488">
        <v>12541.243699999997</v>
      </c>
      <c r="D16" s="489">
        <f t="shared" si="0"/>
        <v>2.0079385793883089E-3</v>
      </c>
      <c r="E16" s="488">
        <v>38422.183799999963</v>
      </c>
      <c r="F16" s="490">
        <f t="shared" si="3"/>
        <v>6.1516534565362472E-3</v>
      </c>
      <c r="G16" s="828"/>
      <c r="H16" s="828"/>
      <c r="I16" s="474"/>
      <c r="J16" s="474"/>
      <c r="K16" s="474"/>
      <c r="L16" s="474"/>
      <c r="M16" s="493"/>
      <c r="N16" s="493"/>
      <c r="O16" s="493"/>
      <c r="P16" s="493"/>
      <c r="Q16" s="493"/>
      <c r="R16" s="493"/>
      <c r="S16" s="493"/>
      <c r="T16" s="493"/>
    </row>
    <row r="17" spans="1:20" s="337" customFormat="1" ht="17.5">
      <c r="A17" s="494">
        <f t="shared" si="2"/>
        <v>46153</v>
      </c>
      <c r="B17" s="487">
        <v>6199228.5199999996</v>
      </c>
      <c r="C17" s="488">
        <v>12473.983500000002</v>
      </c>
      <c r="D17" s="489">
        <f t="shared" si="0"/>
        <v>2.0121832030802443E-3</v>
      </c>
      <c r="E17" s="488">
        <v>38148.039400000038</v>
      </c>
      <c r="F17" s="490">
        <f t="shared" si="3"/>
        <v>6.1536752963576892E-3</v>
      </c>
      <c r="G17" s="828"/>
      <c r="H17" s="828"/>
      <c r="I17" s="474"/>
      <c r="J17" s="474"/>
      <c r="K17" s="474"/>
      <c r="L17" s="474"/>
      <c r="M17" s="493"/>
      <c r="N17" s="493"/>
      <c r="O17" s="493"/>
      <c r="P17" s="493"/>
      <c r="Q17" s="493"/>
      <c r="R17" s="493"/>
      <c r="S17" s="493"/>
      <c r="T17" s="493"/>
    </row>
    <row r="18" spans="1:20" s="337" customFormat="1" ht="17.5">
      <c r="A18" s="486">
        <f t="shared" si="2"/>
        <v>46154</v>
      </c>
      <c r="B18" s="487"/>
      <c r="C18" s="488"/>
      <c r="D18" s="489" t="e">
        <f t="shared" si="0"/>
        <v>#DIV/0!</v>
      </c>
      <c r="E18" s="488"/>
      <c r="F18" s="490" t="e">
        <f t="shared" si="3"/>
        <v>#DIV/0!</v>
      </c>
      <c r="G18" s="827">
        <f>SUM(C18:C24)</f>
        <v>0</v>
      </c>
      <c r="H18" s="827">
        <f>SUM(E18:E24)</f>
        <v>0</v>
      </c>
      <c r="I18" s="474"/>
      <c r="J18" s="474"/>
      <c r="K18" s="474"/>
      <c r="L18" s="474"/>
      <c r="M18" s="493"/>
      <c r="N18" s="493"/>
      <c r="O18" s="493"/>
      <c r="P18" s="493"/>
      <c r="Q18" s="493"/>
      <c r="R18" s="493"/>
      <c r="S18" s="493"/>
      <c r="T18" s="493"/>
    </row>
    <row r="19" spans="1:20" s="337" customFormat="1" ht="17.5">
      <c r="A19" s="486">
        <f t="shared" si="2"/>
        <v>46155</v>
      </c>
      <c r="B19" s="487"/>
      <c r="C19" s="488"/>
      <c r="D19" s="489" t="e">
        <f t="shared" si="0"/>
        <v>#DIV/0!</v>
      </c>
      <c r="E19" s="488"/>
      <c r="F19" s="490" t="e">
        <f t="shared" si="3"/>
        <v>#DIV/0!</v>
      </c>
      <c r="G19" s="827"/>
      <c r="H19" s="827"/>
      <c r="I19" s="474"/>
      <c r="J19" s="474"/>
      <c r="K19" s="474"/>
      <c r="L19" s="474"/>
      <c r="M19" s="493"/>
      <c r="N19" s="493"/>
      <c r="O19" s="493"/>
      <c r="P19" s="493"/>
      <c r="Q19" s="493"/>
      <c r="R19" s="493"/>
      <c r="S19" s="493"/>
      <c r="T19" s="493"/>
    </row>
    <row r="20" spans="1:20" s="337" customFormat="1" ht="17.5">
      <c r="A20" s="486">
        <f t="shared" si="2"/>
        <v>46156</v>
      </c>
      <c r="B20" s="487"/>
      <c r="C20" s="488"/>
      <c r="D20" s="489" t="e">
        <f t="shared" si="0"/>
        <v>#DIV/0!</v>
      </c>
      <c r="E20" s="488"/>
      <c r="F20" s="490" t="e">
        <f t="shared" si="3"/>
        <v>#DIV/0!</v>
      </c>
      <c r="G20" s="827"/>
      <c r="H20" s="827"/>
      <c r="I20" s="474"/>
      <c r="J20" s="474"/>
      <c r="K20" s="474"/>
      <c r="L20" s="474"/>
      <c r="M20" s="495"/>
      <c r="N20" s="493"/>
      <c r="O20" s="493"/>
      <c r="P20" s="493"/>
      <c r="Q20" s="493"/>
      <c r="R20" s="493"/>
      <c r="S20" s="493"/>
      <c r="T20" s="493"/>
    </row>
    <row r="21" spans="1:20" s="337" customFormat="1" ht="17.5">
      <c r="A21" s="486">
        <f t="shared" si="2"/>
        <v>46157</v>
      </c>
      <c r="B21" s="487"/>
      <c r="C21" s="488"/>
      <c r="D21" s="489" t="e">
        <f t="shared" si="0"/>
        <v>#DIV/0!</v>
      </c>
      <c r="E21" s="488"/>
      <c r="F21" s="490" t="e">
        <f t="shared" si="3"/>
        <v>#DIV/0!</v>
      </c>
      <c r="G21" s="827"/>
      <c r="H21" s="827"/>
      <c r="I21" s="474"/>
      <c r="J21" s="474"/>
      <c r="K21" s="474"/>
      <c r="L21" s="474"/>
      <c r="M21" s="493"/>
      <c r="N21" s="493"/>
      <c r="O21" s="493"/>
      <c r="P21" s="493"/>
      <c r="Q21" s="493"/>
      <c r="R21" s="493"/>
      <c r="S21" s="493"/>
      <c r="T21" s="493"/>
    </row>
    <row r="22" spans="1:20" s="337" customFormat="1" ht="17.5">
      <c r="A22" s="486">
        <f t="shared" si="2"/>
        <v>46158</v>
      </c>
      <c r="B22" s="487"/>
      <c r="C22" s="488"/>
      <c r="D22" s="489" t="e">
        <f t="shared" si="0"/>
        <v>#DIV/0!</v>
      </c>
      <c r="E22" s="488"/>
      <c r="F22" s="490" t="e">
        <f t="shared" si="3"/>
        <v>#DIV/0!</v>
      </c>
      <c r="G22" s="827"/>
      <c r="H22" s="827"/>
      <c r="I22" s="474"/>
      <c r="J22" s="474"/>
      <c r="K22" s="474"/>
      <c r="L22" s="474"/>
      <c r="M22" s="493"/>
      <c r="N22" s="493"/>
      <c r="O22" s="493"/>
      <c r="P22" s="493"/>
      <c r="Q22" s="493"/>
      <c r="R22" s="493"/>
      <c r="S22" s="493"/>
      <c r="T22" s="493"/>
    </row>
    <row r="23" spans="1:20" s="337" customFormat="1" ht="17.5">
      <c r="A23" s="486">
        <f t="shared" si="2"/>
        <v>46159</v>
      </c>
      <c r="B23" s="487"/>
      <c r="C23" s="488"/>
      <c r="D23" s="489" t="e">
        <f t="shared" si="0"/>
        <v>#DIV/0!</v>
      </c>
      <c r="E23" s="488"/>
      <c r="F23" s="490" t="e">
        <f t="shared" si="3"/>
        <v>#DIV/0!</v>
      </c>
      <c r="G23" s="827"/>
      <c r="H23" s="827"/>
      <c r="I23" s="474"/>
      <c r="J23" s="474"/>
      <c r="K23" s="474"/>
      <c r="L23" s="474"/>
      <c r="M23" s="493"/>
      <c r="N23" s="493"/>
      <c r="O23" s="493"/>
      <c r="P23" s="493"/>
      <c r="Q23" s="493"/>
      <c r="R23" s="493"/>
      <c r="S23" s="493"/>
      <c r="T23" s="493"/>
    </row>
    <row r="24" spans="1:20" s="337" customFormat="1" ht="17.5">
      <c r="A24" s="486">
        <f t="shared" si="2"/>
        <v>46160</v>
      </c>
      <c r="B24" s="487"/>
      <c r="C24" s="488"/>
      <c r="D24" s="489" t="e">
        <f t="shared" si="0"/>
        <v>#DIV/0!</v>
      </c>
      <c r="E24" s="488"/>
      <c r="F24" s="490" t="e">
        <f t="shared" si="3"/>
        <v>#DIV/0!</v>
      </c>
      <c r="G24" s="827"/>
      <c r="H24" s="827"/>
      <c r="I24" s="474"/>
      <c r="J24" s="474"/>
      <c r="K24" s="474"/>
      <c r="L24" s="474"/>
      <c r="M24" s="493"/>
      <c r="N24" s="493"/>
      <c r="O24" s="493"/>
      <c r="P24" s="493"/>
      <c r="Q24" s="493"/>
      <c r="R24" s="493"/>
      <c r="S24" s="493"/>
      <c r="T24" s="493"/>
    </row>
    <row r="25" spans="1:20" s="337" customFormat="1" ht="17.5">
      <c r="A25" s="494">
        <f t="shared" si="2"/>
        <v>46161</v>
      </c>
      <c r="B25" s="487"/>
      <c r="C25" s="488"/>
      <c r="D25" s="489" t="e">
        <f t="shared" si="0"/>
        <v>#DIV/0!</v>
      </c>
      <c r="E25" s="488"/>
      <c r="F25" s="490" t="e">
        <f t="shared" si="3"/>
        <v>#DIV/0!</v>
      </c>
      <c r="G25" s="828">
        <f>SUM(C25:C31)</f>
        <v>0</v>
      </c>
      <c r="H25" s="828">
        <f>SUM(E25:E31)</f>
        <v>0</v>
      </c>
      <c r="I25" s="474"/>
      <c r="J25" s="474"/>
      <c r="K25" s="474"/>
      <c r="L25" s="474"/>
      <c r="M25" s="493"/>
      <c r="N25" s="493"/>
      <c r="O25" s="493"/>
      <c r="P25" s="493"/>
      <c r="Q25" s="493"/>
      <c r="R25" s="493"/>
      <c r="S25" s="493"/>
      <c r="T25" s="493"/>
    </row>
    <row r="26" spans="1:20" s="337" customFormat="1" ht="17.5">
      <c r="A26" s="494">
        <f t="shared" si="2"/>
        <v>46162</v>
      </c>
      <c r="B26" s="487"/>
      <c r="C26" s="488"/>
      <c r="D26" s="489" t="e">
        <f t="shared" si="0"/>
        <v>#DIV/0!</v>
      </c>
      <c r="E26" s="488"/>
      <c r="F26" s="490" t="e">
        <f t="shared" si="3"/>
        <v>#DIV/0!</v>
      </c>
      <c r="G26" s="828"/>
      <c r="H26" s="828"/>
      <c r="I26" s="474"/>
      <c r="J26" s="474"/>
      <c r="K26" s="474"/>
      <c r="L26" s="474"/>
      <c r="M26" s="493"/>
      <c r="N26" s="493"/>
      <c r="O26" s="493"/>
      <c r="P26" s="493"/>
      <c r="Q26" s="493"/>
      <c r="R26" s="493"/>
      <c r="S26" s="493"/>
      <c r="T26" s="493"/>
    </row>
    <row r="27" spans="1:20" s="337" customFormat="1" ht="17.5">
      <c r="A27" s="494">
        <f t="shared" si="2"/>
        <v>46163</v>
      </c>
      <c r="B27" s="487"/>
      <c r="C27" s="488"/>
      <c r="D27" s="489" t="e">
        <f t="shared" si="0"/>
        <v>#DIV/0!</v>
      </c>
      <c r="E27" s="488"/>
      <c r="F27" s="490" t="e">
        <f t="shared" si="3"/>
        <v>#DIV/0!</v>
      </c>
      <c r="G27" s="828"/>
      <c r="H27" s="828"/>
      <c r="I27" s="474"/>
      <c r="J27" s="474"/>
      <c r="K27" s="474"/>
      <c r="L27" s="474"/>
      <c r="M27" s="493"/>
      <c r="N27" s="493"/>
      <c r="O27" s="493"/>
      <c r="P27" s="493"/>
      <c r="Q27" s="493"/>
      <c r="R27" s="493"/>
      <c r="S27" s="493"/>
      <c r="T27" s="493"/>
    </row>
    <row r="28" spans="1:20" s="337" customFormat="1" ht="17.5">
      <c r="A28" s="494">
        <f t="shared" si="2"/>
        <v>46164</v>
      </c>
      <c r="B28" s="487"/>
      <c r="C28" s="488"/>
      <c r="D28" s="489" t="e">
        <f t="shared" si="0"/>
        <v>#DIV/0!</v>
      </c>
      <c r="E28" s="488"/>
      <c r="F28" s="490" t="e">
        <f t="shared" si="3"/>
        <v>#DIV/0!</v>
      </c>
      <c r="G28" s="828"/>
      <c r="H28" s="828"/>
      <c r="I28" s="474"/>
      <c r="J28" s="474"/>
      <c r="K28" s="474"/>
      <c r="L28" s="474"/>
      <c r="M28" s="493"/>
      <c r="N28" s="493"/>
      <c r="O28" s="493"/>
      <c r="P28" s="493"/>
      <c r="Q28" s="493"/>
      <c r="R28" s="493"/>
      <c r="S28" s="493"/>
      <c r="T28" s="493"/>
    </row>
    <row r="29" spans="1:20" s="337" customFormat="1" ht="17.5">
      <c r="A29" s="494">
        <f t="shared" si="2"/>
        <v>46165</v>
      </c>
      <c r="B29" s="487"/>
      <c r="C29" s="488"/>
      <c r="D29" s="489" t="e">
        <f t="shared" si="0"/>
        <v>#DIV/0!</v>
      </c>
      <c r="E29" s="488"/>
      <c r="F29" s="490" t="e">
        <f t="shared" si="3"/>
        <v>#DIV/0!</v>
      </c>
      <c r="G29" s="828"/>
      <c r="H29" s="828"/>
      <c r="I29" s="474"/>
      <c r="J29" s="474"/>
      <c r="K29" s="474"/>
      <c r="L29" s="474"/>
      <c r="M29" s="493"/>
      <c r="N29" s="493"/>
      <c r="O29" s="493"/>
      <c r="P29" s="493"/>
      <c r="Q29" s="493"/>
      <c r="R29" s="493"/>
      <c r="S29" s="493"/>
      <c r="T29" s="493"/>
    </row>
    <row r="30" spans="1:20" s="337" customFormat="1" ht="17.5">
      <c r="A30" s="494">
        <f t="shared" si="2"/>
        <v>46166</v>
      </c>
      <c r="B30" s="487"/>
      <c r="C30" s="488"/>
      <c r="D30" s="489" t="e">
        <f t="shared" si="0"/>
        <v>#DIV/0!</v>
      </c>
      <c r="E30" s="488"/>
      <c r="F30" s="490" t="e">
        <f t="shared" si="3"/>
        <v>#DIV/0!</v>
      </c>
      <c r="G30" s="828"/>
      <c r="H30" s="828"/>
      <c r="I30" s="474"/>
      <c r="J30" s="474"/>
      <c r="K30" s="474"/>
      <c r="L30" s="474"/>
      <c r="M30" s="493"/>
      <c r="N30" s="493"/>
      <c r="O30" s="493"/>
      <c r="P30" s="493"/>
      <c r="Q30" s="493"/>
      <c r="R30" s="493"/>
      <c r="S30" s="493"/>
      <c r="T30" s="493"/>
    </row>
    <row r="31" spans="1:20" s="337" customFormat="1" ht="17.5">
      <c r="A31" s="494">
        <f t="shared" si="2"/>
        <v>46167</v>
      </c>
      <c r="B31" s="487"/>
      <c r="C31" s="488"/>
      <c r="D31" s="489" t="e">
        <f t="shared" si="0"/>
        <v>#DIV/0!</v>
      </c>
      <c r="E31" s="488"/>
      <c r="F31" s="490" t="e">
        <f t="shared" si="3"/>
        <v>#DIV/0!</v>
      </c>
      <c r="G31" s="828"/>
      <c r="H31" s="828"/>
      <c r="I31" s="474"/>
      <c r="J31" s="474"/>
      <c r="K31" s="474"/>
      <c r="L31" s="474"/>
      <c r="M31" s="493"/>
      <c r="N31" s="493"/>
      <c r="O31" s="493"/>
      <c r="P31" s="493"/>
      <c r="Q31" s="493"/>
      <c r="R31" s="493"/>
      <c r="S31" s="493"/>
      <c r="T31" s="493"/>
    </row>
    <row r="32" spans="1:20" s="337" customFormat="1" ht="17.5">
      <c r="A32" s="486">
        <f t="shared" si="2"/>
        <v>46168</v>
      </c>
      <c r="B32" s="487"/>
      <c r="C32" s="488"/>
      <c r="D32" s="489" t="e">
        <f t="shared" si="0"/>
        <v>#DIV/0!</v>
      </c>
      <c r="E32" s="488"/>
      <c r="F32" s="490" t="e">
        <f t="shared" si="3"/>
        <v>#DIV/0!</v>
      </c>
      <c r="G32" s="827">
        <f>SUM(C32:C38)</f>
        <v>0</v>
      </c>
      <c r="H32" s="827">
        <f>SUM(E32:E38)</f>
        <v>0</v>
      </c>
      <c r="I32" s="474"/>
      <c r="J32" s="474"/>
      <c r="K32" s="474"/>
      <c r="L32" s="474"/>
      <c r="M32" s="493"/>
      <c r="N32" s="493"/>
      <c r="O32" s="493"/>
      <c r="P32" s="493"/>
      <c r="Q32" s="493"/>
      <c r="R32" s="493"/>
      <c r="S32" s="493"/>
      <c r="T32" s="493"/>
    </row>
    <row r="33" spans="1:20" s="337" customFormat="1" ht="17.5">
      <c r="A33" s="486">
        <f t="shared" si="2"/>
        <v>46169</v>
      </c>
      <c r="B33" s="487"/>
      <c r="C33" s="488"/>
      <c r="D33" s="489" t="e">
        <f t="shared" si="0"/>
        <v>#DIV/0!</v>
      </c>
      <c r="E33" s="488"/>
      <c r="F33" s="490" t="e">
        <f t="shared" si="3"/>
        <v>#DIV/0!</v>
      </c>
      <c r="G33" s="827"/>
      <c r="H33" s="827"/>
      <c r="I33" s="474"/>
      <c r="J33" s="474"/>
      <c r="K33" s="474"/>
      <c r="L33" s="474"/>
      <c r="M33" s="493"/>
      <c r="N33" s="493"/>
      <c r="O33" s="493"/>
      <c r="P33" s="493"/>
      <c r="Q33" s="493"/>
      <c r="R33" s="493"/>
      <c r="S33" s="493"/>
      <c r="T33" s="493"/>
    </row>
    <row r="34" spans="1:20" s="337" customFormat="1" ht="17.5">
      <c r="A34" s="486">
        <f t="shared" si="2"/>
        <v>46170</v>
      </c>
      <c r="B34" s="487"/>
      <c r="C34" s="488"/>
      <c r="D34" s="489" t="e">
        <f t="shared" si="0"/>
        <v>#DIV/0!</v>
      </c>
      <c r="E34" s="488"/>
      <c r="F34" s="490" t="e">
        <f t="shared" si="3"/>
        <v>#DIV/0!</v>
      </c>
      <c r="G34" s="827"/>
      <c r="H34" s="827"/>
      <c r="I34" s="474"/>
      <c r="J34" s="474"/>
      <c r="K34" s="474"/>
      <c r="L34" s="474"/>
      <c r="M34" s="493"/>
      <c r="N34" s="493"/>
      <c r="O34" s="493"/>
      <c r="P34" s="493"/>
      <c r="Q34" s="493"/>
      <c r="R34" s="493"/>
      <c r="S34" s="493"/>
      <c r="T34" s="493"/>
    </row>
    <row r="35" spans="1:20" s="337" customFormat="1" ht="17.5">
      <c r="A35" s="486">
        <f t="shared" si="2"/>
        <v>46171</v>
      </c>
      <c r="B35" s="487"/>
      <c r="C35" s="488"/>
      <c r="D35" s="489" t="e">
        <f t="shared" si="0"/>
        <v>#DIV/0!</v>
      </c>
      <c r="E35" s="488"/>
      <c r="F35" s="490" t="e">
        <f t="shared" si="3"/>
        <v>#DIV/0!</v>
      </c>
      <c r="G35" s="827"/>
      <c r="H35" s="827"/>
      <c r="I35" s="474"/>
      <c r="J35" s="474"/>
      <c r="K35" s="474"/>
      <c r="L35" s="474"/>
      <c r="M35" s="493"/>
      <c r="N35" s="493"/>
      <c r="O35" s="493"/>
      <c r="P35" s="493"/>
      <c r="Q35" s="493"/>
      <c r="R35" s="493"/>
      <c r="S35" s="493"/>
      <c r="T35" s="493"/>
    </row>
    <row r="36" spans="1:20" s="337" customFormat="1" ht="17.5">
      <c r="A36" s="486">
        <f t="shared" si="2"/>
        <v>46172</v>
      </c>
      <c r="B36" s="487"/>
      <c r="C36" s="488"/>
      <c r="D36" s="489" t="e">
        <f t="shared" si="0"/>
        <v>#DIV/0!</v>
      </c>
      <c r="E36" s="488"/>
      <c r="F36" s="490" t="e">
        <f t="shared" si="3"/>
        <v>#DIV/0!</v>
      </c>
      <c r="G36" s="827"/>
      <c r="H36" s="827"/>
      <c r="I36" s="474"/>
      <c r="J36" s="474"/>
      <c r="K36" s="474"/>
      <c r="L36" s="474"/>
      <c r="M36" s="493"/>
      <c r="N36" s="493"/>
      <c r="O36" s="493"/>
      <c r="P36" s="493"/>
      <c r="Q36" s="493"/>
      <c r="R36" s="493"/>
      <c r="S36" s="493"/>
      <c r="T36" s="493"/>
    </row>
    <row r="37" spans="1:20" s="337" customFormat="1" ht="17.5">
      <c r="A37" s="486">
        <f t="shared" si="2"/>
        <v>46173</v>
      </c>
      <c r="B37" s="487"/>
      <c r="C37" s="488"/>
      <c r="D37" s="489" t="e">
        <f t="shared" si="0"/>
        <v>#DIV/0!</v>
      </c>
      <c r="E37" s="488"/>
      <c r="F37" s="490" t="e">
        <f t="shared" si="3"/>
        <v>#DIV/0!</v>
      </c>
      <c r="G37" s="827"/>
      <c r="H37" s="827"/>
      <c r="I37" s="474"/>
      <c r="J37" s="474"/>
      <c r="K37" s="474"/>
      <c r="L37" s="474"/>
      <c r="M37" s="493"/>
      <c r="N37" s="493"/>
      <c r="O37" s="493"/>
      <c r="P37" s="493"/>
      <c r="Q37" s="493"/>
      <c r="R37" s="493"/>
      <c r="S37" s="493"/>
      <c r="T37" s="493"/>
    </row>
    <row r="38" spans="1:20" s="337" customFormat="1" ht="17.5">
      <c r="A38" s="486">
        <f t="shared" si="2"/>
        <v>46174</v>
      </c>
      <c r="B38" s="487"/>
      <c r="C38" s="488"/>
      <c r="D38" s="489" t="e">
        <f t="shared" si="0"/>
        <v>#DIV/0!</v>
      </c>
      <c r="E38" s="488"/>
      <c r="F38" s="490" t="e">
        <f t="shared" si="3"/>
        <v>#DIV/0!</v>
      </c>
      <c r="G38" s="827"/>
      <c r="H38" s="827"/>
      <c r="I38" s="474"/>
      <c r="J38" s="474"/>
      <c r="K38" s="474"/>
      <c r="L38" s="474"/>
      <c r="M38" s="493"/>
      <c r="N38" s="493"/>
      <c r="O38" s="493"/>
      <c r="P38" s="493"/>
      <c r="Q38" s="493"/>
      <c r="R38" s="493"/>
      <c r="S38" s="493"/>
      <c r="T38" s="493"/>
    </row>
    <row r="39" spans="1:20" s="337" customFormat="1" ht="17.5">
      <c r="A39" s="494">
        <f t="shared" si="2"/>
        <v>46175</v>
      </c>
      <c r="B39" s="487"/>
      <c r="C39" s="488"/>
      <c r="D39" s="489" t="e">
        <f t="shared" si="0"/>
        <v>#DIV/0!</v>
      </c>
      <c r="E39" s="488"/>
      <c r="F39" s="490" t="e">
        <f t="shared" si="3"/>
        <v>#DIV/0!</v>
      </c>
      <c r="G39" s="828">
        <f>SUM(C39:C45)</f>
        <v>0</v>
      </c>
      <c r="H39" s="828">
        <f>SUM(E39:E45)</f>
        <v>0</v>
      </c>
      <c r="I39" s="474"/>
      <c r="J39" s="474"/>
      <c r="K39" s="474"/>
      <c r="L39" s="474"/>
      <c r="M39" s="493"/>
      <c r="N39" s="493"/>
      <c r="O39" s="493"/>
      <c r="P39" s="493"/>
      <c r="Q39" s="493"/>
      <c r="R39" s="493"/>
      <c r="S39" s="493"/>
      <c r="T39" s="493"/>
    </row>
    <row r="40" spans="1:20" s="337" customFormat="1" ht="17.5">
      <c r="A40" s="494">
        <f t="shared" si="2"/>
        <v>46176</v>
      </c>
      <c r="B40" s="487"/>
      <c r="C40" s="488"/>
      <c r="D40" s="489" t="e">
        <f t="shared" si="0"/>
        <v>#DIV/0!</v>
      </c>
      <c r="E40" s="488"/>
      <c r="F40" s="490" t="e">
        <f t="shared" si="3"/>
        <v>#DIV/0!</v>
      </c>
      <c r="G40" s="828"/>
      <c r="H40" s="828"/>
      <c r="I40" s="474"/>
      <c r="J40" s="474"/>
      <c r="K40" s="474"/>
      <c r="L40" s="474"/>
      <c r="M40" s="493"/>
      <c r="N40" s="493"/>
      <c r="O40" s="493"/>
      <c r="P40" s="493"/>
      <c r="Q40" s="493"/>
      <c r="R40" s="493"/>
      <c r="S40" s="493"/>
      <c r="T40" s="493"/>
    </row>
    <row r="41" spans="1:20" s="337" customFormat="1" ht="17.5">
      <c r="A41" s="494">
        <f t="shared" si="2"/>
        <v>46177</v>
      </c>
      <c r="B41" s="487"/>
      <c r="C41" s="488"/>
      <c r="D41" s="489" t="e">
        <f t="shared" si="0"/>
        <v>#DIV/0!</v>
      </c>
      <c r="E41" s="488"/>
      <c r="F41" s="490" t="e">
        <f t="shared" si="3"/>
        <v>#DIV/0!</v>
      </c>
      <c r="G41" s="828"/>
      <c r="H41" s="828"/>
      <c r="I41" s="474"/>
      <c r="J41" s="474"/>
      <c r="K41" s="474"/>
      <c r="L41" s="474"/>
      <c r="M41" s="493"/>
      <c r="N41" s="493"/>
      <c r="O41" s="493"/>
      <c r="P41" s="493"/>
      <c r="Q41" s="493"/>
      <c r="R41" s="493"/>
      <c r="S41" s="493"/>
      <c r="T41" s="493"/>
    </row>
    <row r="42" spans="1:20" s="337" customFormat="1" ht="17.5">
      <c r="A42" s="494">
        <f t="shared" si="2"/>
        <v>46178</v>
      </c>
      <c r="B42" s="487"/>
      <c r="C42" s="488"/>
      <c r="D42" s="489" t="e">
        <f t="shared" si="0"/>
        <v>#DIV/0!</v>
      </c>
      <c r="E42" s="488"/>
      <c r="F42" s="490" t="e">
        <f t="shared" si="3"/>
        <v>#DIV/0!</v>
      </c>
      <c r="G42" s="828"/>
      <c r="H42" s="828"/>
      <c r="I42" s="474"/>
      <c r="J42" s="474"/>
      <c r="K42" s="474"/>
      <c r="L42" s="474"/>
      <c r="M42" s="493"/>
      <c r="N42" s="493"/>
      <c r="O42" s="493"/>
      <c r="P42" s="493"/>
      <c r="Q42" s="493"/>
      <c r="R42" s="493"/>
      <c r="S42" s="493"/>
      <c r="T42" s="493"/>
    </row>
    <row r="43" spans="1:20" s="337" customFormat="1" ht="17.5">
      <c r="A43" s="494">
        <f t="shared" si="2"/>
        <v>46179</v>
      </c>
      <c r="B43" s="487"/>
      <c r="C43" s="488"/>
      <c r="D43" s="489" t="e">
        <f t="shared" si="0"/>
        <v>#DIV/0!</v>
      </c>
      <c r="E43" s="488"/>
      <c r="F43" s="490" t="e">
        <f t="shared" si="3"/>
        <v>#DIV/0!</v>
      </c>
      <c r="G43" s="828"/>
      <c r="H43" s="828"/>
      <c r="I43" s="474"/>
      <c r="J43" s="474"/>
      <c r="K43" s="474"/>
      <c r="L43" s="474"/>
      <c r="M43" s="493"/>
      <c r="N43" s="493"/>
      <c r="O43" s="493"/>
      <c r="P43" s="493"/>
      <c r="Q43" s="493"/>
      <c r="R43" s="493"/>
      <c r="S43" s="493"/>
      <c r="T43" s="493"/>
    </row>
    <row r="44" spans="1:20" s="337" customFormat="1" ht="17.5">
      <c r="A44" s="494">
        <f t="shared" si="2"/>
        <v>46180</v>
      </c>
      <c r="B44" s="487"/>
      <c r="C44" s="488"/>
      <c r="D44" s="489" t="e">
        <f t="shared" si="0"/>
        <v>#DIV/0!</v>
      </c>
      <c r="E44" s="488"/>
      <c r="F44" s="490" t="e">
        <f t="shared" si="3"/>
        <v>#DIV/0!</v>
      </c>
      <c r="G44" s="828"/>
      <c r="H44" s="828"/>
      <c r="I44" s="474"/>
      <c r="J44" s="474"/>
      <c r="K44" s="474"/>
      <c r="L44" s="474"/>
      <c r="M44" s="493"/>
      <c r="N44" s="493"/>
      <c r="O44" s="493"/>
      <c r="P44" s="493"/>
      <c r="Q44" s="493"/>
      <c r="R44" s="493"/>
      <c r="S44" s="493"/>
      <c r="T44" s="493"/>
    </row>
    <row r="45" spans="1:20" s="337" customFormat="1" ht="17.5">
      <c r="A45" s="494">
        <f t="shared" si="2"/>
        <v>46181</v>
      </c>
      <c r="B45" s="487"/>
      <c r="C45" s="488"/>
      <c r="D45" s="489" t="e">
        <f t="shared" si="0"/>
        <v>#DIV/0!</v>
      </c>
      <c r="E45" s="488"/>
      <c r="F45" s="490" t="e">
        <f t="shared" si="3"/>
        <v>#DIV/0!</v>
      </c>
      <c r="G45" s="828"/>
      <c r="H45" s="828"/>
      <c r="I45" s="474"/>
      <c r="J45" s="474"/>
      <c r="K45" s="474"/>
      <c r="L45" s="474"/>
      <c r="M45" s="493"/>
      <c r="N45" s="493"/>
      <c r="O45" s="493"/>
      <c r="P45" s="493"/>
      <c r="Q45" s="493"/>
      <c r="R45" s="493"/>
      <c r="S45" s="493"/>
      <c r="T45" s="493"/>
    </row>
    <row r="46" spans="1:20" s="337" customFormat="1" ht="17.5">
      <c r="A46" s="486">
        <f t="shared" si="2"/>
        <v>46182</v>
      </c>
      <c r="B46" s="487"/>
      <c r="C46" s="488"/>
      <c r="D46" s="489" t="e">
        <f t="shared" si="0"/>
        <v>#DIV/0!</v>
      </c>
      <c r="E46" s="488"/>
      <c r="F46" s="490" t="e">
        <f t="shared" si="3"/>
        <v>#DIV/0!</v>
      </c>
      <c r="G46" s="827">
        <f>SUM(C46:C52)</f>
        <v>0</v>
      </c>
      <c r="H46" s="827">
        <f>SUM(E46:E52)</f>
        <v>0</v>
      </c>
      <c r="I46" s="474"/>
      <c r="J46" s="474"/>
      <c r="K46" s="474"/>
      <c r="L46" s="474"/>
      <c r="M46" s="493"/>
      <c r="N46" s="493"/>
      <c r="O46" s="493"/>
      <c r="P46" s="493"/>
      <c r="Q46" s="493"/>
      <c r="R46" s="493"/>
      <c r="S46" s="493"/>
      <c r="T46" s="493"/>
    </row>
    <row r="47" spans="1:20" s="337" customFormat="1" ht="17.5">
      <c r="A47" s="486">
        <f t="shared" si="2"/>
        <v>46183</v>
      </c>
      <c r="B47" s="487"/>
      <c r="C47" s="488"/>
      <c r="D47" s="489" t="e">
        <f t="shared" si="0"/>
        <v>#DIV/0!</v>
      </c>
      <c r="E47" s="488"/>
      <c r="F47" s="490" t="e">
        <f t="shared" si="3"/>
        <v>#DIV/0!</v>
      </c>
      <c r="G47" s="827"/>
      <c r="H47" s="827"/>
      <c r="I47" s="474"/>
      <c r="J47" s="474"/>
      <c r="K47" s="474"/>
      <c r="L47" s="474"/>
      <c r="M47" s="493"/>
      <c r="N47" s="493"/>
      <c r="O47" s="493"/>
      <c r="P47" s="493"/>
      <c r="Q47" s="493"/>
      <c r="R47" s="493"/>
      <c r="S47" s="493"/>
      <c r="T47" s="493"/>
    </row>
    <row r="48" spans="1:20" s="337" customFormat="1" ht="17.5">
      <c r="A48" s="486">
        <f t="shared" si="2"/>
        <v>46184</v>
      </c>
      <c r="B48" s="487"/>
      <c r="C48" s="488"/>
      <c r="D48" s="489" t="e">
        <f t="shared" si="0"/>
        <v>#DIV/0!</v>
      </c>
      <c r="E48" s="488"/>
      <c r="F48" s="490" t="e">
        <f t="shared" si="3"/>
        <v>#DIV/0!</v>
      </c>
      <c r="G48" s="827"/>
      <c r="H48" s="827"/>
      <c r="I48" s="474"/>
      <c r="J48" s="474"/>
      <c r="K48" s="474"/>
      <c r="L48" s="474"/>
      <c r="M48" s="493"/>
      <c r="N48" s="493"/>
      <c r="O48" s="493"/>
      <c r="P48" s="493"/>
      <c r="Q48" s="493"/>
      <c r="R48" s="493"/>
      <c r="S48" s="493"/>
      <c r="T48" s="493"/>
    </row>
    <row r="49" spans="1:20" s="337" customFormat="1" ht="17.5">
      <c r="A49" s="486">
        <f t="shared" si="2"/>
        <v>46185</v>
      </c>
      <c r="B49" s="487"/>
      <c r="C49" s="488"/>
      <c r="D49" s="489" t="e">
        <f t="shared" si="0"/>
        <v>#DIV/0!</v>
      </c>
      <c r="E49" s="488"/>
      <c r="F49" s="490" t="e">
        <f t="shared" si="3"/>
        <v>#DIV/0!</v>
      </c>
      <c r="G49" s="827"/>
      <c r="H49" s="827"/>
      <c r="I49" s="474"/>
      <c r="J49" s="474"/>
      <c r="K49" s="474"/>
      <c r="L49" s="474"/>
      <c r="M49" s="493"/>
      <c r="N49" s="493"/>
      <c r="O49" s="493"/>
      <c r="P49" s="493"/>
      <c r="Q49" s="493"/>
      <c r="R49" s="493"/>
      <c r="S49" s="493"/>
      <c r="T49" s="493"/>
    </row>
    <row r="50" spans="1:20" s="337" customFormat="1" ht="17.5">
      <c r="A50" s="486">
        <f t="shared" si="2"/>
        <v>46186</v>
      </c>
      <c r="B50" s="487"/>
      <c r="C50" s="488"/>
      <c r="D50" s="489" t="e">
        <f t="shared" si="0"/>
        <v>#DIV/0!</v>
      </c>
      <c r="E50" s="488"/>
      <c r="F50" s="490" t="e">
        <f t="shared" si="3"/>
        <v>#DIV/0!</v>
      </c>
      <c r="G50" s="827"/>
      <c r="H50" s="827"/>
      <c r="I50" s="474"/>
      <c r="J50" s="474"/>
      <c r="K50" s="474"/>
      <c r="L50" s="474"/>
      <c r="M50" s="493"/>
      <c r="N50" s="493"/>
      <c r="O50" s="493"/>
      <c r="P50" s="493"/>
      <c r="Q50" s="493"/>
      <c r="R50" s="493"/>
      <c r="S50" s="493"/>
      <c r="T50" s="493"/>
    </row>
    <row r="51" spans="1:20" s="337" customFormat="1" ht="17.5">
      <c r="A51" s="486">
        <f t="shared" si="2"/>
        <v>46187</v>
      </c>
      <c r="B51" s="487"/>
      <c r="C51" s="488"/>
      <c r="D51" s="489" t="e">
        <f t="shared" si="0"/>
        <v>#DIV/0!</v>
      </c>
      <c r="E51" s="488"/>
      <c r="F51" s="490" t="e">
        <f t="shared" si="3"/>
        <v>#DIV/0!</v>
      </c>
      <c r="G51" s="827"/>
      <c r="H51" s="827"/>
      <c r="I51" s="474"/>
      <c r="J51" s="474"/>
      <c r="K51" s="474"/>
      <c r="L51" s="474"/>
      <c r="M51" s="493"/>
      <c r="N51" s="493"/>
      <c r="O51" s="493"/>
      <c r="P51" s="493"/>
      <c r="Q51" s="493"/>
      <c r="R51" s="493"/>
      <c r="S51" s="493"/>
      <c r="T51" s="493"/>
    </row>
    <row r="52" spans="1:20" s="337" customFormat="1" ht="17.5">
      <c r="A52" s="486">
        <f t="shared" si="2"/>
        <v>46188</v>
      </c>
      <c r="B52" s="487"/>
      <c r="C52" s="488"/>
      <c r="D52" s="489" t="e">
        <f t="shared" si="0"/>
        <v>#DIV/0!</v>
      </c>
      <c r="E52" s="488"/>
      <c r="F52" s="490" t="e">
        <f t="shared" si="3"/>
        <v>#DIV/0!</v>
      </c>
      <c r="G52" s="827"/>
      <c r="H52" s="827"/>
      <c r="I52" s="474"/>
      <c r="J52" s="474"/>
      <c r="K52" s="474"/>
      <c r="L52" s="474"/>
      <c r="M52" s="493"/>
      <c r="N52" s="493"/>
      <c r="O52" s="493"/>
      <c r="P52" s="493"/>
      <c r="Q52" s="493"/>
      <c r="R52" s="493"/>
      <c r="S52" s="493"/>
      <c r="T52" s="493"/>
    </row>
    <row r="53" spans="1:20" ht="17.5">
      <c r="A53" s="474"/>
      <c r="B53" s="474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</row>
    <row r="54" spans="1:20" ht="18">
      <c r="A54" s="496" t="s">
        <v>735</v>
      </c>
      <c r="B54" s="497">
        <f>SUM(B7:B37)</f>
        <v>59575569.989999995</v>
      </c>
      <c r="C54" s="474"/>
      <c r="D54" s="474"/>
      <c r="E54" s="474"/>
      <c r="F54" s="474"/>
      <c r="G54" s="474"/>
      <c r="H54" s="474"/>
      <c r="I54" s="474"/>
      <c r="J54" s="474"/>
      <c r="K54" s="474"/>
      <c r="L54" s="474"/>
      <c r="M54" s="474"/>
      <c r="N54" s="474"/>
      <c r="O54" s="474"/>
      <c r="P54" s="474"/>
      <c r="Q54" s="474"/>
      <c r="R54" s="474"/>
      <c r="S54" s="474"/>
      <c r="T54" s="474"/>
    </row>
    <row r="55" spans="1:20" ht="17.5">
      <c r="A55" s="474"/>
      <c r="B55" s="474"/>
      <c r="C55" s="474"/>
      <c r="D55" s="474"/>
      <c r="E55" s="474"/>
      <c r="F55" s="474"/>
      <c r="G55" s="474"/>
      <c r="H55" s="474"/>
      <c r="I55" s="474"/>
      <c r="J55" s="474"/>
      <c r="K55" s="474"/>
      <c r="L55" s="474"/>
      <c r="M55" s="474"/>
      <c r="N55" s="474"/>
      <c r="O55" s="474"/>
      <c r="P55" s="474"/>
      <c r="Q55" s="474"/>
      <c r="R55" s="474"/>
      <c r="S55" s="474"/>
      <c r="T55" s="474"/>
    </row>
  </sheetData>
  <mergeCells count="15">
    <mergeCell ref="G18:G24"/>
    <mergeCell ref="H18:H24"/>
    <mergeCell ref="G46:G52"/>
    <mergeCell ref="H46:H52"/>
    <mergeCell ref="G25:G31"/>
    <mergeCell ref="H25:H31"/>
    <mergeCell ref="G32:G38"/>
    <mergeCell ref="H32:H38"/>
    <mergeCell ref="G39:G45"/>
    <mergeCell ref="H39:H45"/>
    <mergeCell ref="A1:H1"/>
    <mergeCell ref="G4:G10"/>
    <mergeCell ref="H4:H10"/>
    <mergeCell ref="G11:G17"/>
    <mergeCell ref="H11:H17"/>
  </mergeCells>
  <phoneticPr fontId="13" type="noConversion"/>
  <conditionalFormatting sqref="A4:A52">
    <cfRule type="timePeriod" dxfId="2" priority="2" timePeriod="yesterday">
      <formula>FLOOR(A4,1)=TODAY()-1</formula>
    </cfRule>
  </conditionalFormatting>
  <conditionalFormatting sqref="D4:D52">
    <cfRule type="cellIs" dxfId="1" priority="1" operator="greaterThan">
      <formula>0.0025</formula>
    </cfRule>
  </conditionalFormatting>
  <conditionalFormatting sqref="D54">
    <cfRule type="cellIs" dxfId="0" priority="3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>
    <tabColor rgb="FF92D050"/>
    <pageSetUpPr fitToPage="1"/>
  </sheetPr>
  <dimension ref="B2:AJ168"/>
  <sheetViews>
    <sheetView zoomScale="70" zoomScaleNormal="70" workbookViewId="0">
      <pane xSplit="3" ySplit="2" topLeftCell="D15" activePane="bottomRight" state="frozen"/>
      <selection pane="topRight" activeCell="D1" sqref="D1"/>
      <selection pane="bottomLeft" activeCell="A4" sqref="A4"/>
      <selection pane="bottomRight" activeCell="P30" sqref="P30"/>
    </sheetView>
  </sheetViews>
  <sheetFormatPr defaultColWidth="8.81640625" defaultRowHeight="16"/>
  <cols>
    <col min="1" max="1" width="8.81640625" style="146"/>
    <col min="2" max="2" width="12.453125" style="146" customWidth="1"/>
    <col min="3" max="3" width="8.81640625" style="146"/>
    <col min="4" max="4" width="11.54296875" style="146" customWidth="1"/>
    <col min="5" max="5" width="39.26953125" style="146" bestFit="1" customWidth="1"/>
    <col min="6" max="6" width="11.453125" style="146" bestFit="1" customWidth="1"/>
    <col min="7" max="8" width="17.26953125" style="146" bestFit="1" customWidth="1"/>
    <col min="9" max="9" width="16.81640625" style="146" customWidth="1"/>
    <col min="10" max="10" width="14" style="146" customWidth="1"/>
    <col min="11" max="11" width="16.81640625" style="146" customWidth="1"/>
    <col min="12" max="12" width="14" style="146" customWidth="1"/>
    <col min="13" max="13" width="13.81640625" style="146" bestFit="1" customWidth="1"/>
    <col min="14" max="14" width="10.81640625" style="146" bestFit="1" customWidth="1"/>
    <col min="15" max="15" width="19.1796875" style="146" bestFit="1" customWidth="1"/>
    <col min="16" max="16" width="15.26953125" style="146" bestFit="1" customWidth="1"/>
    <col min="17" max="17" width="12.54296875" style="146" bestFit="1" customWidth="1"/>
    <col min="18" max="18" width="12.81640625" style="146" bestFit="1" customWidth="1"/>
    <col min="19" max="19" width="13.453125" style="146" bestFit="1" customWidth="1"/>
    <col min="20" max="20" width="12.81640625" style="146" bestFit="1" customWidth="1"/>
    <col min="21" max="21" width="10.81640625" style="146" bestFit="1" customWidth="1"/>
    <col min="22" max="22" width="12.453125" style="146" bestFit="1" customWidth="1"/>
    <col min="23" max="23" width="25.26953125" style="146" bestFit="1" customWidth="1"/>
    <col min="24" max="24" width="88.26953125" style="146" customWidth="1"/>
    <col min="25" max="25" width="117.7265625" style="146" bestFit="1" customWidth="1"/>
    <col min="26" max="26" width="11.54296875" style="146" bestFit="1" customWidth="1"/>
    <col min="27" max="27" width="69.54296875" style="146" bestFit="1" customWidth="1"/>
    <col min="28" max="28" width="11.453125" style="146" bestFit="1" customWidth="1"/>
    <col min="29" max="29" width="21.54296875" style="146" customWidth="1"/>
    <col min="30" max="30" width="19.453125" style="146" bestFit="1" customWidth="1"/>
    <col min="31" max="36" width="14.453125" style="146" customWidth="1"/>
    <col min="37" max="16384" width="8.81640625" style="146"/>
  </cols>
  <sheetData>
    <row r="2" spans="2:36" ht="41.15" customHeight="1">
      <c r="B2" s="867" t="s">
        <v>452</v>
      </c>
      <c r="C2" s="868"/>
      <c r="D2" s="868"/>
      <c r="E2" s="868"/>
      <c r="F2" s="868"/>
      <c r="G2" s="868"/>
      <c r="H2" s="868"/>
      <c r="I2" s="868"/>
      <c r="J2" s="868"/>
      <c r="K2" s="868"/>
      <c r="L2" s="868"/>
      <c r="M2" s="868"/>
      <c r="N2" s="868"/>
      <c r="O2" s="868"/>
      <c r="P2" s="868"/>
      <c r="Q2" s="868"/>
      <c r="R2" s="868"/>
      <c r="S2" s="868"/>
      <c r="T2" s="868"/>
      <c r="U2" s="868"/>
      <c r="V2" s="868"/>
      <c r="W2" s="868"/>
      <c r="X2" s="868"/>
      <c r="Y2" s="868"/>
      <c r="Z2" s="868"/>
      <c r="AA2" s="868"/>
      <c r="AC2" s="147"/>
      <c r="AD2" s="147"/>
    </row>
    <row r="3" spans="2:36" ht="17.149999999999999" customHeight="1">
      <c r="B3" s="886" t="s">
        <v>453</v>
      </c>
      <c r="C3" s="887"/>
      <c r="D3" s="888" t="s">
        <v>170</v>
      </c>
      <c r="E3" s="888"/>
      <c r="F3" s="888"/>
      <c r="G3" s="889" t="s">
        <v>184</v>
      </c>
      <c r="H3" s="890"/>
      <c r="I3" s="890"/>
      <c r="J3" s="890"/>
      <c r="K3" s="890"/>
      <c r="L3" s="890"/>
      <c r="M3" s="890"/>
      <c r="N3" s="890"/>
      <c r="O3" s="890"/>
      <c r="P3" s="890"/>
      <c r="Q3" s="890"/>
      <c r="R3" s="890"/>
      <c r="S3" s="890"/>
      <c r="T3" s="890"/>
      <c r="U3" s="891"/>
      <c r="V3" s="843" t="s">
        <v>171</v>
      </c>
      <c r="W3" s="843" t="s">
        <v>245</v>
      </c>
      <c r="X3" s="872" t="s">
        <v>454</v>
      </c>
      <c r="Y3" s="872" t="s">
        <v>455</v>
      </c>
      <c r="Z3" s="843" t="s">
        <v>246</v>
      </c>
      <c r="AA3" s="829" t="s">
        <v>172</v>
      </c>
      <c r="AC3" s="877" t="s">
        <v>247</v>
      </c>
      <c r="AD3" s="878"/>
      <c r="AE3" s="878"/>
      <c r="AF3" s="878"/>
      <c r="AG3" s="878"/>
      <c r="AH3" s="878"/>
      <c r="AI3" s="878"/>
      <c r="AJ3" s="879"/>
    </row>
    <row r="4" spans="2:36" ht="17.149999999999999" customHeight="1">
      <c r="B4" s="845"/>
      <c r="C4" s="846"/>
      <c r="D4" s="849" t="s">
        <v>169</v>
      </c>
      <c r="E4" s="888" t="s">
        <v>173</v>
      </c>
      <c r="F4" s="888"/>
      <c r="G4" s="889" t="s">
        <v>185</v>
      </c>
      <c r="H4" s="890"/>
      <c r="I4" s="890"/>
      <c r="J4" s="890"/>
      <c r="K4" s="890"/>
      <c r="L4" s="890"/>
      <c r="M4" s="890"/>
      <c r="N4" s="890"/>
      <c r="O4" s="890"/>
      <c r="P4" s="891"/>
      <c r="Q4" s="889" t="s">
        <v>174</v>
      </c>
      <c r="R4" s="890"/>
      <c r="S4" s="890"/>
      <c r="T4" s="890"/>
      <c r="U4" s="891"/>
      <c r="V4" s="875"/>
      <c r="W4" s="875"/>
      <c r="X4" s="873"/>
      <c r="Y4" s="873"/>
      <c r="Z4" s="875"/>
      <c r="AA4" s="876"/>
      <c r="AC4" s="880"/>
      <c r="AD4" s="881"/>
      <c r="AE4" s="881"/>
      <c r="AF4" s="881"/>
      <c r="AG4" s="881"/>
      <c r="AH4" s="881"/>
      <c r="AI4" s="881"/>
      <c r="AJ4" s="882"/>
    </row>
    <row r="5" spans="2:36" ht="17.149999999999999" customHeight="1">
      <c r="B5" s="845"/>
      <c r="C5" s="846"/>
      <c r="D5" s="849"/>
      <c r="E5" s="849" t="s">
        <v>175</v>
      </c>
      <c r="F5" s="851" t="s">
        <v>248</v>
      </c>
      <c r="G5" s="869" t="s">
        <v>186</v>
      </c>
      <c r="H5" s="870"/>
      <c r="I5" s="870"/>
      <c r="J5" s="870"/>
      <c r="K5" s="870"/>
      <c r="L5" s="870"/>
      <c r="M5" s="870"/>
      <c r="N5" s="870"/>
      <c r="O5" s="870"/>
      <c r="P5" s="871"/>
      <c r="Q5" s="869" t="s">
        <v>168</v>
      </c>
      <c r="R5" s="871"/>
      <c r="S5" s="869" t="s">
        <v>176</v>
      </c>
      <c r="T5" s="870"/>
      <c r="U5" s="871"/>
      <c r="V5" s="875"/>
      <c r="W5" s="875"/>
      <c r="X5" s="873"/>
      <c r="Y5" s="873"/>
      <c r="Z5" s="875"/>
      <c r="AA5" s="876"/>
      <c r="AC5" s="883"/>
      <c r="AD5" s="884"/>
      <c r="AE5" s="884"/>
      <c r="AF5" s="884"/>
      <c r="AG5" s="884"/>
      <c r="AH5" s="884"/>
      <c r="AI5" s="884"/>
      <c r="AJ5" s="885"/>
    </row>
    <row r="6" spans="2:36" ht="38.5" customHeight="1">
      <c r="B6" s="847"/>
      <c r="C6" s="848"/>
      <c r="D6" s="849"/>
      <c r="E6" s="849"/>
      <c r="F6" s="851"/>
      <c r="G6" s="369" t="s">
        <v>177</v>
      </c>
      <c r="H6" s="369" t="s">
        <v>252</v>
      </c>
      <c r="I6" s="463" t="s">
        <v>713</v>
      </c>
      <c r="J6" s="369" t="s">
        <v>714</v>
      </c>
      <c r="K6" s="369" t="s">
        <v>253</v>
      </c>
      <c r="L6" s="369" t="s">
        <v>178</v>
      </c>
      <c r="M6" s="369" t="s">
        <v>250</v>
      </c>
      <c r="N6" s="369" t="s">
        <v>179</v>
      </c>
      <c r="O6" s="369" t="s">
        <v>187</v>
      </c>
      <c r="P6" s="369" t="s">
        <v>180</v>
      </c>
      <c r="Q6" s="370" t="s">
        <v>181</v>
      </c>
      <c r="R6" s="370" t="s">
        <v>182</v>
      </c>
      <c r="S6" s="370" t="s">
        <v>181</v>
      </c>
      <c r="T6" s="370" t="s">
        <v>182</v>
      </c>
      <c r="U6" s="369" t="s">
        <v>183</v>
      </c>
      <c r="V6" s="844"/>
      <c r="W6" s="844"/>
      <c r="X6" s="874"/>
      <c r="Y6" s="874"/>
      <c r="Z6" s="844"/>
      <c r="AA6" s="830"/>
      <c r="AC6" s="161" t="s">
        <v>244</v>
      </c>
      <c r="AD6" s="161" t="s">
        <v>456</v>
      </c>
      <c r="AE6" s="156" t="s">
        <v>389</v>
      </c>
      <c r="AF6" s="156" t="s">
        <v>339</v>
      </c>
      <c r="AG6" s="156" t="s">
        <v>436</v>
      </c>
      <c r="AH6" s="156" t="s">
        <v>215</v>
      </c>
      <c r="AI6" s="156" t="s">
        <v>216</v>
      </c>
      <c r="AJ6" s="156" t="s">
        <v>390</v>
      </c>
    </row>
    <row r="7" spans="2:36" s="148" customFormat="1" ht="27" customHeight="1">
      <c r="B7" s="831" t="s">
        <v>582</v>
      </c>
      <c r="C7" s="832"/>
      <c r="D7" s="368">
        <v>1</v>
      </c>
      <c r="E7" s="371" t="s">
        <v>335</v>
      </c>
      <c r="F7" s="372">
        <v>2348.4</v>
      </c>
      <c r="G7" s="373">
        <v>41247</v>
      </c>
      <c r="H7" s="373">
        <v>40981</v>
      </c>
      <c r="I7" s="373">
        <v>40981</v>
      </c>
      <c r="J7" s="469">
        <f>IFERROR(I7/H7,"-")</f>
        <v>1</v>
      </c>
      <c r="K7" s="374">
        <f t="shared" ref="K7:K26" si="0">H7/G7</f>
        <v>0.99355104613668876</v>
      </c>
      <c r="L7" s="373">
        <v>418</v>
      </c>
      <c r="M7" s="374">
        <f t="shared" ref="M7:M26" si="1">L7/G7</f>
        <v>1.0134070356631997E-2</v>
      </c>
      <c r="N7" s="373">
        <v>15.450000000000001</v>
      </c>
      <c r="O7" s="374">
        <f t="shared" ref="O7:O26" si="2">(H7+L7)/G7</f>
        <v>1.0036851164933207</v>
      </c>
      <c r="P7" s="375">
        <v>2348.4</v>
      </c>
      <c r="Q7" s="373">
        <v>152</v>
      </c>
      <c r="R7" s="374">
        <f t="shared" ref="R7:R26" si="3">Q7/G7</f>
        <v>3.6851164933207263E-3</v>
      </c>
      <c r="S7" s="376">
        <f t="shared" ref="S7:S26" si="4">((H7+L7)-G7)-Q7</f>
        <v>0</v>
      </c>
      <c r="T7" s="374">
        <f t="shared" ref="T7:T26" si="5">S7/G7</f>
        <v>0</v>
      </c>
      <c r="U7" s="377">
        <f>S7*N7</f>
        <v>0</v>
      </c>
      <c r="V7" s="378" t="s">
        <v>423</v>
      </c>
      <c r="W7" s="378" t="s">
        <v>216</v>
      </c>
      <c r="X7" s="379" t="s">
        <v>489</v>
      </c>
      <c r="Y7" s="379" t="s">
        <v>644</v>
      </c>
      <c r="Z7" s="379">
        <v>1</v>
      </c>
      <c r="AA7" s="380" t="s">
        <v>587</v>
      </c>
      <c r="AB7" s="381" t="s">
        <v>457</v>
      </c>
      <c r="AC7" s="388">
        <f>SUM(Z7:Z26)</f>
        <v>20</v>
      </c>
      <c r="AD7" s="382">
        <f>SUMIF($W$7:$W$26,TRIM(AD6),$Z$7:$Z$26)</f>
        <v>15</v>
      </c>
      <c r="AE7" s="382">
        <f t="shared" ref="AE7:AJ7" si="6">SUMIF($W$7:$W$26,TRIM(AE6),$Z$7:$Z$26)</f>
        <v>0</v>
      </c>
      <c r="AF7" s="382">
        <f t="shared" si="6"/>
        <v>3</v>
      </c>
      <c r="AG7" s="382">
        <f t="shared" si="6"/>
        <v>0</v>
      </c>
      <c r="AH7" s="382">
        <f t="shared" si="6"/>
        <v>1</v>
      </c>
      <c r="AI7" s="382">
        <f t="shared" si="6"/>
        <v>1</v>
      </c>
      <c r="AJ7" s="382">
        <f t="shared" si="6"/>
        <v>0</v>
      </c>
    </row>
    <row r="8" spans="2:36" s="148" customFormat="1" ht="27" customHeight="1">
      <c r="B8" s="833"/>
      <c r="C8" s="834"/>
      <c r="D8" s="368">
        <v>2</v>
      </c>
      <c r="E8" s="371" t="s">
        <v>459</v>
      </c>
      <c r="F8" s="372">
        <v>1639.05</v>
      </c>
      <c r="G8" s="373">
        <v>145731</v>
      </c>
      <c r="H8" s="373">
        <v>146400</v>
      </c>
      <c r="I8" s="373">
        <v>146400</v>
      </c>
      <c r="J8" s="469">
        <f t="shared" ref="J8:J26" si="7">IFERROR(I8/H8,"-")</f>
        <v>1</v>
      </c>
      <c r="K8" s="374">
        <f t="shared" si="0"/>
        <v>1.0045906498960413</v>
      </c>
      <c r="L8" s="373">
        <v>0</v>
      </c>
      <c r="M8" s="374">
        <f t="shared" si="1"/>
        <v>0</v>
      </c>
      <c r="N8" s="373">
        <v>2.4499999999999997</v>
      </c>
      <c r="O8" s="374">
        <f t="shared" si="2"/>
        <v>1.0045906498960413</v>
      </c>
      <c r="P8" s="375">
        <v>1639.05</v>
      </c>
      <c r="Q8" s="373">
        <v>669</v>
      </c>
      <c r="R8" s="374">
        <f t="shared" si="3"/>
        <v>4.5906498960413362E-3</v>
      </c>
      <c r="S8" s="376">
        <f t="shared" si="4"/>
        <v>0</v>
      </c>
      <c r="T8" s="374">
        <f t="shared" si="5"/>
        <v>0</v>
      </c>
      <c r="U8" s="377">
        <f t="shared" ref="U8:U26" si="8">S8*N8</f>
        <v>0</v>
      </c>
      <c r="V8" s="378" t="s">
        <v>423</v>
      </c>
      <c r="W8" s="378" t="s">
        <v>339</v>
      </c>
      <c r="X8" s="379" t="s">
        <v>490</v>
      </c>
      <c r="Y8" s="379" t="s">
        <v>491</v>
      </c>
      <c r="Z8" s="379">
        <v>1</v>
      </c>
      <c r="AA8" s="380" t="s">
        <v>342</v>
      </c>
      <c r="AC8" s="389"/>
      <c r="AD8" s="386">
        <f>SUMIF($W7:$W$26,TRIM(AD6),$F$7:$F$26)</f>
        <v>15963.451500000001</v>
      </c>
      <c r="AE8" s="386">
        <f>SUMIF($W7:$W$26,TRIM(AE6),$F$7:$F$26)</f>
        <v>0</v>
      </c>
      <c r="AF8" s="386">
        <f>SUMIF($W7:$W$26,TRIM(AF6),$F$7:$F$26)</f>
        <v>4456.5</v>
      </c>
      <c r="AG8" s="386">
        <f>SUMIF($W7:$W$26,TRIM(AG6),$F$7:$F$26)</f>
        <v>0</v>
      </c>
      <c r="AH8" s="386">
        <f>SUMIF($W7:$W$26,TRIM(AH6),$F$7:$F$26)</f>
        <v>1054.2</v>
      </c>
      <c r="AI8" s="386">
        <f>SUMIF($W7:$W$26,TRIM(AI6),$F$7:$F$26)</f>
        <v>2348.4</v>
      </c>
      <c r="AJ8" s="386">
        <f>SUMIF($W7:$W$26,TRIM(AJ6),$F$7:$F$26)</f>
        <v>0</v>
      </c>
    </row>
    <row r="9" spans="2:36" s="148" customFormat="1" ht="27" customHeight="1">
      <c r="B9" s="833"/>
      <c r="C9" s="834"/>
      <c r="D9" s="368">
        <v>3</v>
      </c>
      <c r="E9" s="371" t="s">
        <v>458</v>
      </c>
      <c r="F9" s="372">
        <v>1606.4099999999999</v>
      </c>
      <c r="G9" s="373">
        <v>289435</v>
      </c>
      <c r="H9" s="373">
        <v>289574</v>
      </c>
      <c r="I9" s="373">
        <v>289574</v>
      </c>
      <c r="J9" s="469">
        <f t="shared" si="7"/>
        <v>1</v>
      </c>
      <c r="K9" s="374">
        <f t="shared" si="0"/>
        <v>1.0004802459965105</v>
      </c>
      <c r="L9" s="373">
        <v>1234</v>
      </c>
      <c r="M9" s="374">
        <f t="shared" si="1"/>
        <v>4.2634788467186069E-3</v>
      </c>
      <c r="N9" s="373">
        <v>1.17</v>
      </c>
      <c r="O9" s="374">
        <f t="shared" si="2"/>
        <v>1.0047437248432292</v>
      </c>
      <c r="P9" s="375">
        <v>1606.4099999999999</v>
      </c>
      <c r="Q9" s="373">
        <v>1373</v>
      </c>
      <c r="R9" s="374">
        <f t="shared" si="3"/>
        <v>4.7437248432290495E-3</v>
      </c>
      <c r="S9" s="376">
        <f t="shared" si="4"/>
        <v>0</v>
      </c>
      <c r="T9" s="374">
        <f t="shared" si="5"/>
        <v>0</v>
      </c>
      <c r="U9" s="377">
        <f t="shared" si="8"/>
        <v>0</v>
      </c>
      <c r="V9" s="378" t="s">
        <v>423</v>
      </c>
      <c r="W9" s="378" t="s">
        <v>339</v>
      </c>
      <c r="X9" s="379" t="s">
        <v>492</v>
      </c>
      <c r="Y9" s="379" t="s">
        <v>592</v>
      </c>
      <c r="Z9" s="379">
        <v>1</v>
      </c>
      <c r="AA9" s="380" t="s">
        <v>342</v>
      </c>
      <c r="AC9" s="368"/>
      <c r="AD9" s="387">
        <f t="shared" ref="AD9:AJ9" si="9">AD7/$AC7</f>
        <v>0.75</v>
      </c>
      <c r="AE9" s="387">
        <f t="shared" si="9"/>
        <v>0</v>
      </c>
      <c r="AF9" s="387">
        <f t="shared" si="9"/>
        <v>0.15</v>
      </c>
      <c r="AG9" s="387">
        <f t="shared" si="9"/>
        <v>0</v>
      </c>
      <c r="AH9" s="387">
        <f t="shared" si="9"/>
        <v>0.05</v>
      </c>
      <c r="AI9" s="387">
        <f t="shared" si="9"/>
        <v>0.05</v>
      </c>
      <c r="AJ9" s="387">
        <f t="shared" si="9"/>
        <v>0</v>
      </c>
    </row>
    <row r="10" spans="2:36" s="148" customFormat="1" ht="27" customHeight="1">
      <c r="B10" s="833"/>
      <c r="C10" s="834"/>
      <c r="D10" s="368">
        <v>4</v>
      </c>
      <c r="E10" s="371" t="s">
        <v>586</v>
      </c>
      <c r="F10" s="372">
        <v>1211.0399999999997</v>
      </c>
      <c r="G10" s="373">
        <v>166772</v>
      </c>
      <c r="H10" s="373">
        <v>165568</v>
      </c>
      <c r="I10" s="373">
        <v>165568</v>
      </c>
      <c r="J10" s="469">
        <f t="shared" si="7"/>
        <v>1</v>
      </c>
      <c r="K10" s="374">
        <f t="shared" si="0"/>
        <v>0.99278056268438342</v>
      </c>
      <c r="L10" s="373">
        <v>2248</v>
      </c>
      <c r="M10" s="374">
        <f t="shared" si="1"/>
        <v>1.3479480968028206E-2</v>
      </c>
      <c r="N10" s="373">
        <v>1.1599999999999999</v>
      </c>
      <c r="O10" s="374">
        <f t="shared" si="2"/>
        <v>1.0062600436524116</v>
      </c>
      <c r="P10" s="375">
        <v>1211.0399999999997</v>
      </c>
      <c r="Q10" s="373">
        <v>1044</v>
      </c>
      <c r="R10" s="374">
        <f t="shared" si="3"/>
        <v>6.2600436524116758E-3</v>
      </c>
      <c r="S10" s="376">
        <f t="shared" si="4"/>
        <v>0</v>
      </c>
      <c r="T10" s="374">
        <f t="shared" si="5"/>
        <v>0</v>
      </c>
      <c r="U10" s="377">
        <f t="shared" si="8"/>
        <v>0</v>
      </c>
      <c r="V10" s="378" t="s">
        <v>423</v>
      </c>
      <c r="W10" s="378" t="s">
        <v>339</v>
      </c>
      <c r="X10" s="379" t="s">
        <v>692</v>
      </c>
      <c r="Y10" s="379" t="s">
        <v>693</v>
      </c>
      <c r="Z10" s="379">
        <v>1</v>
      </c>
      <c r="AA10" s="380" t="s">
        <v>342</v>
      </c>
    </row>
    <row r="11" spans="2:36" s="148" customFormat="1" ht="27" customHeight="1">
      <c r="B11" s="833"/>
      <c r="C11" s="834"/>
      <c r="D11" s="368">
        <v>5</v>
      </c>
      <c r="E11" s="371" t="s">
        <v>336</v>
      </c>
      <c r="F11" s="372">
        <v>1161.694</v>
      </c>
      <c r="G11" s="373">
        <v>565.29999999999995</v>
      </c>
      <c r="H11" s="373">
        <v>572.6400000000001</v>
      </c>
      <c r="I11" s="373">
        <v>572.6400000000001</v>
      </c>
      <c r="J11" s="469">
        <f t="shared" si="7"/>
        <v>1</v>
      </c>
      <c r="K11" s="374">
        <f t="shared" si="0"/>
        <v>1.0129842561471787</v>
      </c>
      <c r="L11" s="373">
        <v>4.0599999999999996</v>
      </c>
      <c r="M11" s="374">
        <f t="shared" si="1"/>
        <v>7.1820272421722975E-3</v>
      </c>
      <c r="N11" s="373">
        <v>141.66999999999999</v>
      </c>
      <c r="O11" s="374">
        <f t="shared" si="2"/>
        <v>1.020166283389351</v>
      </c>
      <c r="P11" s="375">
        <v>1615.0380000000007</v>
      </c>
      <c r="Q11" s="373">
        <v>8.1999999999999993</v>
      </c>
      <c r="R11" s="374">
        <f t="shared" si="3"/>
        <v>1.4505572262515478E-2</v>
      </c>
      <c r="S11" s="376">
        <f t="shared" si="4"/>
        <v>3.2000000000000917</v>
      </c>
      <c r="T11" s="374">
        <f t="shared" si="5"/>
        <v>5.6607111268354715E-3</v>
      </c>
      <c r="U11" s="377">
        <f t="shared" si="8"/>
        <v>453.34400000001295</v>
      </c>
      <c r="V11" s="378" t="s">
        <v>423</v>
      </c>
      <c r="W11" s="378" t="s">
        <v>456</v>
      </c>
      <c r="X11" s="379" t="s">
        <v>469</v>
      </c>
      <c r="Y11" s="379" t="s">
        <v>593</v>
      </c>
      <c r="Z11" s="379">
        <v>1</v>
      </c>
      <c r="AA11" s="380" t="s">
        <v>344</v>
      </c>
    </row>
    <row r="12" spans="2:36" s="148" customFormat="1" ht="27" customHeight="1">
      <c r="B12" s="833"/>
      <c r="C12" s="834"/>
      <c r="D12" s="368">
        <v>6</v>
      </c>
      <c r="E12" s="371" t="s">
        <v>619</v>
      </c>
      <c r="F12" s="372">
        <v>1157.7815999999998</v>
      </c>
      <c r="G12" s="373">
        <v>487.92</v>
      </c>
      <c r="H12" s="373">
        <v>492.28000000000003</v>
      </c>
      <c r="I12" s="373">
        <v>492.28000000000003</v>
      </c>
      <c r="J12" s="469">
        <f t="shared" si="7"/>
        <v>1</v>
      </c>
      <c r="K12" s="374">
        <f t="shared" si="0"/>
        <v>1.0089358911296935</v>
      </c>
      <c r="L12" s="373">
        <v>3.3</v>
      </c>
      <c r="M12" s="374">
        <f t="shared" si="1"/>
        <v>6.7634038366945395E-3</v>
      </c>
      <c r="N12" s="373">
        <v>189.18000000000004</v>
      </c>
      <c r="O12" s="374">
        <f t="shared" si="2"/>
        <v>1.0156992949663879</v>
      </c>
      <c r="P12" s="375">
        <v>1449.1188000000009</v>
      </c>
      <c r="Q12" s="373">
        <v>6.1199999999999992</v>
      </c>
      <c r="R12" s="374">
        <f t="shared" si="3"/>
        <v>1.2543039842597145E-2</v>
      </c>
      <c r="S12" s="376">
        <f t="shared" si="4"/>
        <v>1.5400000000000258</v>
      </c>
      <c r="T12" s="374">
        <f t="shared" si="5"/>
        <v>3.156255123790838E-3</v>
      </c>
      <c r="U12" s="377">
        <f t="shared" si="8"/>
        <v>291.33720000000494</v>
      </c>
      <c r="V12" s="378" t="s">
        <v>423</v>
      </c>
      <c r="W12" s="378" t="s">
        <v>456</v>
      </c>
      <c r="X12" s="379" t="s">
        <v>465</v>
      </c>
      <c r="Y12" s="379" t="s">
        <v>466</v>
      </c>
      <c r="Z12" s="379">
        <v>1</v>
      </c>
      <c r="AA12" s="380" t="s">
        <v>355</v>
      </c>
    </row>
    <row r="13" spans="2:36" s="148" customFormat="1" ht="27" customHeight="1">
      <c r="B13" s="833"/>
      <c r="C13" s="834"/>
      <c r="D13" s="368">
        <v>7</v>
      </c>
      <c r="E13" s="371" t="s">
        <v>361</v>
      </c>
      <c r="F13" s="372">
        <v>1137.5616</v>
      </c>
      <c r="G13" s="373">
        <v>232.21999999999997</v>
      </c>
      <c r="H13" s="373">
        <v>237.64</v>
      </c>
      <c r="I13" s="373">
        <v>237.64</v>
      </c>
      <c r="J13" s="469">
        <f t="shared" si="7"/>
        <v>1</v>
      </c>
      <c r="K13" s="374">
        <f t="shared" si="0"/>
        <v>1.0233399362673328</v>
      </c>
      <c r="L13" s="373">
        <v>1.26</v>
      </c>
      <c r="M13" s="374">
        <f t="shared" si="1"/>
        <v>5.4258892429592635E-3</v>
      </c>
      <c r="N13" s="373">
        <v>253.92000000000002</v>
      </c>
      <c r="O13" s="374">
        <f t="shared" si="2"/>
        <v>1.0287658255102921</v>
      </c>
      <c r="P13" s="375">
        <v>1696.1855999999989</v>
      </c>
      <c r="Q13" s="373">
        <v>4.4799999999999995</v>
      </c>
      <c r="R13" s="374">
        <f t="shared" si="3"/>
        <v>1.9292050641632936E-2</v>
      </c>
      <c r="S13" s="376">
        <f t="shared" si="4"/>
        <v>2.2000000000000073</v>
      </c>
      <c r="T13" s="374">
        <f t="shared" si="5"/>
        <v>9.4737748686590621E-3</v>
      </c>
      <c r="U13" s="377">
        <f t="shared" si="8"/>
        <v>558.62400000000184</v>
      </c>
      <c r="V13" s="378" t="s">
        <v>423</v>
      </c>
      <c r="W13" s="378" t="s">
        <v>456</v>
      </c>
      <c r="X13" s="379" t="s">
        <v>511</v>
      </c>
      <c r="Y13" s="398" t="s">
        <v>527</v>
      </c>
      <c r="Z13" s="379">
        <v>1</v>
      </c>
      <c r="AA13" s="380" t="s">
        <v>353</v>
      </c>
      <c r="AE13" s="383"/>
    </row>
    <row r="14" spans="2:36" s="148" customFormat="1" ht="27" customHeight="1">
      <c r="B14" s="833"/>
      <c r="C14" s="834"/>
      <c r="D14" s="368">
        <v>8</v>
      </c>
      <c r="E14" s="371" t="s">
        <v>500</v>
      </c>
      <c r="F14" s="372">
        <v>1125.7973999999999</v>
      </c>
      <c r="G14" s="373">
        <v>188.43</v>
      </c>
      <c r="H14" s="373">
        <v>193.60999999999999</v>
      </c>
      <c r="I14" s="373">
        <v>193.60999999999999</v>
      </c>
      <c r="J14" s="469">
        <f t="shared" si="7"/>
        <v>1</v>
      </c>
      <c r="K14" s="374">
        <f t="shared" si="0"/>
        <v>1.0274903147057262</v>
      </c>
      <c r="L14" s="373">
        <v>0.99</v>
      </c>
      <c r="M14" s="374">
        <f t="shared" si="1"/>
        <v>5.2539404553415062E-3</v>
      </c>
      <c r="N14" s="373">
        <v>203.57999999999998</v>
      </c>
      <c r="O14" s="374">
        <f t="shared" si="2"/>
        <v>1.0327442551610677</v>
      </c>
      <c r="P14" s="375">
        <v>1256.0886000000012</v>
      </c>
      <c r="Q14" s="373">
        <v>5.5299999999999994</v>
      </c>
      <c r="R14" s="374">
        <f t="shared" si="3"/>
        <v>2.9347768402059115E-2</v>
      </c>
      <c r="S14" s="376">
        <f t="shared" si="4"/>
        <v>0.63999999999998813</v>
      </c>
      <c r="T14" s="374">
        <f t="shared" si="5"/>
        <v>3.3964867590085875E-3</v>
      </c>
      <c r="U14" s="377">
        <f t="shared" si="8"/>
        <v>130.29119999999759</v>
      </c>
      <c r="V14" s="378" t="s">
        <v>423</v>
      </c>
      <c r="W14" s="378" t="s">
        <v>456</v>
      </c>
      <c r="X14" s="379" t="s">
        <v>469</v>
      </c>
      <c r="Y14" s="379" t="s">
        <v>512</v>
      </c>
      <c r="Z14" s="379">
        <v>1</v>
      </c>
      <c r="AA14" s="380" t="s">
        <v>344</v>
      </c>
      <c r="AE14" s="383"/>
    </row>
    <row r="15" spans="2:36" s="148" customFormat="1" ht="27" customHeight="1">
      <c r="B15" s="833"/>
      <c r="C15" s="834"/>
      <c r="D15" s="368">
        <v>9</v>
      </c>
      <c r="E15" s="371" t="s">
        <v>448</v>
      </c>
      <c r="F15" s="372">
        <v>1111.4531999999999</v>
      </c>
      <c r="G15" s="373">
        <v>456.66</v>
      </c>
      <c r="H15" s="373">
        <v>462.40999999999997</v>
      </c>
      <c r="I15" s="373">
        <v>462.40999999999997</v>
      </c>
      <c r="J15" s="469">
        <f t="shared" si="7"/>
        <v>1</v>
      </c>
      <c r="K15" s="374">
        <f t="shared" si="0"/>
        <v>1.0125914246923311</v>
      </c>
      <c r="L15" s="373">
        <v>2.33</v>
      </c>
      <c r="M15" s="374">
        <f t="shared" si="1"/>
        <v>5.1022642666316296E-3</v>
      </c>
      <c r="N15" s="373">
        <v>181.60999999999999</v>
      </c>
      <c r="O15" s="374">
        <f t="shared" si="2"/>
        <v>1.0176936889589627</v>
      </c>
      <c r="P15" s="375">
        <v>1467.4087999999986</v>
      </c>
      <c r="Q15" s="373">
        <v>6.1199999999999992</v>
      </c>
      <c r="R15" s="374">
        <f t="shared" si="3"/>
        <v>1.3401655498620416E-2</v>
      </c>
      <c r="S15" s="376">
        <f t="shared" si="4"/>
        <v>1.959999999999928</v>
      </c>
      <c r="T15" s="374">
        <f t="shared" si="5"/>
        <v>4.2920334603423291E-3</v>
      </c>
      <c r="U15" s="377">
        <f t="shared" si="8"/>
        <v>355.95559999998687</v>
      </c>
      <c r="V15" s="378" t="s">
        <v>423</v>
      </c>
      <c r="W15" s="378" t="s">
        <v>456</v>
      </c>
      <c r="X15" s="379" t="s">
        <v>465</v>
      </c>
      <c r="Y15" s="379" t="s">
        <v>466</v>
      </c>
      <c r="Z15" s="379">
        <v>1</v>
      </c>
      <c r="AA15" s="380" t="s">
        <v>447</v>
      </c>
      <c r="AE15" s="383"/>
    </row>
    <row r="16" spans="2:36" s="148" customFormat="1" ht="27" customHeight="1">
      <c r="B16" s="833"/>
      <c r="C16" s="834"/>
      <c r="D16" s="368">
        <v>10</v>
      </c>
      <c r="E16" s="371" t="s">
        <v>686</v>
      </c>
      <c r="F16" s="372">
        <v>1054.2</v>
      </c>
      <c r="G16" s="373">
        <v>641.96</v>
      </c>
      <c r="H16" s="373">
        <v>615.86</v>
      </c>
      <c r="I16" s="373">
        <v>615.86</v>
      </c>
      <c r="J16" s="469">
        <f t="shared" si="7"/>
        <v>1</v>
      </c>
      <c r="K16" s="374">
        <f t="shared" si="0"/>
        <v>0.9593432612623839</v>
      </c>
      <c r="L16" s="373">
        <v>38.74</v>
      </c>
      <c r="M16" s="374">
        <f t="shared" si="1"/>
        <v>6.0346439030469184E-2</v>
      </c>
      <c r="N16" s="373">
        <v>105</v>
      </c>
      <c r="O16" s="374">
        <f t="shared" si="2"/>
        <v>1.0196897002928531</v>
      </c>
      <c r="P16" s="375">
        <v>1327.200000000001</v>
      </c>
      <c r="Q16" s="373">
        <v>10.040000000000001</v>
      </c>
      <c r="R16" s="374">
        <f t="shared" si="3"/>
        <v>1.5639603713627017E-2</v>
      </c>
      <c r="S16" s="376">
        <f t="shared" si="4"/>
        <v>2.5999999999999854</v>
      </c>
      <c r="T16" s="374">
        <f t="shared" si="5"/>
        <v>4.0500965792260972E-3</v>
      </c>
      <c r="U16" s="377">
        <f t="shared" si="8"/>
        <v>272.99999999999847</v>
      </c>
      <c r="V16" s="378" t="s">
        <v>423</v>
      </c>
      <c r="W16" s="378" t="s">
        <v>215</v>
      </c>
      <c r="X16" s="379" t="s">
        <v>694</v>
      </c>
      <c r="Y16" s="379" t="s">
        <v>485</v>
      </c>
      <c r="Z16" s="379">
        <v>1</v>
      </c>
      <c r="AA16" s="380" t="s">
        <v>352</v>
      </c>
      <c r="AE16" s="383"/>
    </row>
    <row r="17" spans="2:36" s="148" customFormat="1" ht="27" customHeight="1">
      <c r="B17" s="833"/>
      <c r="C17" s="834"/>
      <c r="D17" s="368">
        <v>11</v>
      </c>
      <c r="E17" s="371" t="s">
        <v>628</v>
      </c>
      <c r="F17" s="372">
        <v>1049.1864</v>
      </c>
      <c r="G17" s="373">
        <v>1067.0900000000001</v>
      </c>
      <c r="H17" s="373">
        <v>1002.1999999999998</v>
      </c>
      <c r="I17" s="373">
        <v>1002.1999999999998</v>
      </c>
      <c r="J17" s="469">
        <f t="shared" si="7"/>
        <v>1</v>
      </c>
      <c r="K17" s="374">
        <f t="shared" si="0"/>
        <v>0.93918975906437108</v>
      </c>
      <c r="L17" s="373">
        <v>79.45</v>
      </c>
      <c r="M17" s="374">
        <f t="shared" si="1"/>
        <v>7.4454825741034014E-2</v>
      </c>
      <c r="N17" s="373">
        <v>114.53999999999999</v>
      </c>
      <c r="O17" s="374">
        <f t="shared" si="2"/>
        <v>1.013644584805405</v>
      </c>
      <c r="P17" s="375">
        <v>1667.7023999999972</v>
      </c>
      <c r="Q17" s="373">
        <v>9.1599999999999984</v>
      </c>
      <c r="R17" s="374">
        <f t="shared" si="3"/>
        <v>8.584093188016003E-3</v>
      </c>
      <c r="S17" s="376">
        <f t="shared" si="4"/>
        <v>5.3999999999997197</v>
      </c>
      <c r="T17" s="374">
        <f t="shared" si="5"/>
        <v>5.0604916173890855E-3</v>
      </c>
      <c r="U17" s="377">
        <f t="shared" si="8"/>
        <v>618.5159999999679</v>
      </c>
      <c r="V17" s="378" t="s">
        <v>423</v>
      </c>
      <c r="W17" s="378" t="s">
        <v>456</v>
      </c>
      <c r="X17" s="379" t="s">
        <v>695</v>
      </c>
      <c r="Y17" s="379" t="s">
        <v>466</v>
      </c>
      <c r="Z17" s="379">
        <v>1</v>
      </c>
      <c r="AA17" s="380" t="s">
        <v>497</v>
      </c>
      <c r="AE17" s="383"/>
    </row>
    <row r="18" spans="2:36" s="148" customFormat="1" ht="27" customHeight="1">
      <c r="B18" s="833"/>
      <c r="C18" s="834"/>
      <c r="D18" s="368">
        <v>12</v>
      </c>
      <c r="E18" s="371" t="s">
        <v>503</v>
      </c>
      <c r="F18" s="372">
        <v>1046.3784999999998</v>
      </c>
      <c r="G18" s="373">
        <v>718.78000000000009</v>
      </c>
      <c r="H18" s="373">
        <v>707.78</v>
      </c>
      <c r="I18" s="373">
        <v>707.78</v>
      </c>
      <c r="J18" s="469">
        <f t="shared" si="7"/>
        <v>1</v>
      </c>
      <c r="K18" s="374">
        <f t="shared" si="0"/>
        <v>0.98469629093742161</v>
      </c>
      <c r="L18" s="373">
        <v>25.18</v>
      </c>
      <c r="M18" s="374">
        <f t="shared" si="1"/>
        <v>3.5031581290520045E-2</v>
      </c>
      <c r="N18" s="373">
        <v>128.38999999999999</v>
      </c>
      <c r="O18" s="374">
        <f t="shared" si="2"/>
        <v>1.0197278722279415</v>
      </c>
      <c r="P18" s="375">
        <v>1820.5701999999969</v>
      </c>
      <c r="Q18" s="373">
        <v>8.1499999999999986</v>
      </c>
      <c r="R18" s="374">
        <f t="shared" si="3"/>
        <v>1.1338657169092069E-2</v>
      </c>
      <c r="S18" s="376">
        <f t="shared" si="4"/>
        <v>6.0299999999998377</v>
      </c>
      <c r="T18" s="374">
        <f t="shared" si="5"/>
        <v>8.3892150588494915E-3</v>
      </c>
      <c r="U18" s="377">
        <f t="shared" si="8"/>
        <v>774.19169999997905</v>
      </c>
      <c r="V18" s="378" t="s">
        <v>423</v>
      </c>
      <c r="W18" s="378" t="s">
        <v>456</v>
      </c>
      <c r="X18" s="379" t="s">
        <v>695</v>
      </c>
      <c r="Y18" s="379" t="s">
        <v>466</v>
      </c>
      <c r="Z18" s="379">
        <v>1</v>
      </c>
      <c r="AA18" s="380" t="s">
        <v>353</v>
      </c>
    </row>
    <row r="19" spans="2:36" s="148" customFormat="1" ht="27" customHeight="1">
      <c r="B19" s="833"/>
      <c r="C19" s="834"/>
      <c r="D19" s="368">
        <v>13</v>
      </c>
      <c r="E19" s="371" t="s">
        <v>360</v>
      </c>
      <c r="F19" s="372">
        <v>1039.4590000000001</v>
      </c>
      <c r="G19" s="373">
        <v>287.51</v>
      </c>
      <c r="H19" s="373">
        <v>293.58999999999997</v>
      </c>
      <c r="I19" s="373">
        <v>293.58999999999997</v>
      </c>
      <c r="J19" s="469">
        <f t="shared" si="7"/>
        <v>1</v>
      </c>
      <c r="K19" s="374">
        <f t="shared" si="0"/>
        <v>1.0211470905359814</v>
      </c>
      <c r="L19" s="373">
        <v>4.3</v>
      </c>
      <c r="M19" s="374">
        <f t="shared" si="1"/>
        <v>1.4956001530381551E-2</v>
      </c>
      <c r="N19" s="373">
        <v>183.65000000000003</v>
      </c>
      <c r="O19" s="374">
        <f t="shared" si="2"/>
        <v>1.036103092066363</v>
      </c>
      <c r="P19" s="375">
        <v>1906.2869999999984</v>
      </c>
      <c r="Q19" s="373">
        <v>5.66</v>
      </c>
      <c r="R19" s="374">
        <f t="shared" si="3"/>
        <v>1.9686271781851068E-2</v>
      </c>
      <c r="S19" s="376">
        <f t="shared" si="4"/>
        <v>4.7199999999999953</v>
      </c>
      <c r="T19" s="374">
        <f t="shared" si="5"/>
        <v>1.6416820284511826E-2</v>
      </c>
      <c r="U19" s="377">
        <f t="shared" si="8"/>
        <v>866.82799999999929</v>
      </c>
      <c r="V19" s="378" t="s">
        <v>423</v>
      </c>
      <c r="W19" s="378" t="s">
        <v>456</v>
      </c>
      <c r="X19" s="379" t="s">
        <v>511</v>
      </c>
      <c r="Y19" s="379" t="s">
        <v>645</v>
      </c>
      <c r="Z19" s="379">
        <v>1</v>
      </c>
      <c r="AA19" s="380" t="s">
        <v>353</v>
      </c>
    </row>
    <row r="20" spans="2:36" s="148" customFormat="1" ht="27" customHeight="1">
      <c r="B20" s="833"/>
      <c r="C20" s="834"/>
      <c r="D20" s="368">
        <v>14</v>
      </c>
      <c r="E20" s="371" t="s">
        <v>687</v>
      </c>
      <c r="F20" s="372">
        <v>1037.8566000000001</v>
      </c>
      <c r="G20" s="373">
        <v>89.59</v>
      </c>
      <c r="H20" s="373">
        <v>96.3</v>
      </c>
      <c r="I20" s="373">
        <v>96.3</v>
      </c>
      <c r="J20" s="469">
        <f t="shared" si="7"/>
        <v>1</v>
      </c>
      <c r="K20" s="374">
        <f t="shared" si="0"/>
        <v>1.0748967518696282</v>
      </c>
      <c r="L20" s="373">
        <v>0</v>
      </c>
      <c r="M20" s="374">
        <f t="shared" si="1"/>
        <v>0</v>
      </c>
      <c r="N20" s="373">
        <v>205.11000000000007</v>
      </c>
      <c r="O20" s="374">
        <f t="shared" si="2"/>
        <v>1.0748967518696282</v>
      </c>
      <c r="P20" s="375">
        <v>1376.2881000000002</v>
      </c>
      <c r="Q20" s="373">
        <v>5.0600000000000005</v>
      </c>
      <c r="R20" s="374">
        <f t="shared" si="3"/>
        <v>5.6479517803326267E-2</v>
      </c>
      <c r="S20" s="376">
        <f t="shared" si="4"/>
        <v>1.6499999999999932</v>
      </c>
      <c r="T20" s="374">
        <f t="shared" si="5"/>
        <v>1.8417234066301965E-2</v>
      </c>
      <c r="U20" s="377">
        <f t="shared" si="8"/>
        <v>338.43149999999872</v>
      </c>
      <c r="V20" s="378" t="s">
        <v>423</v>
      </c>
      <c r="W20" s="378" t="s">
        <v>456</v>
      </c>
      <c r="X20" s="379" t="s">
        <v>595</v>
      </c>
      <c r="Y20" s="379" t="s">
        <v>467</v>
      </c>
      <c r="Z20" s="379">
        <v>1</v>
      </c>
      <c r="AA20" s="380" t="s">
        <v>443</v>
      </c>
    </row>
    <row r="21" spans="2:36" s="148" customFormat="1" ht="27" customHeight="1">
      <c r="B21" s="833"/>
      <c r="C21" s="834"/>
      <c r="D21" s="368">
        <v>15</v>
      </c>
      <c r="E21" s="371" t="s">
        <v>474</v>
      </c>
      <c r="F21" s="372">
        <v>1023.3092000000001</v>
      </c>
      <c r="G21" s="373">
        <v>274.94</v>
      </c>
      <c r="H21" s="373">
        <v>280.84000000000003</v>
      </c>
      <c r="I21" s="373">
        <v>280.84000000000003</v>
      </c>
      <c r="J21" s="469">
        <f t="shared" si="7"/>
        <v>1</v>
      </c>
      <c r="K21" s="374">
        <f t="shared" si="0"/>
        <v>1.0214592274678114</v>
      </c>
      <c r="L21" s="373">
        <v>5.9399999999999995</v>
      </c>
      <c r="M21" s="374">
        <f t="shared" si="1"/>
        <v>2.1604713755728523E-2</v>
      </c>
      <c r="N21" s="373">
        <v>153.19000000000003</v>
      </c>
      <c r="O21" s="374">
        <f t="shared" si="2"/>
        <v>1.0430639412235398</v>
      </c>
      <c r="P21" s="375">
        <v>1813.7695999999994</v>
      </c>
      <c r="Q21" s="373">
        <v>6.68</v>
      </c>
      <c r="R21" s="374">
        <f t="shared" si="3"/>
        <v>2.4296210082199753E-2</v>
      </c>
      <c r="S21" s="376">
        <f t="shared" si="4"/>
        <v>5.1600000000000321</v>
      </c>
      <c r="T21" s="374">
        <f t="shared" si="5"/>
        <v>1.8767731141340047E-2</v>
      </c>
      <c r="U21" s="377">
        <f t="shared" si="8"/>
        <v>790.46040000000505</v>
      </c>
      <c r="V21" s="378" t="s">
        <v>423</v>
      </c>
      <c r="W21" s="378" t="s">
        <v>456</v>
      </c>
      <c r="X21" s="379" t="s">
        <v>594</v>
      </c>
      <c r="Y21" s="379" t="s">
        <v>467</v>
      </c>
      <c r="Z21" s="379">
        <v>1</v>
      </c>
      <c r="AA21" s="380" t="s">
        <v>475</v>
      </c>
    </row>
    <row r="22" spans="2:36" s="148" customFormat="1" ht="27" customHeight="1">
      <c r="B22" s="833"/>
      <c r="C22" s="834"/>
      <c r="D22" s="368">
        <v>16</v>
      </c>
      <c r="E22" s="371" t="s">
        <v>554</v>
      </c>
      <c r="F22" s="372">
        <v>1021.1339</v>
      </c>
      <c r="G22" s="373">
        <v>755.08999999999992</v>
      </c>
      <c r="H22" s="373">
        <v>731.89</v>
      </c>
      <c r="I22" s="373">
        <v>731.89</v>
      </c>
      <c r="J22" s="469">
        <f t="shared" si="7"/>
        <v>1</v>
      </c>
      <c r="K22" s="374">
        <f t="shared" si="0"/>
        <v>0.96927518573944837</v>
      </c>
      <c r="L22" s="373">
        <v>38.07</v>
      </c>
      <c r="M22" s="374">
        <f t="shared" si="1"/>
        <v>5.0417830987034666E-2</v>
      </c>
      <c r="N22" s="373">
        <v>98.470000000000013</v>
      </c>
      <c r="O22" s="374">
        <f t="shared" si="2"/>
        <v>1.019693016726483</v>
      </c>
      <c r="P22" s="375">
        <v>1464.2489000000003</v>
      </c>
      <c r="Q22" s="373">
        <v>10.370000000000001</v>
      </c>
      <c r="R22" s="374">
        <f t="shared" si="3"/>
        <v>1.3733462236289717E-2</v>
      </c>
      <c r="S22" s="376">
        <f t="shared" si="4"/>
        <v>4.5000000000001172</v>
      </c>
      <c r="T22" s="374">
        <f t="shared" si="5"/>
        <v>5.9595544901933778E-3</v>
      </c>
      <c r="U22" s="377">
        <f t="shared" si="8"/>
        <v>443.11500000001161</v>
      </c>
      <c r="V22" s="378" t="s">
        <v>423</v>
      </c>
      <c r="W22" s="378" t="s">
        <v>456</v>
      </c>
      <c r="X22" s="379" t="s">
        <v>469</v>
      </c>
      <c r="Y22" s="379" t="s">
        <v>593</v>
      </c>
      <c r="Z22" s="379">
        <v>1</v>
      </c>
      <c r="AA22" s="380" t="s">
        <v>553</v>
      </c>
    </row>
    <row r="23" spans="2:36" s="148" customFormat="1" ht="27" customHeight="1">
      <c r="B23" s="833"/>
      <c r="C23" s="834"/>
      <c r="D23" s="368">
        <v>17</v>
      </c>
      <c r="E23" s="371" t="s">
        <v>627</v>
      </c>
      <c r="F23" s="372">
        <v>1017.4800000000002</v>
      </c>
      <c r="G23" s="373">
        <v>634.11000000000013</v>
      </c>
      <c r="H23" s="373">
        <v>637.76</v>
      </c>
      <c r="I23" s="373">
        <v>637.76</v>
      </c>
      <c r="J23" s="469">
        <f t="shared" si="7"/>
        <v>1</v>
      </c>
      <c r="K23" s="374">
        <f t="shared" si="0"/>
        <v>1.0057560990995251</v>
      </c>
      <c r="L23" s="373">
        <v>1.1200000000000001</v>
      </c>
      <c r="M23" s="374">
        <f t="shared" si="1"/>
        <v>1.7662550661557141E-3</v>
      </c>
      <c r="N23" s="373">
        <v>339.16</v>
      </c>
      <c r="O23" s="374">
        <f t="shared" si="2"/>
        <v>1.0075223541656808</v>
      </c>
      <c r="P23" s="375">
        <v>1617.7931999999987</v>
      </c>
      <c r="Q23" s="373">
        <v>3</v>
      </c>
      <c r="R23" s="374">
        <f t="shared" si="3"/>
        <v>4.7310403557742336E-3</v>
      </c>
      <c r="S23" s="376">
        <f t="shared" si="4"/>
        <v>1.7699999999998681</v>
      </c>
      <c r="T23" s="374">
        <f t="shared" si="5"/>
        <v>2.7913138099065898E-3</v>
      </c>
      <c r="U23" s="377">
        <f t="shared" si="8"/>
        <v>600.31319999995537</v>
      </c>
      <c r="V23" s="378" t="s">
        <v>423</v>
      </c>
      <c r="W23" s="378" t="s">
        <v>456</v>
      </c>
      <c r="X23" s="379" t="s">
        <v>595</v>
      </c>
      <c r="Y23" s="379" t="s">
        <v>467</v>
      </c>
      <c r="Z23" s="379">
        <v>1</v>
      </c>
      <c r="AA23" s="380" t="s">
        <v>631</v>
      </c>
    </row>
    <row r="24" spans="2:36" s="148" customFormat="1" ht="27" customHeight="1">
      <c r="B24" s="833"/>
      <c r="C24" s="834"/>
      <c r="D24" s="368">
        <v>18</v>
      </c>
      <c r="E24" s="371" t="s">
        <v>620</v>
      </c>
      <c r="F24" s="372">
        <v>1014.258</v>
      </c>
      <c r="G24" s="373">
        <v>136.05000000000001</v>
      </c>
      <c r="H24" s="373">
        <v>140.29000000000002</v>
      </c>
      <c r="I24" s="373">
        <v>140.29000000000002</v>
      </c>
      <c r="J24" s="469">
        <f t="shared" si="7"/>
        <v>1</v>
      </c>
      <c r="K24" s="374">
        <f t="shared" si="0"/>
        <v>1.0311650128629182</v>
      </c>
      <c r="L24" s="373">
        <v>3.7</v>
      </c>
      <c r="M24" s="374">
        <f t="shared" si="1"/>
        <v>2.7195883866225651E-2</v>
      </c>
      <c r="N24" s="373">
        <v>190.65000000000003</v>
      </c>
      <c r="O24" s="374">
        <f t="shared" si="2"/>
        <v>1.0583608967291436</v>
      </c>
      <c r="P24" s="375">
        <v>1513.761</v>
      </c>
      <c r="Q24" s="373">
        <v>5.3199999999999994</v>
      </c>
      <c r="R24" s="374">
        <f t="shared" si="3"/>
        <v>3.9103270856302823E-2</v>
      </c>
      <c r="S24" s="376">
        <f t="shared" si="4"/>
        <v>2.6199999999999983</v>
      </c>
      <c r="T24" s="374">
        <f t="shared" si="5"/>
        <v>1.9257625872840852E-2</v>
      </c>
      <c r="U24" s="377">
        <f t="shared" si="8"/>
        <v>499.50299999999976</v>
      </c>
      <c r="V24" s="378" t="s">
        <v>423</v>
      </c>
      <c r="W24" s="378" t="s">
        <v>456</v>
      </c>
      <c r="X24" s="379" t="s">
        <v>469</v>
      </c>
      <c r="Y24" s="379" t="s">
        <v>512</v>
      </c>
      <c r="Z24" s="379">
        <v>1</v>
      </c>
      <c r="AA24" s="380" t="s">
        <v>442</v>
      </c>
    </row>
    <row r="25" spans="2:36" s="148" customFormat="1" ht="27" customHeight="1">
      <c r="B25" s="833"/>
      <c r="C25" s="834"/>
      <c r="D25" s="368">
        <v>19</v>
      </c>
      <c r="E25" s="371" t="s">
        <v>427</v>
      </c>
      <c r="F25" s="372">
        <v>1011.9467000000002</v>
      </c>
      <c r="G25" s="373">
        <v>1746.2100000000003</v>
      </c>
      <c r="H25" s="373">
        <v>1753.52</v>
      </c>
      <c r="I25" s="373">
        <v>1753.52</v>
      </c>
      <c r="J25" s="469">
        <f t="shared" si="7"/>
        <v>1</v>
      </c>
      <c r="K25" s="374">
        <f t="shared" si="0"/>
        <v>1.0041862089897549</v>
      </c>
      <c r="L25" s="373">
        <v>11.200000000000001</v>
      </c>
      <c r="M25" s="374">
        <f t="shared" si="1"/>
        <v>6.4138906546177144E-3</v>
      </c>
      <c r="N25" s="373">
        <v>157.87000000000003</v>
      </c>
      <c r="O25" s="374">
        <f t="shared" si="2"/>
        <v>1.0106000996443725</v>
      </c>
      <c r="P25" s="375">
        <v>2922.1736999999853</v>
      </c>
      <c r="Q25" s="373">
        <v>6.4099999999999993</v>
      </c>
      <c r="R25" s="374">
        <f t="shared" si="3"/>
        <v>3.670807062151745E-3</v>
      </c>
      <c r="S25" s="376">
        <f t="shared" si="4"/>
        <v>12.099999999999763</v>
      </c>
      <c r="T25" s="374">
        <f t="shared" si="5"/>
        <v>6.9292925822207873E-3</v>
      </c>
      <c r="U25" s="377">
        <f t="shared" si="8"/>
        <v>1910.226999999963</v>
      </c>
      <c r="V25" s="378" t="s">
        <v>423</v>
      </c>
      <c r="W25" s="378" t="s">
        <v>456</v>
      </c>
      <c r="X25" s="379" t="s">
        <v>695</v>
      </c>
      <c r="Y25" s="379" t="s">
        <v>466</v>
      </c>
      <c r="Z25" s="379">
        <v>1</v>
      </c>
      <c r="AA25" s="380" t="s">
        <v>342</v>
      </c>
      <c r="AD25" s="384"/>
      <c r="AE25" s="383"/>
    </row>
    <row r="26" spans="2:36" s="148" customFormat="1" ht="27" customHeight="1">
      <c r="B26" s="835"/>
      <c r="C26" s="836"/>
      <c r="D26" s="368">
        <v>20</v>
      </c>
      <c r="E26" s="371" t="s">
        <v>557</v>
      </c>
      <c r="F26" s="372">
        <v>1008.1554</v>
      </c>
      <c r="G26" s="373">
        <v>188.31</v>
      </c>
      <c r="H26" s="373">
        <v>192.37</v>
      </c>
      <c r="I26" s="373">
        <v>192.37</v>
      </c>
      <c r="J26" s="469">
        <f t="shared" si="7"/>
        <v>1</v>
      </c>
      <c r="K26" s="374">
        <f t="shared" si="0"/>
        <v>1.0215601932982847</v>
      </c>
      <c r="L26" s="373">
        <v>4.3099999999999996</v>
      </c>
      <c r="M26" s="374">
        <f t="shared" si="1"/>
        <v>2.2887791407785033E-2</v>
      </c>
      <c r="N26" s="373">
        <v>155.81999999999996</v>
      </c>
      <c r="O26" s="374">
        <f t="shared" si="2"/>
        <v>1.0444479847060697</v>
      </c>
      <c r="P26" s="375">
        <v>1304.2134000000001</v>
      </c>
      <c r="Q26" s="373">
        <v>6.47</v>
      </c>
      <c r="R26" s="374">
        <f t="shared" si="3"/>
        <v>3.4358239073867557E-2</v>
      </c>
      <c r="S26" s="376">
        <f t="shared" si="4"/>
        <v>1.9000000000000048</v>
      </c>
      <c r="T26" s="374">
        <f t="shared" si="5"/>
        <v>1.0089745632202244E-2</v>
      </c>
      <c r="U26" s="377">
        <f t="shared" si="8"/>
        <v>296.05800000000067</v>
      </c>
      <c r="V26" s="378" t="s">
        <v>423</v>
      </c>
      <c r="W26" s="378" t="s">
        <v>456</v>
      </c>
      <c r="X26" s="379" t="s">
        <v>695</v>
      </c>
      <c r="Y26" s="379" t="s">
        <v>466</v>
      </c>
      <c r="Z26" s="379">
        <v>1</v>
      </c>
      <c r="AA26" s="380" t="s">
        <v>497</v>
      </c>
      <c r="AD26" s="384"/>
      <c r="AE26" s="383"/>
    </row>
    <row r="27" spans="2:36" ht="17.149999999999999" customHeight="1">
      <c r="B27" s="845" t="s">
        <v>453</v>
      </c>
      <c r="C27" s="846"/>
      <c r="D27" s="849" t="s">
        <v>703</v>
      </c>
      <c r="E27" s="850" t="s">
        <v>704</v>
      </c>
      <c r="F27" s="851" t="s">
        <v>705</v>
      </c>
      <c r="G27" s="829" t="s">
        <v>706</v>
      </c>
      <c r="H27" s="837" t="s">
        <v>707</v>
      </c>
      <c r="I27" s="838" t="s">
        <v>708</v>
      </c>
      <c r="J27" s="839"/>
      <c r="K27" s="838" t="s">
        <v>709</v>
      </c>
      <c r="L27" s="839"/>
      <c r="M27" s="838" t="s">
        <v>710</v>
      </c>
      <c r="N27" s="839"/>
      <c r="O27" s="838" t="s">
        <v>711</v>
      </c>
      <c r="P27" s="839"/>
      <c r="Q27" s="838" t="s">
        <v>424</v>
      </c>
      <c r="R27" s="839"/>
      <c r="S27" s="840" t="s">
        <v>425</v>
      </c>
      <c r="T27" s="841"/>
      <c r="U27" s="842"/>
      <c r="V27" s="843" t="s">
        <v>171</v>
      </c>
      <c r="W27" s="843" t="s">
        <v>245</v>
      </c>
      <c r="X27" s="843" t="s">
        <v>712</v>
      </c>
      <c r="Y27" s="843" t="s">
        <v>455</v>
      </c>
      <c r="Z27" s="843" t="s">
        <v>246</v>
      </c>
      <c r="AA27" s="829" t="s">
        <v>172</v>
      </c>
      <c r="AC27" s="858" t="s">
        <v>247</v>
      </c>
      <c r="AD27" s="859"/>
      <c r="AE27" s="859"/>
      <c r="AF27" s="859"/>
      <c r="AG27" s="859"/>
      <c r="AH27" s="859"/>
      <c r="AI27" s="859"/>
      <c r="AJ27" s="860"/>
    </row>
    <row r="28" spans="2:36">
      <c r="B28" s="847"/>
      <c r="C28" s="848"/>
      <c r="D28" s="849"/>
      <c r="E28" s="849"/>
      <c r="F28" s="851"/>
      <c r="G28" s="830"/>
      <c r="H28" s="830"/>
      <c r="I28" s="463" t="s">
        <v>713</v>
      </c>
      <c r="J28" s="369" t="s">
        <v>714</v>
      </c>
      <c r="K28" s="463" t="s">
        <v>713</v>
      </c>
      <c r="L28" s="369" t="s">
        <v>714</v>
      </c>
      <c r="M28" s="463" t="s">
        <v>713</v>
      </c>
      <c r="N28" s="369" t="s">
        <v>714</v>
      </c>
      <c r="O28" s="463" t="s">
        <v>713</v>
      </c>
      <c r="P28" s="369" t="s">
        <v>714</v>
      </c>
      <c r="Q28" s="463" t="s">
        <v>713</v>
      </c>
      <c r="R28" s="369" t="s">
        <v>714</v>
      </c>
      <c r="S28" s="463" t="s">
        <v>713</v>
      </c>
      <c r="T28" s="369" t="s">
        <v>714</v>
      </c>
      <c r="U28" s="369" t="s">
        <v>715</v>
      </c>
      <c r="V28" s="844"/>
      <c r="W28" s="844"/>
      <c r="X28" s="844"/>
      <c r="Y28" s="844"/>
      <c r="Z28" s="844"/>
      <c r="AA28" s="830"/>
      <c r="AC28" s="861"/>
      <c r="AD28" s="862"/>
      <c r="AE28" s="862"/>
      <c r="AF28" s="862"/>
      <c r="AG28" s="862"/>
      <c r="AH28" s="862"/>
      <c r="AI28" s="862"/>
      <c r="AJ28" s="863"/>
    </row>
    <row r="29" spans="2:36" s="148" customFormat="1" ht="27" customHeight="1">
      <c r="B29" s="852" t="s">
        <v>583</v>
      </c>
      <c r="C29" s="853"/>
      <c r="D29" s="368">
        <v>1</v>
      </c>
      <c r="E29" s="465" t="s">
        <v>335</v>
      </c>
      <c r="F29" s="466">
        <f>IFERROR(Q29*G29,"-")</f>
        <v>2255.7000000000003</v>
      </c>
      <c r="G29" s="376">
        <v>15.450000000000001</v>
      </c>
      <c r="H29" s="467">
        <v>41745</v>
      </c>
      <c r="I29" s="467">
        <v>41745</v>
      </c>
      <c r="J29" s="469">
        <f>IFERROR(I29/H29,"-")</f>
        <v>1</v>
      </c>
      <c r="K29" s="468">
        <v>41891</v>
      </c>
      <c r="L29" s="469">
        <f>IFERROR(K29/H29,"-")</f>
        <v>1.0034974248412984</v>
      </c>
      <c r="M29" s="468">
        <v>507</v>
      </c>
      <c r="N29" s="469">
        <f>IFERROR(M29/H29,"-")</f>
        <v>1.2145167085878549E-2</v>
      </c>
      <c r="O29" s="470">
        <f>IFERROR(K29+M29,"-")</f>
        <v>42398</v>
      </c>
      <c r="P29" s="469">
        <f>IFERROR(O29/H29,"-")</f>
        <v>1.015642591927177</v>
      </c>
      <c r="Q29" s="467">
        <v>146</v>
      </c>
      <c r="R29" s="469">
        <f>IFERROR(Q29/H29,"-")</f>
        <v>3.4974248412983589E-3</v>
      </c>
      <c r="S29" s="470">
        <f>IFERROR(O29-H29,"-")</f>
        <v>653</v>
      </c>
      <c r="T29" s="469">
        <f>IFERROR(S29/H29,"-")</f>
        <v>1.5642591927176909E-2</v>
      </c>
      <c r="U29" s="372">
        <f>IFERROR(S29*G29,"-")</f>
        <v>10088.85</v>
      </c>
      <c r="V29" s="378" t="s">
        <v>423</v>
      </c>
      <c r="W29" s="378" t="s">
        <v>216</v>
      </c>
      <c r="X29" s="379"/>
      <c r="Y29" s="379"/>
      <c r="Z29" s="379">
        <v>1</v>
      </c>
      <c r="AA29" s="471" t="s">
        <v>587</v>
      </c>
      <c r="AC29" s="864"/>
      <c r="AD29" s="865"/>
      <c r="AE29" s="865"/>
      <c r="AF29" s="865"/>
      <c r="AG29" s="865"/>
      <c r="AH29" s="865"/>
      <c r="AI29" s="865"/>
      <c r="AJ29" s="866"/>
    </row>
    <row r="30" spans="2:36" s="148" customFormat="1" ht="27" customHeight="1">
      <c r="B30" s="854"/>
      <c r="C30" s="855"/>
      <c r="D30" s="368">
        <v>2</v>
      </c>
      <c r="E30" s="465" t="s">
        <v>459</v>
      </c>
      <c r="F30" s="466">
        <f t="shared" ref="F30:F48" si="10">IFERROR(Q30*G30,"-")</f>
        <v>1673.35</v>
      </c>
      <c r="G30" s="376">
        <v>2.4499999999999997</v>
      </c>
      <c r="H30" s="467">
        <v>153277</v>
      </c>
      <c r="I30" s="467">
        <v>153277</v>
      </c>
      <c r="J30" s="469">
        <f t="shared" ref="J30:J48" si="11">IFERROR(I30/H30,"-")</f>
        <v>1</v>
      </c>
      <c r="K30" s="468">
        <v>153960</v>
      </c>
      <c r="L30" s="469">
        <f t="shared" ref="L30:L48" si="12">IFERROR(K30/H30,"-")</f>
        <v>1.0044559849161974</v>
      </c>
      <c r="M30" s="468">
        <v>1320</v>
      </c>
      <c r="N30" s="469">
        <f t="shared" ref="N30:N48" si="13">IFERROR(M30/H30,"-")</f>
        <v>8.6118595744958479E-3</v>
      </c>
      <c r="O30" s="470">
        <f t="shared" ref="O30:O48" si="14">IFERROR(K30+M30,"-")</f>
        <v>155280</v>
      </c>
      <c r="P30" s="469">
        <f t="shared" ref="P30:P48" si="15">IFERROR(O30/H30,"-")</f>
        <v>1.0130678444906933</v>
      </c>
      <c r="Q30" s="467">
        <v>683</v>
      </c>
      <c r="R30" s="469">
        <f t="shared" ref="R30:R48" si="16">IFERROR(Q30/H30,"-")</f>
        <v>4.4559849161974726E-3</v>
      </c>
      <c r="S30" s="470">
        <f t="shared" ref="S30:S48" si="17">IFERROR(O30-H30,"-")</f>
        <v>2003</v>
      </c>
      <c r="T30" s="469">
        <f t="shared" ref="T30:T48" si="18">IFERROR(S30/H30,"-")</f>
        <v>1.306784449069332E-2</v>
      </c>
      <c r="U30" s="372">
        <f t="shared" ref="U30:U48" si="19">IFERROR(S30*G30,"-")</f>
        <v>4907.3499999999995</v>
      </c>
      <c r="V30" s="378" t="s">
        <v>423</v>
      </c>
      <c r="W30" s="378" t="s">
        <v>339</v>
      </c>
      <c r="X30" s="379"/>
      <c r="Y30" s="379"/>
      <c r="Z30" s="379">
        <v>1</v>
      </c>
      <c r="AA30" s="471" t="s">
        <v>342</v>
      </c>
      <c r="AC30" s="161" t="s">
        <v>244</v>
      </c>
      <c r="AD30" s="161" t="s">
        <v>456</v>
      </c>
      <c r="AE30" s="156" t="s">
        <v>716</v>
      </c>
      <c r="AF30" s="156" t="s">
        <v>339</v>
      </c>
      <c r="AG30" s="156" t="s">
        <v>436</v>
      </c>
      <c r="AH30" s="156" t="s">
        <v>215</v>
      </c>
      <c r="AI30" s="156" t="s">
        <v>216</v>
      </c>
      <c r="AJ30" s="156" t="s">
        <v>390</v>
      </c>
    </row>
    <row r="31" spans="2:36" s="148" customFormat="1" ht="27" customHeight="1">
      <c r="B31" s="854"/>
      <c r="C31" s="855"/>
      <c r="D31" s="368">
        <v>3</v>
      </c>
      <c r="E31" s="465" t="s">
        <v>458</v>
      </c>
      <c r="F31" s="466">
        <f t="shared" si="10"/>
        <v>1312.74</v>
      </c>
      <c r="G31" s="376">
        <v>1.17</v>
      </c>
      <c r="H31" s="467">
        <v>310325</v>
      </c>
      <c r="I31" s="467">
        <v>310325</v>
      </c>
      <c r="J31" s="469">
        <f t="shared" si="11"/>
        <v>1</v>
      </c>
      <c r="K31" s="468">
        <v>312180</v>
      </c>
      <c r="L31" s="469">
        <f t="shared" si="12"/>
        <v>1.0059776041247079</v>
      </c>
      <c r="M31" s="468">
        <v>350</v>
      </c>
      <c r="N31" s="469">
        <f t="shared" si="13"/>
        <v>1.12784983485056E-3</v>
      </c>
      <c r="O31" s="470">
        <f t="shared" si="14"/>
        <v>312530</v>
      </c>
      <c r="P31" s="469">
        <f t="shared" si="15"/>
        <v>1.0071054539595585</v>
      </c>
      <c r="Q31" s="467">
        <v>1122</v>
      </c>
      <c r="R31" s="469">
        <f t="shared" si="16"/>
        <v>3.6155643277209376E-3</v>
      </c>
      <c r="S31" s="470">
        <f t="shared" si="17"/>
        <v>2205</v>
      </c>
      <c r="T31" s="469">
        <f t="shared" si="18"/>
        <v>7.1054539595585275E-3</v>
      </c>
      <c r="U31" s="372">
        <f t="shared" si="19"/>
        <v>2579.85</v>
      </c>
      <c r="V31" s="378" t="s">
        <v>423</v>
      </c>
      <c r="W31" s="378" t="s">
        <v>339</v>
      </c>
      <c r="X31" s="379"/>
      <c r="Y31" s="379"/>
      <c r="Z31" s="379">
        <v>1</v>
      </c>
      <c r="AA31" s="471" t="s">
        <v>342</v>
      </c>
      <c r="AC31" s="388">
        <f>SUM(Z29:Z48)</f>
        <v>20</v>
      </c>
      <c r="AD31" s="382">
        <f>SUMIF($W$29:$W$48,TRIM(AD30),$Z$29:$Z$48)</f>
        <v>15</v>
      </c>
      <c r="AE31" s="382">
        <f t="shared" ref="AE31:AJ31" si="20">SUMIF($W$29:$W$48,TRIM(AE30),$Z$29:$Z$48)</f>
        <v>0</v>
      </c>
      <c r="AF31" s="382">
        <f t="shared" si="20"/>
        <v>3</v>
      </c>
      <c r="AG31" s="382">
        <f t="shared" si="20"/>
        <v>0</v>
      </c>
      <c r="AH31" s="382">
        <f t="shared" si="20"/>
        <v>1</v>
      </c>
      <c r="AI31" s="382">
        <f t="shared" si="20"/>
        <v>1</v>
      </c>
      <c r="AJ31" s="382">
        <f t="shared" si="20"/>
        <v>0</v>
      </c>
    </row>
    <row r="32" spans="2:36" s="148" customFormat="1" ht="27" customHeight="1">
      <c r="B32" s="854"/>
      <c r="C32" s="855"/>
      <c r="D32" s="368">
        <v>4</v>
      </c>
      <c r="E32" s="465" t="s">
        <v>336</v>
      </c>
      <c r="F32" s="466">
        <f t="shared" si="10"/>
        <v>1270.7799</v>
      </c>
      <c r="G32" s="376">
        <v>141.66999999999999</v>
      </c>
      <c r="H32" s="467">
        <v>608.49</v>
      </c>
      <c r="I32" s="467">
        <v>608.49</v>
      </c>
      <c r="J32" s="469">
        <f t="shared" si="11"/>
        <v>1</v>
      </c>
      <c r="K32" s="468">
        <v>619.6400000000001</v>
      </c>
      <c r="L32" s="469">
        <f t="shared" si="12"/>
        <v>1.0183240480533782</v>
      </c>
      <c r="M32" s="468">
        <v>0</v>
      </c>
      <c r="N32" s="469">
        <f t="shared" si="13"/>
        <v>0</v>
      </c>
      <c r="O32" s="470">
        <f t="shared" si="14"/>
        <v>619.6400000000001</v>
      </c>
      <c r="P32" s="469">
        <f t="shared" si="15"/>
        <v>1.0183240480533782</v>
      </c>
      <c r="Q32" s="467">
        <v>8.9700000000000006</v>
      </c>
      <c r="R32" s="469">
        <f t="shared" si="16"/>
        <v>1.4741409061775873E-2</v>
      </c>
      <c r="S32" s="470">
        <f t="shared" si="17"/>
        <v>11.150000000000091</v>
      </c>
      <c r="T32" s="469">
        <f t="shared" si="18"/>
        <v>1.8324048053378183E-2</v>
      </c>
      <c r="U32" s="372">
        <f t="shared" si="19"/>
        <v>1579.6205000000127</v>
      </c>
      <c r="V32" s="378" t="s">
        <v>423</v>
      </c>
      <c r="W32" s="378" t="s">
        <v>456</v>
      </c>
      <c r="X32" s="379"/>
      <c r="Y32" s="379"/>
      <c r="Z32" s="379">
        <v>1</v>
      </c>
      <c r="AA32" s="471" t="s">
        <v>344</v>
      </c>
      <c r="AC32" s="389" t="s">
        <v>11</v>
      </c>
      <c r="AD32" s="386">
        <f>SUMIF($W$29:$W48,TRIM(AD30),$F$29:$F$48)</f>
        <v>17292.7084</v>
      </c>
      <c r="AE32" s="386">
        <f>SUMIF($W$29:$W48,TRIM(AE30),$F$29:$F$48)</f>
        <v>0</v>
      </c>
      <c r="AF32" s="386">
        <f>SUMIF($W$29:$W48,TRIM(AF30),$F$29:$F$48)</f>
        <v>4193.59</v>
      </c>
      <c r="AG32" s="386">
        <f>SUMIF($W$29:$W48,TRIM(AG30),$F$29:$F$48)</f>
        <v>0</v>
      </c>
      <c r="AH32" s="386">
        <f>SUMIF($W$29:$W48,TRIM(AH30),$F$29:$F$48)</f>
        <v>1157.0999999999999</v>
      </c>
      <c r="AI32" s="386">
        <f>SUMIF($W$29:$W48,TRIM(AI30),$F$29:$F$48)</f>
        <v>2255.7000000000003</v>
      </c>
      <c r="AJ32" s="386">
        <f>SUMIF($W$29:$W48,TRIM(AJ30),$F$29:$F$48)</f>
        <v>0</v>
      </c>
    </row>
    <row r="33" spans="2:36" s="148" customFormat="1" ht="27" customHeight="1">
      <c r="B33" s="854"/>
      <c r="C33" s="855"/>
      <c r="D33" s="368">
        <v>5</v>
      </c>
      <c r="E33" s="465" t="s">
        <v>361</v>
      </c>
      <c r="F33" s="466">
        <f t="shared" si="10"/>
        <v>1208.6592000000003</v>
      </c>
      <c r="G33" s="376">
        <v>253.92000000000002</v>
      </c>
      <c r="H33" s="467">
        <v>230.32999999999998</v>
      </c>
      <c r="I33" s="467">
        <v>230.32999999999998</v>
      </c>
      <c r="J33" s="469">
        <f t="shared" si="11"/>
        <v>1</v>
      </c>
      <c r="K33" s="468">
        <v>236.41000000000003</v>
      </c>
      <c r="L33" s="469">
        <f t="shared" si="12"/>
        <v>1.0263969087830507</v>
      </c>
      <c r="M33" s="468">
        <v>0</v>
      </c>
      <c r="N33" s="469">
        <f t="shared" si="13"/>
        <v>0</v>
      </c>
      <c r="O33" s="470">
        <f t="shared" si="14"/>
        <v>236.41000000000003</v>
      </c>
      <c r="P33" s="469">
        <f t="shared" si="15"/>
        <v>1.0263969087830507</v>
      </c>
      <c r="Q33" s="467">
        <v>4.7600000000000007</v>
      </c>
      <c r="R33" s="469">
        <f t="shared" si="16"/>
        <v>2.0666000955151309E-2</v>
      </c>
      <c r="S33" s="470">
        <f t="shared" si="17"/>
        <v>6.0800000000000409</v>
      </c>
      <c r="T33" s="469">
        <f t="shared" si="18"/>
        <v>2.6396908783050586E-2</v>
      </c>
      <c r="U33" s="372">
        <f t="shared" si="19"/>
        <v>1543.8336000000104</v>
      </c>
      <c r="V33" s="378" t="s">
        <v>423</v>
      </c>
      <c r="W33" s="378" t="s">
        <v>456</v>
      </c>
      <c r="X33" s="379"/>
      <c r="Y33" s="379"/>
      <c r="Z33" s="379">
        <v>1</v>
      </c>
      <c r="AA33" s="471" t="s">
        <v>353</v>
      </c>
      <c r="AC33" s="368" t="s">
        <v>717</v>
      </c>
      <c r="AD33" s="472">
        <f t="shared" ref="AD33:AJ33" si="21">AD31/$AC31</f>
        <v>0.75</v>
      </c>
      <c r="AE33" s="472">
        <f t="shared" si="21"/>
        <v>0</v>
      </c>
      <c r="AF33" s="472">
        <f t="shared" si="21"/>
        <v>0.15</v>
      </c>
      <c r="AG33" s="472">
        <f t="shared" si="21"/>
        <v>0</v>
      </c>
      <c r="AH33" s="472">
        <f t="shared" si="21"/>
        <v>0.05</v>
      </c>
      <c r="AI33" s="472">
        <f t="shared" si="21"/>
        <v>0.05</v>
      </c>
      <c r="AJ33" s="472">
        <f t="shared" si="21"/>
        <v>0</v>
      </c>
    </row>
    <row r="34" spans="2:36" s="148" customFormat="1" ht="27" customHeight="1">
      <c r="B34" s="854"/>
      <c r="C34" s="855"/>
      <c r="D34" s="368">
        <v>6</v>
      </c>
      <c r="E34" s="465" t="s">
        <v>556</v>
      </c>
      <c r="F34" s="466">
        <f t="shared" si="10"/>
        <v>1207.4999999999998</v>
      </c>
      <c r="G34" s="376">
        <v>16.099999999999998</v>
      </c>
      <c r="H34" s="467">
        <v>11045</v>
      </c>
      <c r="I34" s="467">
        <v>11045</v>
      </c>
      <c r="J34" s="469">
        <f t="shared" si="11"/>
        <v>1</v>
      </c>
      <c r="K34" s="468">
        <v>11138</v>
      </c>
      <c r="L34" s="469">
        <f t="shared" si="12"/>
        <v>1.0084200995925758</v>
      </c>
      <c r="M34" s="468">
        <v>157</v>
      </c>
      <c r="N34" s="469">
        <f t="shared" si="13"/>
        <v>1.4214576731552738E-2</v>
      </c>
      <c r="O34" s="470">
        <f t="shared" si="14"/>
        <v>11295</v>
      </c>
      <c r="P34" s="469">
        <f t="shared" si="15"/>
        <v>1.0226346763241285</v>
      </c>
      <c r="Q34" s="467">
        <v>75</v>
      </c>
      <c r="R34" s="469">
        <f t="shared" si="16"/>
        <v>6.7904028972385691E-3</v>
      </c>
      <c r="S34" s="470">
        <f t="shared" si="17"/>
        <v>250</v>
      </c>
      <c r="T34" s="469">
        <f t="shared" si="18"/>
        <v>2.2634676324128564E-2</v>
      </c>
      <c r="U34" s="372">
        <f t="shared" si="19"/>
        <v>4024.9999999999995</v>
      </c>
      <c r="V34" s="378" t="s">
        <v>423</v>
      </c>
      <c r="W34" s="378" t="s">
        <v>339</v>
      </c>
      <c r="X34" s="379"/>
      <c r="Y34" s="379"/>
      <c r="Z34" s="379">
        <v>1</v>
      </c>
      <c r="AA34" s="471" t="s">
        <v>553</v>
      </c>
    </row>
    <row r="35" spans="2:36" s="148" customFormat="1" ht="27" customHeight="1">
      <c r="B35" s="854"/>
      <c r="C35" s="855"/>
      <c r="D35" s="368">
        <v>7</v>
      </c>
      <c r="E35" s="465" t="s">
        <v>448</v>
      </c>
      <c r="F35" s="466">
        <f t="shared" si="10"/>
        <v>1194.9938</v>
      </c>
      <c r="G35" s="376">
        <v>181.60999999999999</v>
      </c>
      <c r="H35" s="467">
        <v>465.24</v>
      </c>
      <c r="I35" s="467">
        <v>465.24</v>
      </c>
      <c r="J35" s="469">
        <f t="shared" si="11"/>
        <v>1</v>
      </c>
      <c r="K35" s="468">
        <v>474.02</v>
      </c>
      <c r="L35" s="469">
        <f t="shared" si="12"/>
        <v>1.0188719800533057</v>
      </c>
      <c r="M35" s="468">
        <v>0</v>
      </c>
      <c r="N35" s="469">
        <f t="shared" si="13"/>
        <v>0</v>
      </c>
      <c r="O35" s="470">
        <f t="shared" si="14"/>
        <v>474.02</v>
      </c>
      <c r="P35" s="469">
        <f t="shared" si="15"/>
        <v>1.0188719800533057</v>
      </c>
      <c r="Q35" s="467">
        <v>6.58</v>
      </c>
      <c r="R35" s="469">
        <f t="shared" si="16"/>
        <v>1.4143237898718941E-2</v>
      </c>
      <c r="S35" s="470">
        <f t="shared" si="17"/>
        <v>8.7799999999999727</v>
      </c>
      <c r="T35" s="469">
        <f t="shared" si="18"/>
        <v>1.8871980053305763E-2</v>
      </c>
      <c r="U35" s="372">
        <f t="shared" si="19"/>
        <v>1594.5357999999949</v>
      </c>
      <c r="V35" s="378" t="s">
        <v>423</v>
      </c>
      <c r="W35" s="378" t="s">
        <v>456</v>
      </c>
      <c r="X35" s="379"/>
      <c r="Y35" s="379"/>
      <c r="Z35" s="379">
        <v>1</v>
      </c>
      <c r="AA35" s="471" t="s">
        <v>447</v>
      </c>
    </row>
    <row r="36" spans="2:36" s="148" customFormat="1" ht="27" customHeight="1">
      <c r="B36" s="854"/>
      <c r="C36" s="855"/>
      <c r="D36" s="368">
        <v>8</v>
      </c>
      <c r="E36" s="465" t="s">
        <v>481</v>
      </c>
      <c r="F36" s="466">
        <f t="shared" si="10"/>
        <v>1168.3672000000001</v>
      </c>
      <c r="G36" s="376">
        <v>160.49</v>
      </c>
      <c r="H36" s="467">
        <v>714.95</v>
      </c>
      <c r="I36" s="467">
        <v>714.95</v>
      </c>
      <c r="J36" s="469">
        <f t="shared" si="11"/>
        <v>1</v>
      </c>
      <c r="K36" s="468">
        <v>725.18</v>
      </c>
      <c r="L36" s="469">
        <f t="shared" si="12"/>
        <v>1.0143086929155885</v>
      </c>
      <c r="M36" s="468">
        <v>44.980000000000004</v>
      </c>
      <c r="N36" s="469">
        <f t="shared" si="13"/>
        <v>6.2913490453877896E-2</v>
      </c>
      <c r="O36" s="470">
        <f t="shared" si="14"/>
        <v>770.16</v>
      </c>
      <c r="P36" s="469">
        <f t="shared" si="15"/>
        <v>1.0772221833694662</v>
      </c>
      <c r="Q36" s="467">
        <v>7.28</v>
      </c>
      <c r="R36" s="469">
        <f t="shared" si="16"/>
        <v>1.018253024687041E-2</v>
      </c>
      <c r="S36" s="470">
        <f t="shared" si="17"/>
        <v>55.209999999999923</v>
      </c>
      <c r="T36" s="469">
        <f t="shared" si="18"/>
        <v>7.7222183369466277E-2</v>
      </c>
      <c r="U36" s="372">
        <f t="shared" si="19"/>
        <v>8860.6528999999882</v>
      </c>
      <c r="V36" s="378" t="s">
        <v>423</v>
      </c>
      <c r="W36" s="378" t="s">
        <v>456</v>
      </c>
      <c r="X36" s="379"/>
      <c r="Y36" s="379"/>
      <c r="Z36" s="379">
        <v>1</v>
      </c>
      <c r="AA36" s="471" t="s">
        <v>441</v>
      </c>
    </row>
    <row r="37" spans="2:36" s="148" customFormat="1" ht="27" customHeight="1">
      <c r="B37" s="854"/>
      <c r="C37" s="855"/>
      <c r="D37" s="368">
        <v>9</v>
      </c>
      <c r="E37" s="465" t="s">
        <v>360</v>
      </c>
      <c r="F37" s="466">
        <f t="shared" si="10"/>
        <v>1162.5045000000002</v>
      </c>
      <c r="G37" s="376">
        <v>183.65000000000003</v>
      </c>
      <c r="H37" s="467">
        <v>285.16999999999996</v>
      </c>
      <c r="I37" s="467">
        <v>285.16999999999996</v>
      </c>
      <c r="J37" s="469">
        <f t="shared" si="11"/>
        <v>1</v>
      </c>
      <c r="K37" s="468">
        <v>294.89</v>
      </c>
      <c r="L37" s="469">
        <f t="shared" si="12"/>
        <v>1.0340849317950698</v>
      </c>
      <c r="M37" s="468">
        <v>1.66</v>
      </c>
      <c r="N37" s="469">
        <f t="shared" si="13"/>
        <v>5.821089174878143E-3</v>
      </c>
      <c r="O37" s="470">
        <f t="shared" si="14"/>
        <v>296.55</v>
      </c>
      <c r="P37" s="469">
        <f t="shared" si="15"/>
        <v>1.039906020969948</v>
      </c>
      <c r="Q37" s="467">
        <v>6.33</v>
      </c>
      <c r="R37" s="469">
        <f t="shared" si="16"/>
        <v>2.2197285829505212E-2</v>
      </c>
      <c r="S37" s="470">
        <f t="shared" si="17"/>
        <v>11.380000000000052</v>
      </c>
      <c r="T37" s="469">
        <f t="shared" si="18"/>
        <v>3.9906020969947942E-2</v>
      </c>
      <c r="U37" s="372">
        <f t="shared" si="19"/>
        <v>2089.9370000000099</v>
      </c>
      <c r="V37" s="378" t="s">
        <v>423</v>
      </c>
      <c r="W37" s="378" t="s">
        <v>456</v>
      </c>
      <c r="X37" s="379"/>
      <c r="Y37" s="379"/>
      <c r="Z37" s="379">
        <v>1</v>
      </c>
      <c r="AA37" s="471" t="s">
        <v>353</v>
      </c>
    </row>
    <row r="38" spans="2:36" s="148" customFormat="1" ht="27" customHeight="1">
      <c r="B38" s="854"/>
      <c r="C38" s="855"/>
      <c r="D38" s="368">
        <v>10</v>
      </c>
      <c r="E38" s="465" t="s">
        <v>686</v>
      </c>
      <c r="F38" s="466">
        <f t="shared" si="10"/>
        <v>1157.0999999999999</v>
      </c>
      <c r="G38" s="376">
        <v>105</v>
      </c>
      <c r="H38" s="467">
        <v>692.60000000000014</v>
      </c>
      <c r="I38" s="467">
        <v>692.60000000000014</v>
      </c>
      <c r="J38" s="469">
        <f t="shared" si="11"/>
        <v>1</v>
      </c>
      <c r="K38" s="468">
        <v>708.68</v>
      </c>
      <c r="L38" s="469">
        <f t="shared" si="12"/>
        <v>1.0232168639907593</v>
      </c>
      <c r="M38" s="468">
        <v>4.2799999999999994</v>
      </c>
      <c r="N38" s="469">
        <f t="shared" si="13"/>
        <v>6.1796130522668189E-3</v>
      </c>
      <c r="O38" s="470">
        <f t="shared" si="14"/>
        <v>712.95999999999992</v>
      </c>
      <c r="P38" s="469">
        <f t="shared" si="15"/>
        <v>1.0293964770430259</v>
      </c>
      <c r="Q38" s="467">
        <v>11.02</v>
      </c>
      <c r="R38" s="469">
        <f t="shared" si="16"/>
        <v>1.5911059774761763E-2</v>
      </c>
      <c r="S38" s="470">
        <f t="shared" si="17"/>
        <v>20.359999999999786</v>
      </c>
      <c r="T38" s="469">
        <f t="shared" si="18"/>
        <v>2.9396477043025962E-2</v>
      </c>
      <c r="U38" s="372">
        <f t="shared" si="19"/>
        <v>2137.7999999999774</v>
      </c>
      <c r="V38" s="378" t="s">
        <v>423</v>
      </c>
      <c r="W38" s="378" t="s">
        <v>215</v>
      </c>
      <c r="X38" s="379"/>
      <c r="Y38" s="379"/>
      <c r="Z38" s="379">
        <v>1</v>
      </c>
      <c r="AA38" s="471" t="s">
        <v>352</v>
      </c>
    </row>
    <row r="39" spans="2:36" s="148" customFormat="1" ht="27" customHeight="1">
      <c r="B39" s="854"/>
      <c r="C39" s="855"/>
      <c r="D39" s="368">
        <v>11</v>
      </c>
      <c r="E39" s="465" t="s">
        <v>555</v>
      </c>
      <c r="F39" s="466">
        <f t="shared" si="10"/>
        <v>1140.8369999999998</v>
      </c>
      <c r="G39" s="376">
        <v>139.97999999999999</v>
      </c>
      <c r="H39" s="467">
        <v>883.59999999999991</v>
      </c>
      <c r="I39" s="467">
        <v>883.59999999999991</v>
      </c>
      <c r="J39" s="469">
        <f t="shared" si="11"/>
        <v>1</v>
      </c>
      <c r="K39" s="468">
        <v>894.1</v>
      </c>
      <c r="L39" s="469">
        <f t="shared" si="12"/>
        <v>1.0118832050701676</v>
      </c>
      <c r="M39" s="468">
        <v>57.849999999999994</v>
      </c>
      <c r="N39" s="469">
        <f t="shared" si="13"/>
        <v>6.5470801267541873E-2</v>
      </c>
      <c r="O39" s="470">
        <f t="shared" si="14"/>
        <v>951.95</v>
      </c>
      <c r="P39" s="469">
        <f t="shared" si="15"/>
        <v>1.0773540063377096</v>
      </c>
      <c r="Q39" s="467">
        <v>8.1499999999999986</v>
      </c>
      <c r="R39" s="469">
        <f t="shared" si="16"/>
        <v>9.2236306020823892E-3</v>
      </c>
      <c r="S39" s="470">
        <f t="shared" si="17"/>
        <v>68.350000000000136</v>
      </c>
      <c r="T39" s="469">
        <f t="shared" si="18"/>
        <v>7.735400633770953E-2</v>
      </c>
      <c r="U39" s="372">
        <f t="shared" si="19"/>
        <v>9567.633000000018</v>
      </c>
      <c r="V39" s="378" t="s">
        <v>423</v>
      </c>
      <c r="W39" s="378" t="s">
        <v>456</v>
      </c>
      <c r="X39" s="379"/>
      <c r="Y39" s="379"/>
      <c r="Z39" s="379">
        <v>1</v>
      </c>
      <c r="AA39" s="471" t="s">
        <v>553</v>
      </c>
      <c r="AE39" s="383"/>
    </row>
    <row r="40" spans="2:36" s="148" customFormat="1" ht="27" customHeight="1">
      <c r="B40" s="854"/>
      <c r="C40" s="855"/>
      <c r="D40" s="368">
        <v>12</v>
      </c>
      <c r="E40" s="465" t="s">
        <v>745</v>
      </c>
      <c r="F40" s="466">
        <f t="shared" si="10"/>
        <v>1135.1143999999999</v>
      </c>
      <c r="G40" s="376">
        <v>176.26</v>
      </c>
      <c r="H40" s="467">
        <v>332.6</v>
      </c>
      <c r="I40" s="467">
        <v>332.6</v>
      </c>
      <c r="J40" s="469">
        <f t="shared" si="11"/>
        <v>1</v>
      </c>
      <c r="K40" s="468">
        <v>342.71999999999991</v>
      </c>
      <c r="L40" s="469">
        <f t="shared" si="12"/>
        <v>1.0304269392663856</v>
      </c>
      <c r="M40" s="468">
        <v>0</v>
      </c>
      <c r="N40" s="469">
        <f t="shared" si="13"/>
        <v>0</v>
      </c>
      <c r="O40" s="470">
        <f t="shared" si="14"/>
        <v>342.71999999999991</v>
      </c>
      <c r="P40" s="469">
        <f t="shared" si="15"/>
        <v>1.0304269392663856</v>
      </c>
      <c r="Q40" s="467">
        <v>6.44</v>
      </c>
      <c r="R40" s="469">
        <f t="shared" si="16"/>
        <v>1.9362597714972941E-2</v>
      </c>
      <c r="S40" s="470">
        <f t="shared" si="17"/>
        <v>10.119999999999891</v>
      </c>
      <c r="T40" s="469">
        <f t="shared" si="18"/>
        <v>3.0426939266385719E-2</v>
      </c>
      <c r="U40" s="372">
        <f t="shared" si="19"/>
        <v>1783.7511999999806</v>
      </c>
      <c r="V40" s="378" t="s">
        <v>423</v>
      </c>
      <c r="W40" s="378" t="s">
        <v>456</v>
      </c>
      <c r="X40" s="379"/>
      <c r="Y40" s="379"/>
      <c r="Z40" s="379">
        <v>1</v>
      </c>
      <c r="AA40" s="471" t="s">
        <v>580</v>
      </c>
    </row>
    <row r="41" spans="2:36" s="148" customFormat="1" ht="27" customHeight="1">
      <c r="B41" s="854"/>
      <c r="C41" s="855"/>
      <c r="D41" s="368">
        <v>13</v>
      </c>
      <c r="E41" s="465" t="s">
        <v>746</v>
      </c>
      <c r="F41" s="466">
        <f t="shared" si="10"/>
        <v>1134.7517999999998</v>
      </c>
      <c r="G41" s="376">
        <v>207.82999999999998</v>
      </c>
      <c r="H41" s="467">
        <v>165.96</v>
      </c>
      <c r="I41" s="467">
        <v>165.96</v>
      </c>
      <c r="J41" s="469">
        <f t="shared" si="11"/>
        <v>1</v>
      </c>
      <c r="K41" s="468">
        <v>173.08</v>
      </c>
      <c r="L41" s="469">
        <f t="shared" si="12"/>
        <v>1.0429019040732708</v>
      </c>
      <c r="M41" s="468">
        <v>2</v>
      </c>
      <c r="N41" s="469">
        <f t="shared" si="13"/>
        <v>1.2051096649795132E-2</v>
      </c>
      <c r="O41" s="470">
        <f t="shared" si="14"/>
        <v>175.08</v>
      </c>
      <c r="P41" s="469">
        <f t="shared" si="15"/>
        <v>1.0549530007230659</v>
      </c>
      <c r="Q41" s="467">
        <v>5.4599999999999991</v>
      </c>
      <c r="R41" s="469">
        <f t="shared" si="16"/>
        <v>3.2899493853940705E-2</v>
      </c>
      <c r="S41" s="470">
        <f t="shared" si="17"/>
        <v>9.1200000000000045</v>
      </c>
      <c r="T41" s="469">
        <f t="shared" si="18"/>
        <v>5.4953000723065824E-2</v>
      </c>
      <c r="U41" s="372">
        <f t="shared" si="19"/>
        <v>1895.4096000000009</v>
      </c>
      <c r="V41" s="378" t="s">
        <v>423</v>
      </c>
      <c r="W41" s="378" t="s">
        <v>456</v>
      </c>
      <c r="X41" s="379"/>
      <c r="Y41" s="379"/>
      <c r="Z41" s="379">
        <v>1</v>
      </c>
      <c r="AA41" s="471" t="s">
        <v>356</v>
      </c>
    </row>
    <row r="42" spans="2:36" s="148" customFormat="1" ht="27" customHeight="1">
      <c r="B42" s="854"/>
      <c r="C42" s="855"/>
      <c r="D42" s="368">
        <v>14</v>
      </c>
      <c r="E42" s="465" t="s">
        <v>623</v>
      </c>
      <c r="F42" s="466">
        <f t="shared" si="10"/>
        <v>1129.44</v>
      </c>
      <c r="G42" s="376">
        <v>144.79999999999998</v>
      </c>
      <c r="H42" s="467">
        <v>1403.97</v>
      </c>
      <c r="I42" s="467">
        <v>1403.97</v>
      </c>
      <c r="J42" s="469">
        <f t="shared" si="11"/>
        <v>1</v>
      </c>
      <c r="K42" s="468">
        <v>1417.45</v>
      </c>
      <c r="L42" s="469">
        <f t="shared" si="12"/>
        <v>1.0096013447580789</v>
      </c>
      <c r="M42" s="468">
        <v>17.330000000000002</v>
      </c>
      <c r="N42" s="469">
        <f t="shared" si="13"/>
        <v>1.2343568594770545E-2</v>
      </c>
      <c r="O42" s="470">
        <f t="shared" si="14"/>
        <v>1434.78</v>
      </c>
      <c r="P42" s="469">
        <f t="shared" si="15"/>
        <v>1.0219449133528493</v>
      </c>
      <c r="Q42" s="467">
        <v>7.8000000000000007</v>
      </c>
      <c r="R42" s="469">
        <f t="shared" si="16"/>
        <v>5.5556742665441574E-3</v>
      </c>
      <c r="S42" s="470">
        <f t="shared" si="17"/>
        <v>30.809999999999945</v>
      </c>
      <c r="T42" s="469">
        <f t="shared" si="18"/>
        <v>2.1944913352849382E-2</v>
      </c>
      <c r="U42" s="372">
        <f t="shared" si="19"/>
        <v>4461.2879999999914</v>
      </c>
      <c r="V42" s="378" t="s">
        <v>423</v>
      </c>
      <c r="W42" s="378" t="s">
        <v>456</v>
      </c>
      <c r="X42" s="379"/>
      <c r="Y42" s="379"/>
      <c r="Z42" s="379">
        <v>1</v>
      </c>
      <c r="AA42" s="471" t="s">
        <v>342</v>
      </c>
    </row>
    <row r="43" spans="2:36" s="148" customFormat="1" ht="27" customHeight="1">
      <c r="B43" s="854"/>
      <c r="C43" s="855"/>
      <c r="D43" s="368">
        <v>15</v>
      </c>
      <c r="E43" s="465" t="s">
        <v>747</v>
      </c>
      <c r="F43" s="466">
        <f t="shared" si="10"/>
        <v>1129.0047999999999</v>
      </c>
      <c r="G43" s="376">
        <v>278.08</v>
      </c>
      <c r="H43" s="467">
        <v>88.36</v>
      </c>
      <c r="I43" s="467">
        <v>88.36</v>
      </c>
      <c r="J43" s="469">
        <f t="shared" si="11"/>
        <v>1</v>
      </c>
      <c r="K43" s="468">
        <v>95.690000000000012</v>
      </c>
      <c r="L43" s="469">
        <f t="shared" si="12"/>
        <v>1.0829560887279313</v>
      </c>
      <c r="M43" s="468">
        <v>3.96</v>
      </c>
      <c r="N43" s="469">
        <f t="shared" si="13"/>
        <v>4.4816659121774557E-2</v>
      </c>
      <c r="O43" s="470">
        <f t="shared" si="14"/>
        <v>99.65</v>
      </c>
      <c r="P43" s="469">
        <f t="shared" si="15"/>
        <v>1.1277727478497057</v>
      </c>
      <c r="Q43" s="467">
        <v>4.0599999999999996</v>
      </c>
      <c r="R43" s="469">
        <f t="shared" si="16"/>
        <v>4.5948392937980982E-2</v>
      </c>
      <c r="S43" s="470">
        <f t="shared" si="17"/>
        <v>11.290000000000006</v>
      </c>
      <c r="T43" s="469">
        <f t="shared" si="18"/>
        <v>0.12777274784970583</v>
      </c>
      <c r="U43" s="372">
        <f t="shared" si="19"/>
        <v>3139.5232000000015</v>
      </c>
      <c r="V43" s="378" t="s">
        <v>423</v>
      </c>
      <c r="W43" s="378" t="s">
        <v>456</v>
      </c>
      <c r="X43" s="379"/>
      <c r="Y43" s="379"/>
      <c r="Z43" s="379">
        <v>1</v>
      </c>
      <c r="AA43" s="471" t="s">
        <v>553</v>
      </c>
    </row>
    <row r="44" spans="2:36" s="148" customFormat="1" ht="27" customHeight="1">
      <c r="B44" s="854"/>
      <c r="C44" s="855"/>
      <c r="D44" s="368">
        <v>16</v>
      </c>
      <c r="E44" s="465" t="s">
        <v>748</v>
      </c>
      <c r="F44" s="466">
        <f t="shared" si="10"/>
        <v>1128.4711999999997</v>
      </c>
      <c r="G44" s="376">
        <v>294.63999999999993</v>
      </c>
      <c r="H44" s="467">
        <v>180.26999999999998</v>
      </c>
      <c r="I44" s="467">
        <v>180.26999999999998</v>
      </c>
      <c r="J44" s="469">
        <f t="shared" si="11"/>
        <v>1</v>
      </c>
      <c r="K44" s="468">
        <v>188.19999999999996</v>
      </c>
      <c r="L44" s="469">
        <f t="shared" si="12"/>
        <v>1.0439895711987572</v>
      </c>
      <c r="M44" s="468">
        <v>9.75</v>
      </c>
      <c r="N44" s="469">
        <f t="shared" si="13"/>
        <v>5.408553835912798E-2</v>
      </c>
      <c r="O44" s="470">
        <f t="shared" si="14"/>
        <v>197.94999999999996</v>
      </c>
      <c r="P44" s="469">
        <f t="shared" si="15"/>
        <v>1.0980751095578853</v>
      </c>
      <c r="Q44" s="467">
        <v>3.83</v>
      </c>
      <c r="R44" s="469">
        <f t="shared" si="16"/>
        <v>2.124590891440617E-2</v>
      </c>
      <c r="S44" s="470">
        <f t="shared" si="17"/>
        <v>17.679999999999978</v>
      </c>
      <c r="T44" s="469">
        <f t="shared" si="18"/>
        <v>9.8075109557885287E-2</v>
      </c>
      <c r="U44" s="372">
        <f t="shared" si="19"/>
        <v>5209.2351999999928</v>
      </c>
      <c r="V44" s="378" t="s">
        <v>423</v>
      </c>
      <c r="W44" s="378" t="s">
        <v>456</v>
      </c>
      <c r="X44" s="379"/>
      <c r="Y44" s="379"/>
      <c r="Z44" s="379">
        <v>1</v>
      </c>
      <c r="AA44" s="471" t="s">
        <v>753</v>
      </c>
    </row>
    <row r="45" spans="2:36" s="148" customFormat="1" ht="27" customHeight="1">
      <c r="B45" s="854"/>
      <c r="C45" s="855"/>
      <c r="D45" s="368">
        <v>17</v>
      </c>
      <c r="E45" s="465" t="s">
        <v>749</v>
      </c>
      <c r="F45" s="466">
        <f t="shared" si="10"/>
        <v>1125.1042</v>
      </c>
      <c r="G45" s="376">
        <v>300.83</v>
      </c>
      <c r="H45" s="467">
        <v>131.62</v>
      </c>
      <c r="I45" s="467">
        <v>131.62</v>
      </c>
      <c r="J45" s="469">
        <f t="shared" si="11"/>
        <v>1</v>
      </c>
      <c r="K45" s="468">
        <v>137.06</v>
      </c>
      <c r="L45" s="469">
        <f t="shared" si="12"/>
        <v>1.0413311046953351</v>
      </c>
      <c r="M45" s="468">
        <v>2.7</v>
      </c>
      <c r="N45" s="469">
        <f t="shared" si="13"/>
        <v>2.0513599756875854E-2</v>
      </c>
      <c r="O45" s="470">
        <f t="shared" si="14"/>
        <v>139.76</v>
      </c>
      <c r="P45" s="469">
        <f t="shared" si="15"/>
        <v>1.0618447044522108</v>
      </c>
      <c r="Q45" s="467">
        <v>3.74</v>
      </c>
      <c r="R45" s="469">
        <f t="shared" si="16"/>
        <v>2.841513447804285E-2</v>
      </c>
      <c r="S45" s="470">
        <f t="shared" si="17"/>
        <v>8.1399999999999864</v>
      </c>
      <c r="T45" s="469">
        <f t="shared" si="18"/>
        <v>6.1844704452210804E-2</v>
      </c>
      <c r="U45" s="372">
        <f t="shared" si="19"/>
        <v>2448.7561999999957</v>
      </c>
      <c r="V45" s="378" t="s">
        <v>423</v>
      </c>
      <c r="W45" s="378" t="s">
        <v>456</v>
      </c>
      <c r="X45" s="379"/>
      <c r="Y45" s="379"/>
      <c r="Z45" s="379">
        <v>1</v>
      </c>
      <c r="AA45" s="471" t="s">
        <v>353</v>
      </c>
    </row>
    <row r="46" spans="2:36" s="148" customFormat="1" ht="27" customHeight="1">
      <c r="B46" s="854"/>
      <c r="C46" s="855"/>
      <c r="D46" s="368">
        <v>18</v>
      </c>
      <c r="E46" s="465" t="s">
        <v>750</v>
      </c>
      <c r="F46" s="466">
        <f t="shared" si="10"/>
        <v>1124.2436000000002</v>
      </c>
      <c r="G46" s="376">
        <v>172.43000000000004</v>
      </c>
      <c r="H46" s="467">
        <v>288.26</v>
      </c>
      <c r="I46" s="467">
        <v>288.26</v>
      </c>
      <c r="J46" s="469">
        <f t="shared" si="11"/>
        <v>1</v>
      </c>
      <c r="K46" s="468">
        <v>296.73999999999995</v>
      </c>
      <c r="L46" s="469">
        <f t="shared" si="12"/>
        <v>1.0294178866301253</v>
      </c>
      <c r="M46" s="468">
        <v>0</v>
      </c>
      <c r="N46" s="469">
        <f t="shared" si="13"/>
        <v>0</v>
      </c>
      <c r="O46" s="470">
        <f t="shared" si="14"/>
        <v>296.73999999999995</v>
      </c>
      <c r="P46" s="469">
        <f t="shared" si="15"/>
        <v>1.0294178866301253</v>
      </c>
      <c r="Q46" s="467">
        <v>6.52</v>
      </c>
      <c r="R46" s="469">
        <f t="shared" si="16"/>
        <v>2.2618469437313535E-2</v>
      </c>
      <c r="S46" s="470">
        <f t="shared" si="17"/>
        <v>8.4799999999999613</v>
      </c>
      <c r="T46" s="469">
        <f t="shared" si="18"/>
        <v>2.9417886630125449E-2</v>
      </c>
      <c r="U46" s="372">
        <f t="shared" si="19"/>
        <v>1462.2063999999937</v>
      </c>
      <c r="V46" s="378" t="s">
        <v>423</v>
      </c>
      <c r="W46" s="378" t="s">
        <v>456</v>
      </c>
      <c r="X46" s="379"/>
      <c r="Y46" s="379"/>
      <c r="Z46" s="379">
        <v>1</v>
      </c>
      <c r="AA46" s="471" t="s">
        <v>578</v>
      </c>
    </row>
    <row r="47" spans="2:36" s="148" customFormat="1" ht="27" customHeight="1">
      <c r="B47" s="854"/>
      <c r="C47" s="855"/>
      <c r="D47" s="368">
        <v>19</v>
      </c>
      <c r="E47" s="465" t="s">
        <v>751</v>
      </c>
      <c r="F47" s="466">
        <f t="shared" si="10"/>
        <v>1123.5224000000001</v>
      </c>
      <c r="G47" s="376">
        <v>40.04</v>
      </c>
      <c r="H47" s="467">
        <v>3058.9700000000003</v>
      </c>
      <c r="I47" s="467">
        <v>3058.9700000000003</v>
      </c>
      <c r="J47" s="469">
        <f t="shared" si="11"/>
        <v>1</v>
      </c>
      <c r="K47" s="468">
        <v>3111.84</v>
      </c>
      <c r="L47" s="469">
        <f t="shared" si="12"/>
        <v>1.0172835954586021</v>
      </c>
      <c r="M47" s="468">
        <v>67.44</v>
      </c>
      <c r="N47" s="469">
        <f t="shared" si="13"/>
        <v>2.2046636612977569E-2</v>
      </c>
      <c r="O47" s="470">
        <f t="shared" si="14"/>
        <v>3179.28</v>
      </c>
      <c r="P47" s="469">
        <f t="shared" si="15"/>
        <v>1.0393302320715796</v>
      </c>
      <c r="Q47" s="467">
        <v>28.060000000000002</v>
      </c>
      <c r="R47" s="469">
        <f t="shared" si="16"/>
        <v>9.173022291817181E-3</v>
      </c>
      <c r="S47" s="470">
        <f t="shared" si="17"/>
        <v>120.30999999999995</v>
      </c>
      <c r="T47" s="469">
        <f t="shared" si="18"/>
        <v>3.9330232071579631E-2</v>
      </c>
      <c r="U47" s="372">
        <f t="shared" si="19"/>
        <v>4817.2123999999976</v>
      </c>
      <c r="V47" s="378" t="s">
        <v>423</v>
      </c>
      <c r="W47" s="378" t="s">
        <v>456</v>
      </c>
      <c r="X47" s="379"/>
      <c r="Y47" s="379"/>
      <c r="Z47" s="379">
        <v>1</v>
      </c>
      <c r="AA47" s="471" t="s">
        <v>618</v>
      </c>
    </row>
    <row r="48" spans="2:36" s="148" customFormat="1" ht="27" customHeight="1">
      <c r="B48" s="856"/>
      <c r="C48" s="857"/>
      <c r="D48" s="368">
        <v>20</v>
      </c>
      <c r="E48" s="465" t="s">
        <v>752</v>
      </c>
      <c r="F48" s="466">
        <f t="shared" si="10"/>
        <v>1116.9144000000001</v>
      </c>
      <c r="G48" s="376">
        <v>209.16000000000003</v>
      </c>
      <c r="H48" s="467">
        <v>195.37000000000003</v>
      </c>
      <c r="I48" s="467">
        <v>195.37000000000003</v>
      </c>
      <c r="J48" s="469">
        <f t="shared" si="11"/>
        <v>1</v>
      </c>
      <c r="K48" s="468">
        <v>202.81</v>
      </c>
      <c r="L48" s="469">
        <f t="shared" si="12"/>
        <v>1.038081588780263</v>
      </c>
      <c r="M48" s="468">
        <v>2.92</v>
      </c>
      <c r="N48" s="469">
        <f t="shared" si="13"/>
        <v>1.4945999897630135E-2</v>
      </c>
      <c r="O48" s="470">
        <f t="shared" si="14"/>
        <v>205.73</v>
      </c>
      <c r="P48" s="469">
        <f t="shared" si="15"/>
        <v>1.053027588677893</v>
      </c>
      <c r="Q48" s="467">
        <v>5.34</v>
      </c>
      <c r="R48" s="469">
        <f t="shared" si="16"/>
        <v>2.733275323744689E-2</v>
      </c>
      <c r="S48" s="470">
        <f t="shared" si="17"/>
        <v>10.359999999999957</v>
      </c>
      <c r="T48" s="469">
        <f t="shared" si="18"/>
        <v>5.3027588677892999E-2</v>
      </c>
      <c r="U48" s="372">
        <f t="shared" si="19"/>
        <v>2166.8975999999911</v>
      </c>
      <c r="V48" s="378" t="s">
        <v>423</v>
      </c>
      <c r="W48" s="378" t="s">
        <v>456</v>
      </c>
      <c r="X48" s="379"/>
      <c r="Y48" s="379"/>
      <c r="Z48" s="379">
        <v>1</v>
      </c>
      <c r="AA48" s="471" t="s">
        <v>579</v>
      </c>
    </row>
    <row r="49" spans="2:36" ht="17.149999999999999" customHeight="1">
      <c r="B49" s="845" t="s">
        <v>453</v>
      </c>
      <c r="C49" s="846"/>
      <c r="D49" s="849" t="s">
        <v>703</v>
      </c>
      <c r="E49" s="850" t="s">
        <v>704</v>
      </c>
      <c r="F49" s="851" t="s">
        <v>705</v>
      </c>
      <c r="G49" s="829" t="s">
        <v>706</v>
      </c>
      <c r="H49" s="837" t="s">
        <v>707</v>
      </c>
      <c r="I49" s="838" t="s">
        <v>708</v>
      </c>
      <c r="J49" s="839"/>
      <c r="K49" s="838" t="s">
        <v>709</v>
      </c>
      <c r="L49" s="839"/>
      <c r="M49" s="838" t="s">
        <v>710</v>
      </c>
      <c r="N49" s="839"/>
      <c r="O49" s="838" t="s">
        <v>711</v>
      </c>
      <c r="P49" s="839"/>
      <c r="Q49" s="838" t="s">
        <v>424</v>
      </c>
      <c r="R49" s="839"/>
      <c r="S49" s="840" t="s">
        <v>425</v>
      </c>
      <c r="T49" s="841"/>
      <c r="U49" s="842"/>
      <c r="V49" s="843" t="s">
        <v>171</v>
      </c>
      <c r="W49" s="843" t="s">
        <v>245</v>
      </c>
      <c r="X49" s="843" t="s">
        <v>712</v>
      </c>
      <c r="Y49" s="843" t="s">
        <v>455</v>
      </c>
      <c r="Z49" s="843" t="s">
        <v>246</v>
      </c>
      <c r="AA49" s="829" t="s">
        <v>172</v>
      </c>
      <c r="AC49" s="858" t="s">
        <v>247</v>
      </c>
      <c r="AD49" s="859"/>
      <c r="AE49" s="859"/>
      <c r="AF49" s="859"/>
      <c r="AG49" s="859"/>
      <c r="AH49" s="859"/>
      <c r="AI49" s="859"/>
      <c r="AJ49" s="860"/>
    </row>
    <row r="50" spans="2:36">
      <c r="B50" s="847"/>
      <c r="C50" s="848"/>
      <c r="D50" s="849"/>
      <c r="E50" s="849"/>
      <c r="F50" s="851"/>
      <c r="G50" s="830"/>
      <c r="H50" s="830"/>
      <c r="I50" s="463" t="s">
        <v>713</v>
      </c>
      <c r="J50" s="369" t="s">
        <v>714</v>
      </c>
      <c r="K50" s="463" t="s">
        <v>713</v>
      </c>
      <c r="L50" s="369" t="s">
        <v>714</v>
      </c>
      <c r="M50" s="463" t="s">
        <v>713</v>
      </c>
      <c r="N50" s="369" t="s">
        <v>714</v>
      </c>
      <c r="O50" s="463" t="s">
        <v>713</v>
      </c>
      <c r="P50" s="369" t="s">
        <v>714</v>
      </c>
      <c r="Q50" s="463" t="s">
        <v>713</v>
      </c>
      <c r="R50" s="369" t="s">
        <v>714</v>
      </c>
      <c r="S50" s="463" t="s">
        <v>713</v>
      </c>
      <c r="T50" s="369" t="s">
        <v>714</v>
      </c>
      <c r="U50" s="369" t="s">
        <v>715</v>
      </c>
      <c r="V50" s="844"/>
      <c r="W50" s="844"/>
      <c r="X50" s="844"/>
      <c r="Y50" s="844"/>
      <c r="Z50" s="844"/>
      <c r="AA50" s="830"/>
      <c r="AC50" s="861"/>
      <c r="AD50" s="862"/>
      <c r="AE50" s="862"/>
      <c r="AF50" s="862"/>
      <c r="AG50" s="862"/>
      <c r="AH50" s="862"/>
      <c r="AI50" s="862"/>
      <c r="AJ50" s="863"/>
    </row>
    <row r="51" spans="2:36" s="148" customFormat="1" ht="27" customHeight="1">
      <c r="B51" s="852" t="s">
        <v>719</v>
      </c>
      <c r="C51" s="853"/>
      <c r="D51" s="368">
        <v>1</v>
      </c>
      <c r="E51" s="465"/>
      <c r="F51" s="466">
        <f>IFERROR(Q51*G51,"-")</f>
        <v>0</v>
      </c>
      <c r="G51" s="376"/>
      <c r="H51" s="467"/>
      <c r="I51" s="468"/>
      <c r="J51" s="469" t="str">
        <f>IFERROR(I51/H51,"-")</f>
        <v>-</v>
      </c>
      <c r="K51" s="468"/>
      <c r="L51" s="469" t="str">
        <f>IFERROR(K51/H51,"-")</f>
        <v>-</v>
      </c>
      <c r="M51" s="468"/>
      <c r="N51" s="469" t="str">
        <f>IFERROR(M51/H51,"-")</f>
        <v>-</v>
      </c>
      <c r="O51" s="470">
        <f>IFERROR(K51+M51,"-")</f>
        <v>0</v>
      </c>
      <c r="P51" s="469" t="str">
        <f>IFERROR(O51/H51,"-")</f>
        <v>-</v>
      </c>
      <c r="Q51" s="467"/>
      <c r="R51" s="469" t="str">
        <f>IFERROR(Q51/H51,"-")</f>
        <v>-</v>
      </c>
      <c r="S51" s="470">
        <f>IFERROR(O51-H51,"-")</f>
        <v>0</v>
      </c>
      <c r="T51" s="469" t="str">
        <f>IFERROR(S51/H51,"-")</f>
        <v>-</v>
      </c>
      <c r="U51" s="372">
        <f>IFERROR(S51*G51,"-")</f>
        <v>0</v>
      </c>
      <c r="V51" s="379"/>
      <c r="W51" s="379"/>
      <c r="X51" s="379"/>
      <c r="Y51" s="379"/>
      <c r="Z51" s="379">
        <v>1</v>
      </c>
      <c r="AA51" s="471"/>
      <c r="AC51" s="864"/>
      <c r="AD51" s="865"/>
      <c r="AE51" s="865"/>
      <c r="AF51" s="865"/>
      <c r="AG51" s="865"/>
      <c r="AH51" s="865"/>
      <c r="AI51" s="865"/>
      <c r="AJ51" s="866"/>
    </row>
    <row r="52" spans="2:36" s="148" customFormat="1" ht="27" customHeight="1">
      <c r="B52" s="854"/>
      <c r="C52" s="855"/>
      <c r="D52" s="368">
        <v>2</v>
      </c>
      <c r="E52" s="465"/>
      <c r="F52" s="466">
        <f t="shared" ref="F52:F70" si="22">IFERROR(Q52*G52,"-")</f>
        <v>0</v>
      </c>
      <c r="G52" s="376"/>
      <c r="H52" s="467"/>
      <c r="I52" s="468"/>
      <c r="J52" s="469" t="str">
        <f t="shared" ref="J52:J70" si="23">IFERROR(I52/H52,"-")</f>
        <v>-</v>
      </c>
      <c r="K52" s="468"/>
      <c r="L52" s="469" t="str">
        <f t="shared" ref="L52:L70" si="24">IFERROR(K52/H52,"-")</f>
        <v>-</v>
      </c>
      <c r="M52" s="468"/>
      <c r="N52" s="469" t="str">
        <f t="shared" ref="N52:N70" si="25">IFERROR(M52/H52,"-")</f>
        <v>-</v>
      </c>
      <c r="O52" s="470">
        <f t="shared" ref="O52:O70" si="26">IFERROR(K52+M52,"-")</f>
        <v>0</v>
      </c>
      <c r="P52" s="469" t="str">
        <f t="shared" ref="P52:P70" si="27">IFERROR(O52/H52,"-")</f>
        <v>-</v>
      </c>
      <c r="Q52" s="467"/>
      <c r="R52" s="469" t="str">
        <f t="shared" ref="R52:R70" si="28">IFERROR(Q52/H52,"-")</f>
        <v>-</v>
      </c>
      <c r="S52" s="470">
        <f t="shared" ref="S52:S70" si="29">IFERROR(O52-H52,"-")</f>
        <v>0</v>
      </c>
      <c r="T52" s="469" t="str">
        <f t="shared" ref="T52:T70" si="30">IFERROR(S52/H52,"-")</f>
        <v>-</v>
      </c>
      <c r="U52" s="372">
        <f t="shared" ref="U52:U70" si="31">IFERROR(S52*G52,"-")</f>
        <v>0</v>
      </c>
      <c r="V52" s="379"/>
      <c r="W52" s="379"/>
      <c r="X52" s="379"/>
      <c r="Y52" s="379"/>
      <c r="Z52" s="379">
        <v>1</v>
      </c>
      <c r="AA52" s="471"/>
      <c r="AC52" s="161" t="s">
        <v>244</v>
      </c>
      <c r="AD52" s="161" t="s">
        <v>456</v>
      </c>
      <c r="AE52" s="156" t="s">
        <v>716</v>
      </c>
      <c r="AF52" s="156" t="s">
        <v>339</v>
      </c>
      <c r="AG52" s="156" t="s">
        <v>436</v>
      </c>
      <c r="AH52" s="156" t="s">
        <v>215</v>
      </c>
      <c r="AI52" s="156" t="s">
        <v>216</v>
      </c>
      <c r="AJ52" s="156" t="s">
        <v>390</v>
      </c>
    </row>
    <row r="53" spans="2:36" s="148" customFormat="1" ht="27" customHeight="1">
      <c r="B53" s="854"/>
      <c r="C53" s="855"/>
      <c r="D53" s="368">
        <v>3</v>
      </c>
      <c r="E53" s="465"/>
      <c r="F53" s="466">
        <f t="shared" si="22"/>
        <v>0</v>
      </c>
      <c r="G53" s="376"/>
      <c r="H53" s="467"/>
      <c r="I53" s="468"/>
      <c r="J53" s="469" t="str">
        <f t="shared" si="23"/>
        <v>-</v>
      </c>
      <c r="K53" s="468"/>
      <c r="L53" s="469" t="str">
        <f t="shared" si="24"/>
        <v>-</v>
      </c>
      <c r="M53" s="468"/>
      <c r="N53" s="469" t="str">
        <f t="shared" si="25"/>
        <v>-</v>
      </c>
      <c r="O53" s="470">
        <f t="shared" si="26"/>
        <v>0</v>
      </c>
      <c r="P53" s="469" t="str">
        <f t="shared" si="27"/>
        <v>-</v>
      </c>
      <c r="Q53" s="467"/>
      <c r="R53" s="469" t="str">
        <f t="shared" si="28"/>
        <v>-</v>
      </c>
      <c r="S53" s="470">
        <f t="shared" si="29"/>
        <v>0</v>
      </c>
      <c r="T53" s="469" t="str">
        <f t="shared" si="30"/>
        <v>-</v>
      </c>
      <c r="U53" s="372">
        <f t="shared" si="31"/>
        <v>0</v>
      </c>
      <c r="V53" s="379"/>
      <c r="W53" s="379"/>
      <c r="X53" s="379"/>
      <c r="Y53" s="379"/>
      <c r="Z53" s="379">
        <v>1</v>
      </c>
      <c r="AA53" s="471"/>
      <c r="AC53" s="388">
        <f>SUM(Z51:Z70)</f>
        <v>20</v>
      </c>
      <c r="AD53" s="382">
        <f>SUMIF($W$51:$W$70,TRIM(AD52),$Z$51:$Z$70)</f>
        <v>0</v>
      </c>
      <c r="AE53" s="382">
        <f t="shared" ref="AE53:AJ53" si="32">SUMIF($W$51:$W$70,TRIM(AE52),$Z$51:$Z$70)</f>
        <v>0</v>
      </c>
      <c r="AF53" s="382">
        <f t="shared" si="32"/>
        <v>0</v>
      </c>
      <c r="AG53" s="382">
        <f t="shared" si="32"/>
        <v>0</v>
      </c>
      <c r="AH53" s="382">
        <f t="shared" si="32"/>
        <v>0</v>
      </c>
      <c r="AI53" s="382">
        <f t="shared" si="32"/>
        <v>0</v>
      </c>
      <c r="AJ53" s="382">
        <f t="shared" si="32"/>
        <v>0</v>
      </c>
    </row>
    <row r="54" spans="2:36" s="148" customFormat="1" ht="27" customHeight="1">
      <c r="B54" s="854"/>
      <c r="C54" s="855"/>
      <c r="D54" s="368">
        <v>4</v>
      </c>
      <c r="E54" s="465"/>
      <c r="F54" s="466">
        <f t="shared" si="22"/>
        <v>0</v>
      </c>
      <c r="G54" s="376"/>
      <c r="H54" s="467"/>
      <c r="I54" s="468"/>
      <c r="J54" s="469" t="str">
        <f t="shared" si="23"/>
        <v>-</v>
      </c>
      <c r="K54" s="468"/>
      <c r="L54" s="469" t="str">
        <f t="shared" si="24"/>
        <v>-</v>
      </c>
      <c r="M54" s="468"/>
      <c r="N54" s="469" t="str">
        <f t="shared" si="25"/>
        <v>-</v>
      </c>
      <c r="O54" s="470">
        <f t="shared" si="26"/>
        <v>0</v>
      </c>
      <c r="P54" s="469" t="str">
        <f t="shared" si="27"/>
        <v>-</v>
      </c>
      <c r="Q54" s="467"/>
      <c r="R54" s="469" t="str">
        <f t="shared" si="28"/>
        <v>-</v>
      </c>
      <c r="S54" s="470">
        <f t="shared" si="29"/>
        <v>0</v>
      </c>
      <c r="T54" s="469" t="str">
        <f t="shared" si="30"/>
        <v>-</v>
      </c>
      <c r="U54" s="372">
        <f t="shared" si="31"/>
        <v>0</v>
      </c>
      <c r="V54" s="379"/>
      <c r="W54" s="379"/>
      <c r="X54" s="379"/>
      <c r="Y54" s="379"/>
      <c r="Z54" s="379">
        <v>1</v>
      </c>
      <c r="AA54" s="471"/>
      <c r="AC54" s="389" t="s">
        <v>11</v>
      </c>
      <c r="AD54" s="386">
        <f>SUMIF($W$51:$W70,TRIM(AD52),$F$51:$F$70)</f>
        <v>0</v>
      </c>
      <c r="AE54" s="386">
        <f>SUMIF($W$51:$W70,TRIM(AE52),$F$51:$F$70)</f>
        <v>0</v>
      </c>
      <c r="AF54" s="386">
        <f>SUMIF($W$51:$W70,TRIM(AF52),$F$51:$F$70)</f>
        <v>0</v>
      </c>
      <c r="AG54" s="386">
        <f>SUMIF($W$51:$W70,TRIM(AG52),$F$51:$F$70)</f>
        <v>0</v>
      </c>
      <c r="AH54" s="386">
        <f>SUMIF($W$51:$W70,TRIM(AH52),$F$51:$F$70)</f>
        <v>0</v>
      </c>
      <c r="AI54" s="386">
        <f>SUMIF($W$51:$W70,TRIM(AI52),$F$51:$F$70)</f>
        <v>0</v>
      </c>
      <c r="AJ54" s="386">
        <f>SUMIF($W$51:$W70,TRIM(AJ52),$F$51:$F$70)</f>
        <v>0</v>
      </c>
    </row>
    <row r="55" spans="2:36" s="148" customFormat="1" ht="27" customHeight="1">
      <c r="B55" s="854"/>
      <c r="C55" s="855"/>
      <c r="D55" s="368">
        <v>5</v>
      </c>
      <c r="E55" s="465"/>
      <c r="F55" s="466">
        <f t="shared" si="22"/>
        <v>0</v>
      </c>
      <c r="G55" s="376"/>
      <c r="H55" s="467"/>
      <c r="I55" s="468"/>
      <c r="J55" s="469" t="str">
        <f t="shared" si="23"/>
        <v>-</v>
      </c>
      <c r="K55" s="468"/>
      <c r="L55" s="469" t="str">
        <f t="shared" si="24"/>
        <v>-</v>
      </c>
      <c r="M55" s="468"/>
      <c r="N55" s="469" t="str">
        <f t="shared" si="25"/>
        <v>-</v>
      </c>
      <c r="O55" s="470">
        <f t="shared" si="26"/>
        <v>0</v>
      </c>
      <c r="P55" s="469" t="str">
        <f t="shared" si="27"/>
        <v>-</v>
      </c>
      <c r="Q55" s="467"/>
      <c r="R55" s="469" t="str">
        <f t="shared" si="28"/>
        <v>-</v>
      </c>
      <c r="S55" s="470">
        <f t="shared" si="29"/>
        <v>0</v>
      </c>
      <c r="T55" s="469" t="str">
        <f t="shared" si="30"/>
        <v>-</v>
      </c>
      <c r="U55" s="372">
        <f t="shared" si="31"/>
        <v>0</v>
      </c>
      <c r="V55" s="379"/>
      <c r="W55" s="379"/>
      <c r="X55" s="379"/>
      <c r="Y55" s="379"/>
      <c r="Z55" s="379">
        <v>1</v>
      </c>
      <c r="AA55" s="471"/>
      <c r="AC55" s="368" t="s">
        <v>717</v>
      </c>
      <c r="AD55" s="472">
        <f t="shared" ref="AD55:AJ55" si="33">AD53/$AC53</f>
        <v>0</v>
      </c>
      <c r="AE55" s="472">
        <f t="shared" si="33"/>
        <v>0</v>
      </c>
      <c r="AF55" s="472">
        <f t="shared" si="33"/>
        <v>0</v>
      </c>
      <c r="AG55" s="472">
        <f t="shared" si="33"/>
        <v>0</v>
      </c>
      <c r="AH55" s="472">
        <f t="shared" si="33"/>
        <v>0</v>
      </c>
      <c r="AI55" s="472">
        <f t="shared" si="33"/>
        <v>0</v>
      </c>
      <c r="AJ55" s="472">
        <f t="shared" si="33"/>
        <v>0</v>
      </c>
    </row>
    <row r="56" spans="2:36" s="148" customFormat="1" ht="27" customHeight="1">
      <c r="B56" s="854"/>
      <c r="C56" s="855"/>
      <c r="D56" s="368">
        <v>6</v>
      </c>
      <c r="E56" s="465"/>
      <c r="F56" s="466">
        <f t="shared" si="22"/>
        <v>0</v>
      </c>
      <c r="G56" s="376"/>
      <c r="H56" s="467"/>
      <c r="I56" s="468"/>
      <c r="J56" s="469" t="str">
        <f t="shared" si="23"/>
        <v>-</v>
      </c>
      <c r="K56" s="468"/>
      <c r="L56" s="469" t="str">
        <f t="shared" si="24"/>
        <v>-</v>
      </c>
      <c r="M56" s="468"/>
      <c r="N56" s="469" t="str">
        <f t="shared" si="25"/>
        <v>-</v>
      </c>
      <c r="O56" s="470">
        <f t="shared" si="26"/>
        <v>0</v>
      </c>
      <c r="P56" s="469" t="str">
        <f t="shared" si="27"/>
        <v>-</v>
      </c>
      <c r="Q56" s="467"/>
      <c r="R56" s="469" t="str">
        <f t="shared" si="28"/>
        <v>-</v>
      </c>
      <c r="S56" s="470">
        <f t="shared" si="29"/>
        <v>0</v>
      </c>
      <c r="T56" s="469" t="str">
        <f t="shared" si="30"/>
        <v>-</v>
      </c>
      <c r="U56" s="372">
        <f t="shared" si="31"/>
        <v>0</v>
      </c>
      <c r="V56" s="379"/>
      <c r="W56" s="379"/>
      <c r="X56" s="379"/>
      <c r="Y56" s="379"/>
      <c r="Z56" s="379">
        <v>1</v>
      </c>
      <c r="AA56" s="471"/>
    </row>
    <row r="57" spans="2:36" s="148" customFormat="1" ht="27" customHeight="1">
      <c r="B57" s="854"/>
      <c r="C57" s="855"/>
      <c r="D57" s="368">
        <v>7</v>
      </c>
      <c r="E57" s="465"/>
      <c r="F57" s="466">
        <f t="shared" si="22"/>
        <v>0</v>
      </c>
      <c r="G57" s="376"/>
      <c r="H57" s="467"/>
      <c r="I57" s="468"/>
      <c r="J57" s="469" t="str">
        <f t="shared" si="23"/>
        <v>-</v>
      </c>
      <c r="K57" s="468"/>
      <c r="L57" s="469" t="str">
        <f t="shared" si="24"/>
        <v>-</v>
      </c>
      <c r="M57" s="468"/>
      <c r="N57" s="469" t="str">
        <f t="shared" si="25"/>
        <v>-</v>
      </c>
      <c r="O57" s="470">
        <f t="shared" si="26"/>
        <v>0</v>
      </c>
      <c r="P57" s="469" t="str">
        <f t="shared" si="27"/>
        <v>-</v>
      </c>
      <c r="Q57" s="467"/>
      <c r="R57" s="469" t="str">
        <f t="shared" si="28"/>
        <v>-</v>
      </c>
      <c r="S57" s="470">
        <f t="shared" si="29"/>
        <v>0</v>
      </c>
      <c r="T57" s="469" t="str">
        <f t="shared" si="30"/>
        <v>-</v>
      </c>
      <c r="U57" s="372">
        <f t="shared" si="31"/>
        <v>0</v>
      </c>
      <c r="V57" s="379"/>
      <c r="W57" s="379"/>
      <c r="X57" s="379"/>
      <c r="Y57" s="379"/>
      <c r="Z57" s="379">
        <v>1</v>
      </c>
      <c r="AA57" s="471"/>
    </row>
    <row r="58" spans="2:36" s="148" customFormat="1" ht="27" customHeight="1">
      <c r="B58" s="854"/>
      <c r="C58" s="855"/>
      <c r="D58" s="368">
        <v>8</v>
      </c>
      <c r="E58" s="465"/>
      <c r="F58" s="466">
        <f t="shared" si="22"/>
        <v>0</v>
      </c>
      <c r="G58" s="376"/>
      <c r="H58" s="467"/>
      <c r="I58" s="468"/>
      <c r="J58" s="469" t="str">
        <f t="shared" si="23"/>
        <v>-</v>
      </c>
      <c r="K58" s="468"/>
      <c r="L58" s="469" t="str">
        <f t="shared" si="24"/>
        <v>-</v>
      </c>
      <c r="M58" s="468"/>
      <c r="N58" s="469" t="str">
        <f t="shared" si="25"/>
        <v>-</v>
      </c>
      <c r="O58" s="470">
        <f t="shared" si="26"/>
        <v>0</v>
      </c>
      <c r="P58" s="469" t="str">
        <f t="shared" si="27"/>
        <v>-</v>
      </c>
      <c r="Q58" s="467"/>
      <c r="R58" s="469" t="str">
        <f t="shared" si="28"/>
        <v>-</v>
      </c>
      <c r="S58" s="470">
        <f t="shared" si="29"/>
        <v>0</v>
      </c>
      <c r="T58" s="469" t="str">
        <f t="shared" si="30"/>
        <v>-</v>
      </c>
      <c r="U58" s="372">
        <f t="shared" si="31"/>
        <v>0</v>
      </c>
      <c r="V58" s="379"/>
      <c r="W58" s="379"/>
      <c r="X58" s="379"/>
      <c r="Y58" s="379"/>
      <c r="Z58" s="379">
        <v>1</v>
      </c>
      <c r="AA58" s="471"/>
    </row>
    <row r="59" spans="2:36" s="148" customFormat="1" ht="27" customHeight="1">
      <c r="B59" s="854"/>
      <c r="C59" s="855"/>
      <c r="D59" s="368">
        <v>9</v>
      </c>
      <c r="E59" s="465"/>
      <c r="F59" s="466">
        <f t="shared" si="22"/>
        <v>0</v>
      </c>
      <c r="G59" s="376"/>
      <c r="H59" s="467"/>
      <c r="I59" s="468"/>
      <c r="J59" s="469" t="str">
        <f t="shared" si="23"/>
        <v>-</v>
      </c>
      <c r="K59" s="468"/>
      <c r="L59" s="469" t="str">
        <f t="shared" si="24"/>
        <v>-</v>
      </c>
      <c r="M59" s="468"/>
      <c r="N59" s="469" t="str">
        <f t="shared" si="25"/>
        <v>-</v>
      </c>
      <c r="O59" s="470">
        <f t="shared" si="26"/>
        <v>0</v>
      </c>
      <c r="P59" s="469" t="str">
        <f t="shared" si="27"/>
        <v>-</v>
      </c>
      <c r="Q59" s="467"/>
      <c r="R59" s="469" t="str">
        <f t="shared" si="28"/>
        <v>-</v>
      </c>
      <c r="S59" s="470">
        <f t="shared" si="29"/>
        <v>0</v>
      </c>
      <c r="T59" s="469" t="str">
        <f t="shared" si="30"/>
        <v>-</v>
      </c>
      <c r="U59" s="372">
        <f t="shared" si="31"/>
        <v>0</v>
      </c>
      <c r="V59" s="379"/>
      <c r="W59" s="379"/>
      <c r="X59" s="379"/>
      <c r="Y59" s="379"/>
      <c r="Z59" s="379">
        <v>1</v>
      </c>
      <c r="AA59" s="471"/>
    </row>
    <row r="60" spans="2:36" s="148" customFormat="1" ht="27" customHeight="1">
      <c r="B60" s="854"/>
      <c r="C60" s="855"/>
      <c r="D60" s="368">
        <v>10</v>
      </c>
      <c r="E60" s="465"/>
      <c r="F60" s="466">
        <f t="shared" si="22"/>
        <v>0</v>
      </c>
      <c r="G60" s="376"/>
      <c r="H60" s="467"/>
      <c r="I60" s="468"/>
      <c r="J60" s="469" t="str">
        <f t="shared" si="23"/>
        <v>-</v>
      </c>
      <c r="K60" s="468"/>
      <c r="L60" s="469" t="str">
        <f t="shared" si="24"/>
        <v>-</v>
      </c>
      <c r="M60" s="468"/>
      <c r="N60" s="469" t="str">
        <f t="shared" si="25"/>
        <v>-</v>
      </c>
      <c r="O60" s="470">
        <f t="shared" si="26"/>
        <v>0</v>
      </c>
      <c r="P60" s="469" t="str">
        <f t="shared" si="27"/>
        <v>-</v>
      </c>
      <c r="Q60" s="467"/>
      <c r="R60" s="469" t="str">
        <f t="shared" si="28"/>
        <v>-</v>
      </c>
      <c r="S60" s="470">
        <f t="shared" si="29"/>
        <v>0</v>
      </c>
      <c r="T60" s="469" t="str">
        <f t="shared" si="30"/>
        <v>-</v>
      </c>
      <c r="U60" s="372">
        <f t="shared" si="31"/>
        <v>0</v>
      </c>
      <c r="V60" s="379"/>
      <c r="W60" s="379"/>
      <c r="X60" s="379"/>
      <c r="Y60" s="379"/>
      <c r="Z60" s="379">
        <v>1</v>
      </c>
      <c r="AA60" s="471"/>
    </row>
    <row r="61" spans="2:36" s="148" customFormat="1" ht="27" customHeight="1">
      <c r="B61" s="854"/>
      <c r="C61" s="855"/>
      <c r="D61" s="368">
        <v>11</v>
      </c>
      <c r="E61" s="465"/>
      <c r="F61" s="466">
        <f t="shared" si="22"/>
        <v>0</v>
      </c>
      <c r="G61" s="376"/>
      <c r="H61" s="467"/>
      <c r="I61" s="468"/>
      <c r="J61" s="469" t="str">
        <f t="shared" si="23"/>
        <v>-</v>
      </c>
      <c r="K61" s="468"/>
      <c r="L61" s="469" t="str">
        <f t="shared" si="24"/>
        <v>-</v>
      </c>
      <c r="M61" s="468"/>
      <c r="N61" s="469" t="str">
        <f t="shared" si="25"/>
        <v>-</v>
      </c>
      <c r="O61" s="470">
        <f t="shared" si="26"/>
        <v>0</v>
      </c>
      <c r="P61" s="469" t="str">
        <f t="shared" si="27"/>
        <v>-</v>
      </c>
      <c r="Q61" s="467"/>
      <c r="R61" s="469" t="str">
        <f t="shared" si="28"/>
        <v>-</v>
      </c>
      <c r="S61" s="470">
        <f t="shared" si="29"/>
        <v>0</v>
      </c>
      <c r="T61" s="469" t="str">
        <f t="shared" si="30"/>
        <v>-</v>
      </c>
      <c r="U61" s="372">
        <f t="shared" si="31"/>
        <v>0</v>
      </c>
      <c r="V61" s="379"/>
      <c r="W61" s="379"/>
      <c r="X61" s="379"/>
      <c r="Y61" s="379"/>
      <c r="Z61" s="379">
        <v>1</v>
      </c>
      <c r="AA61" s="471"/>
      <c r="AE61" s="383"/>
    </row>
    <row r="62" spans="2:36" s="148" customFormat="1" ht="27" customHeight="1">
      <c r="B62" s="854"/>
      <c r="C62" s="855"/>
      <c r="D62" s="368">
        <v>12</v>
      </c>
      <c r="E62" s="465"/>
      <c r="F62" s="466">
        <f t="shared" si="22"/>
        <v>0</v>
      </c>
      <c r="G62" s="376"/>
      <c r="H62" s="467"/>
      <c r="I62" s="468"/>
      <c r="J62" s="469" t="str">
        <f t="shared" si="23"/>
        <v>-</v>
      </c>
      <c r="K62" s="468"/>
      <c r="L62" s="469" t="str">
        <f t="shared" si="24"/>
        <v>-</v>
      </c>
      <c r="M62" s="468"/>
      <c r="N62" s="469" t="str">
        <f t="shared" si="25"/>
        <v>-</v>
      </c>
      <c r="O62" s="470">
        <f t="shared" si="26"/>
        <v>0</v>
      </c>
      <c r="P62" s="469" t="str">
        <f t="shared" si="27"/>
        <v>-</v>
      </c>
      <c r="Q62" s="467"/>
      <c r="R62" s="469" t="str">
        <f t="shared" si="28"/>
        <v>-</v>
      </c>
      <c r="S62" s="470">
        <f t="shared" si="29"/>
        <v>0</v>
      </c>
      <c r="T62" s="469" t="str">
        <f t="shared" si="30"/>
        <v>-</v>
      </c>
      <c r="U62" s="372">
        <f t="shared" si="31"/>
        <v>0</v>
      </c>
      <c r="V62" s="379"/>
      <c r="W62" s="379"/>
      <c r="X62" s="379"/>
      <c r="Y62" s="379"/>
      <c r="Z62" s="379">
        <v>1</v>
      </c>
      <c r="AA62" s="471"/>
    </row>
    <row r="63" spans="2:36" s="148" customFormat="1" ht="27" customHeight="1">
      <c r="B63" s="854"/>
      <c r="C63" s="855"/>
      <c r="D63" s="368">
        <v>13</v>
      </c>
      <c r="E63" s="465"/>
      <c r="F63" s="466">
        <f t="shared" si="22"/>
        <v>0</v>
      </c>
      <c r="G63" s="376"/>
      <c r="H63" s="467"/>
      <c r="I63" s="468"/>
      <c r="J63" s="469" t="str">
        <f t="shared" si="23"/>
        <v>-</v>
      </c>
      <c r="K63" s="468"/>
      <c r="L63" s="469" t="str">
        <f t="shared" si="24"/>
        <v>-</v>
      </c>
      <c r="M63" s="468"/>
      <c r="N63" s="469" t="str">
        <f t="shared" si="25"/>
        <v>-</v>
      </c>
      <c r="O63" s="470">
        <f t="shared" si="26"/>
        <v>0</v>
      </c>
      <c r="P63" s="469" t="str">
        <f t="shared" si="27"/>
        <v>-</v>
      </c>
      <c r="Q63" s="467"/>
      <c r="R63" s="469" t="str">
        <f t="shared" si="28"/>
        <v>-</v>
      </c>
      <c r="S63" s="470">
        <f t="shared" si="29"/>
        <v>0</v>
      </c>
      <c r="T63" s="469" t="str">
        <f t="shared" si="30"/>
        <v>-</v>
      </c>
      <c r="U63" s="372">
        <f t="shared" si="31"/>
        <v>0</v>
      </c>
      <c r="V63" s="379"/>
      <c r="W63" s="379"/>
      <c r="X63" s="379"/>
      <c r="Y63" s="379"/>
      <c r="Z63" s="379">
        <v>1</v>
      </c>
      <c r="AA63" s="471"/>
    </row>
    <row r="64" spans="2:36" s="148" customFormat="1" ht="27" customHeight="1">
      <c r="B64" s="854"/>
      <c r="C64" s="855"/>
      <c r="D64" s="368">
        <v>14</v>
      </c>
      <c r="E64" s="465"/>
      <c r="F64" s="466">
        <f t="shared" si="22"/>
        <v>0</v>
      </c>
      <c r="G64" s="376"/>
      <c r="H64" s="467"/>
      <c r="I64" s="468"/>
      <c r="J64" s="469" t="str">
        <f t="shared" si="23"/>
        <v>-</v>
      </c>
      <c r="K64" s="468"/>
      <c r="L64" s="469" t="str">
        <f t="shared" si="24"/>
        <v>-</v>
      </c>
      <c r="M64" s="468"/>
      <c r="N64" s="469" t="str">
        <f t="shared" si="25"/>
        <v>-</v>
      </c>
      <c r="O64" s="470">
        <f t="shared" si="26"/>
        <v>0</v>
      </c>
      <c r="P64" s="469" t="str">
        <f t="shared" si="27"/>
        <v>-</v>
      </c>
      <c r="Q64" s="467"/>
      <c r="R64" s="469" t="str">
        <f t="shared" si="28"/>
        <v>-</v>
      </c>
      <c r="S64" s="470">
        <f t="shared" si="29"/>
        <v>0</v>
      </c>
      <c r="T64" s="469" t="str">
        <f t="shared" si="30"/>
        <v>-</v>
      </c>
      <c r="U64" s="372">
        <f t="shared" si="31"/>
        <v>0</v>
      </c>
      <c r="V64" s="379"/>
      <c r="W64" s="379"/>
      <c r="X64" s="379"/>
      <c r="Y64" s="379"/>
      <c r="Z64" s="379">
        <v>1</v>
      </c>
      <c r="AA64" s="471"/>
    </row>
    <row r="65" spans="2:36" s="148" customFormat="1" ht="27" customHeight="1">
      <c r="B65" s="854"/>
      <c r="C65" s="855"/>
      <c r="D65" s="368">
        <v>15</v>
      </c>
      <c r="E65" s="465"/>
      <c r="F65" s="466">
        <f t="shared" si="22"/>
        <v>0</v>
      </c>
      <c r="G65" s="376"/>
      <c r="H65" s="467"/>
      <c r="I65" s="468"/>
      <c r="J65" s="469" t="str">
        <f t="shared" si="23"/>
        <v>-</v>
      </c>
      <c r="K65" s="468"/>
      <c r="L65" s="469" t="str">
        <f t="shared" si="24"/>
        <v>-</v>
      </c>
      <c r="M65" s="468"/>
      <c r="N65" s="469" t="str">
        <f t="shared" si="25"/>
        <v>-</v>
      </c>
      <c r="O65" s="470">
        <f t="shared" si="26"/>
        <v>0</v>
      </c>
      <c r="P65" s="469" t="str">
        <f t="shared" si="27"/>
        <v>-</v>
      </c>
      <c r="Q65" s="467"/>
      <c r="R65" s="469" t="str">
        <f t="shared" si="28"/>
        <v>-</v>
      </c>
      <c r="S65" s="470">
        <f t="shared" si="29"/>
        <v>0</v>
      </c>
      <c r="T65" s="469" t="str">
        <f t="shared" si="30"/>
        <v>-</v>
      </c>
      <c r="U65" s="372">
        <f t="shared" si="31"/>
        <v>0</v>
      </c>
      <c r="V65" s="379"/>
      <c r="W65" s="379"/>
      <c r="X65" s="379"/>
      <c r="Y65" s="379"/>
      <c r="Z65" s="379">
        <v>1</v>
      </c>
      <c r="AA65" s="471"/>
    </row>
    <row r="66" spans="2:36" s="148" customFormat="1" ht="27" customHeight="1">
      <c r="B66" s="854"/>
      <c r="C66" s="855"/>
      <c r="D66" s="368">
        <v>16</v>
      </c>
      <c r="E66" s="465"/>
      <c r="F66" s="466">
        <f t="shared" si="22"/>
        <v>0</v>
      </c>
      <c r="G66" s="376"/>
      <c r="H66" s="467"/>
      <c r="I66" s="468"/>
      <c r="J66" s="469" t="str">
        <f t="shared" si="23"/>
        <v>-</v>
      </c>
      <c r="K66" s="468"/>
      <c r="L66" s="469" t="str">
        <f t="shared" si="24"/>
        <v>-</v>
      </c>
      <c r="M66" s="468"/>
      <c r="N66" s="469" t="str">
        <f t="shared" si="25"/>
        <v>-</v>
      </c>
      <c r="O66" s="470">
        <f t="shared" si="26"/>
        <v>0</v>
      </c>
      <c r="P66" s="469" t="str">
        <f t="shared" si="27"/>
        <v>-</v>
      </c>
      <c r="Q66" s="467"/>
      <c r="R66" s="469" t="str">
        <f t="shared" si="28"/>
        <v>-</v>
      </c>
      <c r="S66" s="470">
        <f t="shared" si="29"/>
        <v>0</v>
      </c>
      <c r="T66" s="469" t="str">
        <f t="shared" si="30"/>
        <v>-</v>
      </c>
      <c r="U66" s="372">
        <f t="shared" si="31"/>
        <v>0</v>
      </c>
      <c r="V66" s="379"/>
      <c r="W66" s="379"/>
      <c r="X66" s="379"/>
      <c r="Y66" s="379"/>
      <c r="Z66" s="379">
        <v>1</v>
      </c>
      <c r="AA66" s="471"/>
    </row>
    <row r="67" spans="2:36" s="148" customFormat="1" ht="27" customHeight="1">
      <c r="B67" s="854"/>
      <c r="C67" s="855"/>
      <c r="D67" s="368">
        <v>17</v>
      </c>
      <c r="E67" s="465"/>
      <c r="F67" s="466">
        <f t="shared" si="22"/>
        <v>0</v>
      </c>
      <c r="G67" s="376"/>
      <c r="H67" s="467"/>
      <c r="I67" s="468"/>
      <c r="J67" s="469" t="str">
        <f t="shared" si="23"/>
        <v>-</v>
      </c>
      <c r="K67" s="468"/>
      <c r="L67" s="469" t="str">
        <f t="shared" si="24"/>
        <v>-</v>
      </c>
      <c r="M67" s="468"/>
      <c r="N67" s="469" t="str">
        <f t="shared" si="25"/>
        <v>-</v>
      </c>
      <c r="O67" s="470">
        <f t="shared" si="26"/>
        <v>0</v>
      </c>
      <c r="P67" s="469" t="str">
        <f t="shared" si="27"/>
        <v>-</v>
      </c>
      <c r="Q67" s="467"/>
      <c r="R67" s="469" t="str">
        <f t="shared" si="28"/>
        <v>-</v>
      </c>
      <c r="S67" s="470">
        <f t="shared" si="29"/>
        <v>0</v>
      </c>
      <c r="T67" s="469" t="str">
        <f t="shared" si="30"/>
        <v>-</v>
      </c>
      <c r="U67" s="372">
        <f t="shared" si="31"/>
        <v>0</v>
      </c>
      <c r="V67" s="379"/>
      <c r="W67" s="379"/>
      <c r="X67" s="379"/>
      <c r="Y67" s="379"/>
      <c r="Z67" s="379">
        <v>1</v>
      </c>
      <c r="AA67" s="471"/>
    </row>
    <row r="68" spans="2:36" s="148" customFormat="1" ht="27" customHeight="1">
      <c r="B68" s="854"/>
      <c r="C68" s="855"/>
      <c r="D68" s="368">
        <v>18</v>
      </c>
      <c r="E68" s="465"/>
      <c r="F68" s="466">
        <f t="shared" si="22"/>
        <v>0</v>
      </c>
      <c r="G68" s="376"/>
      <c r="H68" s="467"/>
      <c r="I68" s="468"/>
      <c r="J68" s="469" t="str">
        <f t="shared" si="23"/>
        <v>-</v>
      </c>
      <c r="K68" s="468"/>
      <c r="L68" s="469" t="str">
        <f t="shared" si="24"/>
        <v>-</v>
      </c>
      <c r="M68" s="468"/>
      <c r="N68" s="469" t="str">
        <f t="shared" si="25"/>
        <v>-</v>
      </c>
      <c r="O68" s="470">
        <f t="shared" si="26"/>
        <v>0</v>
      </c>
      <c r="P68" s="469" t="str">
        <f t="shared" si="27"/>
        <v>-</v>
      </c>
      <c r="Q68" s="467"/>
      <c r="R68" s="469" t="str">
        <f t="shared" si="28"/>
        <v>-</v>
      </c>
      <c r="S68" s="470">
        <f t="shared" si="29"/>
        <v>0</v>
      </c>
      <c r="T68" s="469" t="str">
        <f t="shared" si="30"/>
        <v>-</v>
      </c>
      <c r="U68" s="372">
        <f t="shared" si="31"/>
        <v>0</v>
      </c>
      <c r="V68" s="379"/>
      <c r="W68" s="379"/>
      <c r="X68" s="379"/>
      <c r="Y68" s="379"/>
      <c r="Z68" s="379">
        <v>1</v>
      </c>
      <c r="AA68" s="471"/>
    </row>
    <row r="69" spans="2:36" s="148" customFormat="1" ht="27" customHeight="1">
      <c r="B69" s="854"/>
      <c r="C69" s="855"/>
      <c r="D69" s="368">
        <v>19</v>
      </c>
      <c r="E69" s="465"/>
      <c r="F69" s="466">
        <f t="shared" si="22"/>
        <v>0</v>
      </c>
      <c r="G69" s="376"/>
      <c r="H69" s="467"/>
      <c r="I69" s="468"/>
      <c r="J69" s="469" t="str">
        <f t="shared" si="23"/>
        <v>-</v>
      </c>
      <c r="K69" s="468"/>
      <c r="L69" s="469" t="str">
        <f t="shared" si="24"/>
        <v>-</v>
      </c>
      <c r="M69" s="468"/>
      <c r="N69" s="469" t="str">
        <f t="shared" si="25"/>
        <v>-</v>
      </c>
      <c r="O69" s="470">
        <f t="shared" si="26"/>
        <v>0</v>
      </c>
      <c r="P69" s="469" t="str">
        <f t="shared" si="27"/>
        <v>-</v>
      </c>
      <c r="Q69" s="467"/>
      <c r="R69" s="469" t="str">
        <f t="shared" si="28"/>
        <v>-</v>
      </c>
      <c r="S69" s="470">
        <f t="shared" si="29"/>
        <v>0</v>
      </c>
      <c r="T69" s="469" t="str">
        <f t="shared" si="30"/>
        <v>-</v>
      </c>
      <c r="U69" s="372">
        <f t="shared" si="31"/>
        <v>0</v>
      </c>
      <c r="V69" s="379"/>
      <c r="W69" s="379"/>
      <c r="X69" s="379"/>
      <c r="Y69" s="379"/>
      <c r="Z69" s="379">
        <v>1</v>
      </c>
      <c r="AA69" s="471"/>
    </row>
    <row r="70" spans="2:36" s="148" customFormat="1" ht="27" customHeight="1">
      <c r="B70" s="856"/>
      <c r="C70" s="857"/>
      <c r="D70" s="368">
        <v>20</v>
      </c>
      <c r="E70" s="465"/>
      <c r="F70" s="466">
        <f t="shared" si="22"/>
        <v>0</v>
      </c>
      <c r="G70" s="376"/>
      <c r="H70" s="467"/>
      <c r="I70" s="468"/>
      <c r="J70" s="469" t="str">
        <f t="shared" si="23"/>
        <v>-</v>
      </c>
      <c r="K70" s="468"/>
      <c r="L70" s="469" t="str">
        <f t="shared" si="24"/>
        <v>-</v>
      </c>
      <c r="M70" s="468"/>
      <c r="N70" s="469" t="str">
        <f t="shared" si="25"/>
        <v>-</v>
      </c>
      <c r="O70" s="470">
        <f t="shared" si="26"/>
        <v>0</v>
      </c>
      <c r="P70" s="469" t="str">
        <f t="shared" si="27"/>
        <v>-</v>
      </c>
      <c r="Q70" s="467"/>
      <c r="R70" s="469" t="str">
        <f t="shared" si="28"/>
        <v>-</v>
      </c>
      <c r="S70" s="470">
        <f t="shared" si="29"/>
        <v>0</v>
      </c>
      <c r="T70" s="469" t="str">
        <f t="shared" si="30"/>
        <v>-</v>
      </c>
      <c r="U70" s="372">
        <f t="shared" si="31"/>
        <v>0</v>
      </c>
      <c r="V70" s="379"/>
      <c r="W70" s="379"/>
      <c r="X70" s="379"/>
      <c r="Y70" s="379"/>
      <c r="Z70" s="379">
        <v>1</v>
      </c>
      <c r="AA70" s="471"/>
    </row>
    <row r="71" spans="2:36" ht="17.149999999999999" customHeight="1">
      <c r="B71" s="845" t="s">
        <v>453</v>
      </c>
      <c r="C71" s="846"/>
      <c r="D71" s="849" t="s">
        <v>703</v>
      </c>
      <c r="E71" s="850" t="s">
        <v>704</v>
      </c>
      <c r="F71" s="851" t="s">
        <v>705</v>
      </c>
      <c r="G71" s="829" t="s">
        <v>706</v>
      </c>
      <c r="H71" s="837" t="s">
        <v>707</v>
      </c>
      <c r="I71" s="838" t="s">
        <v>708</v>
      </c>
      <c r="J71" s="839"/>
      <c r="K71" s="838" t="s">
        <v>709</v>
      </c>
      <c r="L71" s="839"/>
      <c r="M71" s="838" t="s">
        <v>710</v>
      </c>
      <c r="N71" s="839"/>
      <c r="O71" s="838" t="s">
        <v>711</v>
      </c>
      <c r="P71" s="839"/>
      <c r="Q71" s="838" t="s">
        <v>424</v>
      </c>
      <c r="R71" s="839"/>
      <c r="S71" s="840" t="s">
        <v>425</v>
      </c>
      <c r="T71" s="841"/>
      <c r="U71" s="842"/>
      <c r="V71" s="843" t="s">
        <v>171</v>
      </c>
      <c r="W71" s="843" t="s">
        <v>245</v>
      </c>
      <c r="X71" s="843" t="s">
        <v>712</v>
      </c>
      <c r="Y71" s="843" t="s">
        <v>455</v>
      </c>
      <c r="Z71" s="843" t="s">
        <v>246</v>
      </c>
      <c r="AA71" s="829" t="s">
        <v>172</v>
      </c>
      <c r="AC71" s="858" t="s">
        <v>247</v>
      </c>
      <c r="AD71" s="859"/>
      <c r="AE71" s="859"/>
      <c r="AF71" s="859"/>
      <c r="AG71" s="859"/>
      <c r="AH71" s="859"/>
      <c r="AI71" s="859"/>
      <c r="AJ71" s="860"/>
    </row>
    <row r="72" spans="2:36">
      <c r="B72" s="847"/>
      <c r="C72" s="848"/>
      <c r="D72" s="849"/>
      <c r="E72" s="849"/>
      <c r="F72" s="851"/>
      <c r="G72" s="830"/>
      <c r="H72" s="830"/>
      <c r="I72" s="463" t="s">
        <v>713</v>
      </c>
      <c r="J72" s="369" t="s">
        <v>714</v>
      </c>
      <c r="K72" s="463" t="s">
        <v>713</v>
      </c>
      <c r="L72" s="369" t="s">
        <v>714</v>
      </c>
      <c r="M72" s="463" t="s">
        <v>713</v>
      </c>
      <c r="N72" s="369" t="s">
        <v>714</v>
      </c>
      <c r="O72" s="463" t="s">
        <v>713</v>
      </c>
      <c r="P72" s="369" t="s">
        <v>714</v>
      </c>
      <c r="Q72" s="463" t="s">
        <v>713</v>
      </c>
      <c r="R72" s="369" t="s">
        <v>714</v>
      </c>
      <c r="S72" s="463" t="s">
        <v>713</v>
      </c>
      <c r="T72" s="369" t="s">
        <v>714</v>
      </c>
      <c r="U72" s="369" t="s">
        <v>715</v>
      </c>
      <c r="V72" s="844"/>
      <c r="W72" s="844"/>
      <c r="X72" s="844"/>
      <c r="Y72" s="844"/>
      <c r="Z72" s="844"/>
      <c r="AA72" s="830"/>
      <c r="AC72" s="861"/>
      <c r="AD72" s="862"/>
      <c r="AE72" s="862"/>
      <c r="AF72" s="862"/>
      <c r="AG72" s="862"/>
      <c r="AH72" s="862"/>
      <c r="AI72" s="862"/>
      <c r="AJ72" s="863"/>
    </row>
    <row r="73" spans="2:36" s="148" customFormat="1" ht="27" customHeight="1">
      <c r="B73" s="852" t="s">
        <v>720</v>
      </c>
      <c r="C73" s="853"/>
      <c r="D73" s="368">
        <v>1</v>
      </c>
      <c r="E73" s="465"/>
      <c r="F73" s="466">
        <f>IFERROR(Q73*G73,"-")</f>
        <v>0</v>
      </c>
      <c r="G73" s="376"/>
      <c r="H73" s="467"/>
      <c r="I73" s="468"/>
      <c r="J73" s="469" t="str">
        <f>IFERROR(I73/H73,"-")</f>
        <v>-</v>
      </c>
      <c r="K73" s="468"/>
      <c r="L73" s="469" t="str">
        <f>IFERROR(K73/H73,"-")</f>
        <v>-</v>
      </c>
      <c r="M73" s="468"/>
      <c r="N73" s="469" t="str">
        <f>IFERROR(M73/H73,"-")</f>
        <v>-</v>
      </c>
      <c r="O73" s="470">
        <f>IFERROR(K73+M73,"-")</f>
        <v>0</v>
      </c>
      <c r="P73" s="469" t="str">
        <f>IFERROR(O73/H73,"-")</f>
        <v>-</v>
      </c>
      <c r="Q73" s="467"/>
      <c r="R73" s="469" t="str">
        <f>IFERROR(Q73/H73,"-")</f>
        <v>-</v>
      </c>
      <c r="S73" s="470">
        <f>IFERROR(O73-H73,"-")</f>
        <v>0</v>
      </c>
      <c r="T73" s="469" t="str">
        <f>IFERROR(S73/H73,"-")</f>
        <v>-</v>
      </c>
      <c r="U73" s="372">
        <f>IFERROR(S73*G73,"-")</f>
        <v>0</v>
      </c>
      <c r="V73" s="379"/>
      <c r="W73" s="379"/>
      <c r="X73" s="379"/>
      <c r="Y73" s="379"/>
      <c r="Z73" s="379">
        <v>1</v>
      </c>
      <c r="AA73" s="471"/>
      <c r="AC73" s="864"/>
      <c r="AD73" s="865"/>
      <c r="AE73" s="865"/>
      <c r="AF73" s="865"/>
      <c r="AG73" s="865"/>
      <c r="AH73" s="865"/>
      <c r="AI73" s="865"/>
      <c r="AJ73" s="866"/>
    </row>
    <row r="74" spans="2:36" s="148" customFormat="1" ht="27" customHeight="1">
      <c r="B74" s="854"/>
      <c r="C74" s="855"/>
      <c r="D74" s="368">
        <v>2</v>
      </c>
      <c r="E74" s="465"/>
      <c r="F74" s="466">
        <f t="shared" ref="F74:F92" si="34">IFERROR(Q74*G74,"-")</f>
        <v>0</v>
      </c>
      <c r="G74" s="376"/>
      <c r="H74" s="467"/>
      <c r="I74" s="468"/>
      <c r="J74" s="469" t="str">
        <f t="shared" ref="J74:J92" si="35">IFERROR(I74/H74,"-")</f>
        <v>-</v>
      </c>
      <c r="K74" s="468"/>
      <c r="L74" s="469" t="str">
        <f t="shared" ref="L74:L92" si="36">IFERROR(K74/H74,"-")</f>
        <v>-</v>
      </c>
      <c r="M74" s="468"/>
      <c r="N74" s="469" t="str">
        <f t="shared" ref="N74:N92" si="37">IFERROR(M74/H74,"-")</f>
        <v>-</v>
      </c>
      <c r="O74" s="470">
        <f t="shared" ref="O74:O92" si="38">IFERROR(K74+M74,"-")</f>
        <v>0</v>
      </c>
      <c r="P74" s="469" t="str">
        <f t="shared" ref="P74:P92" si="39">IFERROR(O74/H74,"-")</f>
        <v>-</v>
      </c>
      <c r="Q74" s="467"/>
      <c r="R74" s="469" t="str">
        <f t="shared" ref="R74:R92" si="40">IFERROR(Q74/H74,"-")</f>
        <v>-</v>
      </c>
      <c r="S74" s="470">
        <f t="shared" ref="S74:S92" si="41">IFERROR(O74-H74,"-")</f>
        <v>0</v>
      </c>
      <c r="T74" s="469" t="str">
        <f t="shared" ref="T74:T92" si="42">IFERROR(S74/H74,"-")</f>
        <v>-</v>
      </c>
      <c r="U74" s="372">
        <f t="shared" ref="U74:U92" si="43">IFERROR(S74*G74,"-")</f>
        <v>0</v>
      </c>
      <c r="V74" s="379"/>
      <c r="W74" s="379"/>
      <c r="X74" s="379"/>
      <c r="Y74" s="379"/>
      <c r="Z74" s="379">
        <v>1</v>
      </c>
      <c r="AA74" s="471"/>
      <c r="AC74" s="161" t="s">
        <v>244</v>
      </c>
      <c r="AD74" s="161" t="s">
        <v>456</v>
      </c>
      <c r="AE74" s="156" t="s">
        <v>716</v>
      </c>
      <c r="AF74" s="156" t="s">
        <v>339</v>
      </c>
      <c r="AG74" s="156" t="s">
        <v>436</v>
      </c>
      <c r="AH74" s="156" t="s">
        <v>215</v>
      </c>
      <c r="AI74" s="156" t="s">
        <v>216</v>
      </c>
      <c r="AJ74" s="156" t="s">
        <v>390</v>
      </c>
    </row>
    <row r="75" spans="2:36" s="148" customFormat="1" ht="27" customHeight="1">
      <c r="B75" s="854"/>
      <c r="C75" s="855"/>
      <c r="D75" s="368">
        <v>3</v>
      </c>
      <c r="E75" s="465"/>
      <c r="F75" s="466">
        <f t="shared" si="34"/>
        <v>0</v>
      </c>
      <c r="G75" s="376"/>
      <c r="H75" s="467"/>
      <c r="I75" s="468"/>
      <c r="J75" s="469" t="str">
        <f t="shared" si="35"/>
        <v>-</v>
      </c>
      <c r="K75" s="468"/>
      <c r="L75" s="469" t="str">
        <f t="shared" si="36"/>
        <v>-</v>
      </c>
      <c r="M75" s="468"/>
      <c r="N75" s="469" t="str">
        <f t="shared" si="37"/>
        <v>-</v>
      </c>
      <c r="O75" s="470">
        <f t="shared" si="38"/>
        <v>0</v>
      </c>
      <c r="P75" s="469" t="str">
        <f t="shared" si="39"/>
        <v>-</v>
      </c>
      <c r="Q75" s="467"/>
      <c r="R75" s="469" t="str">
        <f t="shared" si="40"/>
        <v>-</v>
      </c>
      <c r="S75" s="470">
        <f t="shared" si="41"/>
        <v>0</v>
      </c>
      <c r="T75" s="469" t="str">
        <f t="shared" si="42"/>
        <v>-</v>
      </c>
      <c r="U75" s="372">
        <f t="shared" si="43"/>
        <v>0</v>
      </c>
      <c r="V75" s="379"/>
      <c r="W75" s="379"/>
      <c r="X75" s="379"/>
      <c r="Y75" s="379"/>
      <c r="Z75" s="379">
        <v>1</v>
      </c>
      <c r="AA75" s="471"/>
      <c r="AC75" s="388">
        <f>SUM(Z73:Z92)</f>
        <v>20</v>
      </c>
      <c r="AD75" s="382">
        <f>SUMIF($W$73:$W$92,TRIM(AD74),$Z$73:$Z$92)</f>
        <v>0</v>
      </c>
      <c r="AE75" s="382">
        <f t="shared" ref="AE75:AJ75" si="44">SUMIF($W$73:$W$92,TRIM(AE74),$Z$73:$Z$92)</f>
        <v>0</v>
      </c>
      <c r="AF75" s="382">
        <f t="shared" si="44"/>
        <v>0</v>
      </c>
      <c r="AG75" s="382">
        <f t="shared" si="44"/>
        <v>0</v>
      </c>
      <c r="AH75" s="382">
        <f t="shared" si="44"/>
        <v>0</v>
      </c>
      <c r="AI75" s="382">
        <f t="shared" si="44"/>
        <v>0</v>
      </c>
      <c r="AJ75" s="382">
        <f t="shared" si="44"/>
        <v>0</v>
      </c>
    </row>
    <row r="76" spans="2:36" s="148" customFormat="1" ht="27" customHeight="1">
      <c r="B76" s="854"/>
      <c r="C76" s="855"/>
      <c r="D76" s="368">
        <v>4</v>
      </c>
      <c r="E76" s="465"/>
      <c r="F76" s="466">
        <f t="shared" si="34"/>
        <v>0</v>
      </c>
      <c r="G76" s="376"/>
      <c r="H76" s="467"/>
      <c r="I76" s="468"/>
      <c r="J76" s="469" t="str">
        <f t="shared" si="35"/>
        <v>-</v>
      </c>
      <c r="K76" s="468"/>
      <c r="L76" s="469" t="str">
        <f t="shared" si="36"/>
        <v>-</v>
      </c>
      <c r="M76" s="468"/>
      <c r="N76" s="469" t="str">
        <f t="shared" si="37"/>
        <v>-</v>
      </c>
      <c r="O76" s="470">
        <f t="shared" si="38"/>
        <v>0</v>
      </c>
      <c r="P76" s="469" t="str">
        <f t="shared" si="39"/>
        <v>-</v>
      </c>
      <c r="Q76" s="467"/>
      <c r="R76" s="469" t="str">
        <f t="shared" si="40"/>
        <v>-</v>
      </c>
      <c r="S76" s="470">
        <f t="shared" si="41"/>
        <v>0</v>
      </c>
      <c r="T76" s="469" t="str">
        <f t="shared" si="42"/>
        <v>-</v>
      </c>
      <c r="U76" s="372">
        <f t="shared" si="43"/>
        <v>0</v>
      </c>
      <c r="V76" s="379"/>
      <c r="W76" s="379"/>
      <c r="X76" s="379"/>
      <c r="Y76" s="379"/>
      <c r="Z76" s="379">
        <v>1</v>
      </c>
      <c r="AA76" s="471"/>
      <c r="AC76" s="389" t="s">
        <v>11</v>
      </c>
      <c r="AD76" s="386">
        <f>SUMIF($W$73:$W92,TRIM(AD74),$F$73:$F$92)</f>
        <v>0</v>
      </c>
      <c r="AE76" s="386">
        <f>SUMIF($W$73:$W92,TRIM(AE74),$F$73:$F$92)</f>
        <v>0</v>
      </c>
      <c r="AF76" s="386">
        <f>SUMIF($W$73:$W92,TRIM(AF74),$F$73:$F$92)</f>
        <v>0</v>
      </c>
      <c r="AG76" s="386">
        <f>SUMIF($W$73:$W92,TRIM(AG74),$F$73:$F$92)</f>
        <v>0</v>
      </c>
      <c r="AH76" s="386">
        <f>SUMIF($W$73:$W92,TRIM(AH74),$F$73:$F$92)</f>
        <v>0</v>
      </c>
      <c r="AI76" s="386">
        <f>SUMIF($W$73:$W92,TRIM(AI74),$F$73:$F$92)</f>
        <v>0</v>
      </c>
      <c r="AJ76" s="386">
        <f>SUMIF($W$73:$W92,TRIM(AJ74),$F$73:$F$92)</f>
        <v>0</v>
      </c>
    </row>
    <row r="77" spans="2:36" s="148" customFormat="1" ht="27" customHeight="1">
      <c r="B77" s="854"/>
      <c r="C77" s="855"/>
      <c r="D77" s="368">
        <v>5</v>
      </c>
      <c r="E77" s="465"/>
      <c r="F77" s="466">
        <f t="shared" si="34"/>
        <v>0</v>
      </c>
      <c r="G77" s="376"/>
      <c r="H77" s="467"/>
      <c r="I77" s="468"/>
      <c r="J77" s="469" t="str">
        <f t="shared" si="35"/>
        <v>-</v>
      </c>
      <c r="K77" s="468"/>
      <c r="L77" s="469" t="str">
        <f t="shared" si="36"/>
        <v>-</v>
      </c>
      <c r="M77" s="468"/>
      <c r="N77" s="469" t="str">
        <f t="shared" si="37"/>
        <v>-</v>
      </c>
      <c r="O77" s="470">
        <f t="shared" si="38"/>
        <v>0</v>
      </c>
      <c r="P77" s="469" t="str">
        <f t="shared" si="39"/>
        <v>-</v>
      </c>
      <c r="Q77" s="467"/>
      <c r="R77" s="469" t="str">
        <f t="shared" si="40"/>
        <v>-</v>
      </c>
      <c r="S77" s="470">
        <f t="shared" si="41"/>
        <v>0</v>
      </c>
      <c r="T77" s="469" t="str">
        <f t="shared" si="42"/>
        <v>-</v>
      </c>
      <c r="U77" s="372">
        <f t="shared" si="43"/>
        <v>0</v>
      </c>
      <c r="V77" s="379"/>
      <c r="W77" s="379"/>
      <c r="X77" s="379"/>
      <c r="Y77" s="379"/>
      <c r="Z77" s="379">
        <v>1</v>
      </c>
      <c r="AA77" s="471"/>
      <c r="AC77" s="368" t="s">
        <v>717</v>
      </c>
      <c r="AD77" s="472">
        <f t="shared" ref="AD77:AJ77" si="45">AD75/$AC75</f>
        <v>0</v>
      </c>
      <c r="AE77" s="472">
        <f t="shared" si="45"/>
        <v>0</v>
      </c>
      <c r="AF77" s="472">
        <f t="shared" si="45"/>
        <v>0</v>
      </c>
      <c r="AG77" s="472">
        <f t="shared" si="45"/>
        <v>0</v>
      </c>
      <c r="AH77" s="472">
        <f t="shared" si="45"/>
        <v>0</v>
      </c>
      <c r="AI77" s="472">
        <f t="shared" si="45"/>
        <v>0</v>
      </c>
      <c r="AJ77" s="472">
        <f t="shared" si="45"/>
        <v>0</v>
      </c>
    </row>
    <row r="78" spans="2:36" s="148" customFormat="1" ht="27" customHeight="1">
      <c r="B78" s="854"/>
      <c r="C78" s="855"/>
      <c r="D78" s="368">
        <v>6</v>
      </c>
      <c r="E78" s="465"/>
      <c r="F78" s="466">
        <f t="shared" si="34"/>
        <v>0</v>
      </c>
      <c r="G78" s="376"/>
      <c r="H78" s="467"/>
      <c r="I78" s="468"/>
      <c r="J78" s="469" t="str">
        <f t="shared" si="35"/>
        <v>-</v>
      </c>
      <c r="K78" s="468"/>
      <c r="L78" s="469" t="str">
        <f t="shared" si="36"/>
        <v>-</v>
      </c>
      <c r="M78" s="468"/>
      <c r="N78" s="469" t="str">
        <f t="shared" si="37"/>
        <v>-</v>
      </c>
      <c r="O78" s="470">
        <f t="shared" si="38"/>
        <v>0</v>
      </c>
      <c r="P78" s="469" t="str">
        <f t="shared" si="39"/>
        <v>-</v>
      </c>
      <c r="Q78" s="467"/>
      <c r="R78" s="469" t="str">
        <f t="shared" si="40"/>
        <v>-</v>
      </c>
      <c r="S78" s="470">
        <f t="shared" si="41"/>
        <v>0</v>
      </c>
      <c r="T78" s="469" t="str">
        <f t="shared" si="42"/>
        <v>-</v>
      </c>
      <c r="U78" s="372">
        <f t="shared" si="43"/>
        <v>0</v>
      </c>
      <c r="V78" s="379"/>
      <c r="W78" s="379"/>
      <c r="X78" s="379"/>
      <c r="Y78" s="379"/>
      <c r="Z78" s="379">
        <v>1</v>
      </c>
      <c r="AA78" s="471"/>
    </row>
    <row r="79" spans="2:36" s="148" customFormat="1" ht="27" customHeight="1">
      <c r="B79" s="854"/>
      <c r="C79" s="855"/>
      <c r="D79" s="368">
        <v>7</v>
      </c>
      <c r="E79" s="465"/>
      <c r="F79" s="466">
        <f t="shared" si="34"/>
        <v>0</v>
      </c>
      <c r="G79" s="376"/>
      <c r="H79" s="467"/>
      <c r="I79" s="468"/>
      <c r="J79" s="469" t="str">
        <f t="shared" si="35"/>
        <v>-</v>
      </c>
      <c r="K79" s="468"/>
      <c r="L79" s="469" t="str">
        <f t="shared" si="36"/>
        <v>-</v>
      </c>
      <c r="M79" s="468"/>
      <c r="N79" s="469" t="str">
        <f t="shared" si="37"/>
        <v>-</v>
      </c>
      <c r="O79" s="470">
        <f t="shared" si="38"/>
        <v>0</v>
      </c>
      <c r="P79" s="469" t="str">
        <f t="shared" si="39"/>
        <v>-</v>
      </c>
      <c r="Q79" s="467"/>
      <c r="R79" s="469" t="str">
        <f t="shared" si="40"/>
        <v>-</v>
      </c>
      <c r="S79" s="470">
        <f t="shared" si="41"/>
        <v>0</v>
      </c>
      <c r="T79" s="469" t="str">
        <f t="shared" si="42"/>
        <v>-</v>
      </c>
      <c r="U79" s="372">
        <f t="shared" si="43"/>
        <v>0</v>
      </c>
      <c r="V79" s="379"/>
      <c r="W79" s="379"/>
      <c r="X79" s="379"/>
      <c r="Y79" s="379"/>
      <c r="Z79" s="379">
        <v>1</v>
      </c>
      <c r="AA79" s="471"/>
    </row>
    <row r="80" spans="2:36" s="148" customFormat="1" ht="27" customHeight="1">
      <c r="B80" s="854"/>
      <c r="C80" s="855"/>
      <c r="D80" s="368">
        <v>8</v>
      </c>
      <c r="E80" s="465"/>
      <c r="F80" s="466">
        <f t="shared" si="34"/>
        <v>0</v>
      </c>
      <c r="G80" s="376"/>
      <c r="H80" s="467"/>
      <c r="I80" s="468"/>
      <c r="J80" s="469" t="str">
        <f t="shared" si="35"/>
        <v>-</v>
      </c>
      <c r="K80" s="468"/>
      <c r="L80" s="469" t="str">
        <f t="shared" si="36"/>
        <v>-</v>
      </c>
      <c r="M80" s="468"/>
      <c r="N80" s="469" t="str">
        <f t="shared" si="37"/>
        <v>-</v>
      </c>
      <c r="O80" s="470">
        <f t="shared" si="38"/>
        <v>0</v>
      </c>
      <c r="P80" s="469" t="str">
        <f t="shared" si="39"/>
        <v>-</v>
      </c>
      <c r="Q80" s="467"/>
      <c r="R80" s="469" t="str">
        <f t="shared" si="40"/>
        <v>-</v>
      </c>
      <c r="S80" s="470">
        <f t="shared" si="41"/>
        <v>0</v>
      </c>
      <c r="T80" s="469" t="str">
        <f t="shared" si="42"/>
        <v>-</v>
      </c>
      <c r="U80" s="372">
        <f t="shared" si="43"/>
        <v>0</v>
      </c>
      <c r="V80" s="379"/>
      <c r="W80" s="379"/>
      <c r="X80" s="379"/>
      <c r="Y80" s="379"/>
      <c r="Z80" s="379">
        <v>1</v>
      </c>
      <c r="AA80" s="471"/>
    </row>
    <row r="81" spans="2:36" s="148" customFormat="1" ht="27" customHeight="1">
      <c r="B81" s="854"/>
      <c r="C81" s="855"/>
      <c r="D81" s="368">
        <v>9</v>
      </c>
      <c r="E81" s="465"/>
      <c r="F81" s="466">
        <f t="shared" si="34"/>
        <v>0</v>
      </c>
      <c r="G81" s="376"/>
      <c r="H81" s="467"/>
      <c r="I81" s="468"/>
      <c r="J81" s="469" t="str">
        <f t="shared" si="35"/>
        <v>-</v>
      </c>
      <c r="K81" s="468"/>
      <c r="L81" s="469" t="str">
        <f t="shared" si="36"/>
        <v>-</v>
      </c>
      <c r="M81" s="468"/>
      <c r="N81" s="469" t="str">
        <f t="shared" si="37"/>
        <v>-</v>
      </c>
      <c r="O81" s="470">
        <f t="shared" si="38"/>
        <v>0</v>
      </c>
      <c r="P81" s="469" t="str">
        <f t="shared" si="39"/>
        <v>-</v>
      </c>
      <c r="Q81" s="467"/>
      <c r="R81" s="469" t="str">
        <f t="shared" si="40"/>
        <v>-</v>
      </c>
      <c r="S81" s="470">
        <f t="shared" si="41"/>
        <v>0</v>
      </c>
      <c r="T81" s="469" t="str">
        <f t="shared" si="42"/>
        <v>-</v>
      </c>
      <c r="U81" s="372">
        <f t="shared" si="43"/>
        <v>0</v>
      </c>
      <c r="V81" s="379"/>
      <c r="W81" s="379"/>
      <c r="X81" s="379"/>
      <c r="Y81" s="379"/>
      <c r="Z81" s="379">
        <v>1</v>
      </c>
      <c r="AA81" s="471"/>
    </row>
    <row r="82" spans="2:36" s="148" customFormat="1" ht="27" customHeight="1">
      <c r="B82" s="854"/>
      <c r="C82" s="855"/>
      <c r="D82" s="368">
        <v>10</v>
      </c>
      <c r="E82" s="465"/>
      <c r="F82" s="466">
        <f t="shared" si="34"/>
        <v>0</v>
      </c>
      <c r="G82" s="376"/>
      <c r="H82" s="467"/>
      <c r="I82" s="468"/>
      <c r="J82" s="469" t="str">
        <f t="shared" si="35"/>
        <v>-</v>
      </c>
      <c r="K82" s="468"/>
      <c r="L82" s="469" t="str">
        <f t="shared" si="36"/>
        <v>-</v>
      </c>
      <c r="M82" s="468"/>
      <c r="N82" s="469" t="str">
        <f t="shared" si="37"/>
        <v>-</v>
      </c>
      <c r="O82" s="470">
        <f t="shared" si="38"/>
        <v>0</v>
      </c>
      <c r="P82" s="469" t="str">
        <f t="shared" si="39"/>
        <v>-</v>
      </c>
      <c r="Q82" s="467"/>
      <c r="R82" s="469" t="str">
        <f t="shared" si="40"/>
        <v>-</v>
      </c>
      <c r="S82" s="470">
        <f t="shared" si="41"/>
        <v>0</v>
      </c>
      <c r="T82" s="469" t="str">
        <f t="shared" si="42"/>
        <v>-</v>
      </c>
      <c r="U82" s="372">
        <f t="shared" si="43"/>
        <v>0</v>
      </c>
      <c r="V82" s="379"/>
      <c r="W82" s="379"/>
      <c r="X82" s="379"/>
      <c r="Y82" s="379"/>
      <c r="Z82" s="379">
        <v>1</v>
      </c>
      <c r="AA82" s="471"/>
    </row>
    <row r="83" spans="2:36" s="148" customFormat="1" ht="27" customHeight="1">
      <c r="B83" s="854"/>
      <c r="C83" s="855"/>
      <c r="D83" s="368">
        <v>11</v>
      </c>
      <c r="E83" s="465"/>
      <c r="F83" s="466">
        <f t="shared" si="34"/>
        <v>0</v>
      </c>
      <c r="G83" s="376"/>
      <c r="H83" s="467"/>
      <c r="I83" s="468"/>
      <c r="J83" s="469" t="str">
        <f t="shared" si="35"/>
        <v>-</v>
      </c>
      <c r="K83" s="468"/>
      <c r="L83" s="469" t="str">
        <f t="shared" si="36"/>
        <v>-</v>
      </c>
      <c r="M83" s="468"/>
      <c r="N83" s="469" t="str">
        <f t="shared" si="37"/>
        <v>-</v>
      </c>
      <c r="O83" s="470">
        <f t="shared" si="38"/>
        <v>0</v>
      </c>
      <c r="P83" s="469" t="str">
        <f t="shared" si="39"/>
        <v>-</v>
      </c>
      <c r="Q83" s="467"/>
      <c r="R83" s="469" t="str">
        <f t="shared" si="40"/>
        <v>-</v>
      </c>
      <c r="S83" s="470">
        <f t="shared" si="41"/>
        <v>0</v>
      </c>
      <c r="T83" s="469" t="str">
        <f t="shared" si="42"/>
        <v>-</v>
      </c>
      <c r="U83" s="372">
        <f t="shared" si="43"/>
        <v>0</v>
      </c>
      <c r="V83" s="379"/>
      <c r="W83" s="379"/>
      <c r="X83" s="379"/>
      <c r="Y83" s="379"/>
      <c r="Z83" s="379">
        <v>1</v>
      </c>
      <c r="AA83" s="471"/>
      <c r="AE83" s="383"/>
    </row>
    <row r="84" spans="2:36" s="148" customFormat="1" ht="27" customHeight="1">
      <c r="B84" s="854"/>
      <c r="C84" s="855"/>
      <c r="D84" s="368">
        <v>12</v>
      </c>
      <c r="E84" s="465"/>
      <c r="F84" s="466">
        <f t="shared" si="34"/>
        <v>0</v>
      </c>
      <c r="G84" s="376"/>
      <c r="H84" s="467"/>
      <c r="I84" s="468"/>
      <c r="J84" s="469" t="str">
        <f t="shared" si="35"/>
        <v>-</v>
      </c>
      <c r="K84" s="468"/>
      <c r="L84" s="469" t="str">
        <f t="shared" si="36"/>
        <v>-</v>
      </c>
      <c r="M84" s="468"/>
      <c r="N84" s="469" t="str">
        <f t="shared" si="37"/>
        <v>-</v>
      </c>
      <c r="O84" s="470">
        <f t="shared" si="38"/>
        <v>0</v>
      </c>
      <c r="P84" s="469" t="str">
        <f t="shared" si="39"/>
        <v>-</v>
      </c>
      <c r="Q84" s="467"/>
      <c r="R84" s="469" t="str">
        <f t="shared" si="40"/>
        <v>-</v>
      </c>
      <c r="S84" s="470">
        <f t="shared" si="41"/>
        <v>0</v>
      </c>
      <c r="T84" s="469" t="str">
        <f t="shared" si="42"/>
        <v>-</v>
      </c>
      <c r="U84" s="372">
        <f t="shared" si="43"/>
        <v>0</v>
      </c>
      <c r="V84" s="379"/>
      <c r="W84" s="379"/>
      <c r="X84" s="379"/>
      <c r="Y84" s="379"/>
      <c r="Z84" s="379">
        <v>1</v>
      </c>
      <c r="AA84" s="471"/>
    </row>
    <row r="85" spans="2:36" s="148" customFormat="1" ht="27" customHeight="1">
      <c r="B85" s="854"/>
      <c r="C85" s="855"/>
      <c r="D85" s="368">
        <v>13</v>
      </c>
      <c r="E85" s="465"/>
      <c r="F85" s="466">
        <f t="shared" si="34"/>
        <v>0</v>
      </c>
      <c r="G85" s="376"/>
      <c r="H85" s="467"/>
      <c r="I85" s="468"/>
      <c r="J85" s="469" t="str">
        <f t="shared" si="35"/>
        <v>-</v>
      </c>
      <c r="K85" s="468"/>
      <c r="L85" s="469" t="str">
        <f t="shared" si="36"/>
        <v>-</v>
      </c>
      <c r="M85" s="468"/>
      <c r="N85" s="469" t="str">
        <f t="shared" si="37"/>
        <v>-</v>
      </c>
      <c r="O85" s="470">
        <f t="shared" si="38"/>
        <v>0</v>
      </c>
      <c r="P85" s="469" t="str">
        <f t="shared" si="39"/>
        <v>-</v>
      </c>
      <c r="Q85" s="467"/>
      <c r="R85" s="469" t="str">
        <f t="shared" si="40"/>
        <v>-</v>
      </c>
      <c r="S85" s="470">
        <f t="shared" si="41"/>
        <v>0</v>
      </c>
      <c r="T85" s="469" t="str">
        <f t="shared" si="42"/>
        <v>-</v>
      </c>
      <c r="U85" s="372">
        <f t="shared" si="43"/>
        <v>0</v>
      </c>
      <c r="V85" s="379"/>
      <c r="W85" s="379"/>
      <c r="X85" s="379"/>
      <c r="Y85" s="379"/>
      <c r="Z85" s="379">
        <v>1</v>
      </c>
      <c r="AA85" s="471"/>
    </row>
    <row r="86" spans="2:36" s="148" customFormat="1" ht="27" customHeight="1">
      <c r="B86" s="854"/>
      <c r="C86" s="855"/>
      <c r="D86" s="368">
        <v>14</v>
      </c>
      <c r="E86" s="465"/>
      <c r="F86" s="466">
        <f t="shared" si="34"/>
        <v>0</v>
      </c>
      <c r="G86" s="376"/>
      <c r="H86" s="467"/>
      <c r="I86" s="468"/>
      <c r="J86" s="469" t="str">
        <f t="shared" si="35"/>
        <v>-</v>
      </c>
      <c r="K86" s="468"/>
      <c r="L86" s="469" t="str">
        <f t="shared" si="36"/>
        <v>-</v>
      </c>
      <c r="M86" s="468"/>
      <c r="N86" s="469" t="str">
        <f t="shared" si="37"/>
        <v>-</v>
      </c>
      <c r="O86" s="470">
        <f t="shared" si="38"/>
        <v>0</v>
      </c>
      <c r="P86" s="469" t="str">
        <f t="shared" si="39"/>
        <v>-</v>
      </c>
      <c r="Q86" s="467"/>
      <c r="R86" s="469" t="str">
        <f t="shared" si="40"/>
        <v>-</v>
      </c>
      <c r="S86" s="470">
        <f t="shared" si="41"/>
        <v>0</v>
      </c>
      <c r="T86" s="469" t="str">
        <f t="shared" si="42"/>
        <v>-</v>
      </c>
      <c r="U86" s="372">
        <f t="shared" si="43"/>
        <v>0</v>
      </c>
      <c r="V86" s="379"/>
      <c r="W86" s="379"/>
      <c r="X86" s="379"/>
      <c r="Y86" s="379"/>
      <c r="Z86" s="379">
        <v>1</v>
      </c>
      <c r="AA86" s="471"/>
    </row>
    <row r="87" spans="2:36" s="148" customFormat="1" ht="27" customHeight="1">
      <c r="B87" s="854"/>
      <c r="C87" s="855"/>
      <c r="D87" s="368">
        <v>15</v>
      </c>
      <c r="E87" s="465"/>
      <c r="F87" s="466">
        <f t="shared" si="34"/>
        <v>0</v>
      </c>
      <c r="G87" s="376"/>
      <c r="H87" s="467"/>
      <c r="I87" s="468"/>
      <c r="J87" s="469" t="str">
        <f t="shared" si="35"/>
        <v>-</v>
      </c>
      <c r="K87" s="468"/>
      <c r="L87" s="469" t="str">
        <f t="shared" si="36"/>
        <v>-</v>
      </c>
      <c r="M87" s="468"/>
      <c r="N87" s="469" t="str">
        <f t="shared" si="37"/>
        <v>-</v>
      </c>
      <c r="O87" s="470">
        <f t="shared" si="38"/>
        <v>0</v>
      </c>
      <c r="P87" s="469" t="str">
        <f t="shared" si="39"/>
        <v>-</v>
      </c>
      <c r="Q87" s="467"/>
      <c r="R87" s="469" t="str">
        <f t="shared" si="40"/>
        <v>-</v>
      </c>
      <c r="S87" s="470">
        <f t="shared" si="41"/>
        <v>0</v>
      </c>
      <c r="T87" s="469" t="str">
        <f t="shared" si="42"/>
        <v>-</v>
      </c>
      <c r="U87" s="372">
        <f t="shared" si="43"/>
        <v>0</v>
      </c>
      <c r="V87" s="379"/>
      <c r="W87" s="379"/>
      <c r="X87" s="379"/>
      <c r="Y87" s="379"/>
      <c r="Z87" s="379">
        <v>1</v>
      </c>
      <c r="AA87" s="471"/>
    </row>
    <row r="88" spans="2:36" s="148" customFormat="1" ht="27" customHeight="1">
      <c r="B88" s="854"/>
      <c r="C88" s="855"/>
      <c r="D88" s="368">
        <v>16</v>
      </c>
      <c r="E88" s="465"/>
      <c r="F88" s="466">
        <f t="shared" si="34"/>
        <v>0</v>
      </c>
      <c r="G88" s="376"/>
      <c r="H88" s="467"/>
      <c r="I88" s="468"/>
      <c r="J88" s="469" t="str">
        <f t="shared" si="35"/>
        <v>-</v>
      </c>
      <c r="K88" s="468"/>
      <c r="L88" s="469" t="str">
        <f t="shared" si="36"/>
        <v>-</v>
      </c>
      <c r="M88" s="468"/>
      <c r="N88" s="469" t="str">
        <f t="shared" si="37"/>
        <v>-</v>
      </c>
      <c r="O88" s="470">
        <f t="shared" si="38"/>
        <v>0</v>
      </c>
      <c r="P88" s="469" t="str">
        <f t="shared" si="39"/>
        <v>-</v>
      </c>
      <c r="Q88" s="467"/>
      <c r="R88" s="469" t="str">
        <f t="shared" si="40"/>
        <v>-</v>
      </c>
      <c r="S88" s="470">
        <f t="shared" si="41"/>
        <v>0</v>
      </c>
      <c r="T88" s="469" t="str">
        <f t="shared" si="42"/>
        <v>-</v>
      </c>
      <c r="U88" s="372">
        <f t="shared" si="43"/>
        <v>0</v>
      </c>
      <c r="V88" s="379"/>
      <c r="W88" s="379"/>
      <c r="X88" s="379"/>
      <c r="Y88" s="379"/>
      <c r="Z88" s="379">
        <v>1</v>
      </c>
      <c r="AA88" s="471"/>
    </row>
    <row r="89" spans="2:36" s="148" customFormat="1" ht="27" customHeight="1">
      <c r="B89" s="854"/>
      <c r="C89" s="855"/>
      <c r="D89" s="368">
        <v>17</v>
      </c>
      <c r="E89" s="465"/>
      <c r="F89" s="466">
        <f t="shared" si="34"/>
        <v>0</v>
      </c>
      <c r="G89" s="376"/>
      <c r="H89" s="467"/>
      <c r="I89" s="468"/>
      <c r="J89" s="469" t="str">
        <f t="shared" si="35"/>
        <v>-</v>
      </c>
      <c r="K89" s="468"/>
      <c r="L89" s="469" t="str">
        <f t="shared" si="36"/>
        <v>-</v>
      </c>
      <c r="M89" s="468"/>
      <c r="N89" s="469" t="str">
        <f t="shared" si="37"/>
        <v>-</v>
      </c>
      <c r="O89" s="470">
        <f t="shared" si="38"/>
        <v>0</v>
      </c>
      <c r="P89" s="469" t="str">
        <f t="shared" si="39"/>
        <v>-</v>
      </c>
      <c r="Q89" s="467"/>
      <c r="R89" s="469" t="str">
        <f t="shared" si="40"/>
        <v>-</v>
      </c>
      <c r="S89" s="470">
        <f t="shared" si="41"/>
        <v>0</v>
      </c>
      <c r="T89" s="469" t="str">
        <f t="shared" si="42"/>
        <v>-</v>
      </c>
      <c r="U89" s="372">
        <f t="shared" si="43"/>
        <v>0</v>
      </c>
      <c r="V89" s="379"/>
      <c r="W89" s="379"/>
      <c r="X89" s="379"/>
      <c r="Y89" s="379"/>
      <c r="Z89" s="379">
        <v>1</v>
      </c>
      <c r="AA89" s="471"/>
    </row>
    <row r="90" spans="2:36" s="148" customFormat="1" ht="27" customHeight="1">
      <c r="B90" s="854"/>
      <c r="C90" s="855"/>
      <c r="D90" s="368">
        <v>18</v>
      </c>
      <c r="E90" s="465"/>
      <c r="F90" s="466">
        <f t="shared" si="34"/>
        <v>0</v>
      </c>
      <c r="G90" s="376"/>
      <c r="H90" s="467"/>
      <c r="I90" s="468"/>
      <c r="J90" s="469" t="str">
        <f t="shared" si="35"/>
        <v>-</v>
      </c>
      <c r="K90" s="468"/>
      <c r="L90" s="469" t="str">
        <f t="shared" si="36"/>
        <v>-</v>
      </c>
      <c r="M90" s="468"/>
      <c r="N90" s="469" t="str">
        <f t="shared" si="37"/>
        <v>-</v>
      </c>
      <c r="O90" s="470">
        <f t="shared" si="38"/>
        <v>0</v>
      </c>
      <c r="P90" s="469" t="str">
        <f t="shared" si="39"/>
        <v>-</v>
      </c>
      <c r="Q90" s="467"/>
      <c r="R90" s="469" t="str">
        <f t="shared" si="40"/>
        <v>-</v>
      </c>
      <c r="S90" s="470">
        <f t="shared" si="41"/>
        <v>0</v>
      </c>
      <c r="T90" s="469" t="str">
        <f t="shared" si="42"/>
        <v>-</v>
      </c>
      <c r="U90" s="372">
        <f t="shared" si="43"/>
        <v>0</v>
      </c>
      <c r="V90" s="379"/>
      <c r="W90" s="379"/>
      <c r="X90" s="379"/>
      <c r="Y90" s="379"/>
      <c r="Z90" s="379">
        <v>1</v>
      </c>
      <c r="AA90" s="471"/>
    </row>
    <row r="91" spans="2:36" s="148" customFormat="1" ht="27" customHeight="1">
      <c r="B91" s="854"/>
      <c r="C91" s="855"/>
      <c r="D91" s="368">
        <v>19</v>
      </c>
      <c r="E91" s="465"/>
      <c r="F91" s="466">
        <f t="shared" si="34"/>
        <v>0</v>
      </c>
      <c r="G91" s="376"/>
      <c r="H91" s="467"/>
      <c r="I91" s="468"/>
      <c r="J91" s="469" t="str">
        <f t="shared" si="35"/>
        <v>-</v>
      </c>
      <c r="K91" s="468"/>
      <c r="L91" s="469" t="str">
        <f t="shared" si="36"/>
        <v>-</v>
      </c>
      <c r="M91" s="468"/>
      <c r="N91" s="469" t="str">
        <f t="shared" si="37"/>
        <v>-</v>
      </c>
      <c r="O91" s="470">
        <f t="shared" si="38"/>
        <v>0</v>
      </c>
      <c r="P91" s="469" t="str">
        <f t="shared" si="39"/>
        <v>-</v>
      </c>
      <c r="Q91" s="467"/>
      <c r="R91" s="469" t="str">
        <f t="shared" si="40"/>
        <v>-</v>
      </c>
      <c r="S91" s="470">
        <f t="shared" si="41"/>
        <v>0</v>
      </c>
      <c r="T91" s="469" t="str">
        <f t="shared" si="42"/>
        <v>-</v>
      </c>
      <c r="U91" s="372">
        <f t="shared" si="43"/>
        <v>0</v>
      </c>
      <c r="V91" s="379"/>
      <c r="W91" s="379"/>
      <c r="X91" s="379"/>
      <c r="Y91" s="379"/>
      <c r="Z91" s="379">
        <v>1</v>
      </c>
      <c r="AA91" s="471"/>
    </row>
    <row r="92" spans="2:36" s="148" customFormat="1" ht="27" customHeight="1">
      <c r="B92" s="856"/>
      <c r="C92" s="857"/>
      <c r="D92" s="368">
        <v>20</v>
      </c>
      <c r="E92" s="465"/>
      <c r="F92" s="466">
        <f t="shared" si="34"/>
        <v>0</v>
      </c>
      <c r="G92" s="376"/>
      <c r="H92" s="467"/>
      <c r="I92" s="468"/>
      <c r="J92" s="469" t="str">
        <f t="shared" si="35"/>
        <v>-</v>
      </c>
      <c r="K92" s="468"/>
      <c r="L92" s="469" t="str">
        <f t="shared" si="36"/>
        <v>-</v>
      </c>
      <c r="M92" s="468"/>
      <c r="N92" s="469" t="str">
        <f t="shared" si="37"/>
        <v>-</v>
      </c>
      <c r="O92" s="470">
        <f t="shared" si="38"/>
        <v>0</v>
      </c>
      <c r="P92" s="469" t="str">
        <f t="shared" si="39"/>
        <v>-</v>
      </c>
      <c r="Q92" s="467"/>
      <c r="R92" s="469" t="str">
        <f t="shared" si="40"/>
        <v>-</v>
      </c>
      <c r="S92" s="470">
        <f t="shared" si="41"/>
        <v>0</v>
      </c>
      <c r="T92" s="469" t="str">
        <f t="shared" si="42"/>
        <v>-</v>
      </c>
      <c r="U92" s="372">
        <f t="shared" si="43"/>
        <v>0</v>
      </c>
      <c r="V92" s="379"/>
      <c r="W92" s="379"/>
      <c r="X92" s="379"/>
      <c r="Y92" s="379"/>
      <c r="Z92" s="379">
        <v>1</v>
      </c>
      <c r="AA92" s="471"/>
    </row>
    <row r="93" spans="2:36" ht="17.149999999999999" customHeight="1">
      <c r="B93" s="845" t="s">
        <v>453</v>
      </c>
      <c r="C93" s="846"/>
      <c r="D93" s="849" t="s">
        <v>703</v>
      </c>
      <c r="E93" s="850" t="s">
        <v>704</v>
      </c>
      <c r="F93" s="851" t="s">
        <v>705</v>
      </c>
      <c r="G93" s="829" t="s">
        <v>706</v>
      </c>
      <c r="H93" s="837" t="s">
        <v>707</v>
      </c>
      <c r="I93" s="838" t="s">
        <v>708</v>
      </c>
      <c r="J93" s="839"/>
      <c r="K93" s="838" t="s">
        <v>709</v>
      </c>
      <c r="L93" s="839"/>
      <c r="M93" s="838" t="s">
        <v>710</v>
      </c>
      <c r="N93" s="839"/>
      <c r="O93" s="838" t="s">
        <v>711</v>
      </c>
      <c r="P93" s="839"/>
      <c r="Q93" s="838" t="s">
        <v>424</v>
      </c>
      <c r="R93" s="839"/>
      <c r="S93" s="840" t="s">
        <v>425</v>
      </c>
      <c r="T93" s="841"/>
      <c r="U93" s="842"/>
      <c r="V93" s="843" t="s">
        <v>171</v>
      </c>
      <c r="W93" s="843" t="s">
        <v>245</v>
      </c>
      <c r="X93" s="843" t="s">
        <v>712</v>
      </c>
      <c r="Y93" s="843" t="s">
        <v>455</v>
      </c>
      <c r="Z93" s="843" t="s">
        <v>246</v>
      </c>
      <c r="AA93" s="829" t="s">
        <v>172</v>
      </c>
      <c r="AC93" s="858" t="s">
        <v>247</v>
      </c>
      <c r="AD93" s="859"/>
      <c r="AE93" s="859"/>
      <c r="AF93" s="859"/>
      <c r="AG93" s="859"/>
      <c r="AH93" s="859"/>
      <c r="AI93" s="859"/>
      <c r="AJ93" s="860"/>
    </row>
    <row r="94" spans="2:36">
      <c r="B94" s="847"/>
      <c r="C94" s="848"/>
      <c r="D94" s="849"/>
      <c r="E94" s="849"/>
      <c r="F94" s="851"/>
      <c r="G94" s="830"/>
      <c r="H94" s="830"/>
      <c r="I94" s="463" t="s">
        <v>713</v>
      </c>
      <c r="J94" s="369" t="s">
        <v>714</v>
      </c>
      <c r="K94" s="463" t="s">
        <v>713</v>
      </c>
      <c r="L94" s="369" t="s">
        <v>714</v>
      </c>
      <c r="M94" s="463" t="s">
        <v>713</v>
      </c>
      <c r="N94" s="369" t="s">
        <v>714</v>
      </c>
      <c r="O94" s="463" t="s">
        <v>713</v>
      </c>
      <c r="P94" s="369" t="s">
        <v>714</v>
      </c>
      <c r="Q94" s="463" t="s">
        <v>713</v>
      </c>
      <c r="R94" s="369" t="s">
        <v>714</v>
      </c>
      <c r="S94" s="463" t="s">
        <v>713</v>
      </c>
      <c r="T94" s="369" t="s">
        <v>714</v>
      </c>
      <c r="U94" s="369" t="s">
        <v>715</v>
      </c>
      <c r="V94" s="844"/>
      <c r="W94" s="844"/>
      <c r="X94" s="844"/>
      <c r="Y94" s="844"/>
      <c r="Z94" s="844"/>
      <c r="AA94" s="830"/>
      <c r="AC94" s="861"/>
      <c r="AD94" s="862"/>
      <c r="AE94" s="862"/>
      <c r="AF94" s="862"/>
      <c r="AG94" s="862"/>
      <c r="AH94" s="862"/>
      <c r="AI94" s="862"/>
      <c r="AJ94" s="863"/>
    </row>
    <row r="95" spans="2:36" s="148" customFormat="1" ht="27" customHeight="1">
      <c r="B95" s="831" t="s">
        <v>721</v>
      </c>
      <c r="C95" s="832"/>
      <c r="D95" s="368">
        <v>1</v>
      </c>
      <c r="E95" s="465"/>
      <c r="F95" s="466">
        <f>IFERROR(Q95*G95,"-")</f>
        <v>0</v>
      </c>
      <c r="G95" s="376"/>
      <c r="H95" s="467"/>
      <c r="I95" s="468"/>
      <c r="J95" s="469" t="str">
        <f>IFERROR(I95/H95,"-")</f>
        <v>-</v>
      </c>
      <c r="K95" s="468"/>
      <c r="L95" s="469" t="str">
        <f>IFERROR(K95/H95,"-")</f>
        <v>-</v>
      </c>
      <c r="M95" s="468"/>
      <c r="N95" s="469" t="str">
        <f>IFERROR(M95/H95,"-")</f>
        <v>-</v>
      </c>
      <c r="O95" s="470">
        <f>IFERROR(K95+M95,"-")</f>
        <v>0</v>
      </c>
      <c r="P95" s="469" t="str">
        <f>IFERROR(O95/H95,"-")</f>
        <v>-</v>
      </c>
      <c r="Q95" s="467"/>
      <c r="R95" s="469" t="str">
        <f>IFERROR(Q95/H95,"-")</f>
        <v>-</v>
      </c>
      <c r="S95" s="470">
        <f>IFERROR(O95-H95,"-")</f>
        <v>0</v>
      </c>
      <c r="T95" s="469" t="str">
        <f>IFERROR(S95/H95,"-")</f>
        <v>-</v>
      </c>
      <c r="U95" s="372">
        <f>IFERROR(S95*G95,"-")</f>
        <v>0</v>
      </c>
      <c r="V95" s="379"/>
      <c r="W95" s="379"/>
      <c r="X95" s="379"/>
      <c r="Y95" s="379"/>
      <c r="Z95" s="379">
        <v>1</v>
      </c>
      <c r="AA95" s="471"/>
      <c r="AC95" s="864"/>
      <c r="AD95" s="865"/>
      <c r="AE95" s="865"/>
      <c r="AF95" s="865"/>
      <c r="AG95" s="865"/>
      <c r="AH95" s="865"/>
      <c r="AI95" s="865"/>
      <c r="AJ95" s="866"/>
    </row>
    <row r="96" spans="2:36" s="148" customFormat="1" ht="27" customHeight="1">
      <c r="B96" s="833"/>
      <c r="C96" s="834"/>
      <c r="D96" s="368">
        <v>2</v>
      </c>
      <c r="E96" s="465"/>
      <c r="F96" s="466">
        <f t="shared" ref="F96:F114" si="46">IFERROR(Q96*G96,"-")</f>
        <v>0</v>
      </c>
      <c r="G96" s="376"/>
      <c r="H96" s="467"/>
      <c r="I96" s="468"/>
      <c r="J96" s="469" t="str">
        <f t="shared" ref="J96:J114" si="47">IFERROR(I96/H96,"-")</f>
        <v>-</v>
      </c>
      <c r="K96" s="468"/>
      <c r="L96" s="469" t="str">
        <f t="shared" ref="L96:L114" si="48">IFERROR(K96/H96,"-")</f>
        <v>-</v>
      </c>
      <c r="M96" s="468"/>
      <c r="N96" s="469" t="str">
        <f t="shared" ref="N96:N114" si="49">IFERROR(M96/H96,"-")</f>
        <v>-</v>
      </c>
      <c r="O96" s="470">
        <f t="shared" ref="O96:O114" si="50">IFERROR(K96+M96,"-")</f>
        <v>0</v>
      </c>
      <c r="P96" s="469" t="str">
        <f t="shared" ref="P96:P114" si="51">IFERROR(O96/H96,"-")</f>
        <v>-</v>
      </c>
      <c r="Q96" s="467"/>
      <c r="R96" s="469" t="str">
        <f t="shared" ref="R96:R114" si="52">IFERROR(Q96/H96,"-")</f>
        <v>-</v>
      </c>
      <c r="S96" s="470">
        <f t="shared" ref="S96:S114" si="53">IFERROR(O96-H96,"-")</f>
        <v>0</v>
      </c>
      <c r="T96" s="469" t="str">
        <f t="shared" ref="T96:T114" si="54">IFERROR(S96/H96,"-")</f>
        <v>-</v>
      </c>
      <c r="U96" s="372">
        <f t="shared" ref="U96:U114" si="55">IFERROR(S96*G96,"-")</f>
        <v>0</v>
      </c>
      <c r="V96" s="379"/>
      <c r="W96" s="379"/>
      <c r="X96" s="379"/>
      <c r="Y96" s="379"/>
      <c r="Z96" s="379">
        <v>1</v>
      </c>
      <c r="AA96" s="471"/>
      <c r="AC96" s="161" t="s">
        <v>244</v>
      </c>
      <c r="AD96" s="161" t="s">
        <v>456</v>
      </c>
      <c r="AE96" s="156" t="s">
        <v>716</v>
      </c>
      <c r="AF96" s="156" t="s">
        <v>339</v>
      </c>
      <c r="AG96" s="156" t="s">
        <v>436</v>
      </c>
      <c r="AH96" s="156" t="s">
        <v>215</v>
      </c>
      <c r="AI96" s="156" t="s">
        <v>216</v>
      </c>
      <c r="AJ96" s="156" t="s">
        <v>390</v>
      </c>
    </row>
    <row r="97" spans="2:36" s="148" customFormat="1" ht="27" customHeight="1">
      <c r="B97" s="833"/>
      <c r="C97" s="834"/>
      <c r="D97" s="368">
        <v>3</v>
      </c>
      <c r="E97" s="465"/>
      <c r="F97" s="466">
        <f t="shared" si="46"/>
        <v>0</v>
      </c>
      <c r="G97" s="376"/>
      <c r="H97" s="467"/>
      <c r="I97" s="468"/>
      <c r="J97" s="469" t="str">
        <f t="shared" si="47"/>
        <v>-</v>
      </c>
      <c r="K97" s="468"/>
      <c r="L97" s="469" t="str">
        <f t="shared" si="48"/>
        <v>-</v>
      </c>
      <c r="M97" s="468"/>
      <c r="N97" s="469" t="str">
        <f t="shared" si="49"/>
        <v>-</v>
      </c>
      <c r="O97" s="470">
        <f t="shared" si="50"/>
        <v>0</v>
      </c>
      <c r="P97" s="469" t="str">
        <f t="shared" si="51"/>
        <v>-</v>
      </c>
      <c r="Q97" s="467"/>
      <c r="R97" s="469" t="str">
        <f t="shared" si="52"/>
        <v>-</v>
      </c>
      <c r="S97" s="470">
        <f t="shared" si="53"/>
        <v>0</v>
      </c>
      <c r="T97" s="469" t="str">
        <f t="shared" si="54"/>
        <v>-</v>
      </c>
      <c r="U97" s="372">
        <f t="shared" si="55"/>
        <v>0</v>
      </c>
      <c r="V97" s="379"/>
      <c r="W97" s="379"/>
      <c r="X97" s="379"/>
      <c r="Y97" s="379"/>
      <c r="Z97" s="379">
        <v>1</v>
      </c>
      <c r="AA97" s="471"/>
      <c r="AC97" s="388">
        <f>SUM(Z95:Z114)</f>
        <v>20</v>
      </c>
      <c r="AD97" s="382">
        <f>SUMIF($W$95:$W$114,TRIM(AD96),$Z$95:$Z$114)</f>
        <v>0</v>
      </c>
      <c r="AE97" s="382">
        <f t="shared" ref="AE97:AJ97" si="56">SUMIF($W$95:$W$114,TRIM(AE96),$Z$95:$Z$114)</f>
        <v>0</v>
      </c>
      <c r="AF97" s="382">
        <f t="shared" si="56"/>
        <v>0</v>
      </c>
      <c r="AG97" s="382">
        <f t="shared" si="56"/>
        <v>0</v>
      </c>
      <c r="AH97" s="382">
        <f t="shared" si="56"/>
        <v>0</v>
      </c>
      <c r="AI97" s="382">
        <f t="shared" si="56"/>
        <v>0</v>
      </c>
      <c r="AJ97" s="382">
        <f t="shared" si="56"/>
        <v>0</v>
      </c>
    </row>
    <row r="98" spans="2:36" s="148" customFormat="1" ht="27" customHeight="1">
      <c r="B98" s="833"/>
      <c r="C98" s="834"/>
      <c r="D98" s="368">
        <v>4</v>
      </c>
      <c r="E98" s="465"/>
      <c r="F98" s="466">
        <f t="shared" si="46"/>
        <v>0</v>
      </c>
      <c r="G98" s="376"/>
      <c r="H98" s="467"/>
      <c r="I98" s="468"/>
      <c r="J98" s="469" t="str">
        <f t="shared" si="47"/>
        <v>-</v>
      </c>
      <c r="K98" s="468"/>
      <c r="L98" s="469" t="str">
        <f t="shared" si="48"/>
        <v>-</v>
      </c>
      <c r="M98" s="468"/>
      <c r="N98" s="469" t="str">
        <f t="shared" si="49"/>
        <v>-</v>
      </c>
      <c r="O98" s="470">
        <f t="shared" si="50"/>
        <v>0</v>
      </c>
      <c r="P98" s="469" t="str">
        <f t="shared" si="51"/>
        <v>-</v>
      </c>
      <c r="Q98" s="467"/>
      <c r="R98" s="469" t="str">
        <f t="shared" si="52"/>
        <v>-</v>
      </c>
      <c r="S98" s="470">
        <f t="shared" si="53"/>
        <v>0</v>
      </c>
      <c r="T98" s="469" t="str">
        <f t="shared" si="54"/>
        <v>-</v>
      </c>
      <c r="U98" s="372">
        <f t="shared" si="55"/>
        <v>0</v>
      </c>
      <c r="V98" s="379"/>
      <c r="W98" s="379"/>
      <c r="X98" s="379"/>
      <c r="Y98" s="379"/>
      <c r="Z98" s="379">
        <v>1</v>
      </c>
      <c r="AA98" s="471"/>
      <c r="AC98" s="389" t="s">
        <v>11</v>
      </c>
      <c r="AD98" s="386">
        <f>SUMIF($W$95:$W114,TRIM(AD96),$F$95:$F$114)</f>
        <v>0</v>
      </c>
      <c r="AE98" s="386">
        <f>SUMIF($W$95:$W114,TRIM(AE96),$F$95:$F$114)</f>
        <v>0</v>
      </c>
      <c r="AF98" s="386">
        <f>SUMIF($W$95:$W114,TRIM(AF96),$F$95:$F$114)</f>
        <v>0</v>
      </c>
      <c r="AG98" s="386">
        <f>SUMIF($W$95:$W114,TRIM(AG96),$F$95:$F$114)</f>
        <v>0</v>
      </c>
      <c r="AH98" s="386">
        <f>SUMIF($W$95:$W114,TRIM(AH96),$F$95:$F$114)</f>
        <v>0</v>
      </c>
      <c r="AI98" s="386">
        <f>SUMIF($W$95:$W114,TRIM(AI96),$F$95:$F$114)</f>
        <v>0</v>
      </c>
      <c r="AJ98" s="386">
        <f>SUMIF($W$95:$W114,TRIM(AJ96),$F$95:$F$114)</f>
        <v>0</v>
      </c>
    </row>
    <row r="99" spans="2:36" s="148" customFormat="1" ht="27" customHeight="1">
      <c r="B99" s="833"/>
      <c r="C99" s="834"/>
      <c r="D99" s="368">
        <v>5</v>
      </c>
      <c r="E99" s="465"/>
      <c r="F99" s="466">
        <f t="shared" si="46"/>
        <v>0</v>
      </c>
      <c r="G99" s="376"/>
      <c r="H99" s="467"/>
      <c r="I99" s="468"/>
      <c r="J99" s="469" t="str">
        <f t="shared" si="47"/>
        <v>-</v>
      </c>
      <c r="K99" s="468"/>
      <c r="L99" s="469" t="str">
        <f t="shared" si="48"/>
        <v>-</v>
      </c>
      <c r="M99" s="468"/>
      <c r="N99" s="469" t="str">
        <f t="shared" si="49"/>
        <v>-</v>
      </c>
      <c r="O99" s="470">
        <f t="shared" si="50"/>
        <v>0</v>
      </c>
      <c r="P99" s="469" t="str">
        <f t="shared" si="51"/>
        <v>-</v>
      </c>
      <c r="Q99" s="467"/>
      <c r="R99" s="469" t="str">
        <f t="shared" si="52"/>
        <v>-</v>
      </c>
      <c r="S99" s="470">
        <f t="shared" si="53"/>
        <v>0</v>
      </c>
      <c r="T99" s="469" t="str">
        <f t="shared" si="54"/>
        <v>-</v>
      </c>
      <c r="U99" s="372">
        <f t="shared" si="55"/>
        <v>0</v>
      </c>
      <c r="V99" s="379"/>
      <c r="W99" s="379"/>
      <c r="X99" s="379"/>
      <c r="Y99" s="379"/>
      <c r="Z99" s="379">
        <v>1</v>
      </c>
      <c r="AA99" s="471"/>
      <c r="AC99" s="368" t="s">
        <v>717</v>
      </c>
      <c r="AD99" s="472">
        <f t="shared" ref="AD99:AJ99" si="57">AD97/$AC97</f>
        <v>0</v>
      </c>
      <c r="AE99" s="472">
        <f t="shared" si="57"/>
        <v>0</v>
      </c>
      <c r="AF99" s="472">
        <f t="shared" si="57"/>
        <v>0</v>
      </c>
      <c r="AG99" s="472">
        <f t="shared" si="57"/>
        <v>0</v>
      </c>
      <c r="AH99" s="472">
        <f t="shared" si="57"/>
        <v>0</v>
      </c>
      <c r="AI99" s="472">
        <f t="shared" si="57"/>
        <v>0</v>
      </c>
      <c r="AJ99" s="472">
        <f t="shared" si="57"/>
        <v>0</v>
      </c>
    </row>
    <row r="100" spans="2:36" s="148" customFormat="1" ht="27" customHeight="1">
      <c r="B100" s="833"/>
      <c r="C100" s="834"/>
      <c r="D100" s="368">
        <v>6</v>
      </c>
      <c r="E100" s="465"/>
      <c r="F100" s="466">
        <f t="shared" si="46"/>
        <v>0</v>
      </c>
      <c r="G100" s="376"/>
      <c r="H100" s="467"/>
      <c r="I100" s="468"/>
      <c r="J100" s="469" t="str">
        <f t="shared" si="47"/>
        <v>-</v>
      </c>
      <c r="K100" s="468"/>
      <c r="L100" s="469" t="str">
        <f t="shared" si="48"/>
        <v>-</v>
      </c>
      <c r="M100" s="468"/>
      <c r="N100" s="469" t="str">
        <f t="shared" si="49"/>
        <v>-</v>
      </c>
      <c r="O100" s="470">
        <f t="shared" si="50"/>
        <v>0</v>
      </c>
      <c r="P100" s="469" t="str">
        <f t="shared" si="51"/>
        <v>-</v>
      </c>
      <c r="Q100" s="467"/>
      <c r="R100" s="469" t="str">
        <f t="shared" si="52"/>
        <v>-</v>
      </c>
      <c r="S100" s="470">
        <f t="shared" si="53"/>
        <v>0</v>
      </c>
      <c r="T100" s="469" t="str">
        <f t="shared" si="54"/>
        <v>-</v>
      </c>
      <c r="U100" s="372">
        <f t="shared" si="55"/>
        <v>0</v>
      </c>
      <c r="V100" s="379"/>
      <c r="W100" s="379"/>
      <c r="X100" s="379"/>
      <c r="Y100" s="379"/>
      <c r="Z100" s="379">
        <v>1</v>
      </c>
      <c r="AA100" s="471"/>
    </row>
    <row r="101" spans="2:36" s="148" customFormat="1" ht="27" customHeight="1">
      <c r="B101" s="833"/>
      <c r="C101" s="834"/>
      <c r="D101" s="368">
        <v>7</v>
      </c>
      <c r="E101" s="465"/>
      <c r="F101" s="466">
        <f t="shared" si="46"/>
        <v>0</v>
      </c>
      <c r="G101" s="376"/>
      <c r="H101" s="467"/>
      <c r="I101" s="468"/>
      <c r="J101" s="469" t="str">
        <f t="shared" si="47"/>
        <v>-</v>
      </c>
      <c r="K101" s="468"/>
      <c r="L101" s="469" t="str">
        <f t="shared" si="48"/>
        <v>-</v>
      </c>
      <c r="M101" s="468"/>
      <c r="N101" s="469" t="str">
        <f t="shared" si="49"/>
        <v>-</v>
      </c>
      <c r="O101" s="470">
        <f t="shared" si="50"/>
        <v>0</v>
      </c>
      <c r="P101" s="469" t="str">
        <f t="shared" si="51"/>
        <v>-</v>
      </c>
      <c r="Q101" s="467"/>
      <c r="R101" s="469" t="str">
        <f t="shared" si="52"/>
        <v>-</v>
      </c>
      <c r="S101" s="470">
        <f t="shared" si="53"/>
        <v>0</v>
      </c>
      <c r="T101" s="469" t="str">
        <f t="shared" si="54"/>
        <v>-</v>
      </c>
      <c r="U101" s="372">
        <f t="shared" si="55"/>
        <v>0</v>
      </c>
      <c r="V101" s="379"/>
      <c r="W101" s="379"/>
      <c r="X101" s="379"/>
      <c r="Y101" s="379"/>
      <c r="Z101" s="379">
        <v>1</v>
      </c>
      <c r="AA101" s="471"/>
    </row>
    <row r="102" spans="2:36" s="148" customFormat="1" ht="27" customHeight="1">
      <c r="B102" s="833"/>
      <c r="C102" s="834"/>
      <c r="D102" s="368">
        <v>8</v>
      </c>
      <c r="E102" s="465"/>
      <c r="F102" s="466">
        <f t="shared" si="46"/>
        <v>0</v>
      </c>
      <c r="G102" s="376"/>
      <c r="H102" s="467"/>
      <c r="I102" s="468"/>
      <c r="J102" s="469" t="str">
        <f t="shared" si="47"/>
        <v>-</v>
      </c>
      <c r="K102" s="468"/>
      <c r="L102" s="469" t="str">
        <f t="shared" si="48"/>
        <v>-</v>
      </c>
      <c r="M102" s="468"/>
      <c r="N102" s="469" t="str">
        <f t="shared" si="49"/>
        <v>-</v>
      </c>
      <c r="O102" s="470">
        <f t="shared" si="50"/>
        <v>0</v>
      </c>
      <c r="P102" s="469" t="str">
        <f t="shared" si="51"/>
        <v>-</v>
      </c>
      <c r="Q102" s="467"/>
      <c r="R102" s="469" t="str">
        <f t="shared" si="52"/>
        <v>-</v>
      </c>
      <c r="S102" s="470">
        <f t="shared" si="53"/>
        <v>0</v>
      </c>
      <c r="T102" s="469" t="str">
        <f t="shared" si="54"/>
        <v>-</v>
      </c>
      <c r="U102" s="372">
        <f t="shared" si="55"/>
        <v>0</v>
      </c>
      <c r="V102" s="379"/>
      <c r="W102" s="379"/>
      <c r="X102" s="379"/>
      <c r="Y102" s="379"/>
      <c r="Z102" s="379">
        <v>1</v>
      </c>
      <c r="AA102" s="471"/>
    </row>
    <row r="103" spans="2:36" s="148" customFormat="1" ht="27" customHeight="1">
      <c r="B103" s="833"/>
      <c r="C103" s="834"/>
      <c r="D103" s="368">
        <v>9</v>
      </c>
      <c r="E103" s="465"/>
      <c r="F103" s="466">
        <f t="shared" si="46"/>
        <v>0</v>
      </c>
      <c r="G103" s="376"/>
      <c r="H103" s="467"/>
      <c r="I103" s="468"/>
      <c r="J103" s="469" t="str">
        <f t="shared" si="47"/>
        <v>-</v>
      </c>
      <c r="K103" s="468"/>
      <c r="L103" s="469" t="str">
        <f t="shared" si="48"/>
        <v>-</v>
      </c>
      <c r="M103" s="468"/>
      <c r="N103" s="469" t="str">
        <f t="shared" si="49"/>
        <v>-</v>
      </c>
      <c r="O103" s="470">
        <f t="shared" si="50"/>
        <v>0</v>
      </c>
      <c r="P103" s="469" t="str">
        <f t="shared" si="51"/>
        <v>-</v>
      </c>
      <c r="Q103" s="467"/>
      <c r="R103" s="469" t="str">
        <f t="shared" si="52"/>
        <v>-</v>
      </c>
      <c r="S103" s="470">
        <f t="shared" si="53"/>
        <v>0</v>
      </c>
      <c r="T103" s="469" t="str">
        <f t="shared" si="54"/>
        <v>-</v>
      </c>
      <c r="U103" s="372">
        <f t="shared" si="55"/>
        <v>0</v>
      </c>
      <c r="V103" s="379"/>
      <c r="W103" s="379"/>
      <c r="X103" s="379"/>
      <c r="Y103" s="379"/>
      <c r="Z103" s="379">
        <v>1</v>
      </c>
      <c r="AA103" s="471"/>
    </row>
    <row r="104" spans="2:36" s="148" customFormat="1" ht="27" customHeight="1">
      <c r="B104" s="833"/>
      <c r="C104" s="834"/>
      <c r="D104" s="368">
        <v>10</v>
      </c>
      <c r="E104" s="465"/>
      <c r="F104" s="466">
        <f t="shared" si="46"/>
        <v>0</v>
      </c>
      <c r="G104" s="376"/>
      <c r="H104" s="467"/>
      <c r="I104" s="468"/>
      <c r="J104" s="469" t="str">
        <f t="shared" si="47"/>
        <v>-</v>
      </c>
      <c r="K104" s="468"/>
      <c r="L104" s="469" t="str">
        <f t="shared" si="48"/>
        <v>-</v>
      </c>
      <c r="M104" s="468"/>
      <c r="N104" s="469" t="str">
        <f t="shared" si="49"/>
        <v>-</v>
      </c>
      <c r="O104" s="470">
        <f t="shared" si="50"/>
        <v>0</v>
      </c>
      <c r="P104" s="469" t="str">
        <f t="shared" si="51"/>
        <v>-</v>
      </c>
      <c r="Q104" s="467"/>
      <c r="R104" s="469" t="str">
        <f t="shared" si="52"/>
        <v>-</v>
      </c>
      <c r="S104" s="470">
        <f t="shared" si="53"/>
        <v>0</v>
      </c>
      <c r="T104" s="469" t="str">
        <f t="shared" si="54"/>
        <v>-</v>
      </c>
      <c r="U104" s="372">
        <f t="shared" si="55"/>
        <v>0</v>
      </c>
      <c r="V104" s="379"/>
      <c r="W104" s="379"/>
      <c r="X104" s="379"/>
      <c r="Y104" s="379"/>
      <c r="Z104" s="379">
        <v>1</v>
      </c>
      <c r="AA104" s="471"/>
    </row>
    <row r="105" spans="2:36" s="148" customFormat="1" ht="27" customHeight="1">
      <c r="B105" s="833"/>
      <c r="C105" s="834"/>
      <c r="D105" s="368">
        <v>11</v>
      </c>
      <c r="E105" s="465"/>
      <c r="F105" s="466">
        <f t="shared" si="46"/>
        <v>0</v>
      </c>
      <c r="G105" s="376"/>
      <c r="H105" s="467"/>
      <c r="I105" s="468"/>
      <c r="J105" s="469" t="str">
        <f t="shared" si="47"/>
        <v>-</v>
      </c>
      <c r="K105" s="468"/>
      <c r="L105" s="469" t="str">
        <f t="shared" si="48"/>
        <v>-</v>
      </c>
      <c r="M105" s="468"/>
      <c r="N105" s="469" t="str">
        <f t="shared" si="49"/>
        <v>-</v>
      </c>
      <c r="O105" s="470">
        <f t="shared" si="50"/>
        <v>0</v>
      </c>
      <c r="P105" s="469" t="str">
        <f t="shared" si="51"/>
        <v>-</v>
      </c>
      <c r="Q105" s="467"/>
      <c r="R105" s="469" t="str">
        <f t="shared" si="52"/>
        <v>-</v>
      </c>
      <c r="S105" s="470">
        <f t="shared" si="53"/>
        <v>0</v>
      </c>
      <c r="T105" s="469" t="str">
        <f t="shared" si="54"/>
        <v>-</v>
      </c>
      <c r="U105" s="372">
        <f t="shared" si="55"/>
        <v>0</v>
      </c>
      <c r="V105" s="379"/>
      <c r="W105" s="379"/>
      <c r="X105" s="379"/>
      <c r="Y105" s="379"/>
      <c r="Z105" s="379">
        <v>1</v>
      </c>
      <c r="AA105" s="471"/>
      <c r="AE105" s="383"/>
    </row>
    <row r="106" spans="2:36" s="148" customFormat="1" ht="27" customHeight="1">
      <c r="B106" s="833"/>
      <c r="C106" s="834"/>
      <c r="D106" s="368">
        <v>12</v>
      </c>
      <c r="E106" s="465"/>
      <c r="F106" s="466">
        <f t="shared" si="46"/>
        <v>0</v>
      </c>
      <c r="G106" s="376"/>
      <c r="H106" s="467"/>
      <c r="I106" s="468"/>
      <c r="J106" s="469" t="str">
        <f t="shared" si="47"/>
        <v>-</v>
      </c>
      <c r="K106" s="468"/>
      <c r="L106" s="469" t="str">
        <f t="shared" si="48"/>
        <v>-</v>
      </c>
      <c r="M106" s="468"/>
      <c r="N106" s="469" t="str">
        <f t="shared" si="49"/>
        <v>-</v>
      </c>
      <c r="O106" s="470">
        <f t="shared" si="50"/>
        <v>0</v>
      </c>
      <c r="P106" s="469" t="str">
        <f t="shared" si="51"/>
        <v>-</v>
      </c>
      <c r="Q106" s="467"/>
      <c r="R106" s="469" t="str">
        <f t="shared" si="52"/>
        <v>-</v>
      </c>
      <c r="S106" s="470">
        <f t="shared" si="53"/>
        <v>0</v>
      </c>
      <c r="T106" s="469" t="str">
        <f t="shared" si="54"/>
        <v>-</v>
      </c>
      <c r="U106" s="372">
        <f t="shared" si="55"/>
        <v>0</v>
      </c>
      <c r="V106" s="379"/>
      <c r="W106" s="379"/>
      <c r="X106" s="379"/>
      <c r="Y106" s="379"/>
      <c r="Z106" s="379">
        <v>1</v>
      </c>
      <c r="AA106" s="471"/>
    </row>
    <row r="107" spans="2:36" s="148" customFormat="1" ht="27" customHeight="1">
      <c r="B107" s="833"/>
      <c r="C107" s="834"/>
      <c r="D107" s="368">
        <v>13</v>
      </c>
      <c r="E107" s="465"/>
      <c r="F107" s="466">
        <f t="shared" si="46"/>
        <v>0</v>
      </c>
      <c r="G107" s="376"/>
      <c r="H107" s="467"/>
      <c r="I107" s="468"/>
      <c r="J107" s="469" t="str">
        <f t="shared" si="47"/>
        <v>-</v>
      </c>
      <c r="K107" s="468"/>
      <c r="L107" s="469" t="str">
        <f t="shared" si="48"/>
        <v>-</v>
      </c>
      <c r="M107" s="468"/>
      <c r="N107" s="469" t="str">
        <f t="shared" si="49"/>
        <v>-</v>
      </c>
      <c r="O107" s="470">
        <f t="shared" si="50"/>
        <v>0</v>
      </c>
      <c r="P107" s="469" t="str">
        <f t="shared" si="51"/>
        <v>-</v>
      </c>
      <c r="Q107" s="467"/>
      <c r="R107" s="469" t="str">
        <f t="shared" si="52"/>
        <v>-</v>
      </c>
      <c r="S107" s="470">
        <f t="shared" si="53"/>
        <v>0</v>
      </c>
      <c r="T107" s="469" t="str">
        <f t="shared" si="54"/>
        <v>-</v>
      </c>
      <c r="U107" s="372">
        <f t="shared" si="55"/>
        <v>0</v>
      </c>
      <c r="V107" s="379"/>
      <c r="W107" s="379"/>
      <c r="X107" s="379"/>
      <c r="Y107" s="379"/>
      <c r="Z107" s="379">
        <v>1</v>
      </c>
      <c r="AA107" s="471"/>
    </row>
    <row r="108" spans="2:36" s="148" customFormat="1" ht="27" customHeight="1">
      <c r="B108" s="833"/>
      <c r="C108" s="834"/>
      <c r="D108" s="368">
        <v>14</v>
      </c>
      <c r="E108" s="465"/>
      <c r="F108" s="466">
        <f t="shared" si="46"/>
        <v>0</v>
      </c>
      <c r="G108" s="376"/>
      <c r="H108" s="467"/>
      <c r="I108" s="468"/>
      <c r="J108" s="469" t="str">
        <f t="shared" si="47"/>
        <v>-</v>
      </c>
      <c r="K108" s="468"/>
      <c r="L108" s="469" t="str">
        <f t="shared" si="48"/>
        <v>-</v>
      </c>
      <c r="M108" s="468"/>
      <c r="N108" s="469" t="str">
        <f t="shared" si="49"/>
        <v>-</v>
      </c>
      <c r="O108" s="470">
        <f t="shared" si="50"/>
        <v>0</v>
      </c>
      <c r="P108" s="469" t="str">
        <f t="shared" si="51"/>
        <v>-</v>
      </c>
      <c r="Q108" s="467"/>
      <c r="R108" s="469" t="str">
        <f t="shared" si="52"/>
        <v>-</v>
      </c>
      <c r="S108" s="470">
        <f t="shared" si="53"/>
        <v>0</v>
      </c>
      <c r="T108" s="469" t="str">
        <f t="shared" si="54"/>
        <v>-</v>
      </c>
      <c r="U108" s="372">
        <f t="shared" si="55"/>
        <v>0</v>
      </c>
      <c r="V108" s="379"/>
      <c r="W108" s="379"/>
      <c r="X108" s="379"/>
      <c r="Y108" s="379"/>
      <c r="Z108" s="379">
        <v>1</v>
      </c>
      <c r="AA108" s="471"/>
    </row>
    <row r="109" spans="2:36" s="148" customFormat="1" ht="27" customHeight="1">
      <c r="B109" s="833"/>
      <c r="C109" s="834"/>
      <c r="D109" s="368">
        <v>15</v>
      </c>
      <c r="E109" s="465"/>
      <c r="F109" s="466">
        <f t="shared" si="46"/>
        <v>0</v>
      </c>
      <c r="G109" s="376"/>
      <c r="H109" s="467"/>
      <c r="I109" s="468"/>
      <c r="J109" s="469" t="str">
        <f t="shared" si="47"/>
        <v>-</v>
      </c>
      <c r="K109" s="468"/>
      <c r="L109" s="469" t="str">
        <f t="shared" si="48"/>
        <v>-</v>
      </c>
      <c r="M109" s="468"/>
      <c r="N109" s="469" t="str">
        <f t="shared" si="49"/>
        <v>-</v>
      </c>
      <c r="O109" s="470">
        <f t="shared" si="50"/>
        <v>0</v>
      </c>
      <c r="P109" s="469" t="str">
        <f t="shared" si="51"/>
        <v>-</v>
      </c>
      <c r="Q109" s="467"/>
      <c r="R109" s="469" t="str">
        <f t="shared" si="52"/>
        <v>-</v>
      </c>
      <c r="S109" s="470">
        <f t="shared" si="53"/>
        <v>0</v>
      </c>
      <c r="T109" s="469" t="str">
        <f t="shared" si="54"/>
        <v>-</v>
      </c>
      <c r="U109" s="372">
        <f t="shared" si="55"/>
        <v>0</v>
      </c>
      <c r="V109" s="379"/>
      <c r="W109" s="379"/>
      <c r="X109" s="379"/>
      <c r="Y109" s="379"/>
      <c r="Z109" s="379">
        <v>1</v>
      </c>
      <c r="AA109" s="471"/>
    </row>
    <row r="110" spans="2:36" s="148" customFormat="1" ht="27" customHeight="1">
      <c r="B110" s="833"/>
      <c r="C110" s="834"/>
      <c r="D110" s="368">
        <v>16</v>
      </c>
      <c r="E110" s="465"/>
      <c r="F110" s="466">
        <f t="shared" si="46"/>
        <v>0</v>
      </c>
      <c r="G110" s="376"/>
      <c r="H110" s="467"/>
      <c r="I110" s="468"/>
      <c r="J110" s="469" t="str">
        <f t="shared" si="47"/>
        <v>-</v>
      </c>
      <c r="K110" s="468"/>
      <c r="L110" s="469" t="str">
        <f t="shared" si="48"/>
        <v>-</v>
      </c>
      <c r="M110" s="468"/>
      <c r="N110" s="469" t="str">
        <f t="shared" si="49"/>
        <v>-</v>
      </c>
      <c r="O110" s="470">
        <f t="shared" si="50"/>
        <v>0</v>
      </c>
      <c r="P110" s="469" t="str">
        <f t="shared" si="51"/>
        <v>-</v>
      </c>
      <c r="Q110" s="467"/>
      <c r="R110" s="469" t="str">
        <f t="shared" si="52"/>
        <v>-</v>
      </c>
      <c r="S110" s="470">
        <f t="shared" si="53"/>
        <v>0</v>
      </c>
      <c r="T110" s="469" t="str">
        <f t="shared" si="54"/>
        <v>-</v>
      </c>
      <c r="U110" s="372">
        <f t="shared" si="55"/>
        <v>0</v>
      </c>
      <c r="V110" s="379"/>
      <c r="W110" s="379"/>
      <c r="X110" s="379"/>
      <c r="Y110" s="379"/>
      <c r="Z110" s="379">
        <v>1</v>
      </c>
      <c r="AA110" s="471"/>
    </row>
    <row r="111" spans="2:36" s="148" customFormat="1" ht="27" customHeight="1">
      <c r="B111" s="833"/>
      <c r="C111" s="834"/>
      <c r="D111" s="368">
        <v>17</v>
      </c>
      <c r="E111" s="465"/>
      <c r="F111" s="466">
        <f t="shared" si="46"/>
        <v>0</v>
      </c>
      <c r="G111" s="376"/>
      <c r="H111" s="467"/>
      <c r="I111" s="468"/>
      <c r="J111" s="469" t="str">
        <f t="shared" si="47"/>
        <v>-</v>
      </c>
      <c r="K111" s="468"/>
      <c r="L111" s="469" t="str">
        <f t="shared" si="48"/>
        <v>-</v>
      </c>
      <c r="M111" s="468"/>
      <c r="N111" s="469" t="str">
        <f t="shared" si="49"/>
        <v>-</v>
      </c>
      <c r="O111" s="470">
        <f t="shared" si="50"/>
        <v>0</v>
      </c>
      <c r="P111" s="469" t="str">
        <f t="shared" si="51"/>
        <v>-</v>
      </c>
      <c r="Q111" s="467"/>
      <c r="R111" s="469" t="str">
        <f t="shared" si="52"/>
        <v>-</v>
      </c>
      <c r="S111" s="470">
        <f t="shared" si="53"/>
        <v>0</v>
      </c>
      <c r="T111" s="469" t="str">
        <f t="shared" si="54"/>
        <v>-</v>
      </c>
      <c r="U111" s="372">
        <f t="shared" si="55"/>
        <v>0</v>
      </c>
      <c r="V111" s="379"/>
      <c r="W111" s="379"/>
      <c r="X111" s="379"/>
      <c r="Y111" s="379"/>
      <c r="Z111" s="379">
        <v>1</v>
      </c>
      <c r="AA111" s="471"/>
    </row>
    <row r="112" spans="2:36" s="148" customFormat="1" ht="27" customHeight="1">
      <c r="B112" s="833"/>
      <c r="C112" s="834"/>
      <c r="D112" s="368">
        <v>18</v>
      </c>
      <c r="E112" s="465"/>
      <c r="F112" s="466">
        <f t="shared" si="46"/>
        <v>0</v>
      </c>
      <c r="G112" s="376"/>
      <c r="H112" s="467"/>
      <c r="I112" s="468"/>
      <c r="J112" s="469" t="str">
        <f t="shared" si="47"/>
        <v>-</v>
      </c>
      <c r="K112" s="468"/>
      <c r="L112" s="469" t="str">
        <f t="shared" si="48"/>
        <v>-</v>
      </c>
      <c r="M112" s="468"/>
      <c r="N112" s="469" t="str">
        <f t="shared" si="49"/>
        <v>-</v>
      </c>
      <c r="O112" s="470">
        <f t="shared" si="50"/>
        <v>0</v>
      </c>
      <c r="P112" s="469" t="str">
        <f t="shared" si="51"/>
        <v>-</v>
      </c>
      <c r="Q112" s="467"/>
      <c r="R112" s="469" t="str">
        <f t="shared" si="52"/>
        <v>-</v>
      </c>
      <c r="S112" s="470">
        <f t="shared" si="53"/>
        <v>0</v>
      </c>
      <c r="T112" s="469" t="str">
        <f t="shared" si="54"/>
        <v>-</v>
      </c>
      <c r="U112" s="372">
        <f t="shared" si="55"/>
        <v>0</v>
      </c>
      <c r="V112" s="379"/>
      <c r="W112" s="379"/>
      <c r="X112" s="379"/>
      <c r="Y112" s="379"/>
      <c r="Z112" s="379">
        <v>1</v>
      </c>
      <c r="AA112" s="471"/>
    </row>
    <row r="113" spans="2:27" s="148" customFormat="1" ht="27" customHeight="1">
      <c r="B113" s="833"/>
      <c r="C113" s="834"/>
      <c r="D113" s="368">
        <v>19</v>
      </c>
      <c r="E113" s="465"/>
      <c r="F113" s="466">
        <f t="shared" si="46"/>
        <v>0</v>
      </c>
      <c r="G113" s="376"/>
      <c r="H113" s="467"/>
      <c r="I113" s="468"/>
      <c r="J113" s="469" t="str">
        <f t="shared" si="47"/>
        <v>-</v>
      </c>
      <c r="K113" s="468"/>
      <c r="L113" s="469" t="str">
        <f t="shared" si="48"/>
        <v>-</v>
      </c>
      <c r="M113" s="468"/>
      <c r="N113" s="469" t="str">
        <f t="shared" si="49"/>
        <v>-</v>
      </c>
      <c r="O113" s="470">
        <f t="shared" si="50"/>
        <v>0</v>
      </c>
      <c r="P113" s="469" t="str">
        <f t="shared" si="51"/>
        <v>-</v>
      </c>
      <c r="Q113" s="467"/>
      <c r="R113" s="469" t="str">
        <f t="shared" si="52"/>
        <v>-</v>
      </c>
      <c r="S113" s="470">
        <f t="shared" si="53"/>
        <v>0</v>
      </c>
      <c r="T113" s="469" t="str">
        <f t="shared" si="54"/>
        <v>-</v>
      </c>
      <c r="U113" s="372">
        <f t="shared" si="55"/>
        <v>0</v>
      </c>
      <c r="V113" s="379"/>
      <c r="W113" s="379"/>
      <c r="X113" s="379"/>
      <c r="Y113" s="379"/>
      <c r="Z113" s="379">
        <v>1</v>
      </c>
      <c r="AA113" s="471"/>
    </row>
    <row r="114" spans="2:27" s="148" customFormat="1" ht="27" customHeight="1">
      <c r="B114" s="835"/>
      <c r="C114" s="836"/>
      <c r="D114" s="368">
        <v>20</v>
      </c>
      <c r="E114" s="465"/>
      <c r="F114" s="466">
        <f t="shared" si="46"/>
        <v>0</v>
      </c>
      <c r="G114" s="376"/>
      <c r="H114" s="467"/>
      <c r="I114" s="468"/>
      <c r="J114" s="469" t="str">
        <f t="shared" si="47"/>
        <v>-</v>
      </c>
      <c r="K114" s="468"/>
      <c r="L114" s="469" t="str">
        <f t="shared" si="48"/>
        <v>-</v>
      </c>
      <c r="M114" s="468"/>
      <c r="N114" s="469" t="str">
        <f t="shared" si="49"/>
        <v>-</v>
      </c>
      <c r="O114" s="470">
        <f t="shared" si="50"/>
        <v>0</v>
      </c>
      <c r="P114" s="469" t="str">
        <f t="shared" si="51"/>
        <v>-</v>
      </c>
      <c r="Q114" s="467"/>
      <c r="R114" s="469" t="str">
        <f t="shared" si="52"/>
        <v>-</v>
      </c>
      <c r="S114" s="470">
        <f t="shared" si="53"/>
        <v>0</v>
      </c>
      <c r="T114" s="469" t="str">
        <f t="shared" si="54"/>
        <v>-</v>
      </c>
      <c r="U114" s="372">
        <f t="shared" si="55"/>
        <v>0</v>
      </c>
      <c r="V114" s="379"/>
      <c r="W114" s="379"/>
      <c r="X114" s="379"/>
      <c r="Y114" s="379"/>
      <c r="Z114" s="379">
        <v>1</v>
      </c>
      <c r="AA114" s="471"/>
    </row>
    <row r="118" spans="2:27" ht="14.15" customHeight="1"/>
    <row r="128" spans="2:27" ht="14.15" customHeight="1"/>
    <row r="138" ht="14.15" customHeight="1"/>
    <row r="148" ht="14.15" customHeight="1"/>
    <row r="158" ht="14.15" customHeight="1"/>
    <row r="168" ht="14.15" customHeight="1"/>
  </sheetData>
  <mergeCells count="101">
    <mergeCell ref="B73:C92"/>
    <mergeCell ref="AC3:AJ5"/>
    <mergeCell ref="B3:C6"/>
    <mergeCell ref="D3:F3"/>
    <mergeCell ref="G3:U3"/>
    <mergeCell ref="V3:V6"/>
    <mergeCell ref="W3:W6"/>
    <mergeCell ref="D4:D6"/>
    <mergeCell ref="E4:F4"/>
    <mergeCell ref="G4:P4"/>
    <mergeCell ref="Q4:U4"/>
    <mergeCell ref="K27:L27"/>
    <mergeCell ref="M27:N27"/>
    <mergeCell ref="O27:P27"/>
    <mergeCell ref="Q27:R27"/>
    <mergeCell ref="X27:X28"/>
    <mergeCell ref="Y27:Y28"/>
    <mergeCell ref="Z27:Z28"/>
    <mergeCell ref="AA27:AA28"/>
    <mergeCell ref="S27:U27"/>
    <mergeCell ref="V27:V28"/>
    <mergeCell ref="W27:W28"/>
    <mergeCell ref="AC27:AJ29"/>
    <mergeCell ref="B29:C48"/>
    <mergeCell ref="B2:AA2"/>
    <mergeCell ref="E5:E6"/>
    <mergeCell ref="F5:F6"/>
    <mergeCell ref="G5:P5"/>
    <mergeCell ref="Q5:R5"/>
    <mergeCell ref="S5:U5"/>
    <mergeCell ref="B7:C26"/>
    <mergeCell ref="X3:X6"/>
    <mergeCell ref="Y3:Y6"/>
    <mergeCell ref="Z3:Z6"/>
    <mergeCell ref="AA3:AA6"/>
    <mergeCell ref="AC93:AJ95"/>
    <mergeCell ref="AC49:AJ51"/>
    <mergeCell ref="Z49:Z50"/>
    <mergeCell ref="AA49:AA50"/>
    <mergeCell ref="AC71:AJ73"/>
    <mergeCell ref="K71:L71"/>
    <mergeCell ref="M71:N71"/>
    <mergeCell ref="O71:P71"/>
    <mergeCell ref="Q71:R71"/>
    <mergeCell ref="S71:U71"/>
    <mergeCell ref="V71:V72"/>
    <mergeCell ref="W71:W72"/>
    <mergeCell ref="X71:X72"/>
    <mergeCell ref="Y71:Y72"/>
    <mergeCell ref="Z71:Z72"/>
    <mergeCell ref="AA71:AA72"/>
    <mergeCell ref="O49:P49"/>
    <mergeCell ref="Q49:R49"/>
    <mergeCell ref="S49:U49"/>
    <mergeCell ref="V49:V50"/>
    <mergeCell ref="W49:W50"/>
    <mergeCell ref="X49:X50"/>
    <mergeCell ref="Y49:Y50"/>
    <mergeCell ref="Z93:Z94"/>
    <mergeCell ref="B27:C28"/>
    <mergeCell ref="D27:D28"/>
    <mergeCell ref="E27:E28"/>
    <mergeCell ref="B51:C70"/>
    <mergeCell ref="B71:C72"/>
    <mergeCell ref="D71:D72"/>
    <mergeCell ref="E71:E72"/>
    <mergeCell ref="F71:F72"/>
    <mergeCell ref="G71:G72"/>
    <mergeCell ref="B49:C50"/>
    <mergeCell ref="D49:D50"/>
    <mergeCell ref="E49:E50"/>
    <mergeCell ref="F49:F50"/>
    <mergeCell ref="G49:G50"/>
    <mergeCell ref="H71:H72"/>
    <mergeCell ref="I71:J71"/>
    <mergeCell ref="I27:J27"/>
    <mergeCell ref="F27:F28"/>
    <mergeCell ref="G27:G28"/>
    <mergeCell ref="H27:H28"/>
    <mergeCell ref="W93:W94"/>
    <mergeCell ref="X93:X94"/>
    <mergeCell ref="Y93:Y94"/>
    <mergeCell ref="H49:H50"/>
    <mergeCell ref="I49:J49"/>
    <mergeCell ref="K49:L49"/>
    <mergeCell ref="M49:N49"/>
    <mergeCell ref="AA93:AA94"/>
    <mergeCell ref="B95:C114"/>
    <mergeCell ref="G93:G94"/>
    <mergeCell ref="H93:H94"/>
    <mergeCell ref="I93:J93"/>
    <mergeCell ref="K93:L93"/>
    <mergeCell ref="M93:N93"/>
    <mergeCell ref="O93:P93"/>
    <mergeCell ref="Q93:R93"/>
    <mergeCell ref="S93:U93"/>
    <mergeCell ref="V93:V94"/>
    <mergeCell ref="B93:C94"/>
    <mergeCell ref="D93:D94"/>
    <mergeCell ref="E93:E94"/>
    <mergeCell ref="F93:F94"/>
  </mergeCells>
  <phoneticPr fontId="13" type="noConversion"/>
  <dataValidations count="1">
    <dataValidation type="list" allowBlank="1" showInputMessage="1" showErrorMessage="1" sqref="V98:V114 V1:W2 W3:W6 V29:V48 V115:W1048576 V3:V26 V93:W93 W107 V27:W27 V51:W53 W63 V49:W49 V54:V70 V73:W75 W85 V71:W71 V76:V92 V95:W97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5">
    <tabColor rgb="FF92D050"/>
    <pageSetUpPr fitToPage="1"/>
  </sheetPr>
  <dimension ref="B2:AJ48"/>
  <sheetViews>
    <sheetView zoomScale="70" zoomScaleNormal="70" workbookViewId="0">
      <pane xSplit="4" ySplit="2" topLeftCell="Y25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W48" sqref="W48"/>
    </sheetView>
  </sheetViews>
  <sheetFormatPr defaultColWidth="8.81640625" defaultRowHeight="16"/>
  <cols>
    <col min="1" max="1" width="8.81640625" style="146"/>
    <col min="2" max="2" width="12.453125" style="146" customWidth="1"/>
    <col min="3" max="3" width="8.81640625" style="146"/>
    <col min="4" max="4" width="11.54296875" style="146" customWidth="1"/>
    <col min="5" max="5" width="39.26953125" style="146" bestFit="1" customWidth="1"/>
    <col min="6" max="6" width="11.453125" style="146" bestFit="1" customWidth="1"/>
    <col min="7" max="8" width="15.81640625" style="146" bestFit="1" customWidth="1"/>
    <col min="9" max="9" width="16.81640625" style="146" customWidth="1"/>
    <col min="10" max="10" width="14" style="146" customWidth="1"/>
    <col min="11" max="11" width="15.453125" style="146" bestFit="1" customWidth="1"/>
    <col min="12" max="12" width="12.26953125" style="146" bestFit="1" customWidth="1"/>
    <col min="13" max="13" width="19.1796875" style="146" bestFit="1" customWidth="1"/>
    <col min="14" max="14" width="15.26953125" style="146" bestFit="1" customWidth="1"/>
    <col min="15" max="15" width="19.1796875" style="146" bestFit="1" customWidth="1"/>
    <col min="16" max="16" width="12.54296875" style="146" bestFit="1" customWidth="1"/>
    <col min="17" max="17" width="9.1796875" style="146" bestFit="1" customWidth="1"/>
    <col min="18" max="18" width="12.26953125" style="146" bestFit="1" customWidth="1"/>
    <col min="19" max="19" width="12.54296875" style="146" bestFit="1" customWidth="1"/>
    <col min="20" max="20" width="12.453125" style="146" bestFit="1" customWidth="1"/>
    <col min="21" max="21" width="11.453125" style="146" bestFit="1" customWidth="1"/>
    <col min="22" max="22" width="12.453125" style="146" bestFit="1" customWidth="1"/>
    <col min="23" max="23" width="15.26953125" style="146" bestFit="1" customWidth="1"/>
    <col min="24" max="24" width="53.54296875" style="146" bestFit="1" customWidth="1"/>
    <col min="25" max="25" width="113.453125" style="146" bestFit="1" customWidth="1"/>
    <col min="26" max="26" width="11.453125" style="146" bestFit="1" customWidth="1"/>
    <col min="27" max="27" width="37.7265625" style="146" bestFit="1" customWidth="1"/>
    <col min="28" max="28" width="19.453125" style="146" bestFit="1" customWidth="1"/>
    <col min="29" max="29" width="21.54296875" style="146" customWidth="1"/>
    <col min="30" max="30" width="19.453125" style="146" bestFit="1" customWidth="1"/>
    <col min="31" max="36" width="14.453125" style="146" customWidth="1"/>
    <col min="37" max="16384" width="8.81640625" style="146"/>
  </cols>
  <sheetData>
    <row r="2" spans="2:36" ht="41.15" customHeight="1">
      <c r="B2" s="867" t="s">
        <v>460</v>
      </c>
      <c r="C2" s="868"/>
      <c r="D2" s="868"/>
      <c r="E2" s="868"/>
      <c r="F2" s="868"/>
      <c r="G2" s="868"/>
      <c r="H2" s="868"/>
      <c r="I2" s="868"/>
      <c r="J2" s="868"/>
      <c r="K2" s="868"/>
      <c r="L2" s="868"/>
      <c r="M2" s="868"/>
      <c r="N2" s="868"/>
      <c r="O2" s="868"/>
      <c r="P2" s="868"/>
      <c r="Q2" s="868"/>
      <c r="R2" s="868"/>
      <c r="S2" s="868"/>
      <c r="T2" s="868"/>
      <c r="U2" s="868"/>
      <c r="V2" s="868"/>
      <c r="W2" s="868"/>
      <c r="X2" s="868"/>
      <c r="Y2" s="868"/>
      <c r="AA2" s="147"/>
      <c r="AB2" s="147"/>
      <c r="AC2" s="147"/>
      <c r="AD2" s="147"/>
    </row>
    <row r="3" spans="2:36" ht="17.149999999999999" customHeight="1">
      <c r="B3" s="886" t="s">
        <v>453</v>
      </c>
      <c r="C3" s="887"/>
      <c r="D3" s="888" t="s">
        <v>170</v>
      </c>
      <c r="E3" s="888"/>
      <c r="F3" s="888"/>
      <c r="G3" s="889" t="s">
        <v>184</v>
      </c>
      <c r="H3" s="890"/>
      <c r="I3" s="890"/>
      <c r="J3" s="890"/>
      <c r="K3" s="890"/>
      <c r="L3" s="890"/>
      <c r="M3" s="890"/>
      <c r="N3" s="890"/>
      <c r="O3" s="890"/>
      <c r="P3" s="890"/>
      <c r="Q3" s="890"/>
      <c r="R3" s="890"/>
      <c r="S3" s="890"/>
      <c r="T3" s="890"/>
      <c r="U3" s="891"/>
      <c r="V3" s="843" t="s">
        <v>171</v>
      </c>
      <c r="W3" s="843" t="s">
        <v>245</v>
      </c>
      <c r="X3" s="872" t="s">
        <v>454</v>
      </c>
      <c r="Y3" s="872" t="s">
        <v>455</v>
      </c>
      <c r="Z3" s="843" t="s">
        <v>246</v>
      </c>
      <c r="AA3" s="829" t="s">
        <v>172</v>
      </c>
      <c r="AC3" s="877" t="s">
        <v>247</v>
      </c>
      <c r="AD3" s="878"/>
      <c r="AE3" s="878"/>
      <c r="AF3" s="878"/>
      <c r="AG3" s="878"/>
      <c r="AH3" s="878"/>
      <c r="AI3" s="878"/>
      <c r="AJ3" s="879"/>
    </row>
    <row r="4" spans="2:36" ht="17.149999999999999" customHeight="1">
      <c r="B4" s="845"/>
      <c r="C4" s="846"/>
      <c r="D4" s="849" t="s">
        <v>169</v>
      </c>
      <c r="E4" s="888" t="s">
        <v>173</v>
      </c>
      <c r="F4" s="888"/>
      <c r="G4" s="889" t="s">
        <v>185</v>
      </c>
      <c r="H4" s="890"/>
      <c r="I4" s="890"/>
      <c r="J4" s="890"/>
      <c r="K4" s="890"/>
      <c r="L4" s="890"/>
      <c r="M4" s="890"/>
      <c r="N4" s="890"/>
      <c r="O4" s="890"/>
      <c r="P4" s="891"/>
      <c r="Q4" s="889" t="s">
        <v>174</v>
      </c>
      <c r="R4" s="890"/>
      <c r="S4" s="890"/>
      <c r="T4" s="890"/>
      <c r="U4" s="891"/>
      <c r="V4" s="875"/>
      <c r="W4" s="875"/>
      <c r="X4" s="873"/>
      <c r="Y4" s="873"/>
      <c r="Z4" s="875"/>
      <c r="AA4" s="876"/>
      <c r="AC4" s="880"/>
      <c r="AD4" s="881"/>
      <c r="AE4" s="881"/>
      <c r="AF4" s="881"/>
      <c r="AG4" s="881"/>
      <c r="AH4" s="881"/>
      <c r="AI4" s="881"/>
      <c r="AJ4" s="882"/>
    </row>
    <row r="5" spans="2:36" ht="17.149999999999999" customHeight="1">
      <c r="B5" s="845"/>
      <c r="C5" s="846"/>
      <c r="D5" s="849"/>
      <c r="E5" s="849" t="s">
        <v>175</v>
      </c>
      <c r="F5" s="851" t="s">
        <v>248</v>
      </c>
      <c r="G5" s="869" t="s">
        <v>186</v>
      </c>
      <c r="H5" s="870"/>
      <c r="I5" s="870"/>
      <c r="J5" s="870"/>
      <c r="K5" s="870"/>
      <c r="L5" s="870"/>
      <c r="M5" s="870"/>
      <c r="N5" s="870"/>
      <c r="O5" s="870"/>
      <c r="P5" s="871"/>
      <c r="Q5" s="869" t="s">
        <v>168</v>
      </c>
      <c r="R5" s="871"/>
      <c r="S5" s="869" t="s">
        <v>176</v>
      </c>
      <c r="T5" s="870"/>
      <c r="U5" s="871"/>
      <c r="V5" s="875"/>
      <c r="W5" s="875"/>
      <c r="X5" s="873"/>
      <c r="Y5" s="873"/>
      <c r="Z5" s="875"/>
      <c r="AA5" s="876"/>
      <c r="AC5" s="883"/>
      <c r="AD5" s="884"/>
      <c r="AE5" s="884"/>
      <c r="AF5" s="884"/>
      <c r="AG5" s="884"/>
      <c r="AH5" s="884"/>
      <c r="AI5" s="884"/>
      <c r="AJ5" s="885"/>
    </row>
    <row r="6" spans="2:36" ht="38.5" customHeight="1">
      <c r="B6" s="847"/>
      <c r="C6" s="848"/>
      <c r="D6" s="849"/>
      <c r="E6" s="849"/>
      <c r="F6" s="851"/>
      <c r="G6" s="369" t="s">
        <v>177</v>
      </c>
      <c r="H6" s="369" t="s">
        <v>252</v>
      </c>
      <c r="I6" s="463" t="s">
        <v>713</v>
      </c>
      <c r="J6" s="369" t="s">
        <v>714</v>
      </c>
      <c r="K6" s="369" t="s">
        <v>253</v>
      </c>
      <c r="L6" s="369" t="s">
        <v>178</v>
      </c>
      <c r="M6" s="369" t="s">
        <v>250</v>
      </c>
      <c r="N6" s="369" t="s">
        <v>179</v>
      </c>
      <c r="O6" s="369" t="s">
        <v>187</v>
      </c>
      <c r="P6" s="369" t="s">
        <v>180</v>
      </c>
      <c r="Q6" s="370" t="s">
        <v>181</v>
      </c>
      <c r="R6" s="370" t="s">
        <v>182</v>
      </c>
      <c r="S6" s="370" t="s">
        <v>181</v>
      </c>
      <c r="T6" s="370" t="s">
        <v>182</v>
      </c>
      <c r="U6" s="369" t="s">
        <v>183</v>
      </c>
      <c r="V6" s="844"/>
      <c r="W6" s="844"/>
      <c r="X6" s="874"/>
      <c r="Y6" s="874"/>
      <c r="Z6" s="844"/>
      <c r="AA6" s="830"/>
      <c r="AC6" s="161" t="s">
        <v>244</v>
      </c>
      <c r="AD6" s="161" t="s">
        <v>456</v>
      </c>
      <c r="AE6" s="156" t="s">
        <v>389</v>
      </c>
      <c r="AF6" s="156" t="s">
        <v>339</v>
      </c>
      <c r="AG6" s="156" t="s">
        <v>436</v>
      </c>
      <c r="AH6" s="156" t="s">
        <v>215</v>
      </c>
      <c r="AI6" s="156" t="s">
        <v>216</v>
      </c>
      <c r="AJ6" s="156" t="s">
        <v>390</v>
      </c>
    </row>
    <row r="7" spans="2:36" s="148" customFormat="1" ht="27" customHeight="1">
      <c r="B7" s="831" t="s">
        <v>582</v>
      </c>
      <c r="C7" s="832"/>
      <c r="D7" s="368">
        <v>1</v>
      </c>
      <c r="E7" s="371" t="s">
        <v>337</v>
      </c>
      <c r="F7" s="372">
        <v>15522.904700000005</v>
      </c>
      <c r="G7" s="373">
        <v>4768.8900000000003</v>
      </c>
      <c r="H7" s="373">
        <v>4725.7</v>
      </c>
      <c r="I7" s="373">
        <v>4725.7</v>
      </c>
      <c r="J7" s="469">
        <f>IFERROR(I7/H7,"-")</f>
        <v>1</v>
      </c>
      <c r="K7" s="374">
        <f t="shared" ref="K7:K26" si="0">H7/G7</f>
        <v>0.99094338514832581</v>
      </c>
      <c r="L7" s="373">
        <v>148.47999999999999</v>
      </c>
      <c r="M7" s="374">
        <f t="shared" ref="M7:M26" si="1">L7/G7</f>
        <v>3.1135127880911488E-2</v>
      </c>
      <c r="N7" s="373">
        <v>147.43000000000004</v>
      </c>
      <c r="O7" s="374">
        <f t="shared" ref="O7:O26" si="2">(H7+L7)/G7</f>
        <v>1.0220785130292371</v>
      </c>
      <c r="P7" s="375">
        <v>15522.904700000005</v>
      </c>
      <c r="Q7" s="373">
        <v>0</v>
      </c>
      <c r="R7" s="374">
        <f t="shared" ref="R7:R26" si="3">Q7/G7</f>
        <v>0</v>
      </c>
      <c r="S7" s="385">
        <f>Q7*N7</f>
        <v>0</v>
      </c>
      <c r="T7" s="376">
        <f t="shared" ref="T7:T26" si="4">((H7+L7)-G7)-Q7</f>
        <v>105.28999999999905</v>
      </c>
      <c r="U7" s="374">
        <f t="shared" ref="U7:U26" si="5">T7/G7</f>
        <v>2.2078513029237211E-2</v>
      </c>
      <c r="V7" s="378" t="s">
        <v>174</v>
      </c>
      <c r="W7" s="378" t="s">
        <v>215</v>
      </c>
      <c r="X7" s="379" t="s">
        <v>513</v>
      </c>
      <c r="Y7" s="379" t="s">
        <v>589</v>
      </c>
      <c r="Z7" s="379">
        <v>1</v>
      </c>
      <c r="AA7" s="380" t="s">
        <v>342</v>
      </c>
      <c r="AB7" s="381" t="s">
        <v>457</v>
      </c>
      <c r="AC7" s="388">
        <f>SUM(Z7:Z26)</f>
        <v>20</v>
      </c>
      <c r="AD7" s="382">
        <f t="shared" ref="AD7:AJ7" si="6">SUMIF($W$7:$W$26,TRIM(AD6),$Z$7:$Z$26)</f>
        <v>0</v>
      </c>
      <c r="AE7" s="382">
        <f t="shared" si="6"/>
        <v>0</v>
      </c>
      <c r="AF7" s="382">
        <f t="shared" si="6"/>
        <v>0</v>
      </c>
      <c r="AG7" s="382">
        <f t="shared" si="6"/>
        <v>14</v>
      </c>
      <c r="AH7" s="382">
        <f t="shared" si="6"/>
        <v>2</v>
      </c>
      <c r="AI7" s="382">
        <f t="shared" si="6"/>
        <v>4</v>
      </c>
      <c r="AJ7" s="382">
        <f t="shared" si="6"/>
        <v>0</v>
      </c>
    </row>
    <row r="8" spans="2:36" s="148" customFormat="1" ht="27" customHeight="1">
      <c r="B8" s="833"/>
      <c r="C8" s="834"/>
      <c r="D8" s="368">
        <v>2</v>
      </c>
      <c r="E8" s="371" t="s">
        <v>621</v>
      </c>
      <c r="F8" s="372">
        <v>9063.2451000000347</v>
      </c>
      <c r="G8" s="373">
        <v>22815.390000000003</v>
      </c>
      <c r="H8" s="373">
        <v>22741.280000000002</v>
      </c>
      <c r="I8" s="373">
        <v>22741.280000000002</v>
      </c>
      <c r="J8" s="469">
        <f t="shared" ref="J8:J26" si="7">IFERROR(I8/H8,"-")</f>
        <v>1</v>
      </c>
      <c r="K8" s="374">
        <f t="shared" si="0"/>
        <v>0.99675175396957927</v>
      </c>
      <c r="L8" s="373">
        <v>304.89999999999998</v>
      </c>
      <c r="M8" s="374">
        <f t="shared" si="1"/>
        <v>1.3363786461682221E-2</v>
      </c>
      <c r="N8" s="373">
        <v>39.389999999999993</v>
      </c>
      <c r="O8" s="374">
        <f t="shared" si="2"/>
        <v>1.0101155404312616</v>
      </c>
      <c r="P8" s="375">
        <v>9090.8181000000332</v>
      </c>
      <c r="Q8" s="373">
        <v>0.7</v>
      </c>
      <c r="R8" s="374">
        <f t="shared" si="3"/>
        <v>3.0681044680805361E-5</v>
      </c>
      <c r="S8" s="385">
        <f t="shared" ref="S8:S26" si="8">Q8*N8</f>
        <v>27.572999999999993</v>
      </c>
      <c r="T8" s="376">
        <f t="shared" si="4"/>
        <v>230.09000000000088</v>
      </c>
      <c r="U8" s="374">
        <f t="shared" si="5"/>
        <v>1.0084859386580762E-2</v>
      </c>
      <c r="V8" s="378" t="s">
        <v>174</v>
      </c>
      <c r="W8" s="378" t="s">
        <v>216</v>
      </c>
      <c r="X8" s="379" t="s">
        <v>648</v>
      </c>
      <c r="Y8" s="379" t="s">
        <v>591</v>
      </c>
      <c r="Z8" s="379">
        <v>1</v>
      </c>
      <c r="AA8" s="380" t="s">
        <v>342</v>
      </c>
      <c r="AC8" s="389"/>
      <c r="AD8" s="386">
        <f t="shared" ref="AD8:AJ8" si="9">SUMIF($W$7:$W$26,TRIM(AD6),$F$7:$F$26)</f>
        <v>0</v>
      </c>
      <c r="AE8" s="386">
        <f t="shared" si="9"/>
        <v>0</v>
      </c>
      <c r="AF8" s="386">
        <f t="shared" si="9"/>
        <v>0</v>
      </c>
      <c r="AG8" s="386">
        <f t="shared" si="9"/>
        <v>61035.200699999972</v>
      </c>
      <c r="AH8" s="386">
        <f t="shared" si="9"/>
        <v>21192.504700000005</v>
      </c>
      <c r="AI8" s="386">
        <f t="shared" si="9"/>
        <v>22518.722300000023</v>
      </c>
      <c r="AJ8" s="386">
        <f t="shared" si="9"/>
        <v>0</v>
      </c>
    </row>
    <row r="9" spans="2:36" s="148" customFormat="1" ht="27" customHeight="1">
      <c r="B9" s="833"/>
      <c r="C9" s="834"/>
      <c r="D9" s="368">
        <v>3</v>
      </c>
      <c r="E9" s="371" t="s">
        <v>626</v>
      </c>
      <c r="F9" s="372">
        <v>7700.1992999999975</v>
      </c>
      <c r="G9" s="373">
        <v>2469.8699999999994</v>
      </c>
      <c r="H9" s="373">
        <v>2428.8200000000002</v>
      </c>
      <c r="I9" s="373">
        <v>2428.8200000000002</v>
      </c>
      <c r="J9" s="469">
        <f t="shared" si="7"/>
        <v>1</v>
      </c>
      <c r="K9" s="374">
        <f t="shared" si="0"/>
        <v>0.98337969204856968</v>
      </c>
      <c r="L9" s="373">
        <v>119.75999999999999</v>
      </c>
      <c r="M9" s="374">
        <f t="shared" si="1"/>
        <v>4.848838197961837E-2</v>
      </c>
      <c r="N9" s="373">
        <v>97.830000000000013</v>
      </c>
      <c r="O9" s="374">
        <f t="shared" si="2"/>
        <v>1.031868074028188</v>
      </c>
      <c r="P9" s="375">
        <v>7700.1992999999975</v>
      </c>
      <c r="Q9" s="373">
        <v>0</v>
      </c>
      <c r="R9" s="374">
        <f t="shared" si="3"/>
        <v>0</v>
      </c>
      <c r="S9" s="385">
        <f t="shared" si="8"/>
        <v>0</v>
      </c>
      <c r="T9" s="376">
        <f t="shared" si="4"/>
        <v>78.710000000000491</v>
      </c>
      <c r="U9" s="374">
        <f t="shared" si="5"/>
        <v>3.1868074028187927E-2</v>
      </c>
      <c r="V9" s="378" t="s">
        <v>174</v>
      </c>
      <c r="W9" s="378" t="s">
        <v>436</v>
      </c>
      <c r="X9" s="379" t="s">
        <v>646</v>
      </c>
      <c r="Y9" s="379" t="s">
        <v>647</v>
      </c>
      <c r="Z9" s="379">
        <v>1</v>
      </c>
      <c r="AA9" s="380" t="s">
        <v>615</v>
      </c>
      <c r="AC9" s="368"/>
      <c r="AD9" s="387">
        <f t="shared" ref="AD9:AJ9" si="10">AD7/$AC7</f>
        <v>0</v>
      </c>
      <c r="AE9" s="387">
        <f t="shared" si="10"/>
        <v>0</v>
      </c>
      <c r="AF9" s="387">
        <f t="shared" si="10"/>
        <v>0</v>
      </c>
      <c r="AG9" s="387">
        <f t="shared" si="10"/>
        <v>0.7</v>
      </c>
      <c r="AH9" s="387">
        <f t="shared" si="10"/>
        <v>0.1</v>
      </c>
      <c r="AI9" s="387">
        <f t="shared" si="10"/>
        <v>0.2</v>
      </c>
      <c r="AJ9" s="387">
        <f t="shared" si="10"/>
        <v>0</v>
      </c>
    </row>
    <row r="10" spans="2:36" s="148" customFormat="1" ht="27" customHeight="1">
      <c r="B10" s="833"/>
      <c r="C10" s="834"/>
      <c r="D10" s="368">
        <v>4</v>
      </c>
      <c r="E10" s="371" t="s">
        <v>363</v>
      </c>
      <c r="F10" s="372">
        <v>6673.4315999999999</v>
      </c>
      <c r="G10" s="373">
        <v>746.3599999999999</v>
      </c>
      <c r="H10" s="373">
        <v>733.74</v>
      </c>
      <c r="I10" s="373">
        <v>733.74</v>
      </c>
      <c r="J10" s="469">
        <f t="shared" si="7"/>
        <v>1</v>
      </c>
      <c r="K10" s="374">
        <f t="shared" si="0"/>
        <v>0.98309126962859761</v>
      </c>
      <c r="L10" s="373">
        <v>29.200000000000003</v>
      </c>
      <c r="M10" s="374">
        <f t="shared" si="1"/>
        <v>3.9123211318934571E-2</v>
      </c>
      <c r="N10" s="373">
        <v>426.69</v>
      </c>
      <c r="O10" s="374">
        <f t="shared" si="2"/>
        <v>1.0222144809475322</v>
      </c>
      <c r="P10" s="375">
        <v>7074.5201999999999</v>
      </c>
      <c r="Q10" s="373">
        <v>0.94000000000000006</v>
      </c>
      <c r="R10" s="374">
        <f t="shared" si="3"/>
        <v>1.2594458438287155E-3</v>
      </c>
      <c r="S10" s="385">
        <f t="shared" si="8"/>
        <v>401.08860000000004</v>
      </c>
      <c r="T10" s="376">
        <f t="shared" si="4"/>
        <v>15.640000000000155</v>
      </c>
      <c r="U10" s="374">
        <f t="shared" si="5"/>
        <v>2.0955035103703518E-2</v>
      </c>
      <c r="V10" s="378" t="s">
        <v>174</v>
      </c>
      <c r="W10" s="378" t="s">
        <v>436</v>
      </c>
      <c r="X10" s="379" t="s">
        <v>517</v>
      </c>
      <c r="Y10" s="379" t="s">
        <v>591</v>
      </c>
      <c r="Z10" s="379">
        <v>1</v>
      </c>
      <c r="AA10" s="380" t="s">
        <v>364</v>
      </c>
    </row>
    <row r="11" spans="2:36" s="148" customFormat="1" ht="27" customHeight="1">
      <c r="B11" s="833"/>
      <c r="C11" s="834"/>
      <c r="D11" s="368">
        <v>5</v>
      </c>
      <c r="E11" s="371" t="s">
        <v>502</v>
      </c>
      <c r="F11" s="372">
        <v>5838.5984999999973</v>
      </c>
      <c r="G11" s="373">
        <v>1067.0900000000001</v>
      </c>
      <c r="H11" s="373">
        <v>1037.92</v>
      </c>
      <c r="I11" s="373">
        <v>1037.92</v>
      </c>
      <c r="J11" s="469">
        <f t="shared" si="7"/>
        <v>1</v>
      </c>
      <c r="K11" s="374">
        <f t="shared" si="0"/>
        <v>0.97266397398532456</v>
      </c>
      <c r="L11" s="373">
        <v>78.52000000000001</v>
      </c>
      <c r="M11" s="374">
        <f t="shared" si="1"/>
        <v>7.3583296629150308E-2</v>
      </c>
      <c r="N11" s="373">
        <v>118.30999999999997</v>
      </c>
      <c r="O11" s="374">
        <f t="shared" si="2"/>
        <v>1.0462472706144748</v>
      </c>
      <c r="P11" s="375">
        <v>5838.5984999999973</v>
      </c>
      <c r="Q11" s="373">
        <v>0</v>
      </c>
      <c r="R11" s="374">
        <f t="shared" si="3"/>
        <v>0</v>
      </c>
      <c r="S11" s="385">
        <f t="shared" si="8"/>
        <v>0</v>
      </c>
      <c r="T11" s="376">
        <f t="shared" si="4"/>
        <v>49.349999999999909</v>
      </c>
      <c r="U11" s="374">
        <f t="shared" si="5"/>
        <v>4.6247270614474791E-2</v>
      </c>
      <c r="V11" s="378" t="s">
        <v>174</v>
      </c>
      <c r="W11" s="378" t="s">
        <v>436</v>
      </c>
      <c r="X11" s="379" t="s">
        <v>646</v>
      </c>
      <c r="Y11" s="379" t="s">
        <v>647</v>
      </c>
      <c r="Z11" s="379">
        <v>1</v>
      </c>
      <c r="AA11" s="380" t="s">
        <v>497</v>
      </c>
    </row>
    <row r="12" spans="2:36" s="148" customFormat="1" ht="27" customHeight="1">
      <c r="B12" s="833"/>
      <c r="C12" s="834"/>
      <c r="D12" s="368">
        <v>6</v>
      </c>
      <c r="E12" s="371" t="s">
        <v>487</v>
      </c>
      <c r="F12" s="372">
        <v>5747.7725999999993</v>
      </c>
      <c r="G12" s="373">
        <v>1173.1399999999999</v>
      </c>
      <c r="H12" s="373">
        <v>1145.8600000000001</v>
      </c>
      <c r="I12" s="373">
        <v>1145.8600000000001</v>
      </c>
      <c r="J12" s="469">
        <f t="shared" si="7"/>
        <v>1</v>
      </c>
      <c r="K12" s="374">
        <f t="shared" si="0"/>
        <v>0.97674616840274842</v>
      </c>
      <c r="L12" s="373">
        <v>57.6</v>
      </c>
      <c r="M12" s="374">
        <f t="shared" si="1"/>
        <v>4.9098999266924667E-2</v>
      </c>
      <c r="N12" s="373">
        <v>191.21</v>
      </c>
      <c r="O12" s="374">
        <f t="shared" si="2"/>
        <v>1.0258451676696729</v>
      </c>
      <c r="P12" s="375">
        <v>5797.4871999999996</v>
      </c>
      <c r="Q12" s="373">
        <v>0.26</v>
      </c>
      <c r="R12" s="374">
        <f t="shared" si="3"/>
        <v>2.2162742724653498E-4</v>
      </c>
      <c r="S12" s="385">
        <f t="shared" si="8"/>
        <v>49.714600000000004</v>
      </c>
      <c r="T12" s="376">
        <f t="shared" si="4"/>
        <v>30.060000000000162</v>
      </c>
      <c r="U12" s="374">
        <f t="shared" si="5"/>
        <v>2.5623540242426451E-2</v>
      </c>
      <c r="V12" s="378" t="s">
        <v>174</v>
      </c>
      <c r="W12" s="378" t="s">
        <v>436</v>
      </c>
      <c r="X12" s="379" t="s">
        <v>517</v>
      </c>
      <c r="Y12" s="379" t="s">
        <v>591</v>
      </c>
      <c r="Z12" s="379">
        <v>1</v>
      </c>
      <c r="AA12" s="380" t="s">
        <v>488</v>
      </c>
    </row>
    <row r="13" spans="2:36" s="148" customFormat="1" ht="27" customHeight="1">
      <c r="B13" s="833"/>
      <c r="C13" s="834"/>
      <c r="D13" s="368">
        <v>7</v>
      </c>
      <c r="E13" s="371" t="s">
        <v>624</v>
      </c>
      <c r="F13" s="372">
        <v>5669.6000000000022</v>
      </c>
      <c r="G13" s="373">
        <v>314.35000000000002</v>
      </c>
      <c r="H13" s="373">
        <v>314.66999999999996</v>
      </c>
      <c r="I13" s="373">
        <v>314.66999999999996</v>
      </c>
      <c r="J13" s="469">
        <f t="shared" si="7"/>
        <v>1</v>
      </c>
      <c r="K13" s="374">
        <f t="shared" si="0"/>
        <v>1.0010179735963096</v>
      </c>
      <c r="L13" s="373">
        <v>7.7</v>
      </c>
      <c r="M13" s="374">
        <f t="shared" si="1"/>
        <v>2.4494989661205661E-2</v>
      </c>
      <c r="N13" s="373">
        <v>760</v>
      </c>
      <c r="O13" s="374">
        <f t="shared" si="2"/>
        <v>1.0255129632575153</v>
      </c>
      <c r="P13" s="375">
        <v>6095.2000000000025</v>
      </c>
      <c r="Q13" s="373">
        <v>0.56000000000000005</v>
      </c>
      <c r="R13" s="374">
        <f t="shared" si="3"/>
        <v>1.7814537935422301E-3</v>
      </c>
      <c r="S13" s="385">
        <f t="shared" si="8"/>
        <v>425.6</v>
      </c>
      <c r="T13" s="376">
        <f t="shared" si="4"/>
        <v>7.4599999999999245</v>
      </c>
      <c r="U13" s="374">
        <f t="shared" si="5"/>
        <v>2.3731509463973035E-2</v>
      </c>
      <c r="V13" s="378" t="s">
        <v>174</v>
      </c>
      <c r="W13" s="378" t="s">
        <v>215</v>
      </c>
      <c r="X13" s="379" t="s">
        <v>696</v>
      </c>
      <c r="Y13" s="379" t="s">
        <v>591</v>
      </c>
      <c r="Z13" s="379">
        <v>1</v>
      </c>
      <c r="AA13" s="380" t="s">
        <v>612</v>
      </c>
      <c r="AE13" s="383"/>
    </row>
    <row r="14" spans="2:36" s="148" customFormat="1" ht="27" customHeight="1">
      <c r="B14" s="833"/>
      <c r="C14" s="834"/>
      <c r="D14" s="368">
        <v>8</v>
      </c>
      <c r="E14" s="371" t="s">
        <v>484</v>
      </c>
      <c r="F14" s="372">
        <v>5239.5700000000006</v>
      </c>
      <c r="G14" s="373">
        <v>157.1</v>
      </c>
      <c r="H14" s="373">
        <v>149.29</v>
      </c>
      <c r="I14" s="373">
        <v>149.29</v>
      </c>
      <c r="J14" s="469">
        <f t="shared" si="7"/>
        <v>1</v>
      </c>
      <c r="K14" s="374">
        <f t="shared" si="0"/>
        <v>0.95028644175684274</v>
      </c>
      <c r="L14" s="373">
        <v>16.14</v>
      </c>
      <c r="M14" s="374">
        <f t="shared" si="1"/>
        <v>0.10273711012094208</v>
      </c>
      <c r="N14" s="373">
        <v>629</v>
      </c>
      <c r="O14" s="374">
        <f t="shared" si="2"/>
        <v>1.0530235518777848</v>
      </c>
      <c r="P14" s="375">
        <v>5239.5700000000006</v>
      </c>
      <c r="Q14" s="373">
        <v>0</v>
      </c>
      <c r="R14" s="374">
        <f t="shared" si="3"/>
        <v>0</v>
      </c>
      <c r="S14" s="385">
        <f t="shared" si="8"/>
        <v>0</v>
      </c>
      <c r="T14" s="376">
        <f t="shared" si="4"/>
        <v>8.3300000000000125</v>
      </c>
      <c r="U14" s="374">
        <f t="shared" si="5"/>
        <v>5.302355187778493E-2</v>
      </c>
      <c r="V14" s="378" t="s">
        <v>174</v>
      </c>
      <c r="W14" s="378" t="s">
        <v>436</v>
      </c>
      <c r="X14" s="379" t="s">
        <v>521</v>
      </c>
      <c r="Y14" s="379" t="s">
        <v>697</v>
      </c>
      <c r="Z14" s="379">
        <v>1</v>
      </c>
      <c r="AA14" s="380" t="s">
        <v>475</v>
      </c>
      <c r="AE14" s="383"/>
    </row>
    <row r="15" spans="2:36" s="148" customFormat="1" ht="27" customHeight="1">
      <c r="B15" s="833"/>
      <c r="C15" s="834"/>
      <c r="D15" s="368">
        <v>9</v>
      </c>
      <c r="E15" s="371" t="s">
        <v>476</v>
      </c>
      <c r="F15" s="372">
        <v>4973.453799999992</v>
      </c>
      <c r="G15" s="373">
        <v>1012.82</v>
      </c>
      <c r="H15" s="373">
        <v>1016.6999999999999</v>
      </c>
      <c r="I15" s="373">
        <v>1016.6999999999999</v>
      </c>
      <c r="J15" s="469">
        <f t="shared" si="7"/>
        <v>1</v>
      </c>
      <c r="K15" s="374">
        <f t="shared" si="0"/>
        <v>1.0038308880156395</v>
      </c>
      <c r="L15" s="373">
        <v>5.26</v>
      </c>
      <c r="M15" s="374">
        <f t="shared" si="1"/>
        <v>5.1934203510989119E-3</v>
      </c>
      <c r="N15" s="373">
        <v>605.77999999999986</v>
      </c>
      <c r="O15" s="374">
        <f t="shared" si="2"/>
        <v>1.0090243083667383</v>
      </c>
      <c r="P15" s="375">
        <v>5536.8291999999919</v>
      </c>
      <c r="Q15" s="373">
        <v>0.93</v>
      </c>
      <c r="R15" s="374">
        <f t="shared" si="3"/>
        <v>9.1822831302699397E-4</v>
      </c>
      <c r="S15" s="385">
        <f t="shared" si="8"/>
        <v>563.3753999999999</v>
      </c>
      <c r="T15" s="376">
        <f t="shared" si="4"/>
        <v>8.209999999999873</v>
      </c>
      <c r="U15" s="374">
        <f t="shared" si="5"/>
        <v>8.106080053711294E-3</v>
      </c>
      <c r="V15" s="378" t="s">
        <v>174</v>
      </c>
      <c r="W15" s="378" t="s">
        <v>216</v>
      </c>
      <c r="X15" s="379" t="s">
        <v>516</v>
      </c>
      <c r="Y15" s="379" t="s">
        <v>590</v>
      </c>
      <c r="Z15" s="379">
        <v>1</v>
      </c>
      <c r="AA15" s="380" t="s">
        <v>344</v>
      </c>
      <c r="AE15" s="383"/>
    </row>
    <row r="16" spans="2:36" s="148" customFormat="1" ht="27" customHeight="1">
      <c r="B16" s="833"/>
      <c r="C16" s="834"/>
      <c r="D16" s="368">
        <v>10</v>
      </c>
      <c r="E16" s="371" t="s">
        <v>440</v>
      </c>
      <c r="F16" s="372">
        <v>4907.3062000000054</v>
      </c>
      <c r="G16" s="373">
        <v>400.78</v>
      </c>
      <c r="H16" s="373">
        <v>392.73</v>
      </c>
      <c r="I16" s="373">
        <v>392.73</v>
      </c>
      <c r="J16" s="469">
        <f t="shared" si="7"/>
        <v>1</v>
      </c>
      <c r="K16" s="374">
        <f t="shared" si="0"/>
        <v>0.97991416737362158</v>
      </c>
      <c r="L16" s="373">
        <v>22.070000000000004</v>
      </c>
      <c r="M16" s="374">
        <f t="shared" si="1"/>
        <v>5.5067618144618011E-2</v>
      </c>
      <c r="N16" s="373">
        <v>368.13999999999993</v>
      </c>
      <c r="O16" s="374">
        <f t="shared" si="2"/>
        <v>1.0349817855182395</v>
      </c>
      <c r="P16" s="375">
        <v>5161.3228000000063</v>
      </c>
      <c r="Q16" s="373">
        <v>0.69</v>
      </c>
      <c r="R16" s="374">
        <f t="shared" si="3"/>
        <v>1.721642796546734E-3</v>
      </c>
      <c r="S16" s="385">
        <f t="shared" si="8"/>
        <v>254.01659999999993</v>
      </c>
      <c r="T16" s="376">
        <f t="shared" si="4"/>
        <v>13.330000000000039</v>
      </c>
      <c r="U16" s="374">
        <f t="shared" si="5"/>
        <v>3.3260142721692802E-2</v>
      </c>
      <c r="V16" s="378" t="s">
        <v>174</v>
      </c>
      <c r="W16" s="378" t="s">
        <v>436</v>
      </c>
      <c r="X16" s="379" t="s">
        <v>518</v>
      </c>
      <c r="Y16" s="379" t="s">
        <v>519</v>
      </c>
      <c r="Z16" s="379">
        <v>1</v>
      </c>
      <c r="AA16" s="380" t="s">
        <v>441</v>
      </c>
      <c r="AE16" s="383"/>
    </row>
    <row r="17" spans="2:36" s="148" customFormat="1" ht="27" customHeight="1">
      <c r="B17" s="833"/>
      <c r="C17" s="834"/>
      <c r="D17" s="368">
        <v>11</v>
      </c>
      <c r="E17" s="371" t="s">
        <v>480</v>
      </c>
      <c r="F17" s="372">
        <v>4640.081200000006</v>
      </c>
      <c r="G17" s="373">
        <v>1115.5</v>
      </c>
      <c r="H17" s="373">
        <v>1109.43</v>
      </c>
      <c r="I17" s="373">
        <v>1109.43</v>
      </c>
      <c r="J17" s="469">
        <f t="shared" si="7"/>
        <v>1</v>
      </c>
      <c r="K17" s="374">
        <f t="shared" si="0"/>
        <v>0.99455849394890194</v>
      </c>
      <c r="L17" s="373">
        <v>17.93</v>
      </c>
      <c r="M17" s="374">
        <f t="shared" si="1"/>
        <v>1.6073509636934109E-2</v>
      </c>
      <c r="N17" s="373">
        <v>407.74000000000007</v>
      </c>
      <c r="O17" s="374">
        <f t="shared" si="2"/>
        <v>1.010632003585836</v>
      </c>
      <c r="P17" s="375">
        <v>4835.7964000000056</v>
      </c>
      <c r="Q17" s="373">
        <v>0.48</v>
      </c>
      <c r="R17" s="374">
        <f t="shared" si="3"/>
        <v>4.3030031376064545E-4</v>
      </c>
      <c r="S17" s="385">
        <f t="shared" si="8"/>
        <v>195.71520000000004</v>
      </c>
      <c r="T17" s="376">
        <f t="shared" si="4"/>
        <v>11.380000000000127</v>
      </c>
      <c r="U17" s="374">
        <f t="shared" si="5"/>
        <v>1.0201703272075415E-2</v>
      </c>
      <c r="V17" s="378" t="s">
        <v>174</v>
      </c>
      <c r="W17" s="378" t="s">
        <v>216</v>
      </c>
      <c r="X17" s="379" t="s">
        <v>515</v>
      </c>
      <c r="Y17" s="379" t="s">
        <v>520</v>
      </c>
      <c r="Z17" s="379">
        <v>1</v>
      </c>
      <c r="AA17" s="380" t="s">
        <v>482</v>
      </c>
      <c r="AE17" s="383"/>
    </row>
    <row r="18" spans="2:36" s="148" customFormat="1" ht="27" customHeight="1">
      <c r="B18" s="833"/>
      <c r="C18" s="834"/>
      <c r="D18" s="368">
        <v>12</v>
      </c>
      <c r="E18" s="371" t="s">
        <v>522</v>
      </c>
      <c r="F18" s="372">
        <v>4086.7252999999996</v>
      </c>
      <c r="G18" s="373">
        <v>410.52</v>
      </c>
      <c r="H18" s="373">
        <v>400.17999999999995</v>
      </c>
      <c r="I18" s="373">
        <v>400.17999999999995</v>
      </c>
      <c r="J18" s="469">
        <f t="shared" si="7"/>
        <v>1</v>
      </c>
      <c r="K18" s="374">
        <f t="shared" si="0"/>
        <v>0.97481243301178988</v>
      </c>
      <c r="L18" s="373">
        <v>22.45</v>
      </c>
      <c r="M18" s="374">
        <f t="shared" si="1"/>
        <v>5.4686738770340054E-2</v>
      </c>
      <c r="N18" s="373">
        <v>370.50999999999993</v>
      </c>
      <c r="O18" s="374">
        <f t="shared" si="2"/>
        <v>1.0294991717821298</v>
      </c>
      <c r="P18" s="375">
        <v>4486.8760999999995</v>
      </c>
      <c r="Q18" s="373">
        <v>1.08</v>
      </c>
      <c r="R18" s="374">
        <f t="shared" si="3"/>
        <v>2.6308097047646889E-3</v>
      </c>
      <c r="S18" s="385">
        <f t="shared" si="8"/>
        <v>400.15079999999995</v>
      </c>
      <c r="T18" s="376">
        <f t="shared" si="4"/>
        <v>11.029999999999957</v>
      </c>
      <c r="U18" s="374">
        <f t="shared" si="5"/>
        <v>2.6868362077365187E-2</v>
      </c>
      <c r="V18" s="378" t="s">
        <v>174</v>
      </c>
      <c r="W18" s="378" t="s">
        <v>436</v>
      </c>
      <c r="X18" s="379" t="s">
        <v>518</v>
      </c>
      <c r="Y18" s="379" t="s">
        <v>519</v>
      </c>
      <c r="Z18" s="379">
        <v>1</v>
      </c>
      <c r="AA18" s="380" t="s">
        <v>356</v>
      </c>
    </row>
    <row r="19" spans="2:36" s="148" customFormat="1" ht="27" customHeight="1">
      <c r="B19" s="833"/>
      <c r="C19" s="834"/>
      <c r="D19" s="368">
        <v>13</v>
      </c>
      <c r="E19" s="371" t="s">
        <v>688</v>
      </c>
      <c r="F19" s="372">
        <v>3841.9421999999913</v>
      </c>
      <c r="G19" s="373">
        <v>4526.5600000000004</v>
      </c>
      <c r="H19" s="373">
        <v>4468.7299999999996</v>
      </c>
      <c r="I19" s="373">
        <v>4468.7299999999996</v>
      </c>
      <c r="J19" s="469">
        <f t="shared" si="7"/>
        <v>1</v>
      </c>
      <c r="K19" s="374">
        <f t="shared" si="0"/>
        <v>0.98722429394507072</v>
      </c>
      <c r="L19" s="373">
        <v>122.79</v>
      </c>
      <c r="M19" s="374">
        <f t="shared" si="1"/>
        <v>2.7126559683291505E-2</v>
      </c>
      <c r="N19" s="373">
        <v>62.43</v>
      </c>
      <c r="O19" s="374">
        <f t="shared" si="2"/>
        <v>1.0143508536283621</v>
      </c>
      <c r="P19" s="375">
        <v>4055.4527999999914</v>
      </c>
      <c r="Q19" s="373">
        <v>3.42</v>
      </c>
      <c r="R19" s="374">
        <f t="shared" si="3"/>
        <v>7.5554063129617188E-4</v>
      </c>
      <c r="S19" s="385">
        <f t="shared" si="8"/>
        <v>213.51059999999998</v>
      </c>
      <c r="T19" s="376">
        <f t="shared" si="4"/>
        <v>61.539999999999125</v>
      </c>
      <c r="U19" s="374">
        <f t="shared" si="5"/>
        <v>1.359531299706601E-2</v>
      </c>
      <c r="V19" s="378" t="s">
        <v>174</v>
      </c>
      <c r="W19" s="378" t="s">
        <v>216</v>
      </c>
      <c r="X19" s="379" t="s">
        <v>648</v>
      </c>
      <c r="Y19" s="379" t="s">
        <v>591</v>
      </c>
      <c r="Z19" s="379">
        <v>1</v>
      </c>
      <c r="AA19" s="380" t="s">
        <v>661</v>
      </c>
    </row>
    <row r="20" spans="2:36" s="148" customFormat="1" ht="27" customHeight="1">
      <c r="B20" s="833"/>
      <c r="C20" s="834"/>
      <c r="D20" s="368">
        <v>14</v>
      </c>
      <c r="E20" s="371" t="s">
        <v>494</v>
      </c>
      <c r="F20" s="372">
        <v>3493.5935999999879</v>
      </c>
      <c r="G20" s="373">
        <v>1121.83</v>
      </c>
      <c r="H20" s="373">
        <v>1127.01</v>
      </c>
      <c r="I20" s="373">
        <v>1127.01</v>
      </c>
      <c r="J20" s="469">
        <f t="shared" si="7"/>
        <v>1</v>
      </c>
      <c r="K20" s="374">
        <f t="shared" si="0"/>
        <v>1.0046174554076821</v>
      </c>
      <c r="L20" s="373">
        <v>9.4</v>
      </c>
      <c r="M20" s="374">
        <f t="shared" si="1"/>
        <v>8.3791661838246451E-3</v>
      </c>
      <c r="N20" s="373">
        <v>266.27999999999997</v>
      </c>
      <c r="O20" s="374">
        <f t="shared" si="2"/>
        <v>1.0129966215915069</v>
      </c>
      <c r="P20" s="375">
        <v>3882.3623999999877</v>
      </c>
      <c r="Q20" s="373">
        <v>1.46</v>
      </c>
      <c r="R20" s="374">
        <f t="shared" si="3"/>
        <v>1.3014449604663808E-3</v>
      </c>
      <c r="S20" s="385">
        <f t="shared" si="8"/>
        <v>388.76879999999994</v>
      </c>
      <c r="T20" s="376">
        <f t="shared" si="4"/>
        <v>13.120000000000154</v>
      </c>
      <c r="U20" s="374">
        <f t="shared" si="5"/>
        <v>1.1695176631040492E-2</v>
      </c>
      <c r="V20" s="378" t="s">
        <v>174</v>
      </c>
      <c r="W20" s="378" t="s">
        <v>436</v>
      </c>
      <c r="X20" s="379" t="s">
        <v>569</v>
      </c>
      <c r="Y20" s="379" t="s">
        <v>519</v>
      </c>
      <c r="Z20" s="379">
        <v>1</v>
      </c>
      <c r="AA20" s="380" t="s">
        <v>495</v>
      </c>
    </row>
    <row r="21" spans="2:36" s="148" customFormat="1" ht="27" customHeight="1">
      <c r="B21" s="833"/>
      <c r="C21" s="834"/>
      <c r="D21" s="368">
        <v>15</v>
      </c>
      <c r="E21" s="371" t="s">
        <v>338</v>
      </c>
      <c r="F21" s="372">
        <v>3426.7360000000017</v>
      </c>
      <c r="G21" s="373">
        <v>1645.9799999999998</v>
      </c>
      <c r="H21" s="373">
        <v>1570.16</v>
      </c>
      <c r="I21" s="373">
        <v>1570.16</v>
      </c>
      <c r="J21" s="469">
        <f t="shared" si="7"/>
        <v>1</v>
      </c>
      <c r="K21" s="374">
        <f t="shared" si="0"/>
        <v>0.95393625681964556</v>
      </c>
      <c r="L21" s="373">
        <v>131.19999999999999</v>
      </c>
      <c r="M21" s="374">
        <f t="shared" si="1"/>
        <v>7.9709352483019233E-2</v>
      </c>
      <c r="N21" s="373">
        <v>70.220000000000013</v>
      </c>
      <c r="O21" s="374">
        <f t="shared" si="2"/>
        <v>1.0336456093026649</v>
      </c>
      <c r="P21" s="375">
        <v>3888.783600000002</v>
      </c>
      <c r="Q21" s="373">
        <v>6.5799999999999992</v>
      </c>
      <c r="R21" s="374">
        <f t="shared" si="3"/>
        <v>3.9976184400782513E-3</v>
      </c>
      <c r="S21" s="385">
        <f t="shared" si="8"/>
        <v>462.04760000000005</v>
      </c>
      <c r="T21" s="376">
        <f t="shared" si="4"/>
        <v>48.800000000000338</v>
      </c>
      <c r="U21" s="374">
        <f t="shared" si="5"/>
        <v>2.9647990862586633E-2</v>
      </c>
      <c r="V21" s="378" t="s">
        <v>174</v>
      </c>
      <c r="W21" s="378" t="s">
        <v>436</v>
      </c>
      <c r="X21" s="379" t="s">
        <v>514</v>
      </c>
      <c r="Y21" s="379" t="s">
        <v>505</v>
      </c>
      <c r="Z21" s="379">
        <v>1</v>
      </c>
      <c r="AA21" s="380" t="s">
        <v>345</v>
      </c>
    </row>
    <row r="22" spans="2:36" s="148" customFormat="1" ht="27" customHeight="1">
      <c r="B22" s="833"/>
      <c r="C22" s="834"/>
      <c r="D22" s="368">
        <v>16</v>
      </c>
      <c r="E22" s="371" t="s">
        <v>362</v>
      </c>
      <c r="F22" s="372">
        <v>2993.8999999999937</v>
      </c>
      <c r="G22" s="373">
        <v>1119.52</v>
      </c>
      <c r="H22" s="373">
        <v>1137.56</v>
      </c>
      <c r="I22" s="373">
        <v>1137.56</v>
      </c>
      <c r="J22" s="469">
        <f t="shared" si="7"/>
        <v>1</v>
      </c>
      <c r="K22" s="374">
        <f t="shared" si="0"/>
        <v>1.0161140488780906</v>
      </c>
      <c r="L22" s="373">
        <v>3.6</v>
      </c>
      <c r="M22" s="374">
        <f t="shared" si="1"/>
        <v>3.2156638559382592E-3</v>
      </c>
      <c r="N22" s="373">
        <v>152.75</v>
      </c>
      <c r="O22" s="374">
        <f t="shared" si="2"/>
        <v>1.0193297127340288</v>
      </c>
      <c r="P22" s="375">
        <v>3305.5099999999934</v>
      </c>
      <c r="Q22" s="373">
        <v>2.04</v>
      </c>
      <c r="R22" s="374">
        <f t="shared" si="3"/>
        <v>1.8222095183650137E-3</v>
      </c>
      <c r="S22" s="385">
        <f t="shared" si="8"/>
        <v>311.61</v>
      </c>
      <c r="T22" s="376">
        <f t="shared" si="4"/>
        <v>19.599999999999874</v>
      </c>
      <c r="U22" s="374">
        <f t="shared" si="5"/>
        <v>1.7507503215663744E-2</v>
      </c>
      <c r="V22" s="378" t="s">
        <v>174</v>
      </c>
      <c r="W22" s="378" t="s">
        <v>436</v>
      </c>
      <c r="X22" s="379" t="s">
        <v>521</v>
      </c>
      <c r="Y22" s="379" t="s">
        <v>591</v>
      </c>
      <c r="Z22" s="379">
        <v>1</v>
      </c>
      <c r="AA22" s="380" t="s">
        <v>364</v>
      </c>
    </row>
    <row r="23" spans="2:36" s="148" customFormat="1" ht="27" customHeight="1">
      <c r="B23" s="833"/>
      <c r="C23" s="834"/>
      <c r="D23" s="368">
        <v>17</v>
      </c>
      <c r="E23" s="371" t="s">
        <v>622</v>
      </c>
      <c r="F23" s="372">
        <v>2992.64</v>
      </c>
      <c r="G23" s="373">
        <v>261.94</v>
      </c>
      <c r="H23" s="373">
        <v>261.78000000000003</v>
      </c>
      <c r="I23" s="373">
        <v>261.78000000000003</v>
      </c>
      <c r="J23" s="469">
        <f t="shared" si="7"/>
        <v>1</v>
      </c>
      <c r="K23" s="374">
        <f t="shared" si="0"/>
        <v>0.99938917309307485</v>
      </c>
      <c r="L23" s="373">
        <v>3.5</v>
      </c>
      <c r="M23" s="374">
        <f t="shared" si="1"/>
        <v>1.3361838588989846E-2</v>
      </c>
      <c r="N23" s="373">
        <v>896</v>
      </c>
      <c r="O23" s="374">
        <f t="shared" si="2"/>
        <v>1.0127510116820646</v>
      </c>
      <c r="P23" s="375">
        <v>2992.64</v>
      </c>
      <c r="Q23" s="373">
        <v>0</v>
      </c>
      <c r="R23" s="374">
        <f t="shared" si="3"/>
        <v>0</v>
      </c>
      <c r="S23" s="385">
        <f t="shared" si="8"/>
        <v>0</v>
      </c>
      <c r="T23" s="376">
        <f t="shared" si="4"/>
        <v>3.3400000000000318</v>
      </c>
      <c r="U23" s="374">
        <f t="shared" si="5"/>
        <v>1.2751011682064717E-2</v>
      </c>
      <c r="V23" s="378" t="s">
        <v>174</v>
      </c>
      <c r="W23" s="378" t="s">
        <v>436</v>
      </c>
      <c r="X23" s="379" t="s">
        <v>521</v>
      </c>
      <c r="Y23" s="379" t="s">
        <v>591</v>
      </c>
      <c r="Z23" s="379">
        <v>1</v>
      </c>
      <c r="AA23" s="380" t="s">
        <v>629</v>
      </c>
    </row>
    <row r="24" spans="2:36" s="148" customFormat="1" ht="27" customHeight="1">
      <c r="B24" s="833"/>
      <c r="C24" s="834"/>
      <c r="D24" s="368">
        <v>18</v>
      </c>
      <c r="E24" s="371" t="s">
        <v>689</v>
      </c>
      <c r="F24" s="372">
        <v>2719.9269000000008</v>
      </c>
      <c r="G24" s="373">
        <v>1866.6200000000001</v>
      </c>
      <c r="H24" s="373">
        <v>1833.66</v>
      </c>
      <c r="I24" s="373">
        <v>1833.66</v>
      </c>
      <c r="J24" s="469">
        <f t="shared" si="7"/>
        <v>1</v>
      </c>
      <c r="K24" s="374">
        <f t="shared" si="0"/>
        <v>0.98234241570324976</v>
      </c>
      <c r="L24" s="373">
        <v>80.319999999999993</v>
      </c>
      <c r="M24" s="374">
        <f t="shared" si="1"/>
        <v>4.3029647169750669E-2</v>
      </c>
      <c r="N24" s="373">
        <v>66.13</v>
      </c>
      <c r="O24" s="374">
        <f t="shared" si="2"/>
        <v>1.0253720628730003</v>
      </c>
      <c r="P24" s="375">
        <v>3131.9168000000009</v>
      </c>
      <c r="Q24" s="373">
        <v>6.23</v>
      </c>
      <c r="R24" s="374">
        <f t="shared" si="3"/>
        <v>3.3375834395859899E-3</v>
      </c>
      <c r="S24" s="385">
        <f t="shared" si="8"/>
        <v>411.98989999999998</v>
      </c>
      <c r="T24" s="376">
        <f t="shared" si="4"/>
        <v>41.129999999999896</v>
      </c>
      <c r="U24" s="374">
        <f t="shared" si="5"/>
        <v>2.2034479433414349E-2</v>
      </c>
      <c r="V24" s="378" t="s">
        <v>174</v>
      </c>
      <c r="W24" s="378" t="s">
        <v>436</v>
      </c>
      <c r="X24" s="379" t="s">
        <v>514</v>
      </c>
      <c r="Y24" s="379" t="s">
        <v>505</v>
      </c>
      <c r="Z24" s="379">
        <v>1</v>
      </c>
      <c r="AA24" s="380" t="s">
        <v>343</v>
      </c>
    </row>
    <row r="25" spans="2:36" s="148" customFormat="1" ht="27" customHeight="1">
      <c r="B25" s="833"/>
      <c r="C25" s="834"/>
      <c r="D25" s="368">
        <v>19</v>
      </c>
      <c r="E25" s="371" t="s">
        <v>434</v>
      </c>
      <c r="F25" s="372">
        <v>2663.8826999999937</v>
      </c>
      <c r="G25" s="373">
        <v>1205.52</v>
      </c>
      <c r="H25" s="373">
        <v>1168.29</v>
      </c>
      <c r="I25" s="373">
        <v>1168.29</v>
      </c>
      <c r="J25" s="469">
        <f t="shared" si="7"/>
        <v>1</v>
      </c>
      <c r="K25" s="374">
        <f t="shared" si="0"/>
        <v>0.96911706151702171</v>
      </c>
      <c r="L25" s="373">
        <v>70.800000000000011</v>
      </c>
      <c r="M25" s="374">
        <f t="shared" si="1"/>
        <v>5.8729842723472037E-2</v>
      </c>
      <c r="N25" s="373">
        <v>99.51</v>
      </c>
      <c r="O25" s="374">
        <f t="shared" si="2"/>
        <v>1.0278469042404936</v>
      </c>
      <c r="P25" s="375">
        <v>3340.5506999999934</v>
      </c>
      <c r="Q25" s="373">
        <v>6.8</v>
      </c>
      <c r="R25" s="374">
        <f t="shared" si="3"/>
        <v>5.6407193576216074E-3</v>
      </c>
      <c r="S25" s="385">
        <f t="shared" si="8"/>
        <v>676.66800000000001</v>
      </c>
      <c r="T25" s="376">
        <f t="shared" si="4"/>
        <v>26.769999999999936</v>
      </c>
      <c r="U25" s="374">
        <f t="shared" si="5"/>
        <v>2.2206184882872067E-2</v>
      </c>
      <c r="V25" s="378" t="s">
        <v>174</v>
      </c>
      <c r="W25" s="378" t="s">
        <v>436</v>
      </c>
      <c r="X25" s="379" t="s">
        <v>514</v>
      </c>
      <c r="Y25" s="379" t="s">
        <v>505</v>
      </c>
      <c r="Z25" s="379">
        <v>1</v>
      </c>
      <c r="AA25" s="380" t="s">
        <v>351</v>
      </c>
      <c r="AD25" s="384"/>
      <c r="AE25" s="383"/>
    </row>
    <row r="26" spans="2:36" s="148" customFormat="1" ht="27" customHeight="1">
      <c r="B26" s="835"/>
      <c r="C26" s="836"/>
      <c r="D26" s="368">
        <v>20</v>
      </c>
      <c r="E26" s="371" t="s">
        <v>501</v>
      </c>
      <c r="F26" s="372">
        <v>2550.9180000000006</v>
      </c>
      <c r="G26" s="373">
        <v>1450.77</v>
      </c>
      <c r="H26" s="373">
        <v>1417.26</v>
      </c>
      <c r="I26" s="373">
        <v>1417.26</v>
      </c>
      <c r="J26" s="469">
        <f t="shared" si="7"/>
        <v>1</v>
      </c>
      <c r="K26" s="374">
        <f t="shared" si="0"/>
        <v>0.97690192104882234</v>
      </c>
      <c r="L26" s="373">
        <v>74.150000000000006</v>
      </c>
      <c r="M26" s="374">
        <f t="shared" si="1"/>
        <v>5.1110789442847596E-2</v>
      </c>
      <c r="N26" s="373">
        <v>84.3</v>
      </c>
      <c r="O26" s="374">
        <f t="shared" si="2"/>
        <v>1.0280127104916701</v>
      </c>
      <c r="P26" s="375">
        <v>3425.9520000000011</v>
      </c>
      <c r="Q26" s="373">
        <v>10.38</v>
      </c>
      <c r="R26" s="374">
        <f t="shared" si="3"/>
        <v>7.1548212328625491E-3</v>
      </c>
      <c r="S26" s="385">
        <f t="shared" si="8"/>
        <v>875.03399999999999</v>
      </c>
      <c r="T26" s="376">
        <f t="shared" si="4"/>
        <v>30.260000000000097</v>
      </c>
      <c r="U26" s="374">
        <f t="shared" si="5"/>
        <v>2.0857889258807459E-2</v>
      </c>
      <c r="V26" s="378" t="s">
        <v>174</v>
      </c>
      <c r="W26" s="378" t="s">
        <v>436</v>
      </c>
      <c r="X26" s="379" t="s">
        <v>514</v>
      </c>
      <c r="Y26" s="379" t="s">
        <v>505</v>
      </c>
      <c r="Z26" s="379">
        <v>1</v>
      </c>
      <c r="AA26" s="380" t="s">
        <v>498</v>
      </c>
      <c r="AD26" s="384"/>
      <c r="AE26" s="383"/>
    </row>
    <row r="27" spans="2:36" ht="17.149999999999999" customHeight="1">
      <c r="B27" s="845" t="s">
        <v>453</v>
      </c>
      <c r="C27" s="846"/>
      <c r="D27" s="849" t="s">
        <v>703</v>
      </c>
      <c r="E27" s="850" t="s">
        <v>704</v>
      </c>
      <c r="F27" s="892" t="s">
        <v>744</v>
      </c>
      <c r="G27" s="829" t="s">
        <v>706</v>
      </c>
      <c r="H27" s="837" t="s">
        <v>707</v>
      </c>
      <c r="I27" s="838" t="s">
        <v>708</v>
      </c>
      <c r="J27" s="839"/>
      <c r="K27" s="838" t="s">
        <v>709</v>
      </c>
      <c r="L27" s="839"/>
      <c r="M27" s="838" t="s">
        <v>710</v>
      </c>
      <c r="N27" s="839"/>
      <c r="O27" s="838" t="s">
        <v>711</v>
      </c>
      <c r="P27" s="839"/>
      <c r="Q27" s="838" t="s">
        <v>424</v>
      </c>
      <c r="R27" s="893"/>
      <c r="S27" s="839"/>
      <c r="T27" s="840" t="s">
        <v>425</v>
      </c>
      <c r="U27" s="841"/>
      <c r="V27" s="843" t="s">
        <v>171</v>
      </c>
      <c r="W27" s="843" t="s">
        <v>245</v>
      </c>
      <c r="X27" s="843" t="s">
        <v>712</v>
      </c>
      <c r="Y27" s="843" t="s">
        <v>455</v>
      </c>
      <c r="Z27" s="843" t="s">
        <v>246</v>
      </c>
      <c r="AA27" s="829" t="s">
        <v>172</v>
      </c>
      <c r="AC27" s="858" t="s">
        <v>247</v>
      </c>
      <c r="AD27" s="859"/>
      <c r="AE27" s="859"/>
      <c r="AF27" s="859"/>
      <c r="AG27" s="859"/>
      <c r="AH27" s="859"/>
      <c r="AI27" s="859"/>
      <c r="AJ27" s="860"/>
    </row>
    <row r="28" spans="2:36" ht="16.5" customHeight="1">
      <c r="B28" s="847"/>
      <c r="C28" s="848"/>
      <c r="D28" s="849"/>
      <c r="E28" s="849"/>
      <c r="F28" s="851"/>
      <c r="G28" s="830"/>
      <c r="H28" s="830"/>
      <c r="I28" s="463" t="s">
        <v>713</v>
      </c>
      <c r="J28" s="369" t="s">
        <v>714</v>
      </c>
      <c r="K28" s="463" t="s">
        <v>713</v>
      </c>
      <c r="L28" s="369" t="s">
        <v>714</v>
      </c>
      <c r="M28" s="463" t="s">
        <v>713</v>
      </c>
      <c r="N28" s="369" t="s">
        <v>714</v>
      </c>
      <c r="O28" s="463" t="s">
        <v>713</v>
      </c>
      <c r="P28" s="369" t="s">
        <v>714</v>
      </c>
      <c r="Q28" s="463" t="s">
        <v>713</v>
      </c>
      <c r="R28" s="369" t="s">
        <v>714</v>
      </c>
      <c r="S28" s="369" t="s">
        <v>715</v>
      </c>
      <c r="T28" s="463" t="s">
        <v>713</v>
      </c>
      <c r="U28" s="369" t="s">
        <v>714</v>
      </c>
      <c r="V28" s="844"/>
      <c r="W28" s="844"/>
      <c r="X28" s="844"/>
      <c r="Y28" s="844"/>
      <c r="Z28" s="844"/>
      <c r="AA28" s="830"/>
      <c r="AC28" s="861"/>
      <c r="AD28" s="862"/>
      <c r="AE28" s="862"/>
      <c r="AF28" s="862"/>
      <c r="AG28" s="862"/>
      <c r="AH28" s="862"/>
      <c r="AI28" s="862"/>
      <c r="AJ28" s="863"/>
    </row>
    <row r="29" spans="2:36" s="148" customFormat="1" ht="27" customHeight="1">
      <c r="B29" s="831" t="s">
        <v>583</v>
      </c>
      <c r="C29" s="832"/>
      <c r="D29" s="368">
        <v>1</v>
      </c>
      <c r="E29" s="465" t="s">
        <v>337</v>
      </c>
      <c r="F29" s="372">
        <f>IFERROR(T29*G29,"-")</f>
        <v>19174.745799999928</v>
      </c>
      <c r="G29" s="376">
        <v>147.43000000000004</v>
      </c>
      <c r="H29" s="467">
        <v>5097.04</v>
      </c>
      <c r="I29" s="467">
        <v>5097.04</v>
      </c>
      <c r="J29" s="469">
        <f>IFERROR(I29/H29,"-")</f>
        <v>1</v>
      </c>
      <c r="K29" s="468">
        <v>5060.28</v>
      </c>
      <c r="L29" s="469">
        <f>IFERROR(K29/H29,"-")</f>
        <v>0.99278797105771188</v>
      </c>
      <c r="M29" s="468">
        <v>166.82</v>
      </c>
      <c r="N29" s="469">
        <f>IFERROR(M29/H29,"-")</f>
        <v>3.272879946007879E-2</v>
      </c>
      <c r="O29" s="470">
        <f>IFERROR(K29+M29,"-")</f>
        <v>5227.0999999999995</v>
      </c>
      <c r="P29" s="469">
        <f>IFERROR(O29/H29,"-")</f>
        <v>1.0255167705177906</v>
      </c>
      <c r="Q29" s="467">
        <v>0</v>
      </c>
      <c r="R29" s="469">
        <f>IFERROR(Q29/H29,"-")</f>
        <v>0</v>
      </c>
      <c r="S29" s="499">
        <f>IFERROR(Q29*G29,"-")</f>
        <v>0</v>
      </c>
      <c r="T29" s="470">
        <f>IFERROR(O29-H29,"-")</f>
        <v>130.05999999999949</v>
      </c>
      <c r="U29" s="469">
        <f>IFERROR(T29/H29,"-")</f>
        <v>2.5516770517790617E-2</v>
      </c>
      <c r="V29" s="378" t="s">
        <v>174</v>
      </c>
      <c r="W29" s="378" t="s">
        <v>215</v>
      </c>
      <c r="X29" s="379"/>
      <c r="Y29" s="379"/>
      <c r="Z29" s="379">
        <v>1</v>
      </c>
      <c r="AA29" s="471" t="s">
        <v>342</v>
      </c>
      <c r="AC29" s="864"/>
      <c r="AD29" s="865"/>
      <c r="AE29" s="865"/>
      <c r="AF29" s="865"/>
      <c r="AG29" s="865"/>
      <c r="AH29" s="865"/>
      <c r="AI29" s="865"/>
      <c r="AJ29" s="866"/>
    </row>
    <row r="30" spans="2:36" s="148" customFormat="1" ht="27" customHeight="1">
      <c r="B30" s="833"/>
      <c r="C30" s="834"/>
      <c r="D30" s="368">
        <v>2</v>
      </c>
      <c r="E30" s="465" t="s">
        <v>621</v>
      </c>
      <c r="F30" s="372">
        <f t="shared" ref="F30:F48" si="11">IFERROR(T30*G30,"-")</f>
        <v>10239.824400000107</v>
      </c>
      <c r="G30" s="376">
        <v>39.389999999999993</v>
      </c>
      <c r="H30" s="467">
        <v>25015.949999999997</v>
      </c>
      <c r="I30" s="467">
        <v>25015.949999999997</v>
      </c>
      <c r="J30" s="469">
        <f t="shared" ref="J30:J48" si="12">IFERROR(I30/H30,"-")</f>
        <v>1</v>
      </c>
      <c r="K30" s="468">
        <v>24863.21</v>
      </c>
      <c r="L30" s="469">
        <f t="shared" ref="L30:L48" si="13">IFERROR(K30/H30,"-")</f>
        <v>0.99389429543950969</v>
      </c>
      <c r="M30" s="468">
        <v>412.7</v>
      </c>
      <c r="N30" s="469">
        <f t="shared" ref="N30:N48" si="14">IFERROR(M30/H30,"-")</f>
        <v>1.6497474611198056E-2</v>
      </c>
      <c r="O30" s="470">
        <f t="shared" ref="O30:O48" si="15">IFERROR(K30+M30,"-")</f>
        <v>25275.91</v>
      </c>
      <c r="P30" s="469">
        <f t="shared" ref="P30:P48" si="16">IFERROR(O30/H30,"-")</f>
        <v>1.0103917700507077</v>
      </c>
      <c r="Q30" s="467">
        <v>0</v>
      </c>
      <c r="R30" s="469">
        <f t="shared" ref="R30:R48" si="17">IFERROR(Q30/H30,"-")</f>
        <v>0</v>
      </c>
      <c r="S30" s="499">
        <f t="shared" ref="S30:S48" si="18">IFERROR(Q30*G30,"-")</f>
        <v>0</v>
      </c>
      <c r="T30" s="470">
        <f t="shared" ref="T30:T48" si="19">IFERROR(O30-H30,"-")</f>
        <v>259.96000000000276</v>
      </c>
      <c r="U30" s="469">
        <f t="shared" ref="U30:U48" si="20">IFERROR(T30/H30,"-")</f>
        <v>1.0391770050707761E-2</v>
      </c>
      <c r="V30" s="378" t="s">
        <v>174</v>
      </c>
      <c r="W30" s="378" t="s">
        <v>216</v>
      </c>
      <c r="X30" s="379"/>
      <c r="Y30" s="379"/>
      <c r="Z30" s="379">
        <v>1</v>
      </c>
      <c r="AA30" s="471" t="s">
        <v>342</v>
      </c>
      <c r="AC30" s="161" t="s">
        <v>244</v>
      </c>
      <c r="AD30" s="161" t="s">
        <v>456</v>
      </c>
      <c r="AE30" s="156" t="s">
        <v>716</v>
      </c>
      <c r="AF30" s="156" t="s">
        <v>339</v>
      </c>
      <c r="AG30" s="156" t="s">
        <v>436</v>
      </c>
      <c r="AH30" s="156" t="s">
        <v>215</v>
      </c>
      <c r="AI30" s="156" t="s">
        <v>216</v>
      </c>
      <c r="AJ30" s="156" t="s">
        <v>390</v>
      </c>
    </row>
    <row r="31" spans="2:36" s="148" customFormat="1" ht="27" customHeight="1">
      <c r="B31" s="833"/>
      <c r="C31" s="834"/>
      <c r="D31" s="368">
        <v>3</v>
      </c>
      <c r="E31" s="465" t="s">
        <v>427</v>
      </c>
      <c r="F31" s="372">
        <f t="shared" si="11"/>
        <v>6452.1469000000197</v>
      </c>
      <c r="G31" s="376">
        <v>157.87000000000003</v>
      </c>
      <c r="H31" s="467">
        <v>1844.4299999999998</v>
      </c>
      <c r="I31" s="467">
        <v>1844.4299999999998</v>
      </c>
      <c r="J31" s="469">
        <f t="shared" si="12"/>
        <v>1</v>
      </c>
      <c r="K31" s="468">
        <v>1848.1399999999999</v>
      </c>
      <c r="L31" s="469">
        <f t="shared" si="13"/>
        <v>1.0020114615355422</v>
      </c>
      <c r="M31" s="468">
        <v>37.159999999999997</v>
      </c>
      <c r="N31" s="469">
        <f t="shared" si="14"/>
        <v>2.0147145730659337E-2</v>
      </c>
      <c r="O31" s="470">
        <f t="shared" si="15"/>
        <v>1885.3</v>
      </c>
      <c r="P31" s="469">
        <f t="shared" si="16"/>
        <v>1.0221586072662014</v>
      </c>
      <c r="Q31" s="467">
        <v>2.91</v>
      </c>
      <c r="R31" s="469">
        <f t="shared" si="17"/>
        <v>1.5777231990371011E-3</v>
      </c>
      <c r="S31" s="499">
        <f t="shared" si="18"/>
        <v>459.40170000000012</v>
      </c>
      <c r="T31" s="470">
        <f t="shared" si="19"/>
        <v>40.870000000000118</v>
      </c>
      <c r="U31" s="469">
        <f t="shared" si="20"/>
        <v>2.2158607266201547E-2</v>
      </c>
      <c r="V31" s="378" t="s">
        <v>174</v>
      </c>
      <c r="W31" s="378" t="s">
        <v>436</v>
      </c>
      <c r="X31" s="379"/>
      <c r="Y31" s="379"/>
      <c r="Z31" s="379">
        <v>1</v>
      </c>
      <c r="AA31" s="471" t="s">
        <v>342</v>
      </c>
      <c r="AC31" s="388">
        <f>SUM(Z29:Z48)</f>
        <v>20</v>
      </c>
      <c r="AD31" s="382">
        <f>SUMIF($W$29:$W$48,TRIM(AD30),$Z$29:$Z$48)</f>
        <v>0</v>
      </c>
      <c r="AE31" s="382">
        <f t="shared" ref="AE31:AJ31" si="21">SUMIF($W$29:$W$48,TRIM(AE30),$Z$29:$Z$48)</f>
        <v>0</v>
      </c>
      <c r="AF31" s="382">
        <f t="shared" si="21"/>
        <v>0</v>
      </c>
      <c r="AG31" s="382">
        <f t="shared" si="21"/>
        <v>15</v>
      </c>
      <c r="AH31" s="382">
        <f t="shared" si="21"/>
        <v>2</v>
      </c>
      <c r="AI31" s="382">
        <f t="shared" si="21"/>
        <v>3</v>
      </c>
      <c r="AJ31" s="382">
        <f t="shared" si="21"/>
        <v>0</v>
      </c>
    </row>
    <row r="32" spans="2:36" s="148" customFormat="1" ht="27" customHeight="1">
      <c r="B32" s="833"/>
      <c r="C32" s="834"/>
      <c r="D32" s="368">
        <v>4</v>
      </c>
      <c r="E32" s="465" t="s">
        <v>502</v>
      </c>
      <c r="F32" s="372">
        <f t="shared" si="11"/>
        <v>6380.4582999999793</v>
      </c>
      <c r="G32" s="376">
        <v>118.30999999999997</v>
      </c>
      <c r="H32" s="467">
        <v>1004.01</v>
      </c>
      <c r="I32" s="467">
        <v>1004.01</v>
      </c>
      <c r="J32" s="469">
        <f t="shared" si="12"/>
        <v>1</v>
      </c>
      <c r="K32" s="468">
        <v>973.08999999999992</v>
      </c>
      <c r="L32" s="469">
        <f t="shared" si="13"/>
        <v>0.96920349398910366</v>
      </c>
      <c r="M32" s="468">
        <v>84.85</v>
      </c>
      <c r="N32" s="469">
        <f t="shared" si="14"/>
        <v>8.4511110447107102E-2</v>
      </c>
      <c r="O32" s="470">
        <f t="shared" si="15"/>
        <v>1057.9399999999998</v>
      </c>
      <c r="P32" s="469">
        <f t="shared" si="16"/>
        <v>1.0537146044362107</v>
      </c>
      <c r="Q32" s="467">
        <v>1.23</v>
      </c>
      <c r="R32" s="469">
        <f t="shared" si="17"/>
        <v>1.2250873995278931E-3</v>
      </c>
      <c r="S32" s="499">
        <f t="shared" si="18"/>
        <v>145.52129999999997</v>
      </c>
      <c r="T32" s="470">
        <f t="shared" si="19"/>
        <v>53.929999999999836</v>
      </c>
      <c r="U32" s="469">
        <f t="shared" si="20"/>
        <v>5.3714604436210629E-2</v>
      </c>
      <c r="V32" s="378" t="s">
        <v>174</v>
      </c>
      <c r="W32" s="378" t="s">
        <v>436</v>
      </c>
      <c r="X32" s="379"/>
      <c r="Y32" s="379"/>
      <c r="Z32" s="379">
        <v>1</v>
      </c>
      <c r="AA32" s="471" t="s">
        <v>497</v>
      </c>
      <c r="AC32" s="389"/>
      <c r="AD32" s="386">
        <f>SUMIF($W$29:$W$48,TRIM(AD30),$F$29:$F$48)</f>
        <v>0</v>
      </c>
      <c r="AE32" s="386">
        <f t="shared" ref="AE32:AJ32" si="22">SUMIF($W$29:$W$48,TRIM(AE30),$F$29:$F$48)</f>
        <v>0</v>
      </c>
      <c r="AF32" s="386">
        <f t="shared" si="22"/>
        <v>0</v>
      </c>
      <c r="AG32" s="386">
        <f t="shared" si="22"/>
        <v>63568.978299999799</v>
      </c>
      <c r="AH32" s="386">
        <f t="shared" si="22"/>
        <v>22091.945799999929</v>
      </c>
      <c r="AI32" s="386">
        <f t="shared" si="22"/>
        <v>18279.149400000002</v>
      </c>
      <c r="AJ32" s="386">
        <f t="shared" si="22"/>
        <v>0</v>
      </c>
    </row>
    <row r="33" spans="2:36" s="148" customFormat="1" ht="27" customHeight="1">
      <c r="B33" s="833"/>
      <c r="C33" s="834"/>
      <c r="D33" s="368">
        <v>5</v>
      </c>
      <c r="E33" s="465" t="s">
        <v>626</v>
      </c>
      <c r="F33" s="372">
        <f t="shared" si="11"/>
        <v>6249.3803999999882</v>
      </c>
      <c r="G33" s="376">
        <v>97.83</v>
      </c>
      <c r="H33" s="467">
        <v>1404.52</v>
      </c>
      <c r="I33" s="467">
        <v>1404.52</v>
      </c>
      <c r="J33" s="469">
        <f t="shared" si="12"/>
        <v>1</v>
      </c>
      <c r="K33" s="468">
        <v>1374.6399999999999</v>
      </c>
      <c r="L33" s="469">
        <f t="shared" si="13"/>
        <v>0.97872582804089647</v>
      </c>
      <c r="M33" s="468">
        <v>93.76</v>
      </c>
      <c r="N33" s="469">
        <f t="shared" si="14"/>
        <v>6.6755902372340734E-2</v>
      </c>
      <c r="O33" s="470">
        <f t="shared" si="15"/>
        <v>1468.3999999999999</v>
      </c>
      <c r="P33" s="469">
        <f t="shared" si="16"/>
        <v>1.0454817304132371</v>
      </c>
      <c r="Q33" s="467">
        <v>0</v>
      </c>
      <c r="R33" s="469">
        <f t="shared" si="17"/>
        <v>0</v>
      </c>
      <c r="S33" s="499">
        <f t="shared" si="18"/>
        <v>0</v>
      </c>
      <c r="T33" s="470">
        <f t="shared" si="19"/>
        <v>63.879999999999882</v>
      </c>
      <c r="U33" s="469">
        <f t="shared" si="20"/>
        <v>4.5481730413237179E-2</v>
      </c>
      <c r="V33" s="378" t="s">
        <v>174</v>
      </c>
      <c r="W33" s="378" t="s">
        <v>436</v>
      </c>
      <c r="X33" s="379"/>
      <c r="Y33" s="379"/>
      <c r="Z33" s="379">
        <v>1</v>
      </c>
      <c r="AA33" s="471" t="s">
        <v>615</v>
      </c>
      <c r="AC33" s="368"/>
      <c r="AD33" s="387">
        <f t="shared" ref="AD33:AJ33" si="23">AD31/$AC31</f>
        <v>0</v>
      </c>
      <c r="AE33" s="387">
        <f t="shared" si="23"/>
        <v>0</v>
      </c>
      <c r="AF33" s="387">
        <f t="shared" si="23"/>
        <v>0</v>
      </c>
      <c r="AG33" s="387">
        <f t="shared" si="23"/>
        <v>0.75</v>
      </c>
      <c r="AH33" s="387">
        <f t="shared" si="23"/>
        <v>0.1</v>
      </c>
      <c r="AI33" s="387">
        <f t="shared" si="23"/>
        <v>0.15</v>
      </c>
      <c r="AJ33" s="387">
        <f t="shared" si="23"/>
        <v>0</v>
      </c>
    </row>
    <row r="34" spans="2:36" s="148" customFormat="1" ht="27" customHeight="1">
      <c r="B34" s="833"/>
      <c r="C34" s="834"/>
      <c r="D34" s="368">
        <v>6</v>
      </c>
      <c r="E34" s="465" t="s">
        <v>392</v>
      </c>
      <c r="F34" s="372">
        <f t="shared" si="11"/>
        <v>6091.5759999998381</v>
      </c>
      <c r="G34" s="376">
        <v>127.84000000000002</v>
      </c>
      <c r="H34" s="467">
        <v>4464.51</v>
      </c>
      <c r="I34" s="467">
        <v>4464.51</v>
      </c>
      <c r="J34" s="469">
        <f t="shared" si="12"/>
        <v>1</v>
      </c>
      <c r="K34" s="468">
        <v>4376.2999999999993</v>
      </c>
      <c r="L34" s="469">
        <f t="shared" si="13"/>
        <v>0.98024195264429892</v>
      </c>
      <c r="M34" s="468">
        <v>135.85999999999999</v>
      </c>
      <c r="N34" s="469">
        <f t="shared" si="14"/>
        <v>3.0431111140976273E-2</v>
      </c>
      <c r="O34" s="470">
        <f t="shared" si="15"/>
        <v>4512.1599999999989</v>
      </c>
      <c r="P34" s="469">
        <f t="shared" si="16"/>
        <v>1.0106730637852752</v>
      </c>
      <c r="Q34" s="467">
        <v>5.5599999999999987</v>
      </c>
      <c r="R34" s="469">
        <f t="shared" si="17"/>
        <v>1.2453774322378041E-3</v>
      </c>
      <c r="S34" s="499">
        <f t="shared" si="18"/>
        <v>710.79039999999998</v>
      </c>
      <c r="T34" s="470">
        <f t="shared" si="19"/>
        <v>47.649999999998727</v>
      </c>
      <c r="U34" s="469">
        <f t="shared" si="20"/>
        <v>1.0673063785275142E-2</v>
      </c>
      <c r="V34" s="378" t="s">
        <v>174</v>
      </c>
      <c r="W34" s="378" t="s">
        <v>436</v>
      </c>
      <c r="X34" s="379"/>
      <c r="Y34" s="379"/>
      <c r="Z34" s="379">
        <v>1</v>
      </c>
      <c r="AA34" s="471" t="s">
        <v>342</v>
      </c>
    </row>
    <row r="35" spans="2:36" s="148" customFormat="1" ht="27" customHeight="1">
      <c r="B35" s="833"/>
      <c r="C35" s="834"/>
      <c r="D35" s="368">
        <v>7</v>
      </c>
      <c r="E35" s="465" t="s">
        <v>480</v>
      </c>
      <c r="F35" s="372">
        <f t="shared" si="11"/>
        <v>4937.7313999999596</v>
      </c>
      <c r="G35" s="376">
        <v>407.74000000000007</v>
      </c>
      <c r="H35" s="467">
        <v>1225.43</v>
      </c>
      <c r="I35" s="467">
        <v>1225.43</v>
      </c>
      <c r="J35" s="469">
        <f t="shared" si="12"/>
        <v>1</v>
      </c>
      <c r="K35" s="468">
        <v>1209.3499999999999</v>
      </c>
      <c r="L35" s="469">
        <f t="shared" si="13"/>
        <v>0.98687807545106598</v>
      </c>
      <c r="M35" s="468">
        <v>28.19</v>
      </c>
      <c r="N35" s="469">
        <f t="shared" si="14"/>
        <v>2.3004169964828673E-2</v>
      </c>
      <c r="O35" s="470">
        <f t="shared" si="15"/>
        <v>1237.54</v>
      </c>
      <c r="P35" s="469">
        <f t="shared" si="16"/>
        <v>1.0098822454158947</v>
      </c>
      <c r="Q35" s="467">
        <v>0.7</v>
      </c>
      <c r="R35" s="469">
        <f t="shared" si="17"/>
        <v>5.7122805872224442E-4</v>
      </c>
      <c r="S35" s="499">
        <f t="shared" si="18"/>
        <v>285.41800000000001</v>
      </c>
      <c r="T35" s="470">
        <f t="shared" si="19"/>
        <v>12.1099999999999</v>
      </c>
      <c r="U35" s="469">
        <f t="shared" si="20"/>
        <v>9.882245415894747E-3</v>
      </c>
      <c r="V35" s="378" t="s">
        <v>174</v>
      </c>
      <c r="W35" s="378" t="s">
        <v>216</v>
      </c>
      <c r="X35" s="379"/>
      <c r="Y35" s="379"/>
      <c r="Z35" s="379">
        <v>1</v>
      </c>
      <c r="AA35" s="471" t="s">
        <v>482</v>
      </c>
    </row>
    <row r="36" spans="2:36" s="148" customFormat="1" ht="27" customHeight="1">
      <c r="B36" s="833"/>
      <c r="C36" s="834"/>
      <c r="D36" s="368">
        <v>8</v>
      </c>
      <c r="E36" s="465" t="s">
        <v>484</v>
      </c>
      <c r="F36" s="372">
        <f t="shared" si="11"/>
        <v>4201.7200000000039</v>
      </c>
      <c r="G36" s="376">
        <v>629</v>
      </c>
      <c r="H36" s="467">
        <v>159.70999999999998</v>
      </c>
      <c r="I36" s="467">
        <v>159.70999999999998</v>
      </c>
      <c r="J36" s="469">
        <f t="shared" si="12"/>
        <v>1</v>
      </c>
      <c r="K36" s="468">
        <v>153.44</v>
      </c>
      <c r="L36" s="469">
        <f t="shared" si="13"/>
        <v>0.96074134368542996</v>
      </c>
      <c r="M36" s="468">
        <v>12.950000000000001</v>
      </c>
      <c r="N36" s="469">
        <f t="shared" si="14"/>
        <v>8.1084465593888946E-2</v>
      </c>
      <c r="O36" s="470">
        <f t="shared" si="15"/>
        <v>166.39</v>
      </c>
      <c r="P36" s="469">
        <f t="shared" si="16"/>
        <v>1.0418258092793189</v>
      </c>
      <c r="Q36" s="467">
        <v>0.94</v>
      </c>
      <c r="R36" s="469">
        <f t="shared" si="17"/>
        <v>5.8856677728382698E-3</v>
      </c>
      <c r="S36" s="499">
        <f t="shared" si="18"/>
        <v>591.26</v>
      </c>
      <c r="T36" s="470">
        <f t="shared" si="19"/>
        <v>6.6800000000000068</v>
      </c>
      <c r="U36" s="469">
        <f t="shared" si="20"/>
        <v>4.1825809279318817E-2</v>
      </c>
      <c r="V36" s="378" t="s">
        <v>174</v>
      </c>
      <c r="W36" s="378" t="s">
        <v>436</v>
      </c>
      <c r="X36" s="379"/>
      <c r="Y36" s="379"/>
      <c r="Z36" s="379">
        <v>1</v>
      </c>
      <c r="AA36" s="471" t="s">
        <v>475</v>
      </c>
    </row>
    <row r="37" spans="2:36" s="148" customFormat="1" ht="27" customHeight="1">
      <c r="B37" s="833"/>
      <c r="C37" s="834"/>
      <c r="D37" s="368">
        <v>9</v>
      </c>
      <c r="E37" s="465" t="s">
        <v>625</v>
      </c>
      <c r="F37" s="372">
        <f t="shared" si="11"/>
        <v>3956.0703000000594</v>
      </c>
      <c r="G37" s="376">
        <v>193.82999999999998</v>
      </c>
      <c r="H37" s="467">
        <v>2413.52</v>
      </c>
      <c r="I37" s="467">
        <v>2413.52</v>
      </c>
      <c r="J37" s="469">
        <f t="shared" si="12"/>
        <v>1</v>
      </c>
      <c r="K37" s="468">
        <v>2422.9300000000003</v>
      </c>
      <c r="L37" s="469">
        <f t="shared" si="13"/>
        <v>1.0038988697006863</v>
      </c>
      <c r="M37" s="468">
        <v>11</v>
      </c>
      <c r="N37" s="469">
        <f t="shared" si="14"/>
        <v>4.5576585236501042E-3</v>
      </c>
      <c r="O37" s="470">
        <f t="shared" si="15"/>
        <v>2433.9300000000003</v>
      </c>
      <c r="P37" s="469">
        <f t="shared" si="16"/>
        <v>1.0084565282243363</v>
      </c>
      <c r="Q37" s="467">
        <v>3.12</v>
      </c>
      <c r="R37" s="469">
        <f t="shared" si="17"/>
        <v>1.2927176903443933E-3</v>
      </c>
      <c r="S37" s="499">
        <f t="shared" si="18"/>
        <v>604.74959999999999</v>
      </c>
      <c r="T37" s="470">
        <f t="shared" si="19"/>
        <v>20.410000000000309</v>
      </c>
      <c r="U37" s="469">
        <f t="shared" si="20"/>
        <v>8.4565282243363668E-3</v>
      </c>
      <c r="V37" s="378" t="s">
        <v>174</v>
      </c>
      <c r="W37" s="378" t="s">
        <v>436</v>
      </c>
      <c r="X37" s="379"/>
      <c r="Y37" s="379"/>
      <c r="Z37" s="379">
        <v>1</v>
      </c>
      <c r="AA37" s="471" t="s">
        <v>630</v>
      </c>
    </row>
    <row r="38" spans="2:36" s="148" customFormat="1" ht="27" customHeight="1">
      <c r="B38" s="833"/>
      <c r="C38" s="834"/>
      <c r="D38" s="368">
        <v>10</v>
      </c>
      <c r="E38" s="465" t="s">
        <v>487</v>
      </c>
      <c r="F38" s="372">
        <f t="shared" si="11"/>
        <v>3826.1120999999985</v>
      </c>
      <c r="G38" s="376">
        <v>191.21</v>
      </c>
      <c r="H38" s="467">
        <v>1239.4100000000001</v>
      </c>
      <c r="I38" s="467">
        <v>1239.4100000000001</v>
      </c>
      <c r="J38" s="469">
        <f t="shared" si="12"/>
        <v>1</v>
      </c>
      <c r="K38" s="468">
        <v>1238.42</v>
      </c>
      <c r="L38" s="469">
        <f t="shared" si="13"/>
        <v>0.99920123284466</v>
      </c>
      <c r="M38" s="468">
        <v>21</v>
      </c>
      <c r="N38" s="469">
        <f t="shared" si="14"/>
        <v>1.6943545719334197E-2</v>
      </c>
      <c r="O38" s="470">
        <f t="shared" si="15"/>
        <v>1259.42</v>
      </c>
      <c r="P38" s="469">
        <f t="shared" si="16"/>
        <v>1.0161447785639941</v>
      </c>
      <c r="Q38" s="467">
        <v>0.72</v>
      </c>
      <c r="R38" s="469">
        <f t="shared" si="17"/>
        <v>5.8092156752002965E-4</v>
      </c>
      <c r="S38" s="499">
        <f t="shared" si="18"/>
        <v>137.6712</v>
      </c>
      <c r="T38" s="470">
        <f t="shared" si="19"/>
        <v>20.009999999999991</v>
      </c>
      <c r="U38" s="469">
        <f t="shared" si="20"/>
        <v>1.6144778563994149E-2</v>
      </c>
      <c r="V38" s="378" t="s">
        <v>174</v>
      </c>
      <c r="W38" s="378" t="s">
        <v>436</v>
      </c>
      <c r="X38" s="379"/>
      <c r="Y38" s="379"/>
      <c r="Z38" s="379">
        <v>1</v>
      </c>
      <c r="AA38" s="471" t="s">
        <v>488</v>
      </c>
    </row>
    <row r="39" spans="2:36" s="148" customFormat="1" ht="27" customHeight="1">
      <c r="B39" s="833"/>
      <c r="C39" s="834"/>
      <c r="D39" s="368">
        <v>11</v>
      </c>
      <c r="E39" s="465" t="s">
        <v>362</v>
      </c>
      <c r="F39" s="372">
        <f t="shared" si="11"/>
        <v>3803.474999999979</v>
      </c>
      <c r="G39" s="376">
        <v>152.75</v>
      </c>
      <c r="H39" s="467">
        <v>1195.8399999999999</v>
      </c>
      <c r="I39" s="467">
        <v>1195.8399999999999</v>
      </c>
      <c r="J39" s="469">
        <f t="shared" si="12"/>
        <v>1</v>
      </c>
      <c r="K39" s="468">
        <v>1218.6399999999999</v>
      </c>
      <c r="L39" s="469">
        <f t="shared" si="13"/>
        <v>1.0190660957987689</v>
      </c>
      <c r="M39" s="468">
        <v>2.1</v>
      </c>
      <c r="N39" s="469">
        <f t="shared" si="14"/>
        <v>1.7560877709392564E-3</v>
      </c>
      <c r="O39" s="470">
        <f t="shared" si="15"/>
        <v>1220.7399999999998</v>
      </c>
      <c r="P39" s="469">
        <f t="shared" si="16"/>
        <v>1.0208221835697082</v>
      </c>
      <c r="Q39" s="467">
        <v>1</v>
      </c>
      <c r="R39" s="469">
        <f t="shared" si="17"/>
        <v>8.3623227187583631E-4</v>
      </c>
      <c r="S39" s="499">
        <f t="shared" si="18"/>
        <v>152.75</v>
      </c>
      <c r="T39" s="470">
        <f t="shared" si="19"/>
        <v>24.899999999999864</v>
      </c>
      <c r="U39" s="469">
        <f t="shared" si="20"/>
        <v>2.0822183569708209E-2</v>
      </c>
      <c r="V39" s="378" t="s">
        <v>174</v>
      </c>
      <c r="W39" s="378" t="s">
        <v>436</v>
      </c>
      <c r="X39" s="379"/>
      <c r="Y39" s="379"/>
      <c r="Z39" s="379">
        <v>1</v>
      </c>
      <c r="AA39" s="471" t="s">
        <v>364</v>
      </c>
      <c r="AE39" s="383"/>
    </row>
    <row r="40" spans="2:36" s="148" customFormat="1" ht="27" customHeight="1">
      <c r="B40" s="833"/>
      <c r="C40" s="834"/>
      <c r="D40" s="368">
        <v>12</v>
      </c>
      <c r="E40" s="465" t="s">
        <v>504</v>
      </c>
      <c r="F40" s="372">
        <f t="shared" si="11"/>
        <v>3796.9040999999961</v>
      </c>
      <c r="G40" s="376">
        <v>421.40999999999997</v>
      </c>
      <c r="H40" s="467">
        <v>209.57999999999998</v>
      </c>
      <c r="I40" s="467">
        <v>209.57999999999998</v>
      </c>
      <c r="J40" s="469">
        <f t="shared" si="12"/>
        <v>1</v>
      </c>
      <c r="K40" s="468">
        <v>206.26999999999998</v>
      </c>
      <c r="L40" s="469">
        <f t="shared" si="13"/>
        <v>0.98420650825460443</v>
      </c>
      <c r="M40" s="468">
        <v>12.319999999999999</v>
      </c>
      <c r="N40" s="469">
        <f t="shared" si="14"/>
        <v>5.8784235136940546E-2</v>
      </c>
      <c r="O40" s="470">
        <f t="shared" si="15"/>
        <v>218.58999999999997</v>
      </c>
      <c r="P40" s="469">
        <f t="shared" si="16"/>
        <v>1.0429907433915449</v>
      </c>
      <c r="Q40" s="467">
        <v>1.24</v>
      </c>
      <c r="R40" s="469">
        <f t="shared" si="17"/>
        <v>5.9165950949518088E-3</v>
      </c>
      <c r="S40" s="499">
        <f t="shared" si="18"/>
        <v>522.5483999999999</v>
      </c>
      <c r="T40" s="470">
        <f t="shared" si="19"/>
        <v>9.0099999999999909</v>
      </c>
      <c r="U40" s="469">
        <f t="shared" si="20"/>
        <v>4.2990743391544954E-2</v>
      </c>
      <c r="V40" s="378" t="s">
        <v>174</v>
      </c>
      <c r="W40" s="378" t="s">
        <v>436</v>
      </c>
      <c r="X40" s="379"/>
      <c r="Y40" s="379"/>
      <c r="Z40" s="379">
        <v>1</v>
      </c>
      <c r="AA40" s="471" t="s">
        <v>450</v>
      </c>
    </row>
    <row r="41" spans="2:36" s="148" customFormat="1" ht="27" customHeight="1">
      <c r="B41" s="833"/>
      <c r="C41" s="834"/>
      <c r="D41" s="368">
        <v>13</v>
      </c>
      <c r="E41" s="465" t="s">
        <v>363</v>
      </c>
      <c r="F41" s="372">
        <f t="shared" si="11"/>
        <v>3349.5165000000097</v>
      </c>
      <c r="G41" s="376">
        <v>426.69</v>
      </c>
      <c r="H41" s="467">
        <v>797.2</v>
      </c>
      <c r="I41" s="467">
        <v>797.2</v>
      </c>
      <c r="J41" s="469">
        <f t="shared" si="12"/>
        <v>1</v>
      </c>
      <c r="K41" s="468">
        <v>798.09</v>
      </c>
      <c r="L41" s="469">
        <f t="shared" si="13"/>
        <v>1.0011164074259911</v>
      </c>
      <c r="M41" s="468">
        <v>6.9599999999999991</v>
      </c>
      <c r="N41" s="469">
        <f t="shared" si="14"/>
        <v>8.7305569493226279E-3</v>
      </c>
      <c r="O41" s="470">
        <f t="shared" si="15"/>
        <v>805.05000000000007</v>
      </c>
      <c r="P41" s="469">
        <f t="shared" si="16"/>
        <v>1.0098469643753136</v>
      </c>
      <c r="Q41" s="467">
        <v>1.7000000000000002</v>
      </c>
      <c r="R41" s="469">
        <f t="shared" si="17"/>
        <v>2.1324636226793779E-3</v>
      </c>
      <c r="S41" s="499">
        <f t="shared" si="18"/>
        <v>725.37300000000005</v>
      </c>
      <c r="T41" s="470">
        <f t="shared" si="19"/>
        <v>7.8500000000000227</v>
      </c>
      <c r="U41" s="469">
        <f t="shared" si="20"/>
        <v>9.8469643753136254E-3</v>
      </c>
      <c r="V41" s="378" t="s">
        <v>174</v>
      </c>
      <c r="W41" s="378" t="s">
        <v>436</v>
      </c>
      <c r="X41" s="379"/>
      <c r="Y41" s="379"/>
      <c r="Z41" s="379">
        <v>1</v>
      </c>
      <c r="AA41" s="471" t="s">
        <v>364</v>
      </c>
    </row>
    <row r="42" spans="2:36" s="148" customFormat="1" ht="27" customHeight="1">
      <c r="B42" s="833"/>
      <c r="C42" s="834"/>
      <c r="D42" s="368">
        <v>14</v>
      </c>
      <c r="E42" s="465" t="s">
        <v>624</v>
      </c>
      <c r="F42" s="372">
        <f t="shared" si="11"/>
        <v>3207.1999999999775</v>
      </c>
      <c r="G42" s="376">
        <v>760</v>
      </c>
      <c r="H42" s="467">
        <v>295.40999999999997</v>
      </c>
      <c r="I42" s="467">
        <v>295.40999999999997</v>
      </c>
      <c r="J42" s="469">
        <f t="shared" si="12"/>
        <v>1</v>
      </c>
      <c r="K42" s="468">
        <v>291.12999999999994</v>
      </c>
      <c r="L42" s="469">
        <f t="shared" si="13"/>
        <v>0.98551166175823424</v>
      </c>
      <c r="M42" s="468">
        <v>8.5</v>
      </c>
      <c r="N42" s="469">
        <f t="shared" si="14"/>
        <v>2.8773568938086053E-2</v>
      </c>
      <c r="O42" s="470">
        <f t="shared" si="15"/>
        <v>299.62999999999994</v>
      </c>
      <c r="P42" s="469">
        <f t="shared" si="16"/>
        <v>1.0142852306963204</v>
      </c>
      <c r="Q42" s="467">
        <v>0.14000000000000001</v>
      </c>
      <c r="R42" s="469">
        <f t="shared" si="17"/>
        <v>4.7391760603906444E-4</v>
      </c>
      <c r="S42" s="499">
        <f t="shared" si="18"/>
        <v>106.4</v>
      </c>
      <c r="T42" s="470">
        <f t="shared" si="19"/>
        <v>4.2199999999999704</v>
      </c>
      <c r="U42" s="469">
        <f t="shared" si="20"/>
        <v>1.428523069632027E-2</v>
      </c>
      <c r="V42" s="378" t="s">
        <v>174</v>
      </c>
      <c r="W42" s="378" t="s">
        <v>436</v>
      </c>
      <c r="X42" s="379"/>
      <c r="Y42" s="379"/>
      <c r="Z42" s="379">
        <v>1</v>
      </c>
      <c r="AA42" s="471" t="s">
        <v>612</v>
      </c>
    </row>
    <row r="43" spans="2:36" s="148" customFormat="1" ht="27" customHeight="1">
      <c r="B43" s="833"/>
      <c r="C43" s="834"/>
      <c r="D43" s="368">
        <v>15</v>
      </c>
      <c r="E43" s="465" t="s">
        <v>440</v>
      </c>
      <c r="F43" s="372">
        <f t="shared" si="11"/>
        <v>3188.0923999999459</v>
      </c>
      <c r="G43" s="376">
        <v>368.13999999999993</v>
      </c>
      <c r="H43" s="467">
        <v>449.41000000000008</v>
      </c>
      <c r="I43" s="467">
        <v>449.41000000000008</v>
      </c>
      <c r="J43" s="469">
        <f t="shared" si="12"/>
        <v>1</v>
      </c>
      <c r="K43" s="468">
        <v>431.11999999999995</v>
      </c>
      <c r="L43" s="469">
        <f t="shared" si="13"/>
        <v>0.9593021962128121</v>
      </c>
      <c r="M43" s="468">
        <v>26.95</v>
      </c>
      <c r="N43" s="469">
        <f t="shared" si="14"/>
        <v>5.9967512961438318E-2</v>
      </c>
      <c r="O43" s="470">
        <f t="shared" si="15"/>
        <v>458.06999999999994</v>
      </c>
      <c r="P43" s="469">
        <f t="shared" si="16"/>
        <v>1.0192697091742504</v>
      </c>
      <c r="Q43" s="467">
        <v>0.84</v>
      </c>
      <c r="R43" s="469">
        <f t="shared" si="17"/>
        <v>1.8691172871097657E-3</v>
      </c>
      <c r="S43" s="499">
        <f t="shared" si="18"/>
        <v>309.23759999999993</v>
      </c>
      <c r="T43" s="470">
        <f t="shared" si="19"/>
        <v>8.6599999999998545</v>
      </c>
      <c r="U43" s="469">
        <f t="shared" si="20"/>
        <v>1.9269709174250357E-2</v>
      </c>
      <c r="V43" s="378" t="s">
        <v>174</v>
      </c>
      <c r="W43" s="378" t="s">
        <v>436</v>
      </c>
      <c r="X43" s="379"/>
      <c r="Y43" s="379"/>
      <c r="Z43" s="379">
        <v>1</v>
      </c>
      <c r="AA43" s="471" t="s">
        <v>441</v>
      </c>
    </row>
    <row r="44" spans="2:36" s="148" customFormat="1" ht="27" customHeight="1">
      <c r="B44" s="833"/>
      <c r="C44" s="834"/>
      <c r="D44" s="368">
        <v>16</v>
      </c>
      <c r="E44" s="465" t="s">
        <v>476</v>
      </c>
      <c r="F44" s="372">
        <f t="shared" si="11"/>
        <v>3101.5935999999333</v>
      </c>
      <c r="G44" s="376">
        <v>605.77999999999986</v>
      </c>
      <c r="H44" s="467">
        <v>1090.21</v>
      </c>
      <c r="I44" s="467">
        <v>1090.21</v>
      </c>
      <c r="J44" s="469">
        <f t="shared" si="12"/>
        <v>1</v>
      </c>
      <c r="K44" s="468">
        <v>1091.3599999999999</v>
      </c>
      <c r="L44" s="469">
        <f t="shared" si="13"/>
        <v>1.0010548426449948</v>
      </c>
      <c r="M44" s="468">
        <v>3.97</v>
      </c>
      <c r="N44" s="469">
        <f t="shared" si="14"/>
        <v>3.641500261417525E-3</v>
      </c>
      <c r="O44" s="470">
        <f t="shared" si="15"/>
        <v>1095.33</v>
      </c>
      <c r="P44" s="469">
        <f t="shared" si="16"/>
        <v>1.0046963429064124</v>
      </c>
      <c r="Q44" s="467">
        <v>1.05</v>
      </c>
      <c r="R44" s="469">
        <f t="shared" si="17"/>
        <v>9.6311719760413129E-4</v>
      </c>
      <c r="S44" s="499">
        <f t="shared" si="18"/>
        <v>636.06899999999985</v>
      </c>
      <c r="T44" s="470">
        <f t="shared" si="19"/>
        <v>5.1199999999998909</v>
      </c>
      <c r="U44" s="469">
        <f t="shared" si="20"/>
        <v>4.6963429064124261E-3</v>
      </c>
      <c r="V44" s="378" t="s">
        <v>174</v>
      </c>
      <c r="W44" s="379" t="s">
        <v>216</v>
      </c>
      <c r="X44" s="379"/>
      <c r="Y44" s="379"/>
      <c r="Z44" s="379">
        <v>1</v>
      </c>
      <c r="AA44" s="471" t="s">
        <v>344</v>
      </c>
    </row>
    <row r="45" spans="2:36" s="148" customFormat="1" ht="27" customHeight="1">
      <c r="B45" s="833"/>
      <c r="C45" s="834"/>
      <c r="D45" s="368">
        <v>17</v>
      </c>
      <c r="E45" s="465" t="s">
        <v>628</v>
      </c>
      <c r="F45" s="372">
        <f t="shared" si="11"/>
        <v>3089.143800000003</v>
      </c>
      <c r="G45" s="376">
        <v>114.53999999999999</v>
      </c>
      <c r="H45" s="467">
        <v>1004.01</v>
      </c>
      <c r="I45" s="467">
        <v>1004.01</v>
      </c>
      <c r="J45" s="469">
        <f t="shared" si="12"/>
        <v>1</v>
      </c>
      <c r="K45" s="468">
        <v>981.68</v>
      </c>
      <c r="L45" s="469">
        <f t="shared" si="13"/>
        <v>0.97775918566548137</v>
      </c>
      <c r="M45" s="468">
        <v>49.3</v>
      </c>
      <c r="N45" s="469">
        <f t="shared" si="14"/>
        <v>4.9103096582703357E-2</v>
      </c>
      <c r="O45" s="470">
        <f t="shared" si="15"/>
        <v>1030.98</v>
      </c>
      <c r="P45" s="469">
        <f t="shared" si="16"/>
        <v>1.0268622822481848</v>
      </c>
      <c r="Q45" s="467">
        <v>3.2</v>
      </c>
      <c r="R45" s="469">
        <f t="shared" si="17"/>
        <v>3.1872192508042752E-3</v>
      </c>
      <c r="S45" s="499">
        <f t="shared" si="18"/>
        <v>366.52800000000002</v>
      </c>
      <c r="T45" s="470">
        <f t="shared" si="19"/>
        <v>26.970000000000027</v>
      </c>
      <c r="U45" s="469">
        <f t="shared" si="20"/>
        <v>2.6862282248184807E-2</v>
      </c>
      <c r="V45" s="378" t="s">
        <v>174</v>
      </c>
      <c r="W45" s="378" t="s">
        <v>436</v>
      </c>
      <c r="X45" s="379"/>
      <c r="Y45" s="379"/>
      <c r="Z45" s="379">
        <v>1</v>
      </c>
      <c r="AA45" s="471" t="s">
        <v>497</v>
      </c>
    </row>
    <row r="46" spans="2:36" s="148" customFormat="1" ht="27" customHeight="1">
      <c r="B46" s="833"/>
      <c r="C46" s="834"/>
      <c r="D46" s="368">
        <v>18</v>
      </c>
      <c r="E46" s="465" t="s">
        <v>338</v>
      </c>
      <c r="F46" s="372">
        <f t="shared" si="11"/>
        <v>3042.6326000000113</v>
      </c>
      <c r="G46" s="376">
        <v>70.220000000000013</v>
      </c>
      <c r="H46" s="467">
        <v>1718.2199999999998</v>
      </c>
      <c r="I46" s="467">
        <v>1718.2199999999998</v>
      </c>
      <c r="J46" s="469">
        <f t="shared" si="12"/>
        <v>1</v>
      </c>
      <c r="K46" s="468">
        <v>1660.31</v>
      </c>
      <c r="L46" s="469">
        <f t="shared" si="13"/>
        <v>0.96629651616207479</v>
      </c>
      <c r="M46" s="468">
        <v>101.24000000000001</v>
      </c>
      <c r="N46" s="469">
        <f t="shared" si="14"/>
        <v>5.8921441957374504E-2</v>
      </c>
      <c r="O46" s="470">
        <f t="shared" si="15"/>
        <v>1761.55</v>
      </c>
      <c r="P46" s="469">
        <f t="shared" si="16"/>
        <v>1.0252179581194494</v>
      </c>
      <c r="Q46" s="467">
        <v>4.07</v>
      </c>
      <c r="R46" s="469">
        <f t="shared" si="17"/>
        <v>2.3687304303290618E-3</v>
      </c>
      <c r="S46" s="499">
        <f t="shared" si="18"/>
        <v>285.79540000000009</v>
      </c>
      <c r="T46" s="470">
        <f t="shared" si="19"/>
        <v>43.330000000000155</v>
      </c>
      <c r="U46" s="469">
        <f t="shared" si="20"/>
        <v>2.5217958119449289E-2</v>
      </c>
      <c r="V46" s="378" t="s">
        <v>174</v>
      </c>
      <c r="W46" s="378" t="s">
        <v>436</v>
      </c>
      <c r="X46" s="379"/>
      <c r="Y46" s="379"/>
      <c r="Z46" s="379">
        <v>1</v>
      </c>
      <c r="AA46" s="471" t="s">
        <v>345</v>
      </c>
    </row>
    <row r="47" spans="2:36" s="148" customFormat="1" ht="27" customHeight="1">
      <c r="B47" s="833"/>
      <c r="C47" s="834"/>
      <c r="D47" s="368">
        <v>19</v>
      </c>
      <c r="E47" s="465" t="s">
        <v>434</v>
      </c>
      <c r="F47" s="372">
        <f t="shared" si="11"/>
        <v>2934.5499000000009</v>
      </c>
      <c r="G47" s="376">
        <v>99.51</v>
      </c>
      <c r="H47" s="467">
        <v>1252.3200000000002</v>
      </c>
      <c r="I47" s="467">
        <v>1252.3200000000002</v>
      </c>
      <c r="J47" s="469">
        <f t="shared" si="12"/>
        <v>1</v>
      </c>
      <c r="K47" s="468">
        <v>1203.3700000000001</v>
      </c>
      <c r="L47" s="469">
        <f t="shared" si="13"/>
        <v>0.9609125463140411</v>
      </c>
      <c r="M47" s="468">
        <v>78.44</v>
      </c>
      <c r="N47" s="469">
        <f t="shared" si="14"/>
        <v>6.2635748051616189E-2</v>
      </c>
      <c r="O47" s="470">
        <f t="shared" si="15"/>
        <v>1281.8100000000002</v>
      </c>
      <c r="P47" s="469">
        <f t="shared" si="16"/>
        <v>1.0235482943656573</v>
      </c>
      <c r="Q47" s="467">
        <v>5.3599999999999994</v>
      </c>
      <c r="R47" s="469">
        <f t="shared" si="17"/>
        <v>4.2800562156637273E-3</v>
      </c>
      <c r="S47" s="499">
        <f t="shared" si="18"/>
        <v>533.37360000000001</v>
      </c>
      <c r="T47" s="470">
        <f t="shared" si="19"/>
        <v>29.490000000000009</v>
      </c>
      <c r="U47" s="469">
        <f t="shared" si="20"/>
        <v>2.3548294365657346E-2</v>
      </c>
      <c r="V47" s="378" t="s">
        <v>174</v>
      </c>
      <c r="W47" s="378" t="s">
        <v>436</v>
      </c>
      <c r="X47" s="379"/>
      <c r="Y47" s="379"/>
      <c r="Z47" s="379">
        <v>1</v>
      </c>
      <c r="AA47" s="471" t="s">
        <v>351</v>
      </c>
    </row>
    <row r="48" spans="2:36" s="148" customFormat="1" ht="27" customHeight="1">
      <c r="B48" s="835"/>
      <c r="C48" s="836"/>
      <c r="D48" s="368">
        <v>20</v>
      </c>
      <c r="E48" s="465" t="s">
        <v>588</v>
      </c>
      <c r="F48" s="372">
        <f t="shared" si="11"/>
        <v>2917.2</v>
      </c>
      <c r="G48" s="376">
        <v>130</v>
      </c>
      <c r="H48" s="467">
        <v>220.89999999999998</v>
      </c>
      <c r="I48" s="467">
        <v>220.89999999999998</v>
      </c>
      <c r="J48" s="469">
        <f t="shared" si="12"/>
        <v>1</v>
      </c>
      <c r="K48" s="468">
        <v>223.29999999999998</v>
      </c>
      <c r="L48" s="469">
        <f t="shared" si="13"/>
        <v>1.0108646446355818</v>
      </c>
      <c r="M48" s="468">
        <v>20.04</v>
      </c>
      <c r="N48" s="469">
        <f t="shared" si="14"/>
        <v>9.0719782707107288E-2</v>
      </c>
      <c r="O48" s="470">
        <f t="shared" si="15"/>
        <v>243.33999999999997</v>
      </c>
      <c r="P48" s="469">
        <f t="shared" si="16"/>
        <v>1.1015844273426889</v>
      </c>
      <c r="Q48" s="467">
        <v>7.35</v>
      </c>
      <c r="R48" s="469">
        <f t="shared" si="17"/>
        <v>3.3272974196468991E-2</v>
      </c>
      <c r="S48" s="499">
        <f t="shared" si="18"/>
        <v>955.5</v>
      </c>
      <c r="T48" s="470">
        <f t="shared" si="19"/>
        <v>22.439999999999998</v>
      </c>
      <c r="U48" s="469">
        <f t="shared" si="20"/>
        <v>0.10158442734268899</v>
      </c>
      <c r="V48" s="378" t="s">
        <v>174</v>
      </c>
      <c r="W48" s="378" t="s">
        <v>215</v>
      </c>
      <c r="X48" s="379"/>
      <c r="Y48" s="379"/>
      <c r="Z48" s="379">
        <v>1</v>
      </c>
      <c r="AA48" s="471" t="s">
        <v>553</v>
      </c>
    </row>
  </sheetData>
  <mergeCells count="41">
    <mergeCell ref="Y27:Y28"/>
    <mergeCell ref="Z27:Z28"/>
    <mergeCell ref="AA27:AA28"/>
    <mergeCell ref="AC27:AJ29"/>
    <mergeCell ref="B29:C48"/>
    <mergeCell ref="D27:D28"/>
    <mergeCell ref="E27:E28"/>
    <mergeCell ref="F27:F28"/>
    <mergeCell ref="G27:G28"/>
    <mergeCell ref="H27:H28"/>
    <mergeCell ref="I27:J27"/>
    <mergeCell ref="K27:L27"/>
    <mergeCell ref="M27:N27"/>
    <mergeCell ref="O27:P27"/>
    <mergeCell ref="Q27:S27"/>
    <mergeCell ref="T27:U27"/>
    <mergeCell ref="Z3:Z6"/>
    <mergeCell ref="G3:U3"/>
    <mergeCell ref="AA3:AA6"/>
    <mergeCell ref="AC3:AJ5"/>
    <mergeCell ref="G4:P4"/>
    <mergeCell ref="Q4:U4"/>
    <mergeCell ref="G5:P5"/>
    <mergeCell ref="Q5:R5"/>
    <mergeCell ref="S5:U5"/>
    <mergeCell ref="Y3:Y6"/>
    <mergeCell ref="V27:V28"/>
    <mergeCell ref="B27:C28"/>
    <mergeCell ref="W27:W28"/>
    <mergeCell ref="X27:X28"/>
    <mergeCell ref="V3:V6"/>
    <mergeCell ref="W3:W6"/>
    <mergeCell ref="X3:X6"/>
    <mergeCell ref="B7:C26"/>
    <mergeCell ref="B2:Y2"/>
    <mergeCell ref="B3:C6"/>
    <mergeCell ref="D3:F3"/>
    <mergeCell ref="D4:D6"/>
    <mergeCell ref="E4:F4"/>
    <mergeCell ref="E5:E6"/>
    <mergeCell ref="F5:F6"/>
  </mergeCells>
  <phoneticPr fontId="13" type="noConversion"/>
  <dataValidations count="1">
    <dataValidation type="list" allowBlank="1" showInputMessage="1" showErrorMessage="1" sqref="V3:W27 T49:U1048576 T1:U2 V29:V48 W29:W43 W45:W48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4296875" defaultRowHeight="15.75" customHeight="1"/>
  <cols>
    <col min="1" max="2" width="12.54296875" style="2" customWidth="1"/>
    <col min="3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19" t="s">
        <v>12</v>
      </c>
      <c r="D21" s="902"/>
      <c r="E21" s="895"/>
      <c r="F21" s="49" t="s">
        <v>46</v>
      </c>
      <c r="G21" s="49" t="s">
        <v>48</v>
      </c>
      <c r="H21" s="49" t="s">
        <v>49</v>
      </c>
      <c r="I21" s="8" t="s">
        <v>13</v>
      </c>
      <c r="J21" s="911" t="s">
        <v>51</v>
      </c>
      <c r="K21" s="895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894" t="s">
        <v>14</v>
      </c>
      <c r="D22" s="902"/>
      <c r="E22" s="895"/>
      <c r="F22" s="4">
        <v>3</v>
      </c>
      <c r="G22" s="4">
        <v>3000</v>
      </c>
      <c r="H22" s="4">
        <v>1000</v>
      </c>
      <c r="I22" s="4">
        <v>10</v>
      </c>
      <c r="J22" s="901" t="s">
        <v>76</v>
      </c>
      <c r="K22" s="895"/>
      <c r="M22" s="52" t="s">
        <v>26</v>
      </c>
      <c r="N22" s="57" t="s">
        <v>47</v>
      </c>
      <c r="O22" s="907" t="s">
        <v>12</v>
      </c>
      <c r="P22" s="902"/>
      <c r="Q22" s="895"/>
      <c r="R22" s="913" t="s">
        <v>53</v>
      </c>
      <c r="S22" s="902"/>
      <c r="T22" s="895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11" t="s">
        <v>51</v>
      </c>
      <c r="AA22" s="895"/>
    </row>
    <row r="23" spans="1:27" ht="15.75" customHeight="1">
      <c r="A23" s="23"/>
      <c r="B23" s="6">
        <v>2</v>
      </c>
      <c r="C23" s="916"/>
      <c r="D23" s="902"/>
      <c r="E23" s="895"/>
      <c r="F23" s="4"/>
      <c r="G23" s="4"/>
      <c r="H23" s="4"/>
      <c r="I23" s="4"/>
      <c r="J23" s="916"/>
      <c r="K23" s="895"/>
      <c r="M23" s="56" t="s">
        <v>42</v>
      </c>
      <c r="N23" s="24">
        <v>1</v>
      </c>
      <c r="O23" s="901" t="s">
        <v>82</v>
      </c>
      <c r="P23" s="902"/>
      <c r="Q23" s="895"/>
      <c r="R23" s="901" t="s">
        <v>85</v>
      </c>
      <c r="S23" s="902"/>
      <c r="T23" s="895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01" t="s">
        <v>86</v>
      </c>
      <c r="AA23" s="895"/>
    </row>
    <row r="24" spans="1:27" ht="15.75" customHeight="1">
      <c r="A24" s="23"/>
      <c r="B24" s="6">
        <v>3</v>
      </c>
      <c r="C24" s="916"/>
      <c r="D24" s="902"/>
      <c r="E24" s="895"/>
      <c r="F24" s="4"/>
      <c r="G24" s="4"/>
      <c r="H24" s="4"/>
      <c r="I24" s="4"/>
      <c r="J24" s="916"/>
      <c r="K24" s="895"/>
      <c r="M24" s="25"/>
      <c r="N24" s="24">
        <v>2</v>
      </c>
      <c r="O24" s="894"/>
      <c r="P24" s="902"/>
      <c r="Q24" s="895"/>
      <c r="R24" s="894"/>
      <c r="S24" s="902"/>
      <c r="T24" s="895"/>
      <c r="U24" s="4"/>
      <c r="V24" s="14"/>
      <c r="W24" s="4"/>
      <c r="X24" s="16">
        <f t="shared" si="16"/>
        <v>0</v>
      </c>
      <c r="Y24" s="4"/>
      <c r="Z24" s="894"/>
      <c r="AA24" s="895"/>
    </row>
    <row r="25" spans="1:27" ht="15.75" customHeight="1">
      <c r="A25" s="23"/>
      <c r="B25" s="6">
        <v>4</v>
      </c>
      <c r="C25" s="916"/>
      <c r="D25" s="902"/>
      <c r="E25" s="895"/>
      <c r="F25" s="4"/>
      <c r="G25" s="4"/>
      <c r="H25" s="4"/>
      <c r="I25" s="4"/>
      <c r="J25" s="916"/>
      <c r="K25" s="895"/>
      <c r="M25" s="25"/>
      <c r="N25" s="24">
        <v>3</v>
      </c>
      <c r="O25" s="894"/>
      <c r="P25" s="902"/>
      <c r="Q25" s="895"/>
      <c r="R25" s="894"/>
      <c r="S25" s="902"/>
      <c r="T25" s="895"/>
      <c r="U25" s="4"/>
      <c r="V25" s="14"/>
      <c r="W25" s="4"/>
      <c r="X25" s="16">
        <f t="shared" si="16"/>
        <v>0</v>
      </c>
      <c r="Y25" s="4"/>
      <c r="Z25" s="894"/>
      <c r="AA25" s="895"/>
    </row>
    <row r="26" spans="1:27" ht="15.75" customHeight="1">
      <c r="A26" s="23"/>
      <c r="B26" s="26">
        <v>5</v>
      </c>
      <c r="C26" s="920"/>
      <c r="D26" s="903"/>
      <c r="E26" s="897"/>
      <c r="F26" s="27"/>
      <c r="G26" s="27"/>
      <c r="H26" s="27"/>
      <c r="I26" s="27"/>
      <c r="J26" s="920"/>
      <c r="K26" s="897"/>
      <c r="M26" s="25"/>
      <c r="N26" s="24">
        <v>4</v>
      </c>
      <c r="O26" s="894"/>
      <c r="P26" s="902"/>
      <c r="Q26" s="895"/>
      <c r="R26" s="894"/>
      <c r="S26" s="902"/>
      <c r="T26" s="895"/>
      <c r="U26" s="4"/>
      <c r="V26" s="14"/>
      <c r="W26" s="4"/>
      <c r="X26" s="16">
        <f t="shared" si="16"/>
        <v>0</v>
      </c>
      <c r="Y26" s="4"/>
      <c r="Z26" s="894"/>
      <c r="AA26" s="895"/>
    </row>
    <row r="27" spans="1:27" ht="15.75" customHeight="1">
      <c r="A27" s="23"/>
      <c r="B27" s="69" t="s">
        <v>101</v>
      </c>
      <c r="C27" s="904" t="s">
        <v>75</v>
      </c>
      <c r="D27" s="905"/>
      <c r="E27" s="906"/>
      <c r="F27" s="28">
        <v>4</v>
      </c>
      <c r="G27" s="28">
        <v>2800</v>
      </c>
      <c r="H27" s="28">
        <v>700</v>
      </c>
      <c r="I27" s="28" t="s">
        <v>15</v>
      </c>
      <c r="J27" s="904" t="s">
        <v>77</v>
      </c>
      <c r="K27" s="906"/>
      <c r="M27" s="25"/>
      <c r="N27" s="29">
        <v>5</v>
      </c>
      <c r="O27" s="896"/>
      <c r="P27" s="903"/>
      <c r="Q27" s="897"/>
      <c r="R27" s="896"/>
      <c r="S27" s="903"/>
      <c r="T27" s="897"/>
      <c r="U27" s="27"/>
      <c r="V27" s="30"/>
      <c r="W27" s="27"/>
      <c r="X27" s="31">
        <f t="shared" si="16"/>
        <v>0</v>
      </c>
      <c r="Y27" s="4"/>
      <c r="Z27" s="896"/>
      <c r="AA27" s="897"/>
    </row>
    <row r="28" spans="1:27" ht="15.75" customHeight="1">
      <c r="A28" s="23"/>
      <c r="B28" s="70" t="s">
        <v>102</v>
      </c>
      <c r="C28" s="916"/>
      <c r="D28" s="902"/>
      <c r="E28" s="895"/>
      <c r="F28" s="4"/>
      <c r="G28" s="4"/>
      <c r="H28" s="4"/>
      <c r="I28" s="4"/>
      <c r="J28" s="916"/>
      <c r="K28" s="895"/>
      <c r="M28" s="32"/>
      <c r="N28" s="55"/>
      <c r="O28" s="898"/>
      <c r="P28" s="902"/>
      <c r="Q28" s="902"/>
      <c r="R28" s="898"/>
      <c r="S28" s="902"/>
      <c r="T28" s="902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898"/>
      <c r="AA28" s="895"/>
    </row>
    <row r="29" spans="1:27" ht="15.75" customHeight="1">
      <c r="A29" s="23"/>
      <c r="B29" s="70" t="s">
        <v>100</v>
      </c>
      <c r="C29" s="916"/>
      <c r="D29" s="902"/>
      <c r="E29" s="895"/>
      <c r="F29" s="4"/>
      <c r="G29" s="4"/>
      <c r="H29" s="4"/>
      <c r="I29" s="4"/>
      <c r="J29" s="916"/>
      <c r="K29" s="895"/>
      <c r="M29" s="56" t="s">
        <v>43</v>
      </c>
      <c r="N29" s="24">
        <v>1</v>
      </c>
      <c r="O29" s="917" t="s">
        <v>16</v>
      </c>
      <c r="P29" s="918"/>
      <c r="Q29" s="900"/>
      <c r="R29" s="899" t="s">
        <v>87</v>
      </c>
      <c r="S29" s="918"/>
      <c r="T29" s="900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99" t="s">
        <v>88</v>
      </c>
      <c r="AA29" s="900"/>
    </row>
    <row r="30" spans="1:27" ht="15.75" customHeight="1">
      <c r="A30" s="23"/>
      <c r="B30" s="70" t="s">
        <v>99</v>
      </c>
      <c r="C30" s="916"/>
      <c r="D30" s="902"/>
      <c r="E30" s="895"/>
      <c r="F30" s="4"/>
      <c r="G30" s="4"/>
      <c r="H30" s="4"/>
      <c r="I30" s="4"/>
      <c r="J30" s="916"/>
      <c r="K30" s="895"/>
      <c r="M30" s="25"/>
      <c r="N30" s="24">
        <v>2</v>
      </c>
      <c r="O30" s="894"/>
      <c r="P30" s="902"/>
      <c r="Q30" s="895"/>
      <c r="R30" s="894"/>
      <c r="S30" s="902"/>
      <c r="T30" s="895"/>
      <c r="U30" s="4"/>
      <c r="V30" s="14"/>
      <c r="W30" s="4"/>
      <c r="X30" s="16">
        <f t="shared" si="17"/>
        <v>0</v>
      </c>
      <c r="Y30" s="4"/>
      <c r="Z30" s="894"/>
      <c r="AA30" s="895"/>
    </row>
    <row r="31" spans="1:27" ht="15.75" customHeight="1">
      <c r="A31" s="20"/>
      <c r="B31" s="70" t="s">
        <v>103</v>
      </c>
      <c r="C31" s="916"/>
      <c r="D31" s="902"/>
      <c r="E31" s="895"/>
      <c r="F31" s="4"/>
      <c r="G31" s="4"/>
      <c r="H31" s="4"/>
      <c r="I31" s="4"/>
      <c r="J31" s="916"/>
      <c r="K31" s="895"/>
      <c r="M31" s="25"/>
      <c r="N31" s="24">
        <v>3</v>
      </c>
      <c r="O31" s="894"/>
      <c r="P31" s="902"/>
      <c r="Q31" s="895"/>
      <c r="R31" s="894"/>
      <c r="S31" s="902"/>
      <c r="T31" s="895"/>
      <c r="U31" s="4"/>
      <c r="V31" s="14"/>
      <c r="W31" s="4"/>
      <c r="X31" s="16">
        <f t="shared" si="17"/>
        <v>0</v>
      </c>
      <c r="Y31" s="4"/>
      <c r="Z31" s="894"/>
      <c r="AA31" s="895"/>
    </row>
    <row r="32" spans="1:27" ht="15.75" customHeight="1">
      <c r="A32" s="67"/>
      <c r="M32" s="25"/>
      <c r="N32" s="24">
        <v>4</v>
      </c>
      <c r="O32" s="894"/>
      <c r="P32" s="902"/>
      <c r="Q32" s="895"/>
      <c r="R32" s="894"/>
      <c r="S32" s="902"/>
      <c r="T32" s="895"/>
      <c r="U32" s="4"/>
      <c r="V32" s="14"/>
      <c r="W32" s="4"/>
      <c r="X32" s="16">
        <f t="shared" si="17"/>
        <v>0</v>
      </c>
      <c r="Y32" s="4"/>
      <c r="Z32" s="894"/>
      <c r="AA32" s="895"/>
    </row>
    <row r="33" spans="1:27" ht="15.75" customHeight="1">
      <c r="A33" s="18"/>
      <c r="B33" s="49" t="s">
        <v>47</v>
      </c>
      <c r="C33" s="919" t="s">
        <v>12</v>
      </c>
      <c r="D33" s="902"/>
      <c r="E33" s="895"/>
      <c r="F33" s="49" t="s">
        <v>46</v>
      </c>
      <c r="G33" s="49" t="s">
        <v>48</v>
      </c>
      <c r="H33" s="49" t="s">
        <v>49</v>
      </c>
      <c r="I33" s="8" t="s">
        <v>13</v>
      </c>
      <c r="J33" s="911" t="s">
        <v>51</v>
      </c>
      <c r="K33" s="895"/>
      <c r="M33" s="25"/>
      <c r="N33" s="29">
        <v>5</v>
      </c>
      <c r="O33" s="894"/>
      <c r="P33" s="902"/>
      <c r="Q33" s="895"/>
      <c r="R33" s="894"/>
      <c r="S33" s="902"/>
      <c r="T33" s="895"/>
      <c r="U33" s="27"/>
      <c r="V33" s="30"/>
      <c r="W33" s="27"/>
      <c r="X33" s="31">
        <f t="shared" si="17"/>
        <v>0</v>
      </c>
      <c r="Y33" s="4"/>
      <c r="Z33" s="894"/>
      <c r="AA33" s="895"/>
    </row>
    <row r="34" spans="1:27" ht="15.75" customHeight="1">
      <c r="A34" s="52" t="s">
        <v>35</v>
      </c>
      <c r="B34" s="6">
        <v>1</v>
      </c>
      <c r="C34" s="901" t="s">
        <v>79</v>
      </c>
      <c r="D34" s="902"/>
      <c r="E34" s="895"/>
      <c r="F34" s="4">
        <v>3</v>
      </c>
      <c r="G34" s="4">
        <v>2500</v>
      </c>
      <c r="H34" s="4">
        <v>833.33</v>
      </c>
      <c r="I34" s="4">
        <v>20</v>
      </c>
      <c r="J34" s="901" t="s">
        <v>78</v>
      </c>
      <c r="K34" s="895"/>
      <c r="M34" s="68"/>
      <c r="N34" s="45"/>
      <c r="O34" s="898"/>
      <c r="P34" s="902"/>
      <c r="Q34" s="902"/>
      <c r="R34" s="898"/>
      <c r="S34" s="902"/>
      <c r="T34" s="902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898"/>
      <c r="AA34" s="895"/>
    </row>
    <row r="35" spans="1:27" ht="15.75" customHeight="1">
      <c r="A35" s="23"/>
      <c r="B35" s="6">
        <v>2</v>
      </c>
      <c r="C35" s="894"/>
      <c r="D35" s="902"/>
      <c r="E35" s="895"/>
      <c r="F35" s="4"/>
      <c r="G35" s="4"/>
      <c r="H35" s="4"/>
      <c r="I35" s="4"/>
      <c r="J35" s="894"/>
      <c r="K35" s="895"/>
      <c r="M35" s="1"/>
      <c r="N35" s="1"/>
      <c r="O35" s="909"/>
      <c r="P35" s="910"/>
      <c r="Q35" s="910"/>
      <c r="R35" s="909"/>
      <c r="S35" s="910"/>
      <c r="T35" s="910"/>
      <c r="U35" s="1"/>
      <c r="V35" s="38"/>
      <c r="W35" s="1"/>
      <c r="X35" s="1"/>
      <c r="Y35" s="909"/>
      <c r="Z35" s="910"/>
      <c r="AA35" s="910"/>
    </row>
    <row r="36" spans="1:27" ht="15.75" customHeight="1">
      <c r="A36" s="23"/>
      <c r="B36" s="6">
        <v>3</v>
      </c>
      <c r="C36" s="894"/>
      <c r="D36" s="902"/>
      <c r="E36" s="895"/>
      <c r="F36" s="4"/>
      <c r="G36" s="4"/>
      <c r="H36" s="4"/>
      <c r="I36" s="4"/>
      <c r="J36" s="894"/>
      <c r="K36" s="895"/>
      <c r="M36" s="52" t="s">
        <v>27</v>
      </c>
      <c r="N36" s="57" t="s">
        <v>47</v>
      </c>
      <c r="O36" s="907" t="s">
        <v>12</v>
      </c>
      <c r="P36" s="898"/>
      <c r="Q36" s="908"/>
      <c r="R36" s="913" t="s">
        <v>53</v>
      </c>
      <c r="S36" s="914"/>
      <c r="T36" s="915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11" t="s">
        <v>51</v>
      </c>
      <c r="AA36" s="912"/>
    </row>
    <row r="37" spans="1:27" ht="15.75" customHeight="1">
      <c r="A37" s="23"/>
      <c r="B37" s="6">
        <v>4</v>
      </c>
      <c r="C37" s="894"/>
      <c r="D37" s="902"/>
      <c r="E37" s="895"/>
      <c r="F37" s="4"/>
      <c r="G37" s="4"/>
      <c r="H37" s="4"/>
      <c r="I37" s="4"/>
      <c r="J37" s="894"/>
      <c r="K37" s="895"/>
      <c r="M37" s="56" t="s">
        <v>42</v>
      </c>
      <c r="N37" s="24">
        <v>1</v>
      </c>
      <c r="O37" s="901" t="s">
        <v>89</v>
      </c>
      <c r="P37" s="902"/>
      <c r="Q37" s="895"/>
      <c r="R37" s="901" t="s">
        <v>90</v>
      </c>
      <c r="S37" s="902"/>
      <c r="T37" s="895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01" t="s">
        <v>91</v>
      </c>
      <c r="AA37" s="895"/>
    </row>
    <row r="38" spans="1:27" ht="15.75" customHeight="1">
      <c r="A38" s="23"/>
      <c r="B38" s="26">
        <v>5</v>
      </c>
      <c r="C38" s="896"/>
      <c r="D38" s="903"/>
      <c r="E38" s="897"/>
      <c r="F38" s="27"/>
      <c r="G38" s="27"/>
      <c r="H38" s="27"/>
      <c r="I38" s="27"/>
      <c r="J38" s="896"/>
      <c r="K38" s="897"/>
      <c r="M38" s="25"/>
      <c r="N38" s="24">
        <v>2</v>
      </c>
      <c r="O38" s="894"/>
      <c r="P38" s="902"/>
      <c r="Q38" s="895"/>
      <c r="R38" s="894"/>
      <c r="S38" s="902"/>
      <c r="T38" s="895"/>
      <c r="U38" s="4"/>
      <c r="V38" s="14"/>
      <c r="W38" s="4"/>
      <c r="X38" s="16">
        <f t="shared" si="18"/>
        <v>0</v>
      </c>
      <c r="Y38" s="4"/>
      <c r="Z38" s="894"/>
      <c r="AA38" s="895"/>
    </row>
    <row r="39" spans="1:27" ht="14">
      <c r="A39" s="23"/>
      <c r="B39" s="69" t="s">
        <v>101</v>
      </c>
      <c r="C39" s="904" t="s">
        <v>80</v>
      </c>
      <c r="D39" s="905"/>
      <c r="E39" s="906"/>
      <c r="F39" s="28">
        <v>7</v>
      </c>
      <c r="G39" s="28">
        <v>2200</v>
      </c>
      <c r="H39" s="28">
        <v>314.29000000000002</v>
      </c>
      <c r="I39" s="28">
        <v>-15</v>
      </c>
      <c r="J39" s="904" t="s">
        <v>81</v>
      </c>
      <c r="K39" s="906"/>
      <c r="M39" s="25"/>
      <c r="N39" s="24">
        <v>3</v>
      </c>
      <c r="O39" s="894"/>
      <c r="P39" s="902"/>
      <c r="Q39" s="895"/>
      <c r="R39" s="894"/>
      <c r="S39" s="902"/>
      <c r="T39" s="895"/>
      <c r="U39" s="4"/>
      <c r="V39" s="14"/>
      <c r="W39" s="4"/>
      <c r="X39" s="16">
        <f t="shared" si="18"/>
        <v>0</v>
      </c>
      <c r="Y39" s="4"/>
      <c r="Z39" s="894"/>
      <c r="AA39" s="895"/>
    </row>
    <row r="40" spans="1:27" ht="14">
      <c r="A40" s="23"/>
      <c r="B40" s="70" t="s">
        <v>102</v>
      </c>
      <c r="C40" s="894"/>
      <c r="D40" s="902"/>
      <c r="E40" s="895"/>
      <c r="F40" s="4"/>
      <c r="G40" s="4"/>
      <c r="H40" s="4"/>
      <c r="I40" s="4"/>
      <c r="J40" s="894"/>
      <c r="K40" s="895"/>
      <c r="M40" s="25"/>
      <c r="N40" s="24">
        <v>4</v>
      </c>
      <c r="O40" s="894"/>
      <c r="P40" s="902"/>
      <c r="Q40" s="895"/>
      <c r="R40" s="894"/>
      <c r="S40" s="902"/>
      <c r="T40" s="895"/>
      <c r="U40" s="4"/>
      <c r="V40" s="14"/>
      <c r="W40" s="4"/>
      <c r="X40" s="16">
        <f t="shared" si="18"/>
        <v>0</v>
      </c>
      <c r="Y40" s="4"/>
      <c r="Z40" s="894"/>
      <c r="AA40" s="895"/>
    </row>
    <row r="41" spans="1:27" ht="14">
      <c r="A41" s="23"/>
      <c r="B41" s="70" t="s">
        <v>100</v>
      </c>
      <c r="C41" s="894"/>
      <c r="D41" s="902"/>
      <c r="E41" s="895"/>
      <c r="F41" s="4"/>
      <c r="G41" s="4"/>
      <c r="H41" s="4"/>
      <c r="I41" s="4"/>
      <c r="J41" s="894"/>
      <c r="K41" s="895"/>
      <c r="M41" s="25"/>
      <c r="N41" s="29">
        <v>5</v>
      </c>
      <c r="O41" s="896"/>
      <c r="P41" s="903"/>
      <c r="Q41" s="897"/>
      <c r="R41" s="896"/>
      <c r="S41" s="903"/>
      <c r="T41" s="897"/>
      <c r="U41" s="27"/>
      <c r="V41" s="30"/>
      <c r="W41" s="27"/>
      <c r="X41" s="31">
        <f t="shared" si="18"/>
        <v>0</v>
      </c>
      <c r="Y41" s="4"/>
      <c r="Z41" s="894"/>
      <c r="AA41" s="895"/>
    </row>
    <row r="42" spans="1:27" ht="14">
      <c r="A42" s="23"/>
      <c r="B42" s="70" t="s">
        <v>99</v>
      </c>
      <c r="C42" s="894"/>
      <c r="D42" s="902"/>
      <c r="E42" s="895"/>
      <c r="F42" s="4"/>
      <c r="G42" s="4"/>
      <c r="H42" s="4"/>
      <c r="I42" s="4"/>
      <c r="J42" s="894"/>
      <c r="K42" s="895"/>
      <c r="M42" s="32"/>
      <c r="N42" s="54"/>
      <c r="O42" s="898"/>
      <c r="P42" s="902"/>
      <c r="Q42" s="902"/>
      <c r="R42" s="898"/>
      <c r="S42" s="902"/>
      <c r="T42" s="902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898"/>
      <c r="AA42" s="895"/>
    </row>
    <row r="43" spans="1:27" ht="14">
      <c r="A43" s="20"/>
      <c r="B43" s="70" t="s">
        <v>103</v>
      </c>
      <c r="C43" s="894"/>
      <c r="D43" s="902"/>
      <c r="E43" s="895"/>
      <c r="F43" s="4"/>
      <c r="G43" s="4"/>
      <c r="H43" s="4"/>
      <c r="I43" s="4"/>
      <c r="J43" s="894"/>
      <c r="K43" s="895"/>
      <c r="M43" s="56" t="s">
        <v>43</v>
      </c>
      <c r="N43" s="24">
        <v>1</v>
      </c>
      <c r="O43" s="901" t="s">
        <v>89</v>
      </c>
      <c r="P43" s="902"/>
      <c r="Q43" s="895"/>
      <c r="R43" s="899" t="s">
        <v>93</v>
      </c>
      <c r="S43" s="918"/>
      <c r="T43" s="900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01" t="s">
        <v>92</v>
      </c>
      <c r="AA43" s="895"/>
    </row>
    <row r="44" spans="1:27" ht="14">
      <c r="A44" s="67"/>
      <c r="M44" s="25"/>
      <c r="N44" s="24">
        <v>2</v>
      </c>
      <c r="O44" s="894"/>
      <c r="P44" s="902"/>
      <c r="Q44" s="895"/>
      <c r="R44" s="894"/>
      <c r="S44" s="902"/>
      <c r="T44" s="895"/>
      <c r="U44" s="4"/>
      <c r="V44" s="14"/>
      <c r="W44" s="4"/>
      <c r="X44" s="37">
        <f t="shared" si="19"/>
        <v>0</v>
      </c>
      <c r="Y44" s="4"/>
      <c r="Z44" s="894"/>
      <c r="AA44" s="895"/>
    </row>
    <row r="45" spans="1:27" ht="14">
      <c r="A45" s="18"/>
      <c r="B45" s="49" t="s">
        <v>47</v>
      </c>
      <c r="C45" s="919" t="s">
        <v>12</v>
      </c>
      <c r="D45" s="902"/>
      <c r="E45" s="895"/>
      <c r="F45" s="49" t="s">
        <v>46</v>
      </c>
      <c r="G45" s="49" t="s">
        <v>48</v>
      </c>
      <c r="H45" s="49" t="s">
        <v>49</v>
      </c>
      <c r="I45" s="8" t="s">
        <v>13</v>
      </c>
      <c r="J45" s="911" t="s">
        <v>51</v>
      </c>
      <c r="K45" s="895"/>
      <c r="M45" s="25"/>
      <c r="N45" s="24">
        <v>3</v>
      </c>
      <c r="O45" s="894"/>
      <c r="P45" s="902"/>
      <c r="Q45" s="895"/>
      <c r="R45" s="894"/>
      <c r="S45" s="902"/>
      <c r="T45" s="895"/>
      <c r="U45" s="4"/>
      <c r="V45" s="14"/>
      <c r="W45" s="4"/>
      <c r="X45" s="37">
        <f t="shared" si="19"/>
        <v>0</v>
      </c>
      <c r="Y45" s="4"/>
      <c r="Z45" s="894"/>
      <c r="AA45" s="895"/>
    </row>
    <row r="46" spans="1:27" ht="14">
      <c r="A46" s="52" t="s">
        <v>36</v>
      </c>
      <c r="B46" s="6">
        <v>1</v>
      </c>
      <c r="C46" s="901" t="s">
        <v>82</v>
      </c>
      <c r="D46" s="902"/>
      <c r="E46" s="895"/>
      <c r="F46" s="4">
        <v>15</v>
      </c>
      <c r="G46" s="4">
        <v>1200</v>
      </c>
      <c r="H46" s="4">
        <v>80</v>
      </c>
      <c r="I46" s="4">
        <v>5</v>
      </c>
      <c r="J46" s="901" t="s">
        <v>83</v>
      </c>
      <c r="K46" s="895"/>
      <c r="M46" s="25"/>
      <c r="N46" s="24">
        <v>4</v>
      </c>
      <c r="O46" s="894"/>
      <c r="P46" s="902"/>
      <c r="Q46" s="895"/>
      <c r="R46" s="894"/>
      <c r="S46" s="902"/>
      <c r="T46" s="895"/>
      <c r="U46" s="4"/>
      <c r="V46" s="14"/>
      <c r="W46" s="4"/>
      <c r="X46" s="37">
        <f t="shared" si="19"/>
        <v>0</v>
      </c>
      <c r="Y46" s="4"/>
      <c r="Z46" s="894"/>
      <c r="AA46" s="895"/>
    </row>
    <row r="47" spans="1:27" ht="14">
      <c r="A47" s="23"/>
      <c r="B47" s="6">
        <v>2</v>
      </c>
      <c r="C47" s="894"/>
      <c r="D47" s="902"/>
      <c r="E47" s="895"/>
      <c r="F47" s="4"/>
      <c r="G47" s="4"/>
      <c r="H47" s="4"/>
      <c r="I47" s="4"/>
      <c r="J47" s="894"/>
      <c r="K47" s="895"/>
      <c r="M47" s="25"/>
      <c r="N47" s="29">
        <v>5</v>
      </c>
      <c r="O47" s="894"/>
      <c r="P47" s="902"/>
      <c r="Q47" s="895"/>
      <c r="R47" s="894"/>
      <c r="S47" s="902"/>
      <c r="T47" s="895"/>
      <c r="U47" s="27"/>
      <c r="V47" s="30"/>
      <c r="W47" s="27"/>
      <c r="X47" s="40">
        <f t="shared" si="19"/>
        <v>0</v>
      </c>
      <c r="Y47" s="4"/>
      <c r="Z47" s="894"/>
      <c r="AA47" s="895"/>
    </row>
    <row r="48" spans="1:27" ht="14">
      <c r="A48" s="23"/>
      <c r="B48" s="6">
        <v>3</v>
      </c>
      <c r="C48" s="894"/>
      <c r="D48" s="902"/>
      <c r="E48" s="895"/>
      <c r="F48" s="4"/>
      <c r="G48" s="4"/>
      <c r="H48" s="4"/>
      <c r="I48" s="4"/>
      <c r="J48" s="894"/>
      <c r="K48" s="895"/>
      <c r="M48" s="68"/>
      <c r="N48" s="45"/>
      <c r="O48" s="898"/>
      <c r="P48" s="902"/>
      <c r="Q48" s="902"/>
      <c r="R48" s="898"/>
      <c r="S48" s="902"/>
      <c r="T48" s="902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898"/>
      <c r="AA48" s="895"/>
    </row>
    <row r="49" spans="1:27" ht="14">
      <c r="A49" s="23"/>
      <c r="B49" s="6">
        <v>4</v>
      </c>
      <c r="C49" s="894"/>
      <c r="D49" s="902"/>
      <c r="E49" s="895"/>
      <c r="F49" s="4"/>
      <c r="G49" s="4"/>
      <c r="H49" s="4"/>
      <c r="I49" s="4"/>
      <c r="J49" s="894"/>
      <c r="K49" s="895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896"/>
      <c r="D50" s="903"/>
      <c r="E50" s="897"/>
      <c r="F50" s="27"/>
      <c r="G50" s="27"/>
      <c r="H50" s="27"/>
      <c r="I50" s="27"/>
      <c r="J50" s="896"/>
      <c r="K50" s="897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>
      <c r="A51" s="23"/>
      <c r="B51" s="69" t="s">
        <v>101</v>
      </c>
      <c r="C51" s="904" t="s">
        <v>89</v>
      </c>
      <c r="D51" s="905"/>
      <c r="E51" s="906"/>
      <c r="F51" s="28">
        <v>18</v>
      </c>
      <c r="G51" s="28">
        <v>800</v>
      </c>
      <c r="H51" s="28">
        <v>44.44</v>
      </c>
      <c r="I51" s="28">
        <v>-15</v>
      </c>
      <c r="J51" s="904" t="s">
        <v>84</v>
      </c>
      <c r="K51" s="906"/>
      <c r="M51" s="8"/>
      <c r="N51" s="8" t="s">
        <v>18</v>
      </c>
      <c r="O51" s="907" t="s">
        <v>12</v>
      </c>
      <c r="P51" s="898"/>
      <c r="Q51" s="908"/>
      <c r="R51" s="913" t="s">
        <v>53</v>
      </c>
      <c r="S51" s="914"/>
      <c r="T51" s="915"/>
      <c r="U51" s="57" t="s">
        <v>54</v>
      </c>
      <c r="V51" s="39" t="s">
        <v>19</v>
      </c>
      <c r="W51" s="57" t="s">
        <v>57</v>
      </c>
      <c r="X51" s="8" t="s">
        <v>2</v>
      </c>
      <c r="Y51" s="907" t="s">
        <v>50</v>
      </c>
      <c r="Z51" s="898"/>
      <c r="AA51" s="908"/>
    </row>
    <row r="52" spans="1:27" ht="14">
      <c r="A52" s="23"/>
      <c r="B52" s="70" t="s">
        <v>102</v>
      </c>
      <c r="C52" s="894"/>
      <c r="D52" s="902"/>
      <c r="E52" s="895"/>
      <c r="F52" s="4"/>
      <c r="G52" s="4"/>
      <c r="H52" s="4"/>
      <c r="I52" s="4"/>
      <c r="J52" s="894"/>
      <c r="K52" s="895"/>
      <c r="M52" s="56" t="s">
        <v>42</v>
      </c>
      <c r="N52" s="24">
        <v>1</v>
      </c>
      <c r="O52" s="901" t="s">
        <v>89</v>
      </c>
      <c r="P52" s="902"/>
      <c r="Q52" s="895"/>
      <c r="R52" s="899" t="s">
        <v>93</v>
      </c>
      <c r="S52" s="918"/>
      <c r="T52" s="900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01" t="s">
        <v>97</v>
      </c>
      <c r="Z52" s="902"/>
      <c r="AA52" s="895"/>
    </row>
    <row r="53" spans="1:27" ht="14">
      <c r="A53" s="23"/>
      <c r="B53" s="70" t="s">
        <v>100</v>
      </c>
      <c r="C53" s="894"/>
      <c r="D53" s="902"/>
      <c r="E53" s="895"/>
      <c r="F53" s="4"/>
      <c r="G53" s="4"/>
      <c r="H53" s="4"/>
      <c r="I53" s="4"/>
      <c r="J53" s="894"/>
      <c r="K53" s="895"/>
      <c r="M53" s="25"/>
      <c r="N53" s="29">
        <v>2</v>
      </c>
      <c r="O53" s="896"/>
      <c r="P53" s="903"/>
      <c r="Q53" s="897"/>
      <c r="R53" s="896"/>
      <c r="S53" s="903"/>
      <c r="T53" s="897"/>
      <c r="U53" s="27"/>
      <c r="V53" s="30"/>
      <c r="W53" s="30"/>
      <c r="X53" s="41">
        <f t="shared" si="20"/>
        <v>0</v>
      </c>
      <c r="Y53" s="896"/>
      <c r="Z53" s="903"/>
      <c r="AA53" s="897"/>
    </row>
    <row r="54" spans="1:27" ht="14">
      <c r="A54" s="23"/>
      <c r="B54" s="70" t="s">
        <v>99</v>
      </c>
      <c r="C54" s="894"/>
      <c r="D54" s="902"/>
      <c r="E54" s="895"/>
      <c r="F54" s="4"/>
      <c r="G54" s="4"/>
      <c r="H54" s="4"/>
      <c r="I54" s="4"/>
      <c r="J54" s="894"/>
      <c r="K54" s="895"/>
      <c r="M54" s="56" t="s">
        <v>43</v>
      </c>
      <c r="N54" s="42">
        <v>1</v>
      </c>
      <c r="O54" s="904" t="s">
        <v>94</v>
      </c>
      <c r="P54" s="905"/>
      <c r="Q54" s="906"/>
      <c r="R54" s="904" t="s">
        <v>95</v>
      </c>
      <c r="S54" s="905"/>
      <c r="T54" s="906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04" t="s">
        <v>96</v>
      </c>
      <c r="Z54" s="905"/>
      <c r="AA54" s="906"/>
    </row>
    <row r="55" spans="1:27" ht="14">
      <c r="A55" s="20"/>
      <c r="B55" s="70" t="s">
        <v>103</v>
      </c>
      <c r="C55" s="894"/>
      <c r="D55" s="902"/>
      <c r="E55" s="895"/>
      <c r="F55" s="4"/>
      <c r="G55" s="4"/>
      <c r="H55" s="4"/>
      <c r="I55" s="4"/>
      <c r="J55" s="894"/>
      <c r="K55" s="895"/>
      <c r="M55" s="22"/>
      <c r="N55" s="24">
        <v>2</v>
      </c>
      <c r="O55" s="894"/>
      <c r="P55" s="902"/>
      <c r="Q55" s="895"/>
      <c r="R55" s="894"/>
      <c r="S55" s="902"/>
      <c r="T55" s="895"/>
      <c r="U55" s="4"/>
      <c r="V55" s="14"/>
      <c r="W55" s="14"/>
      <c r="X55" s="13">
        <f t="shared" si="20"/>
        <v>0</v>
      </c>
      <c r="Y55" s="894"/>
      <c r="Z55" s="902"/>
      <c r="AA55" s="895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0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265625" defaultRowHeight="14"/>
  <cols>
    <col min="1" max="2" width="8.7265625" style="149"/>
    <col min="3" max="3" width="14" style="149" bestFit="1" customWidth="1"/>
    <col min="4" max="4" width="0.26953125" style="149" customWidth="1"/>
    <col min="5" max="5" width="8.7265625" style="149"/>
    <col min="6" max="6" width="16.26953125" style="149" bestFit="1" customWidth="1"/>
    <col min="7" max="16384" width="8.7265625" style="149"/>
  </cols>
  <sheetData>
    <row r="2" spans="2:7" ht="15.5">
      <c r="B2" s="921" t="s">
        <v>255</v>
      </c>
      <c r="C2" s="921"/>
      <c r="D2" s="921"/>
      <c r="E2" s="921"/>
      <c r="F2" s="921"/>
    </row>
    <row r="3" spans="2:7" ht="14.5">
      <c r="B3" s="150" t="s">
        <v>256</v>
      </c>
      <c r="C3" s="150" t="s">
        <v>257</v>
      </c>
      <c r="D3" s="151"/>
      <c r="E3" s="150" t="s">
        <v>258</v>
      </c>
      <c r="F3" s="150" t="s">
        <v>259</v>
      </c>
      <c r="G3" s="151"/>
    </row>
    <row r="4" spans="2:7" ht="14.5">
      <c r="B4" s="152" t="s">
        <v>260</v>
      </c>
      <c r="C4" s="152" t="s">
        <v>261</v>
      </c>
      <c r="D4" s="151"/>
      <c r="E4" s="152" t="s">
        <v>262</v>
      </c>
      <c r="F4" s="152" t="s">
        <v>263</v>
      </c>
      <c r="G4" s="151"/>
    </row>
    <row r="5" spans="2:7" ht="14.5">
      <c r="B5" s="152" t="s">
        <v>264</v>
      </c>
      <c r="C5" s="152" t="s">
        <v>265</v>
      </c>
      <c r="D5" s="151"/>
      <c r="E5" s="152" t="s">
        <v>266</v>
      </c>
      <c r="F5" s="152" t="s">
        <v>267</v>
      </c>
      <c r="G5" s="151"/>
    </row>
    <row r="6" spans="2:7" ht="14.5">
      <c r="B6" s="152" t="s">
        <v>268</v>
      </c>
      <c r="C6" s="152" t="s">
        <v>269</v>
      </c>
      <c r="D6" s="151"/>
      <c r="E6" s="153" t="s">
        <v>270</v>
      </c>
      <c r="F6" s="153" t="s">
        <v>141</v>
      </c>
      <c r="G6" s="151"/>
    </row>
    <row r="7" spans="2:7" ht="14.5">
      <c r="B7" s="153" t="s">
        <v>271</v>
      </c>
      <c r="C7" s="153" t="s">
        <v>272</v>
      </c>
      <c r="D7" s="151"/>
      <c r="E7" s="152" t="s">
        <v>273</v>
      </c>
      <c r="F7" s="152" t="s">
        <v>274</v>
      </c>
      <c r="G7" s="151"/>
    </row>
    <row r="8" spans="2:7" ht="14.5">
      <c r="B8" s="152" t="s">
        <v>275</v>
      </c>
      <c r="C8" s="152" t="s">
        <v>276</v>
      </c>
      <c r="D8" s="151"/>
      <c r="E8" s="152" t="s">
        <v>277</v>
      </c>
      <c r="F8" s="152" t="s">
        <v>278</v>
      </c>
      <c r="G8" s="151"/>
    </row>
    <row r="9" spans="2:7" ht="14.5">
      <c r="B9" s="152" t="s">
        <v>279</v>
      </c>
      <c r="C9" s="152" t="s">
        <v>280</v>
      </c>
      <c r="D9" s="151"/>
      <c r="E9" s="153" t="s">
        <v>281</v>
      </c>
      <c r="F9" s="153" t="s">
        <v>140</v>
      </c>
      <c r="G9" s="151"/>
    </row>
    <row r="10" spans="2:7" ht="14.5">
      <c r="B10" s="152" t="s">
        <v>282</v>
      </c>
      <c r="C10" s="152" t="s">
        <v>283</v>
      </c>
      <c r="D10" s="151"/>
      <c r="E10" s="152" t="s">
        <v>284</v>
      </c>
      <c r="F10" s="152" t="s">
        <v>285</v>
      </c>
      <c r="G10" s="151"/>
    </row>
    <row r="11" spans="2:7" ht="14.5">
      <c r="B11" s="152" t="s">
        <v>286</v>
      </c>
      <c r="C11" s="152" t="s">
        <v>287</v>
      </c>
      <c r="D11" s="151"/>
      <c r="E11" s="152" t="s">
        <v>288</v>
      </c>
      <c r="F11" s="152" t="s">
        <v>278</v>
      </c>
      <c r="G11" s="151"/>
    </row>
    <row r="12" spans="2:7" ht="14.5">
      <c r="B12" s="152" t="s">
        <v>289</v>
      </c>
      <c r="C12" s="152" t="s">
        <v>290</v>
      </c>
      <c r="D12" s="151"/>
      <c r="E12" s="152" t="s">
        <v>291</v>
      </c>
      <c r="F12" s="152" t="s">
        <v>292</v>
      </c>
      <c r="G12" s="151"/>
    </row>
    <row r="13" spans="2:7" ht="14.5">
      <c r="B13" s="153" t="s">
        <v>293</v>
      </c>
      <c r="C13" s="153" t="s">
        <v>136</v>
      </c>
      <c r="D13" s="151"/>
      <c r="E13" s="152" t="s">
        <v>294</v>
      </c>
      <c r="F13" s="152" t="s">
        <v>295</v>
      </c>
      <c r="G13" s="151"/>
    </row>
    <row r="14" spans="2:7" ht="14.5">
      <c r="B14" s="152" t="s">
        <v>296</v>
      </c>
      <c r="C14" s="152" t="s">
        <v>297</v>
      </c>
      <c r="D14" s="151"/>
      <c r="E14" s="153" t="s">
        <v>298</v>
      </c>
      <c r="F14" s="153" t="s">
        <v>299</v>
      </c>
      <c r="G14" s="151"/>
    </row>
    <row r="15" spans="2:7" ht="14.5">
      <c r="B15" s="153" t="s">
        <v>300</v>
      </c>
      <c r="C15" s="153" t="s">
        <v>301</v>
      </c>
      <c r="D15" s="151"/>
      <c r="E15" s="152" t="s">
        <v>302</v>
      </c>
      <c r="F15" s="152" t="s">
        <v>299</v>
      </c>
      <c r="G15" s="151"/>
    </row>
    <row r="16" spans="2:7" ht="14.5">
      <c r="B16" s="152" t="s">
        <v>303</v>
      </c>
      <c r="C16" s="152" t="s">
        <v>304</v>
      </c>
      <c r="D16" s="151"/>
      <c r="E16" s="153" t="s">
        <v>305</v>
      </c>
      <c r="F16" s="153" t="s">
        <v>306</v>
      </c>
      <c r="G16" s="151"/>
    </row>
    <row r="17" spans="2:7" ht="14.5">
      <c r="B17" s="152" t="s">
        <v>307</v>
      </c>
      <c r="C17" s="152" t="s">
        <v>308</v>
      </c>
      <c r="D17" s="151"/>
      <c r="E17" s="152" t="s">
        <v>309</v>
      </c>
      <c r="F17" s="152" t="s">
        <v>310</v>
      </c>
      <c r="G17" s="151"/>
    </row>
    <row r="18" spans="2:7" ht="14.5">
      <c r="B18" s="152" t="s">
        <v>311</v>
      </c>
      <c r="C18" s="152" t="s">
        <v>312</v>
      </c>
      <c r="D18" s="151"/>
      <c r="E18" s="152" t="s">
        <v>313</v>
      </c>
      <c r="F18" s="152" t="s">
        <v>314</v>
      </c>
      <c r="G18" s="151"/>
    </row>
    <row r="19" spans="2:7" ht="14.5">
      <c r="B19" s="152" t="s">
        <v>315</v>
      </c>
      <c r="C19" s="152" t="s">
        <v>316</v>
      </c>
      <c r="D19" s="151"/>
      <c r="E19" s="152" t="s">
        <v>317</v>
      </c>
      <c r="F19" s="152" t="s">
        <v>318</v>
      </c>
      <c r="G19" s="151"/>
    </row>
    <row r="20" spans="2:7" ht="14.5">
      <c r="B20" s="152" t="s">
        <v>319</v>
      </c>
      <c r="C20" s="152" t="s">
        <v>320</v>
      </c>
      <c r="D20" s="151"/>
      <c r="G20" s="151"/>
    </row>
    <row r="21" spans="2:7" ht="14.5">
      <c r="D21" s="151"/>
      <c r="G21" s="151"/>
    </row>
    <row r="22" spans="2:7" ht="14.5">
      <c r="D22" s="151"/>
      <c r="G22" s="151"/>
    </row>
    <row r="23" spans="2:7" ht="14.5">
      <c r="D23" s="151"/>
      <c r="G23" s="151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3:B10"/>
  <sheetViews>
    <sheetView workbookViewId="0">
      <selection activeCell="B7" sqref="B7"/>
    </sheetView>
  </sheetViews>
  <sheetFormatPr defaultRowHeight="12.5"/>
  <sheetData>
    <row r="3" spans="1:2" ht="14">
      <c r="A3">
        <v>1</v>
      </c>
      <c r="B3" s="149" t="s">
        <v>368</v>
      </c>
    </row>
    <row r="4" spans="1:2" ht="14">
      <c r="A4">
        <v>2</v>
      </c>
      <c r="B4" s="149" t="s">
        <v>389</v>
      </c>
    </row>
    <row r="5" spans="1:2" ht="14">
      <c r="A5">
        <v>3</v>
      </c>
      <c r="B5" s="149" t="s">
        <v>339</v>
      </c>
    </row>
    <row r="6" spans="1:2" ht="14">
      <c r="A6">
        <v>4</v>
      </c>
      <c r="B6" s="149" t="s">
        <v>214</v>
      </c>
    </row>
    <row r="7" spans="1:2" ht="14.5">
      <c r="A7">
        <v>5</v>
      </c>
      <c r="B7" s="151" t="s">
        <v>643</v>
      </c>
    </row>
    <row r="8" spans="1:2" ht="14">
      <c r="A8">
        <v>6</v>
      </c>
      <c r="B8" s="149" t="s">
        <v>216</v>
      </c>
    </row>
    <row r="9" spans="1:2" ht="14">
      <c r="A9">
        <v>7</v>
      </c>
      <c r="B9" s="149" t="s">
        <v>390</v>
      </c>
    </row>
    <row r="10" spans="1:2" ht="14">
      <c r="A10">
        <v>8</v>
      </c>
      <c r="B10" s="149" t="s">
        <v>391</v>
      </c>
    </row>
  </sheetData>
  <phoneticPr fontId="1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已命名的範圍</vt:lpstr>
      </vt:variant>
      <vt:variant>
        <vt:i4>18</vt:i4>
      </vt:variant>
    </vt:vector>
  </HeadingPairs>
  <TitlesOfParts>
    <vt:vector size="56" baseType="lpstr">
      <vt:lpstr>數值累積總表(月)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2025-12-24T07:22:09Z</cp:lastPrinted>
  <dcterms:created xsi:type="dcterms:W3CDTF">2025-07-03T16:36:59Z</dcterms:created>
  <dcterms:modified xsi:type="dcterms:W3CDTF">2026-05-21T08:36:16Z</dcterms:modified>
</cp:coreProperties>
</file>